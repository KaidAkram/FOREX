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filterPrivacy="1"/>
  <xr:revisionPtr revIDLastSave="0" documentId="13_ncr:1_{DDB37E4E-FE62-954E-B23F-61F002646E62}" xr6:coauthVersionLast="47" xr6:coauthVersionMax="47" xr10:uidLastSave="{00000000-0000-0000-0000-000000000000}"/>
  <bookViews>
    <workbookView xWindow="0" yWindow="620" windowWidth="28800" windowHeight="15400" tabRatio="859" activeTab="6" xr2:uid="{00000000-000D-0000-FFFF-FFFF00000000}"/>
  </bookViews>
  <sheets>
    <sheet name="GDP data" sheetId="16" r:id="rId1"/>
    <sheet name="CA GDP DATA" sheetId="14" r:id="rId2"/>
    <sheet name="CPI data" sheetId="17" r:id="rId3"/>
    <sheet name="FX RESERVE DATA" sheetId="15" r:id="rId4"/>
    <sheet name="Interest Rates data" sheetId="18" r:id="rId5"/>
    <sheet name="EQUITY" sheetId="19" r:id="rId6"/>
    <sheet name="COMPARATIVE MATRIX" sheetId="1" r:id="rId7"/>
  </sheets>
  <definedNames>
    <definedName name="_xlnm._FilterDatabase" localSheetId="1" hidden="1">'CA GDP DATA'!$A$2:$A$66</definedName>
    <definedName name="_xlnm._FilterDatabase" localSheetId="3" hidden="1">'FX RESERVE DATA'!$A$24:$A$88</definedName>
    <definedName name="_xlnm._FilterDatabase" localSheetId="0" hidden="1">'GDP data'!$A$1:$A$60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X174" i="1" l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U187" i="19"/>
  <c r="AU184" i="19"/>
  <c r="AU188" i="19" s="1"/>
  <c r="AU189" i="19" s="1" a="1"/>
  <c r="AU189" i="19" s="1"/>
  <c r="AU190" i="19" s="1"/>
  <c r="AU191" i="19" s="1" a="1"/>
  <c r="AU191" i="19" s="1"/>
  <c r="AU180" i="19"/>
  <c r="AU181" i="19" s="1" a="1"/>
  <c r="AU181" i="19" s="1"/>
  <c r="AU179" i="19"/>
  <c r="AU176" i="19"/>
  <c r="AU171" i="19"/>
  <c r="AU172" i="19" s="1"/>
  <c r="AU173" i="19" s="1" a="1"/>
  <c r="AU173" i="19" s="1"/>
  <c r="AU168" i="19"/>
  <c r="AU163" i="19"/>
  <c r="AU160" i="19"/>
  <c r="AU164" i="19" s="1"/>
  <c r="AU165" i="19" s="1" a="1"/>
  <c r="AU165" i="19" s="1"/>
  <c r="AU155" i="19"/>
  <c r="AU156" i="19" s="1"/>
  <c r="AU157" i="19" s="1" a="1"/>
  <c r="AU157" i="19" s="1"/>
  <c r="AU152" i="19"/>
  <c r="AU147" i="19"/>
  <c r="AU144" i="19"/>
  <c r="AU148" i="19" s="1"/>
  <c r="AU149" i="19" s="1" a="1"/>
  <c r="AU149" i="19" s="1"/>
  <c r="AU139" i="19"/>
  <c r="AU136" i="19"/>
  <c r="AU140" i="19" s="1"/>
  <c r="AU141" i="19" s="1" a="1"/>
  <c r="AU141" i="19" s="1"/>
  <c r="AU132" i="19"/>
  <c r="AU133" i="19" s="1" a="1"/>
  <c r="AU133" i="19" s="1"/>
  <c r="AU131" i="19"/>
  <c r="AU128" i="19"/>
  <c r="AU123" i="19"/>
  <c r="AU120" i="19"/>
  <c r="AU124" i="19" s="1"/>
  <c r="AU125" i="19" s="1" a="1"/>
  <c r="AU125" i="19" s="1"/>
  <c r="AU116" i="19"/>
  <c r="AU117" i="19" s="1" a="1"/>
  <c r="AU117" i="19" s="1"/>
  <c r="AU115" i="19"/>
  <c r="AU112" i="19"/>
  <c r="AU107" i="19"/>
  <c r="AU108" i="19" s="1"/>
  <c r="AU109" i="19" s="1" a="1"/>
  <c r="AU109" i="19" s="1"/>
  <c r="AU104" i="19"/>
  <c r="AU99" i="19"/>
  <c r="AU96" i="19"/>
  <c r="AU100" i="19" s="1"/>
  <c r="AU101" i="19" s="1" a="1"/>
  <c r="AU101" i="19" s="1"/>
  <c r="AU91" i="19"/>
  <c r="AU92" i="19" s="1"/>
  <c r="AU93" i="19" s="1" a="1"/>
  <c r="AU93" i="19" s="1"/>
  <c r="AU88" i="19"/>
  <c r="AU83" i="19"/>
  <c r="AU80" i="19"/>
  <c r="AU84" i="19" s="1"/>
  <c r="AU85" i="19" s="1" a="1"/>
  <c r="AU85" i="19" s="1"/>
  <c r="AU75" i="19"/>
  <c r="AU72" i="19"/>
  <c r="AU76" i="19" s="1"/>
  <c r="AU77" i="19" s="1" a="1"/>
  <c r="AU77" i="19" s="1"/>
  <c r="AU68" i="19"/>
  <c r="AU69" i="19" s="1" a="1"/>
  <c r="AU69" i="19" s="1"/>
  <c r="AU67" i="19"/>
  <c r="AU64" i="19"/>
  <c r="AU59" i="19"/>
  <c r="AU56" i="19"/>
  <c r="AU60" i="19" s="1"/>
  <c r="AU61" i="19" s="1" a="1"/>
  <c r="AU61" i="19" s="1"/>
  <c r="AU52" i="19"/>
  <c r="AU53" i="19" s="1" a="1"/>
  <c r="AU53" i="19" s="1"/>
  <c r="AU51" i="19"/>
  <c r="AU48" i="19"/>
  <c r="AU43" i="19"/>
  <c r="AU44" i="19" s="1"/>
  <c r="AU45" i="19" s="1" a="1"/>
  <c r="AU45" i="19" s="1"/>
  <c r="AU40" i="19"/>
  <c r="AU35" i="19"/>
  <c r="AU32" i="19"/>
  <c r="AU36" i="19" s="1"/>
  <c r="AU37" i="19" s="1" a="1"/>
  <c r="AU37" i="19" s="1"/>
  <c r="AU27" i="19"/>
  <c r="AU28" i="19" s="1"/>
  <c r="AU29" i="19" s="1" a="1"/>
  <c r="AU29" i="19" s="1"/>
  <c r="AU24" i="19"/>
  <c r="AU19" i="19"/>
  <c r="AU16" i="19"/>
  <c r="AU20" i="19" s="1"/>
  <c r="AU21" i="19" s="1" a="1"/>
  <c r="AU21" i="19" s="1"/>
  <c r="AU11" i="19"/>
  <c r="AU8" i="19"/>
  <c r="AU12" i="19" s="1"/>
  <c r="AU13" i="19" s="1" a="1"/>
  <c r="AU13" i="19" s="1"/>
  <c r="AU254" i="19"/>
  <c r="AU255" i="19" s="1" a="1"/>
  <c r="AU255" i="19" s="1"/>
  <c r="AU253" i="19"/>
  <c r="AU250" i="19"/>
  <c r="AU246" i="19"/>
  <c r="AU247" i="19" s="1" a="1"/>
  <c r="AU247" i="19" s="1"/>
  <c r="AU245" i="19"/>
  <c r="AU242" i="19"/>
  <c r="AU239" i="19" a="1"/>
  <c r="AU239" i="19" s="1"/>
  <c r="AU238" i="19"/>
  <c r="AU237" i="19"/>
  <c r="AU234" i="19"/>
  <c r="AU229" i="19"/>
  <c r="AU226" i="19"/>
  <c r="AU230" i="19" s="1"/>
  <c r="AU231" i="19" s="1" a="1"/>
  <c r="AU231" i="19" s="1"/>
  <c r="AU221" i="19"/>
  <c r="AU222" i="19" s="1"/>
  <c r="AU223" i="19" s="1" a="1"/>
  <c r="AU223" i="19" s="1"/>
  <c r="AU218" i="19"/>
  <c r="AU213" i="19"/>
  <c r="AU214" i="19" s="1"/>
  <c r="AU215" i="19" s="1" a="1"/>
  <c r="AU215" i="19" s="1"/>
  <c r="AU210" i="19"/>
  <c r="AU206" i="19"/>
  <c r="AU207" i="19" s="1" a="1"/>
  <c r="AU207" i="19" s="1"/>
  <c r="AU205" i="19"/>
  <c r="AU202" i="19"/>
  <c r="AU197" i="19"/>
  <c r="AU194" i="19"/>
  <c r="AU198" i="19" s="1"/>
  <c r="AU199" i="19" s="1" a="1"/>
  <c r="AU199" i="19" s="1"/>
  <c r="BF16" i="15"/>
  <c r="BD16" i="15"/>
  <c r="BE16" i="15"/>
  <c r="BC16" i="15"/>
  <c r="AT187" i="19"/>
  <c r="AT184" i="19"/>
  <c r="AT188" i="19" s="1"/>
  <c r="AT189" i="19" s="1" a="1"/>
  <c r="AT189" i="19" s="1"/>
  <c r="AT180" i="19"/>
  <c r="AT181" i="19" s="1" a="1"/>
  <c r="AT181" i="19" s="1"/>
  <c r="AT179" i="19"/>
  <c r="AT176" i="19"/>
  <c r="AT171" i="19"/>
  <c r="AT168" i="19"/>
  <c r="AT172" i="19" s="1"/>
  <c r="AT173" i="19" s="1" a="1"/>
  <c r="AT173" i="19" s="1"/>
  <c r="AT163" i="19"/>
  <c r="AT160" i="19"/>
  <c r="AT164" i="19" s="1"/>
  <c r="AT165" i="19" s="1" a="1"/>
  <c r="AT165" i="19" s="1"/>
  <c r="AT155" i="19"/>
  <c r="AT152" i="19"/>
  <c r="AT147" i="19"/>
  <c r="AT148" i="19" s="1"/>
  <c r="AT149" i="19" s="1" a="1"/>
  <c r="AT149" i="19" s="1"/>
  <c r="AT144" i="19"/>
  <c r="AT139" i="19"/>
  <c r="AT136" i="19"/>
  <c r="AT140" i="19" s="1"/>
  <c r="AT141" i="19" s="1" a="1"/>
  <c r="AT141" i="19" s="1"/>
  <c r="AT131" i="19"/>
  <c r="AT128" i="19"/>
  <c r="AT132" i="19" s="1"/>
  <c r="AT133" i="19" s="1" a="1"/>
  <c r="AT133" i="19" s="1"/>
  <c r="AT123" i="19"/>
  <c r="AT120" i="19"/>
  <c r="AT124" i="19" s="1"/>
  <c r="AT125" i="19" s="1" a="1"/>
  <c r="AT125" i="19" s="1"/>
  <c r="AT116" i="19"/>
  <c r="AT117" i="19" s="1" a="1"/>
  <c r="AT117" i="19" s="1"/>
  <c r="AT115" i="19"/>
  <c r="AT112" i="19"/>
  <c r="AT107" i="19"/>
  <c r="AT104" i="19"/>
  <c r="AT108" i="19" s="1"/>
  <c r="AT109" i="19" s="1" a="1"/>
  <c r="AT109" i="19" s="1"/>
  <c r="AT99" i="19"/>
  <c r="AT96" i="19"/>
  <c r="AT100" i="19" s="1"/>
  <c r="AT101" i="19" s="1" a="1"/>
  <c r="AT101" i="19" s="1"/>
  <c r="AT91" i="19"/>
  <c r="AT92" i="19" s="1"/>
  <c r="AT93" i="19" s="1" a="1"/>
  <c r="AT93" i="19" s="1"/>
  <c r="AT88" i="19"/>
  <c r="AT83" i="19"/>
  <c r="AT80" i="19"/>
  <c r="AT84" i="19" s="1"/>
  <c r="AT85" i="19" s="1" a="1"/>
  <c r="AT85" i="19" s="1"/>
  <c r="AT75" i="19"/>
  <c r="AT72" i="19"/>
  <c r="AT76" i="19" s="1"/>
  <c r="AT77" i="19" s="1" a="1"/>
  <c r="AT77" i="19" s="1"/>
  <c r="AT67" i="19"/>
  <c r="AT64" i="19"/>
  <c r="AT68" i="19" s="1"/>
  <c r="AT69" i="19" s="1" a="1"/>
  <c r="AT69" i="19" s="1"/>
  <c r="AT59" i="19"/>
  <c r="AT56" i="19"/>
  <c r="AT51" i="19"/>
  <c r="AT48" i="19"/>
  <c r="AT52" i="19" s="1"/>
  <c r="AT53" i="19" s="1" a="1"/>
  <c r="AT53" i="19" s="1"/>
  <c r="AT43" i="19"/>
  <c r="AT40" i="19"/>
  <c r="AT44" i="19" s="1"/>
  <c r="AT45" i="19" s="1" a="1"/>
  <c r="AT45" i="19" s="1"/>
  <c r="AT35" i="19"/>
  <c r="AT32" i="19"/>
  <c r="AT36" i="19" s="1"/>
  <c r="AT37" i="19" s="1" a="1"/>
  <c r="AT37" i="19" s="1"/>
  <c r="AT27" i="19"/>
  <c r="AT28" i="19" s="1"/>
  <c r="AT29" i="19" s="1" a="1"/>
  <c r="AT29" i="19" s="1"/>
  <c r="AT24" i="19"/>
  <c r="AT19" i="19"/>
  <c r="AT16" i="19"/>
  <c r="AT20" i="19" s="1"/>
  <c r="AT21" i="19" s="1" a="1"/>
  <c r="AT21" i="19" s="1"/>
  <c r="AT11" i="19"/>
  <c r="AT8" i="19"/>
  <c r="AT12" i="19" s="1"/>
  <c r="AT13" i="19" s="1" a="1"/>
  <c r="AT13" i="19" s="1"/>
  <c r="AS16" i="19"/>
  <c r="AS19" i="19"/>
  <c r="AS8" i="19"/>
  <c r="AS12" i="19" s="1"/>
  <c r="AS13" i="19" s="1" a="1"/>
  <c r="AS13" i="19" s="1"/>
  <c r="AS27" i="19"/>
  <c r="AS24" i="19"/>
  <c r="AS80" i="19"/>
  <c r="AS83" i="19"/>
  <c r="AS72" i="19"/>
  <c r="AS75" i="19"/>
  <c r="AS67" i="19"/>
  <c r="AS68" i="19" s="1"/>
  <c r="AS69" i="19" s="1" a="1"/>
  <c r="AS69" i="19" s="1"/>
  <c r="AS64" i="19"/>
  <c r="AS32" i="19"/>
  <c r="AS59" i="19"/>
  <c r="AS56" i="19"/>
  <c r="AS48" i="19"/>
  <c r="AS51" i="19"/>
  <c r="AS43" i="19"/>
  <c r="AS40" i="19"/>
  <c r="AS120" i="19"/>
  <c r="AS123" i="19"/>
  <c r="AS112" i="19"/>
  <c r="AS115" i="19"/>
  <c r="AS88" i="19"/>
  <c r="AS128" i="19"/>
  <c r="AS131" i="19"/>
  <c r="AS107" i="19"/>
  <c r="AS104" i="19"/>
  <c r="AS96" i="19"/>
  <c r="AS99" i="19"/>
  <c r="AS136" i="19"/>
  <c r="AS179" i="19"/>
  <c r="AS176" i="19"/>
  <c r="AS155" i="19"/>
  <c r="AS152" i="19"/>
  <c r="AS163" i="19"/>
  <c r="AS164" i="19" s="1"/>
  <c r="AS165" i="19" s="1" a="1"/>
  <c r="AS165" i="19" s="1"/>
  <c r="AS160" i="19"/>
  <c r="AS171" i="19"/>
  <c r="AS168" i="19"/>
  <c r="AS144" i="19"/>
  <c r="AS184" i="19"/>
  <c r="AS187" i="19"/>
  <c r="AS147" i="19"/>
  <c r="AS139" i="19"/>
  <c r="AS91" i="19"/>
  <c r="AS35" i="19"/>
  <c r="AS11" i="19"/>
  <c r="AT60" i="19" l="1"/>
  <c r="AT61" i="19" s="1" a="1"/>
  <c r="AT61" i="19" s="1"/>
  <c r="AT156" i="19"/>
  <c r="AT157" i="19" s="1" a="1"/>
  <c r="AT157" i="19" s="1"/>
  <c r="AS156" i="19"/>
  <c r="AS157" i="19" s="1" a="1"/>
  <c r="AS157" i="19" s="1"/>
  <c r="AS44" i="19"/>
  <c r="AS45" i="19" s="1" a="1"/>
  <c r="AS45" i="19" s="1"/>
  <c r="AS180" i="19"/>
  <c r="AS181" i="19" s="1" a="1"/>
  <c r="AS181" i="19" s="1"/>
  <c r="AS172" i="19"/>
  <c r="AS173" i="19" s="1" a="1"/>
  <c r="AS173" i="19" s="1"/>
  <c r="AS36" i="19"/>
  <c r="AS37" i="19" s="1" a="1"/>
  <c r="AS37" i="19" s="1"/>
  <c r="AS20" i="19"/>
  <c r="AS21" i="19" s="1" a="1"/>
  <c r="AS21" i="19" s="1"/>
  <c r="AS28" i="19"/>
  <c r="AS29" i="19" s="1" a="1"/>
  <c r="AS29" i="19" s="1"/>
  <c r="AS84" i="19"/>
  <c r="AS85" i="19" s="1" a="1"/>
  <c r="AS85" i="19" s="1"/>
  <c r="AS76" i="19"/>
  <c r="AS77" i="19" s="1" a="1"/>
  <c r="AS77" i="19" s="1"/>
  <c r="AS60" i="19"/>
  <c r="AS61" i="19" s="1" a="1"/>
  <c r="AS61" i="19" s="1"/>
  <c r="AS52" i="19"/>
  <c r="AS53" i="19" s="1" a="1"/>
  <c r="AS53" i="19" s="1"/>
  <c r="AS124" i="19"/>
  <c r="AS125" i="19" s="1" a="1"/>
  <c r="AS125" i="19" s="1"/>
  <c r="AS116" i="19"/>
  <c r="AS117" i="19" s="1" a="1"/>
  <c r="AS117" i="19" s="1"/>
  <c r="AS92" i="19"/>
  <c r="AS93" i="19" s="1" a="1"/>
  <c r="AS93" i="19" s="1"/>
  <c r="AS132" i="19"/>
  <c r="AS133" i="19" s="1" a="1"/>
  <c r="AS133" i="19" s="1"/>
  <c r="AS108" i="19"/>
  <c r="AS109" i="19" s="1" a="1"/>
  <c r="AS109" i="19" s="1"/>
  <c r="AS100" i="19"/>
  <c r="AS101" i="19" s="1" a="1"/>
  <c r="AS101" i="19" s="1"/>
  <c r="AS140" i="19"/>
  <c r="AS141" i="19" s="1" a="1"/>
  <c r="AS141" i="19" s="1"/>
  <c r="AS148" i="19"/>
  <c r="AS149" i="19" s="1" a="1"/>
  <c r="AS149" i="19" s="1"/>
  <c r="AS188" i="19"/>
  <c r="AS189" i="19" s="1" a="1"/>
  <c r="AS189" i="19" s="1"/>
  <c r="BM15" i="15"/>
  <c r="BM17" i="15"/>
  <c r="BM18" i="15"/>
  <c r="BM19" i="15"/>
  <c r="BM20" i="15"/>
  <c r="BM14" i="15"/>
  <c r="BJ15" i="15"/>
  <c r="BJ17" i="15"/>
  <c r="BJ18" i="15"/>
  <c r="BJ19" i="15"/>
  <c r="BJ20" i="15"/>
  <c r="BJ14" i="15"/>
  <c r="AB29" i="14"/>
  <c r="AT159" i="1"/>
  <c r="AT167" i="1"/>
  <c r="AP155" i="19"/>
  <c r="AQ155" i="19"/>
  <c r="AR155" i="19"/>
  <c r="AQ156" i="19"/>
  <c r="AQ157" i="19" s="1" a="1"/>
  <c r="AQ157" i="19" s="1"/>
  <c r="AP160" i="19"/>
  <c r="AQ160" i="19"/>
  <c r="AR160" i="19"/>
  <c r="AP51" i="19"/>
  <c r="AQ51" i="19"/>
  <c r="AR51" i="19"/>
  <c r="AQ52" i="19"/>
  <c r="AQ53" i="19" s="1" a="1"/>
  <c r="AQ53" i="19" s="1"/>
  <c r="AT154" i="1" s="1"/>
  <c r="AP56" i="19"/>
  <c r="AQ56" i="19"/>
  <c r="AR56" i="19"/>
  <c r="AR8" i="19"/>
  <c r="AR11" i="19"/>
  <c r="AR16" i="19"/>
  <c r="AR19" i="19"/>
  <c r="AR24" i="19"/>
  <c r="AR27" i="19"/>
  <c r="AR32" i="19"/>
  <c r="AR35" i="19"/>
  <c r="AR40" i="19"/>
  <c r="AR43" i="19"/>
  <c r="AR48" i="19"/>
  <c r="AR59" i="19"/>
  <c r="AR64" i="19"/>
  <c r="AR67" i="19"/>
  <c r="AR72" i="19"/>
  <c r="AR75" i="19"/>
  <c r="AR80" i="19"/>
  <c r="AR83" i="19"/>
  <c r="AR88" i="19"/>
  <c r="AR91" i="19"/>
  <c r="AR96" i="19"/>
  <c r="AR99" i="19"/>
  <c r="AR104" i="19"/>
  <c r="AR107" i="19"/>
  <c r="AR112" i="19"/>
  <c r="AR115" i="19"/>
  <c r="AR116" i="19" s="1"/>
  <c r="AR117" i="19" s="1" a="1"/>
  <c r="AR117" i="19" s="1"/>
  <c r="AU162" i="1" s="1"/>
  <c r="AR120" i="19"/>
  <c r="AR123" i="19"/>
  <c r="AR128" i="19"/>
  <c r="AR132" i="19" s="1"/>
  <c r="AR133" i="19" s="1" a="1"/>
  <c r="AR133" i="19" s="1"/>
  <c r="AU164" i="1" s="1"/>
  <c r="AR131" i="19"/>
  <c r="AR136" i="19"/>
  <c r="AR139" i="19"/>
  <c r="AR144" i="19"/>
  <c r="AR147" i="19"/>
  <c r="AR152" i="19"/>
  <c r="AR163" i="19"/>
  <c r="AR168" i="19"/>
  <c r="AR172" i="19" s="1"/>
  <c r="AR173" i="19" s="1" a="1"/>
  <c r="AR173" i="19" s="1"/>
  <c r="AU169" i="1" s="1"/>
  <c r="AR171" i="19"/>
  <c r="AR176" i="19"/>
  <c r="AR179" i="19"/>
  <c r="AR184" i="19"/>
  <c r="AR187" i="19"/>
  <c r="AQ8" i="19"/>
  <c r="AQ11" i="19"/>
  <c r="AQ16" i="19"/>
  <c r="AQ19" i="19"/>
  <c r="AQ24" i="19"/>
  <c r="AQ27" i="19"/>
  <c r="AQ32" i="19"/>
  <c r="AQ35" i="19"/>
  <c r="AQ40" i="19"/>
  <c r="AQ43" i="19"/>
  <c r="AQ48" i="19"/>
  <c r="AQ59" i="19"/>
  <c r="AQ64" i="19"/>
  <c r="AQ67" i="19"/>
  <c r="AQ72" i="19"/>
  <c r="AQ75" i="19"/>
  <c r="AQ80" i="19"/>
  <c r="AQ83" i="19"/>
  <c r="AQ88" i="19"/>
  <c r="AQ92" i="19" s="1"/>
  <c r="AQ93" i="19" s="1" a="1"/>
  <c r="AQ93" i="19" s="1"/>
  <c r="AQ91" i="19"/>
  <c r="AQ96" i="19"/>
  <c r="AQ99" i="19"/>
  <c r="AQ104" i="19"/>
  <c r="AQ107" i="19"/>
  <c r="AQ112" i="19"/>
  <c r="AQ115" i="19"/>
  <c r="AQ120" i="19"/>
  <c r="AQ123" i="19"/>
  <c r="AQ128" i="19"/>
  <c r="AQ131" i="19"/>
  <c r="AQ136" i="19"/>
  <c r="AQ139" i="19"/>
  <c r="AQ140" i="19" s="1"/>
  <c r="AQ141" i="19" s="1" a="1"/>
  <c r="AQ141" i="19" s="1"/>
  <c r="AT165" i="1" s="1"/>
  <c r="AQ144" i="19"/>
  <c r="AQ147" i="19"/>
  <c r="AQ152" i="19"/>
  <c r="AQ163" i="19"/>
  <c r="AQ168" i="19"/>
  <c r="AQ171" i="19"/>
  <c r="AQ176" i="19"/>
  <c r="AQ179" i="19"/>
  <c r="AQ184" i="19"/>
  <c r="AQ187" i="19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Z123" i="1"/>
  <c r="AA123" i="1"/>
  <c r="AB123" i="1"/>
  <c r="AC123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Z124" i="1"/>
  <c r="AA124" i="1"/>
  <c r="AB124" i="1"/>
  <c r="AC124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Z125" i="1"/>
  <c r="AA125" i="1"/>
  <c r="AB125" i="1"/>
  <c r="AC125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Z126" i="1"/>
  <c r="AA126" i="1"/>
  <c r="AB126" i="1"/>
  <c r="AC126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Z127" i="1"/>
  <c r="AA127" i="1"/>
  <c r="AB127" i="1"/>
  <c r="AC127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Z128" i="1"/>
  <c r="AA128" i="1"/>
  <c r="AB128" i="1"/>
  <c r="AC128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Z129" i="1"/>
  <c r="AA129" i="1"/>
  <c r="AB129" i="1"/>
  <c r="AC129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Z130" i="1"/>
  <c r="AA130" i="1"/>
  <c r="AB130" i="1"/>
  <c r="AC130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Z131" i="1"/>
  <c r="AA131" i="1"/>
  <c r="AB131" i="1"/>
  <c r="AC131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Z132" i="1"/>
  <c r="AA132" i="1"/>
  <c r="AB132" i="1"/>
  <c r="AC132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Z133" i="1"/>
  <c r="AA133" i="1"/>
  <c r="AB133" i="1"/>
  <c r="AC133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Z136" i="1"/>
  <c r="AA136" i="1"/>
  <c r="AB136" i="1"/>
  <c r="AC136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AB137" i="1"/>
  <c r="AC137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AB140" i="1"/>
  <c r="AC140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Z141" i="1"/>
  <c r="AA141" i="1"/>
  <c r="AB141" i="1"/>
  <c r="AC141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Z142" i="1"/>
  <c r="AA142" i="1"/>
  <c r="AB142" i="1"/>
  <c r="AC142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Z143" i="1"/>
  <c r="AA143" i="1"/>
  <c r="AB143" i="1"/>
  <c r="AC143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Z144" i="1"/>
  <c r="AA144" i="1"/>
  <c r="AB144" i="1"/>
  <c r="AC144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Z145" i="1"/>
  <c r="AA145" i="1"/>
  <c r="AB145" i="1"/>
  <c r="AC145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AA98" i="1"/>
  <c r="AB98" i="1"/>
  <c r="AC98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AA99" i="1"/>
  <c r="AB99" i="1"/>
  <c r="AC99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AA100" i="1"/>
  <c r="AB100" i="1"/>
  <c r="AC100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AA101" i="1"/>
  <c r="AB101" i="1"/>
  <c r="AC101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AA102" i="1"/>
  <c r="AB102" i="1"/>
  <c r="AC102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AA103" i="1"/>
  <c r="AB103" i="1"/>
  <c r="AC103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Z104" i="1"/>
  <c r="AA104" i="1"/>
  <c r="AB104" i="1"/>
  <c r="AC104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Z105" i="1"/>
  <c r="AA105" i="1"/>
  <c r="AB105" i="1"/>
  <c r="AC105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AB108" i="1"/>
  <c r="AC108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Z110" i="1"/>
  <c r="AA110" i="1"/>
  <c r="AB110" i="1"/>
  <c r="AC110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B111" i="1"/>
  <c r="AC111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Z112" i="1"/>
  <c r="AA112" i="1"/>
  <c r="AB112" i="1"/>
  <c r="AC112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Z113" i="1"/>
  <c r="AA113" i="1"/>
  <c r="AB113" i="1"/>
  <c r="AC113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Z115" i="1"/>
  <c r="AA115" i="1"/>
  <c r="AB115" i="1"/>
  <c r="AC115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Z116" i="1"/>
  <c r="AA116" i="1"/>
  <c r="AB116" i="1"/>
  <c r="AC116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Z117" i="1"/>
  <c r="AA117" i="1"/>
  <c r="AB117" i="1"/>
  <c r="AC117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AB118" i="1"/>
  <c r="AC118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Z119" i="1"/>
  <c r="AA119" i="1"/>
  <c r="AB119" i="1"/>
  <c r="AC119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Z120" i="1"/>
  <c r="AA120" i="1"/>
  <c r="AB120" i="1"/>
  <c r="AC120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AA74" i="1"/>
  <c r="AB74" i="1"/>
  <c r="AC74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AA75" i="1"/>
  <c r="AB75" i="1"/>
  <c r="AC75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AA76" i="1"/>
  <c r="AB76" i="1"/>
  <c r="AC76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AA77" i="1"/>
  <c r="AB77" i="1"/>
  <c r="AC77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AA78" i="1"/>
  <c r="AB78" i="1"/>
  <c r="AC78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AA81" i="1"/>
  <c r="AB81" i="1"/>
  <c r="AC81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AB82" i="1"/>
  <c r="AC82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AA83" i="1"/>
  <c r="AB83" i="1"/>
  <c r="AC83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A84" i="1"/>
  <c r="AB84" i="1"/>
  <c r="AC84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AA85" i="1"/>
  <c r="AB85" i="1"/>
  <c r="AC85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AA86" i="1"/>
  <c r="AB86" i="1"/>
  <c r="AC86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AA87" i="1"/>
  <c r="AB87" i="1"/>
  <c r="AC87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AA88" i="1"/>
  <c r="AB88" i="1"/>
  <c r="AC88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AA89" i="1"/>
  <c r="AB89" i="1"/>
  <c r="AC89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AA94" i="1"/>
  <c r="AB94" i="1"/>
  <c r="AC94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19" i="1"/>
  <c r="AA19" i="1"/>
  <c r="AB19" i="1"/>
  <c r="AC19" i="1"/>
  <c r="Z20" i="1"/>
  <c r="AA20" i="1"/>
  <c r="AB20" i="1"/>
  <c r="AC20" i="1"/>
  <c r="Z21" i="1"/>
  <c r="AA21" i="1"/>
  <c r="AB21" i="1"/>
  <c r="AC21" i="1"/>
  <c r="Z22" i="1"/>
  <c r="AA22" i="1"/>
  <c r="AB22" i="1"/>
  <c r="AC22" i="1"/>
  <c r="Z23" i="1"/>
  <c r="AA23" i="1"/>
  <c r="AB23" i="1"/>
  <c r="AC23" i="1"/>
  <c r="Z24" i="1"/>
  <c r="AA24" i="1"/>
  <c r="AB24" i="1"/>
  <c r="AC24" i="1"/>
  <c r="Z25" i="1"/>
  <c r="AA25" i="1"/>
  <c r="AB25" i="1"/>
  <c r="AC25" i="1"/>
  <c r="Z26" i="1"/>
  <c r="AA26" i="1"/>
  <c r="AB26" i="1"/>
  <c r="AC26" i="1"/>
  <c r="Z27" i="1"/>
  <c r="AA27" i="1"/>
  <c r="AB27" i="1"/>
  <c r="AC27" i="1"/>
  <c r="Z28" i="1"/>
  <c r="AA28" i="1"/>
  <c r="AB28" i="1"/>
  <c r="AC28" i="1"/>
  <c r="Z29" i="1"/>
  <c r="AA29" i="1"/>
  <c r="AB29" i="1"/>
  <c r="AC29" i="1"/>
  <c r="Z30" i="1"/>
  <c r="AA30" i="1"/>
  <c r="AB30" i="1"/>
  <c r="AC30" i="1"/>
  <c r="Z31" i="1"/>
  <c r="AA31" i="1"/>
  <c r="AB31" i="1"/>
  <c r="AC31" i="1"/>
  <c r="Z32" i="1"/>
  <c r="AA32" i="1"/>
  <c r="AB32" i="1"/>
  <c r="AC32" i="1"/>
  <c r="Z33" i="1"/>
  <c r="AA33" i="1"/>
  <c r="AB33" i="1"/>
  <c r="AC33" i="1"/>
  <c r="Z34" i="1"/>
  <c r="AA34" i="1"/>
  <c r="AB34" i="1"/>
  <c r="AC34" i="1"/>
  <c r="Z35" i="1"/>
  <c r="AA35" i="1"/>
  <c r="AB35" i="1"/>
  <c r="AC35" i="1"/>
  <c r="Z36" i="1"/>
  <c r="AA36" i="1"/>
  <c r="AB36" i="1"/>
  <c r="AC36" i="1"/>
  <c r="Z37" i="1"/>
  <c r="AA37" i="1"/>
  <c r="AB37" i="1"/>
  <c r="AC37" i="1"/>
  <c r="Z38" i="1"/>
  <c r="AA38" i="1"/>
  <c r="AB38" i="1"/>
  <c r="AC38" i="1"/>
  <c r="Z39" i="1"/>
  <c r="AA39" i="1"/>
  <c r="AB39" i="1"/>
  <c r="AC39" i="1"/>
  <c r="Z40" i="1"/>
  <c r="AA40" i="1"/>
  <c r="AB40" i="1"/>
  <c r="AC40" i="1"/>
  <c r="Z41" i="1"/>
  <c r="AA41" i="1"/>
  <c r="AB41" i="1"/>
  <c r="AC41" i="1"/>
  <c r="C187" i="19"/>
  <c r="D187" i="19"/>
  <c r="E187" i="19"/>
  <c r="F187" i="19"/>
  <c r="G187" i="19"/>
  <c r="H187" i="19"/>
  <c r="I187" i="19"/>
  <c r="J187" i="19"/>
  <c r="K187" i="19"/>
  <c r="L187" i="19"/>
  <c r="M187" i="19"/>
  <c r="N187" i="19"/>
  <c r="O187" i="19"/>
  <c r="P187" i="19"/>
  <c r="Q187" i="19"/>
  <c r="R187" i="19"/>
  <c r="S187" i="19"/>
  <c r="T187" i="19"/>
  <c r="U187" i="19"/>
  <c r="V187" i="19"/>
  <c r="W187" i="19"/>
  <c r="X187" i="19"/>
  <c r="Y187" i="19"/>
  <c r="Y188" i="19" s="1"/>
  <c r="Y189" i="19" s="1" a="1"/>
  <c r="Y189" i="19" s="1"/>
  <c r="AB171" i="1" s="1"/>
  <c r="Z187" i="19"/>
  <c r="P188" i="19"/>
  <c r="Q188" i="19"/>
  <c r="E189" i="19" a="1"/>
  <c r="E189" i="19" s="1"/>
  <c r="H171" i="1" s="1"/>
  <c r="G189" i="19" a="1"/>
  <c r="G189" i="19" s="1"/>
  <c r="J171" i="1" s="1"/>
  <c r="P189" i="19" a="1"/>
  <c r="P189" i="19" s="1"/>
  <c r="S171" i="1" s="1"/>
  <c r="Q189" i="19" a="1"/>
  <c r="Q189" i="19" s="1"/>
  <c r="T171" i="1" s="1"/>
  <c r="C184" i="19"/>
  <c r="C188" i="19" s="1"/>
  <c r="C189" i="19" s="1" a="1"/>
  <c r="C189" i="19" s="1"/>
  <c r="F171" i="1" s="1"/>
  <c r="D184" i="19"/>
  <c r="D188" i="19" s="1"/>
  <c r="D189" i="19" s="1" a="1"/>
  <c r="D189" i="19" s="1"/>
  <c r="G171" i="1" s="1"/>
  <c r="E184" i="19"/>
  <c r="E188" i="19" s="1"/>
  <c r="F184" i="19"/>
  <c r="F188" i="19" s="1"/>
  <c r="F189" i="19" s="1" a="1"/>
  <c r="F189" i="19" s="1"/>
  <c r="I171" i="1" s="1"/>
  <c r="G184" i="19"/>
  <c r="G188" i="19" s="1"/>
  <c r="H184" i="19"/>
  <c r="H188" i="19" s="1"/>
  <c r="H189" i="19" s="1" a="1"/>
  <c r="H189" i="19" s="1"/>
  <c r="K171" i="1" s="1"/>
  <c r="I184" i="19"/>
  <c r="J184" i="19"/>
  <c r="K184" i="19"/>
  <c r="K188" i="19" s="1"/>
  <c r="K189" i="19" s="1" a="1"/>
  <c r="K189" i="19" s="1"/>
  <c r="N171" i="1" s="1"/>
  <c r="L184" i="19"/>
  <c r="L188" i="19" s="1"/>
  <c r="L189" i="19" s="1" a="1"/>
  <c r="L189" i="19" s="1"/>
  <c r="O171" i="1" s="1"/>
  <c r="M184" i="19"/>
  <c r="M188" i="19" s="1"/>
  <c r="M189" i="19" s="1" a="1"/>
  <c r="M189" i="19" s="1"/>
  <c r="P171" i="1" s="1"/>
  <c r="N184" i="19"/>
  <c r="N188" i="19" s="1"/>
  <c r="N189" i="19" s="1" a="1"/>
  <c r="N189" i="19" s="1"/>
  <c r="Q171" i="1" s="1"/>
  <c r="O184" i="19"/>
  <c r="O188" i="19" s="1"/>
  <c r="O189" i="19" s="1" a="1"/>
  <c r="O189" i="19" s="1"/>
  <c r="R171" i="1" s="1"/>
  <c r="P184" i="19"/>
  <c r="Q184" i="19"/>
  <c r="R184" i="19"/>
  <c r="S184" i="19"/>
  <c r="S188" i="19" s="1"/>
  <c r="S189" i="19" s="1" a="1"/>
  <c r="S189" i="19" s="1"/>
  <c r="V171" i="1" s="1"/>
  <c r="T184" i="19"/>
  <c r="T188" i="19" s="1"/>
  <c r="T189" i="19" s="1" a="1"/>
  <c r="T189" i="19" s="1"/>
  <c r="W171" i="1" s="1"/>
  <c r="U184" i="19"/>
  <c r="U188" i="19" s="1"/>
  <c r="U189" i="19" s="1" a="1"/>
  <c r="U189" i="19" s="1"/>
  <c r="X171" i="1" s="1"/>
  <c r="V184" i="19"/>
  <c r="V188" i="19" s="1"/>
  <c r="V189" i="19" s="1" a="1"/>
  <c r="V189" i="19" s="1"/>
  <c r="Y171" i="1" s="1"/>
  <c r="W184" i="19"/>
  <c r="W188" i="19" s="1"/>
  <c r="W189" i="19" s="1" a="1"/>
  <c r="W189" i="19" s="1"/>
  <c r="Z171" i="1" s="1"/>
  <c r="X184" i="19"/>
  <c r="X188" i="19" s="1"/>
  <c r="X189" i="19" s="1" a="1"/>
  <c r="X189" i="19" s="1"/>
  <c r="AA171" i="1" s="1"/>
  <c r="Y184" i="19"/>
  <c r="Z184" i="19"/>
  <c r="C179" i="19"/>
  <c r="D179" i="19"/>
  <c r="E179" i="19"/>
  <c r="F179" i="19"/>
  <c r="G179" i="19"/>
  <c r="H179" i="19"/>
  <c r="I179" i="19"/>
  <c r="J179" i="19"/>
  <c r="K179" i="19"/>
  <c r="K180" i="19" s="1"/>
  <c r="K181" i="19" s="1" a="1"/>
  <c r="K181" i="19" s="1"/>
  <c r="N170" i="1" s="1"/>
  <c r="L179" i="19"/>
  <c r="L180" i="19" s="1"/>
  <c r="L181" i="19" s="1" a="1"/>
  <c r="L181" i="19" s="1"/>
  <c r="O170" i="1" s="1"/>
  <c r="M179" i="19"/>
  <c r="N179" i="19"/>
  <c r="O179" i="19"/>
  <c r="P179" i="19"/>
  <c r="Q179" i="19"/>
  <c r="R179" i="19"/>
  <c r="S179" i="19"/>
  <c r="T179" i="19"/>
  <c r="U179" i="19"/>
  <c r="V179" i="19"/>
  <c r="W179" i="19"/>
  <c r="X179" i="19"/>
  <c r="Y179" i="19"/>
  <c r="Z179" i="19"/>
  <c r="C180" i="19"/>
  <c r="C181" i="19" s="1" a="1"/>
  <c r="C181" i="19" s="1"/>
  <c r="F170" i="1" s="1"/>
  <c r="D180" i="19"/>
  <c r="D181" i="19" s="1" a="1"/>
  <c r="D181" i="19" s="1"/>
  <c r="G170" i="1" s="1"/>
  <c r="E180" i="19"/>
  <c r="G180" i="19"/>
  <c r="M180" i="19"/>
  <c r="M181" i="19" s="1" a="1"/>
  <c r="M181" i="19" s="1"/>
  <c r="P170" i="1" s="1"/>
  <c r="O180" i="19"/>
  <c r="T180" i="19"/>
  <c r="T181" i="19" s="1" a="1"/>
  <c r="T181" i="19" s="1"/>
  <c r="W170" i="1" s="1"/>
  <c r="U180" i="19"/>
  <c r="U181" i="19" s="1" a="1"/>
  <c r="U181" i="19" s="1"/>
  <c r="X170" i="1" s="1"/>
  <c r="W180" i="19"/>
  <c r="W181" i="19" s="1" a="1"/>
  <c r="W181" i="19" s="1"/>
  <c r="Z170" i="1" s="1"/>
  <c r="E181" i="19" a="1"/>
  <c r="E181" i="19" s="1"/>
  <c r="H170" i="1" s="1"/>
  <c r="G181" i="19" a="1"/>
  <c r="G181" i="19" s="1"/>
  <c r="J170" i="1" s="1"/>
  <c r="O181" i="19" a="1"/>
  <c r="O181" i="19" s="1"/>
  <c r="R170" i="1" s="1"/>
  <c r="C176" i="19"/>
  <c r="D176" i="19"/>
  <c r="E176" i="19"/>
  <c r="F176" i="19"/>
  <c r="F180" i="19" s="1"/>
  <c r="F181" i="19" s="1" a="1"/>
  <c r="F181" i="19" s="1"/>
  <c r="I170" i="1" s="1"/>
  <c r="G176" i="19"/>
  <c r="H176" i="19"/>
  <c r="H180" i="19" s="1"/>
  <c r="H181" i="19" s="1" a="1"/>
  <c r="H181" i="19" s="1"/>
  <c r="K170" i="1" s="1"/>
  <c r="I176" i="19"/>
  <c r="I180" i="19" s="1"/>
  <c r="I181" i="19" s="1" a="1"/>
  <c r="I181" i="19" s="1"/>
  <c r="L170" i="1" s="1"/>
  <c r="J176" i="19"/>
  <c r="K176" i="19"/>
  <c r="L176" i="19"/>
  <c r="M176" i="19"/>
  <c r="N176" i="19"/>
  <c r="N180" i="19" s="1"/>
  <c r="N181" i="19" s="1" a="1"/>
  <c r="N181" i="19" s="1"/>
  <c r="Q170" i="1" s="1"/>
  <c r="O176" i="19"/>
  <c r="P176" i="19"/>
  <c r="P180" i="19" s="1"/>
  <c r="P181" i="19" s="1" a="1"/>
  <c r="P181" i="19" s="1"/>
  <c r="S170" i="1" s="1"/>
  <c r="Q176" i="19"/>
  <c r="Q180" i="19" s="1"/>
  <c r="Q181" i="19" s="1" a="1"/>
  <c r="Q181" i="19" s="1"/>
  <c r="T170" i="1" s="1"/>
  <c r="R176" i="19"/>
  <c r="S176" i="19"/>
  <c r="T176" i="19"/>
  <c r="U176" i="19"/>
  <c r="V176" i="19"/>
  <c r="V180" i="19" s="1"/>
  <c r="V181" i="19" s="1" a="1"/>
  <c r="V181" i="19" s="1"/>
  <c r="Y170" i="1" s="1"/>
  <c r="W176" i="19"/>
  <c r="X176" i="19"/>
  <c r="X180" i="19" s="1"/>
  <c r="X181" i="19" s="1" a="1"/>
  <c r="X181" i="19" s="1"/>
  <c r="AA170" i="1" s="1"/>
  <c r="Y176" i="19"/>
  <c r="Y180" i="19" s="1"/>
  <c r="Y181" i="19" s="1" a="1"/>
  <c r="Y181" i="19" s="1"/>
  <c r="AB170" i="1" s="1"/>
  <c r="Z176" i="19"/>
  <c r="C171" i="19"/>
  <c r="D171" i="19"/>
  <c r="E171" i="19"/>
  <c r="F171" i="19"/>
  <c r="G171" i="19"/>
  <c r="H171" i="19"/>
  <c r="I171" i="19"/>
  <c r="J171" i="19"/>
  <c r="J172" i="19" s="1"/>
  <c r="K171" i="19"/>
  <c r="K172" i="19" s="1"/>
  <c r="K173" i="19" s="1" a="1"/>
  <c r="K173" i="19" s="1"/>
  <c r="N169" i="1" s="1"/>
  <c r="L171" i="19"/>
  <c r="M171" i="19"/>
  <c r="N171" i="19"/>
  <c r="O171" i="19"/>
  <c r="P171" i="19"/>
  <c r="Q171" i="19"/>
  <c r="Q172" i="19" s="1"/>
  <c r="Q173" i="19" s="1" a="1"/>
  <c r="Q173" i="19" s="1"/>
  <c r="T169" i="1" s="1"/>
  <c r="R171" i="19"/>
  <c r="S171" i="19"/>
  <c r="T171" i="19"/>
  <c r="U171" i="19"/>
  <c r="V171" i="19"/>
  <c r="W171" i="19"/>
  <c r="X171" i="19"/>
  <c r="Y171" i="19"/>
  <c r="Z171" i="19"/>
  <c r="Z172" i="19" s="1"/>
  <c r="Z173" i="19" s="1" a="1"/>
  <c r="Z173" i="19" s="1"/>
  <c r="AC169" i="1" s="1"/>
  <c r="C172" i="19"/>
  <c r="C173" i="19" s="1" a="1"/>
  <c r="C173" i="19" s="1"/>
  <c r="F169" i="1" s="1"/>
  <c r="H172" i="19"/>
  <c r="H173" i="19" s="1" a="1"/>
  <c r="H173" i="19" s="1"/>
  <c r="K169" i="1" s="1"/>
  <c r="I172" i="19"/>
  <c r="P172" i="19"/>
  <c r="P173" i="19" s="1" a="1"/>
  <c r="P173" i="19" s="1"/>
  <c r="S169" i="1" s="1"/>
  <c r="R172" i="19"/>
  <c r="S172" i="19"/>
  <c r="X172" i="19"/>
  <c r="X173" i="19" s="1" a="1"/>
  <c r="X173" i="19" s="1"/>
  <c r="AA169" i="1" s="1"/>
  <c r="Y172" i="19"/>
  <c r="Y173" i="19" s="1" a="1"/>
  <c r="Y173" i="19" s="1"/>
  <c r="AB169" i="1" s="1"/>
  <c r="I173" i="19" a="1"/>
  <c r="I173" i="19" s="1"/>
  <c r="L169" i="1" s="1"/>
  <c r="J173" i="19" a="1"/>
  <c r="J173" i="19" s="1"/>
  <c r="M169" i="1" s="1"/>
  <c r="R173" i="19" a="1"/>
  <c r="R173" i="19" s="1"/>
  <c r="U169" i="1" s="1"/>
  <c r="S173" i="19" a="1"/>
  <c r="S173" i="19" s="1"/>
  <c r="V169" i="1" s="1"/>
  <c r="C168" i="19"/>
  <c r="D168" i="19"/>
  <c r="D172" i="19" s="1"/>
  <c r="D173" i="19" s="1" a="1"/>
  <c r="D173" i="19" s="1"/>
  <c r="G169" i="1" s="1"/>
  <c r="E168" i="19"/>
  <c r="E172" i="19" s="1"/>
  <c r="E173" i="19" s="1" a="1"/>
  <c r="E173" i="19" s="1"/>
  <c r="H169" i="1" s="1"/>
  <c r="F168" i="19"/>
  <c r="F172" i="19" s="1"/>
  <c r="F173" i="19" s="1" a="1"/>
  <c r="F173" i="19" s="1"/>
  <c r="I169" i="1" s="1"/>
  <c r="G168" i="19"/>
  <c r="G172" i="19" s="1"/>
  <c r="G173" i="19" s="1" a="1"/>
  <c r="G173" i="19" s="1"/>
  <c r="J169" i="1" s="1"/>
  <c r="H168" i="19"/>
  <c r="I168" i="19"/>
  <c r="J168" i="19"/>
  <c r="K168" i="19"/>
  <c r="L168" i="19"/>
  <c r="L172" i="19" s="1"/>
  <c r="L173" i="19" s="1" a="1"/>
  <c r="L173" i="19" s="1"/>
  <c r="O169" i="1" s="1"/>
  <c r="M168" i="19"/>
  <c r="M172" i="19" s="1"/>
  <c r="M173" i="19" s="1" a="1"/>
  <c r="M173" i="19" s="1"/>
  <c r="P169" i="1" s="1"/>
  <c r="N168" i="19"/>
  <c r="N172" i="19" s="1"/>
  <c r="N173" i="19" s="1" a="1"/>
  <c r="N173" i="19" s="1"/>
  <c r="Q169" i="1" s="1"/>
  <c r="O168" i="19"/>
  <c r="O172" i="19" s="1"/>
  <c r="O173" i="19" s="1" a="1"/>
  <c r="O173" i="19" s="1"/>
  <c r="R169" i="1" s="1"/>
  <c r="P168" i="19"/>
  <c r="Q168" i="19"/>
  <c r="R168" i="19"/>
  <c r="S168" i="19"/>
  <c r="T168" i="19"/>
  <c r="T172" i="19" s="1"/>
  <c r="T173" i="19" s="1" a="1"/>
  <c r="T173" i="19" s="1"/>
  <c r="W169" i="1" s="1"/>
  <c r="U168" i="19"/>
  <c r="U172" i="19" s="1"/>
  <c r="U173" i="19" s="1" a="1"/>
  <c r="U173" i="19" s="1"/>
  <c r="X169" i="1" s="1"/>
  <c r="V168" i="19"/>
  <c r="V172" i="19" s="1"/>
  <c r="V173" i="19" s="1" a="1"/>
  <c r="V173" i="19" s="1"/>
  <c r="Y169" i="1" s="1"/>
  <c r="W168" i="19"/>
  <c r="W172" i="19" s="1"/>
  <c r="W173" i="19" s="1" a="1"/>
  <c r="W173" i="19" s="1"/>
  <c r="Z169" i="1" s="1"/>
  <c r="X168" i="19"/>
  <c r="Y168" i="19"/>
  <c r="Z168" i="19"/>
  <c r="C163" i="19"/>
  <c r="D163" i="19"/>
  <c r="D164" i="19" s="1"/>
  <c r="D165" i="19" s="1" a="1"/>
  <c r="D165" i="19" s="1"/>
  <c r="G168" i="1" s="1"/>
  <c r="E163" i="19"/>
  <c r="F163" i="19"/>
  <c r="F164" i="19" s="1"/>
  <c r="F165" i="19" s="1" a="1"/>
  <c r="F165" i="19" s="1"/>
  <c r="I168" i="1" s="1"/>
  <c r="G163" i="19"/>
  <c r="G164" i="19" s="1"/>
  <c r="G165" i="19" s="1" a="1"/>
  <c r="G165" i="19" s="1"/>
  <c r="J168" i="1" s="1"/>
  <c r="H163" i="19"/>
  <c r="I163" i="19"/>
  <c r="J163" i="19"/>
  <c r="K163" i="19"/>
  <c r="L163" i="19"/>
  <c r="M163" i="19"/>
  <c r="N163" i="19"/>
  <c r="O163" i="19"/>
  <c r="O164" i="19" s="1"/>
  <c r="O165" i="19" s="1" a="1"/>
  <c r="O165" i="19" s="1"/>
  <c r="R168" i="1" s="1"/>
  <c r="P163" i="19"/>
  <c r="Q163" i="19"/>
  <c r="R163" i="19"/>
  <c r="S163" i="19"/>
  <c r="T163" i="19"/>
  <c r="T164" i="19" s="1"/>
  <c r="T165" i="19" s="1" a="1"/>
  <c r="T165" i="19" s="1"/>
  <c r="W168" i="1" s="1"/>
  <c r="U163" i="19"/>
  <c r="V163" i="19"/>
  <c r="V164" i="19" s="1"/>
  <c r="V165" i="19" s="1" a="1"/>
  <c r="V165" i="19" s="1"/>
  <c r="Y168" i="1" s="1"/>
  <c r="W163" i="19"/>
  <c r="W164" i="19" s="1"/>
  <c r="W165" i="19" s="1" a="1"/>
  <c r="W165" i="19" s="1"/>
  <c r="Z168" i="1" s="1"/>
  <c r="X163" i="19"/>
  <c r="Y163" i="19"/>
  <c r="Z163" i="19"/>
  <c r="E164" i="19"/>
  <c r="J164" i="19"/>
  <c r="J165" i="19" s="1" a="1"/>
  <c r="J165" i="19" s="1"/>
  <c r="M168" i="1" s="1"/>
  <c r="L164" i="19"/>
  <c r="L165" i="19" s="1" a="1"/>
  <c r="L165" i="19" s="1"/>
  <c r="O168" i="1" s="1"/>
  <c r="R164" i="19"/>
  <c r="R165" i="19" s="1" a="1"/>
  <c r="R165" i="19" s="1"/>
  <c r="U168" i="1" s="1"/>
  <c r="U164" i="19"/>
  <c r="U165" i="19" s="1" a="1"/>
  <c r="U165" i="19" s="1"/>
  <c r="X168" i="1" s="1"/>
  <c r="Z164" i="19"/>
  <c r="Z165" i="19" s="1" a="1"/>
  <c r="Z165" i="19" s="1"/>
  <c r="AC168" i="1" s="1"/>
  <c r="E165" i="19" a="1"/>
  <c r="E165" i="19" s="1"/>
  <c r="H168" i="1" s="1"/>
  <c r="X165" i="19" a="1"/>
  <c r="X165" i="19" s="1"/>
  <c r="AA168" i="1" s="1"/>
  <c r="C160" i="19"/>
  <c r="C164" i="19" s="1"/>
  <c r="C165" i="19" s="1" a="1"/>
  <c r="C165" i="19" s="1"/>
  <c r="F168" i="1" s="1"/>
  <c r="D160" i="19"/>
  <c r="E160" i="19"/>
  <c r="F160" i="19"/>
  <c r="G160" i="19"/>
  <c r="H160" i="19"/>
  <c r="H164" i="19" s="1"/>
  <c r="H165" i="19" s="1" a="1"/>
  <c r="H165" i="19" s="1"/>
  <c r="K168" i="1" s="1"/>
  <c r="I160" i="19"/>
  <c r="I164" i="19" s="1"/>
  <c r="I165" i="19" s="1" a="1"/>
  <c r="I165" i="19" s="1"/>
  <c r="L168" i="1" s="1"/>
  <c r="J160" i="19"/>
  <c r="K160" i="19"/>
  <c r="K164" i="19" s="1"/>
  <c r="K165" i="19" s="1" a="1"/>
  <c r="K165" i="19" s="1"/>
  <c r="N168" i="1" s="1"/>
  <c r="L160" i="19"/>
  <c r="M160" i="19"/>
  <c r="M164" i="19" s="1"/>
  <c r="M165" i="19" s="1" a="1"/>
  <c r="M165" i="19" s="1"/>
  <c r="P168" i="1" s="1"/>
  <c r="N160" i="19"/>
  <c r="N164" i="19" s="1"/>
  <c r="N165" i="19" s="1" a="1"/>
  <c r="N165" i="19" s="1"/>
  <c r="Q168" i="1" s="1"/>
  <c r="O160" i="19"/>
  <c r="P160" i="19"/>
  <c r="P164" i="19" s="1"/>
  <c r="P165" i="19" s="1" a="1"/>
  <c r="P165" i="19" s="1"/>
  <c r="S168" i="1" s="1"/>
  <c r="Q160" i="19"/>
  <c r="Q164" i="19" s="1"/>
  <c r="Q165" i="19" s="1" a="1"/>
  <c r="Q165" i="19" s="1"/>
  <c r="T168" i="1" s="1"/>
  <c r="R160" i="19"/>
  <c r="S160" i="19"/>
  <c r="S164" i="19" s="1"/>
  <c r="S165" i="19" s="1" a="1"/>
  <c r="S165" i="19" s="1"/>
  <c r="V168" i="1" s="1"/>
  <c r="T160" i="19"/>
  <c r="U160" i="19"/>
  <c r="V160" i="19"/>
  <c r="W160" i="19"/>
  <c r="X160" i="19"/>
  <c r="X164" i="19" s="1"/>
  <c r="Y160" i="19"/>
  <c r="Y164" i="19" s="1"/>
  <c r="Y165" i="19" s="1" a="1"/>
  <c r="Y165" i="19" s="1"/>
  <c r="AB168" i="1" s="1"/>
  <c r="Z160" i="19"/>
  <c r="C155" i="19"/>
  <c r="D155" i="19"/>
  <c r="E155" i="19"/>
  <c r="F155" i="19"/>
  <c r="G155" i="19"/>
  <c r="G156" i="19" s="1"/>
  <c r="G157" i="19" s="1" a="1"/>
  <c r="G157" i="19" s="1"/>
  <c r="J167" i="1" s="1"/>
  <c r="H155" i="19"/>
  <c r="I155" i="19"/>
  <c r="J155" i="19"/>
  <c r="K155" i="19"/>
  <c r="L155" i="19"/>
  <c r="M155" i="19"/>
  <c r="N155" i="19"/>
  <c r="O155" i="19"/>
  <c r="O156" i="19" s="1"/>
  <c r="O157" i="19" s="1" a="1"/>
  <c r="O157" i="19" s="1"/>
  <c r="R167" i="1" s="1"/>
  <c r="P155" i="19"/>
  <c r="Q155" i="19"/>
  <c r="R155" i="19"/>
  <c r="S155" i="19"/>
  <c r="T155" i="19"/>
  <c r="U155" i="19"/>
  <c r="V155" i="19"/>
  <c r="W155" i="19"/>
  <c r="W156" i="19" s="1"/>
  <c r="W157" i="19" s="1" a="1"/>
  <c r="W157" i="19" s="1"/>
  <c r="Z167" i="1" s="1"/>
  <c r="X155" i="19"/>
  <c r="Y155" i="19"/>
  <c r="Z155" i="19"/>
  <c r="C156" i="19"/>
  <c r="C157" i="19" s="1" a="1"/>
  <c r="C157" i="19" s="1"/>
  <c r="F167" i="1" s="1"/>
  <c r="E156" i="19"/>
  <c r="E157" i="19" s="1" a="1"/>
  <c r="E157" i="19" s="1"/>
  <c r="H167" i="1" s="1"/>
  <c r="H156" i="19"/>
  <c r="H157" i="19" s="1" a="1"/>
  <c r="H157" i="19" s="1"/>
  <c r="K167" i="1" s="1"/>
  <c r="I156" i="19"/>
  <c r="P156" i="19"/>
  <c r="P157" i="19" s="1" a="1"/>
  <c r="P157" i="19" s="1"/>
  <c r="S167" i="1" s="1"/>
  <c r="Q156" i="19"/>
  <c r="X156" i="19"/>
  <c r="X157" i="19" s="1" a="1"/>
  <c r="X157" i="19" s="1"/>
  <c r="AA167" i="1" s="1"/>
  <c r="Y156" i="19"/>
  <c r="Y157" i="19" s="1" a="1"/>
  <c r="Y157" i="19" s="1"/>
  <c r="AB167" i="1" s="1"/>
  <c r="Z156" i="19"/>
  <c r="Z157" i="19" s="1" a="1"/>
  <c r="Z157" i="19" s="1"/>
  <c r="AC167" i="1" s="1"/>
  <c r="D157" i="19"/>
  <c r="G167" i="1" s="1"/>
  <c r="I157" i="19" a="1"/>
  <c r="I157" i="19" s="1"/>
  <c r="L167" i="1" s="1"/>
  <c r="L157" i="19" a="1"/>
  <c r="L157" i="19" s="1"/>
  <c r="O167" i="1" s="1"/>
  <c r="Q157" i="19" a="1"/>
  <c r="Q157" i="19" s="1"/>
  <c r="T167" i="1" s="1"/>
  <c r="R157" i="19" a="1"/>
  <c r="R157" i="19" s="1"/>
  <c r="U167" i="1" s="1"/>
  <c r="C152" i="19"/>
  <c r="D152" i="19"/>
  <c r="D156" i="19" s="1"/>
  <c r="D157" i="19" s="1" a="1"/>
  <c r="E152" i="19"/>
  <c r="F152" i="19"/>
  <c r="F156" i="19" s="1"/>
  <c r="F157" i="19" s="1" a="1"/>
  <c r="F157" i="19" s="1"/>
  <c r="I167" i="1" s="1"/>
  <c r="G152" i="19"/>
  <c r="H152" i="19"/>
  <c r="I152" i="19"/>
  <c r="J152" i="19"/>
  <c r="J156" i="19" s="1"/>
  <c r="J157" i="19" s="1" a="1"/>
  <c r="J157" i="19" s="1"/>
  <c r="M167" i="1" s="1"/>
  <c r="K152" i="19"/>
  <c r="L152" i="19"/>
  <c r="L156" i="19" s="1"/>
  <c r="M152" i="19"/>
  <c r="M156" i="19" s="1"/>
  <c r="M157" i="19" s="1" a="1"/>
  <c r="M157" i="19" s="1"/>
  <c r="P167" i="1" s="1"/>
  <c r="N152" i="19"/>
  <c r="N156" i="19" s="1"/>
  <c r="N157" i="19" s="1" a="1"/>
  <c r="N157" i="19" s="1"/>
  <c r="Q167" i="1" s="1"/>
  <c r="O152" i="19"/>
  <c r="P152" i="19"/>
  <c r="Q152" i="19"/>
  <c r="R152" i="19"/>
  <c r="R156" i="19" s="1"/>
  <c r="S152" i="19"/>
  <c r="T152" i="19"/>
  <c r="T156" i="19" s="1"/>
  <c r="T157" i="19" s="1" a="1"/>
  <c r="T157" i="19" s="1"/>
  <c r="W167" i="1" s="1"/>
  <c r="U152" i="19"/>
  <c r="U156" i="19" s="1"/>
  <c r="U157" i="19" s="1" a="1"/>
  <c r="U157" i="19" s="1"/>
  <c r="X167" i="1" s="1"/>
  <c r="V152" i="19"/>
  <c r="V156" i="19" s="1"/>
  <c r="V157" i="19" s="1" a="1"/>
  <c r="V157" i="19" s="1"/>
  <c r="Y167" i="1" s="1"/>
  <c r="W152" i="19"/>
  <c r="X152" i="19"/>
  <c r="Y152" i="19"/>
  <c r="Z152" i="19"/>
  <c r="C147" i="19"/>
  <c r="D147" i="19"/>
  <c r="E147" i="19"/>
  <c r="E148" i="19" s="1"/>
  <c r="E149" i="19" s="1" a="1"/>
  <c r="E149" i="19" s="1"/>
  <c r="H166" i="1" s="1"/>
  <c r="F147" i="19"/>
  <c r="F148" i="19" s="1"/>
  <c r="F149" i="19" s="1" a="1"/>
  <c r="F149" i="19" s="1"/>
  <c r="I166" i="1" s="1"/>
  <c r="G147" i="19"/>
  <c r="H147" i="19"/>
  <c r="I147" i="19"/>
  <c r="J147" i="19"/>
  <c r="K147" i="19"/>
  <c r="L147" i="19"/>
  <c r="M147" i="19"/>
  <c r="N147" i="19"/>
  <c r="N148" i="19" s="1"/>
  <c r="N149" i="19" s="1" a="1"/>
  <c r="N149" i="19" s="1"/>
  <c r="Q166" i="1" s="1"/>
  <c r="O147" i="19"/>
  <c r="P147" i="19"/>
  <c r="Q147" i="19"/>
  <c r="R147" i="19"/>
  <c r="S147" i="19"/>
  <c r="T147" i="19"/>
  <c r="U147" i="19"/>
  <c r="U148" i="19" s="1"/>
  <c r="U149" i="19" s="1" a="1"/>
  <c r="U149" i="19" s="1"/>
  <c r="X166" i="1" s="1"/>
  <c r="V147" i="19"/>
  <c r="V148" i="19" s="1"/>
  <c r="V149" i="19" s="1" a="1"/>
  <c r="V149" i="19" s="1"/>
  <c r="Y166" i="1" s="1"/>
  <c r="W147" i="19"/>
  <c r="X147" i="19"/>
  <c r="Y147" i="19"/>
  <c r="Z147" i="19"/>
  <c r="D148" i="19"/>
  <c r="H148" i="19"/>
  <c r="H149" i="19" s="1" a="1"/>
  <c r="H149" i="19" s="1"/>
  <c r="K166" i="1" s="1"/>
  <c r="L148" i="19"/>
  <c r="L149" i="19" s="1" a="1"/>
  <c r="L149" i="19" s="1"/>
  <c r="O166" i="1" s="1"/>
  <c r="P148" i="19"/>
  <c r="P149" i="19" s="1" a="1"/>
  <c r="P149" i="19" s="1"/>
  <c r="S166" i="1" s="1"/>
  <c r="X148" i="19"/>
  <c r="X149" i="19" s="1" a="1"/>
  <c r="X149" i="19" s="1"/>
  <c r="AA166" i="1" s="1"/>
  <c r="D149" i="19" a="1"/>
  <c r="D149" i="19" s="1"/>
  <c r="G166" i="1" s="1"/>
  <c r="Q149" i="19" a="1"/>
  <c r="Q149" i="19" s="1"/>
  <c r="T166" i="1" s="1"/>
  <c r="S149" i="19" a="1"/>
  <c r="S149" i="19" s="1"/>
  <c r="V166" i="1" s="1"/>
  <c r="T149" i="19" a="1"/>
  <c r="T149" i="19" s="1"/>
  <c r="W166" i="1" s="1"/>
  <c r="Y149" i="19" a="1"/>
  <c r="Y149" i="19" s="1"/>
  <c r="AB166" i="1" s="1"/>
  <c r="C144" i="19"/>
  <c r="C148" i="19" s="1"/>
  <c r="C149" i="19" s="1" a="1"/>
  <c r="C149" i="19" s="1"/>
  <c r="F166" i="1" s="1"/>
  <c r="D144" i="19"/>
  <c r="E144" i="19"/>
  <c r="F144" i="19"/>
  <c r="G144" i="19"/>
  <c r="G148" i="19" s="1"/>
  <c r="G149" i="19" s="1" a="1"/>
  <c r="G149" i="19" s="1"/>
  <c r="J166" i="1" s="1"/>
  <c r="H144" i="19"/>
  <c r="I144" i="19"/>
  <c r="I148" i="19" s="1"/>
  <c r="I149" i="19" s="1" a="1"/>
  <c r="I149" i="19" s="1"/>
  <c r="L166" i="1" s="1"/>
  <c r="J144" i="19"/>
  <c r="J148" i="19" s="1"/>
  <c r="J149" i="19" s="1" a="1"/>
  <c r="J149" i="19" s="1"/>
  <c r="M166" i="1" s="1"/>
  <c r="K144" i="19"/>
  <c r="K148" i="19" s="1"/>
  <c r="K149" i="19" s="1" a="1"/>
  <c r="K149" i="19" s="1"/>
  <c r="N166" i="1" s="1"/>
  <c r="L144" i="19"/>
  <c r="M144" i="19"/>
  <c r="N144" i="19"/>
  <c r="O144" i="19"/>
  <c r="O148" i="19" s="1"/>
  <c r="O149" i="19" s="1" a="1"/>
  <c r="O149" i="19" s="1"/>
  <c r="R166" i="1" s="1"/>
  <c r="P144" i="19"/>
  <c r="Q144" i="19"/>
  <c r="Q148" i="19" s="1"/>
  <c r="R144" i="19"/>
  <c r="R148" i="19" s="1"/>
  <c r="R149" i="19" s="1" a="1"/>
  <c r="R149" i="19" s="1"/>
  <c r="U166" i="1" s="1"/>
  <c r="S144" i="19"/>
  <c r="S148" i="19" s="1"/>
  <c r="T144" i="19"/>
  <c r="T148" i="19" s="1"/>
  <c r="U144" i="19"/>
  <c r="V144" i="19"/>
  <c r="W144" i="19"/>
  <c r="W148" i="19" s="1"/>
  <c r="W149" i="19" s="1" a="1"/>
  <c r="W149" i="19" s="1"/>
  <c r="Z166" i="1" s="1"/>
  <c r="X144" i="19"/>
  <c r="Y144" i="19"/>
  <c r="Y148" i="19" s="1"/>
  <c r="Z144" i="19"/>
  <c r="Z148" i="19" s="1"/>
  <c r="Z149" i="19" s="1" a="1"/>
  <c r="Z149" i="19" s="1"/>
  <c r="AC166" i="1" s="1"/>
  <c r="C139" i="19"/>
  <c r="D139" i="19"/>
  <c r="E139" i="19"/>
  <c r="F139" i="19"/>
  <c r="G139" i="19"/>
  <c r="G140" i="19" s="1"/>
  <c r="G141" i="19" s="1" a="1"/>
  <c r="G141" i="19" s="1"/>
  <c r="J165" i="1" s="1"/>
  <c r="H139" i="19"/>
  <c r="I139" i="19"/>
  <c r="J139" i="19"/>
  <c r="K139" i="19"/>
  <c r="K140" i="19" s="1"/>
  <c r="L139" i="19"/>
  <c r="M139" i="19"/>
  <c r="N139" i="19"/>
  <c r="O139" i="19"/>
  <c r="O140" i="19" s="1"/>
  <c r="O141" i="19" s="1" a="1"/>
  <c r="O141" i="19" s="1"/>
  <c r="R165" i="1" s="1"/>
  <c r="P139" i="19"/>
  <c r="Q139" i="19"/>
  <c r="R139" i="19"/>
  <c r="S139" i="19"/>
  <c r="T139" i="19"/>
  <c r="U139" i="19"/>
  <c r="V139" i="19"/>
  <c r="W139" i="19"/>
  <c r="X139" i="19"/>
  <c r="Y139" i="19"/>
  <c r="Z139" i="19"/>
  <c r="C140" i="19"/>
  <c r="C141" i="19" s="1" a="1"/>
  <c r="C141" i="19" s="1"/>
  <c r="F165" i="1" s="1"/>
  <c r="E140" i="19"/>
  <c r="I140" i="19"/>
  <c r="I141" i="19" s="1" a="1"/>
  <c r="I141" i="19" s="1"/>
  <c r="L165" i="1" s="1"/>
  <c r="M140" i="19"/>
  <c r="M141" i="19" s="1" a="1"/>
  <c r="M141" i="19" s="1"/>
  <c r="P165" i="1" s="1"/>
  <c r="Q140" i="19"/>
  <c r="Q141" i="19" s="1" a="1"/>
  <c r="Q141" i="19" s="1"/>
  <c r="T165" i="1" s="1"/>
  <c r="R140" i="19"/>
  <c r="S140" i="19"/>
  <c r="S141" i="19" s="1" a="1"/>
  <c r="S141" i="19" s="1"/>
  <c r="V165" i="1" s="1"/>
  <c r="W140" i="19"/>
  <c r="W141" i="19" s="1" a="1"/>
  <c r="W141" i="19" s="1"/>
  <c r="Z165" i="1" s="1"/>
  <c r="Y140" i="19"/>
  <c r="Y141" i="19" s="1" a="1"/>
  <c r="Y141" i="19" s="1"/>
  <c r="AB165" i="1" s="1"/>
  <c r="E141" i="19" a="1"/>
  <c r="E141" i="19" s="1"/>
  <c r="H165" i="1" s="1"/>
  <c r="K141" i="19" a="1"/>
  <c r="K141" i="19" s="1"/>
  <c r="N165" i="1" s="1"/>
  <c r="N141" i="19" a="1"/>
  <c r="N141" i="19" s="1"/>
  <c r="Q165" i="1" s="1"/>
  <c r="R141" i="19" a="1"/>
  <c r="R141" i="19" s="1"/>
  <c r="U165" i="1" s="1"/>
  <c r="X141" i="19" a="1"/>
  <c r="X141" i="19" s="1"/>
  <c r="AA165" i="1" s="1"/>
  <c r="C136" i="19"/>
  <c r="D136" i="19"/>
  <c r="D140" i="19" s="1"/>
  <c r="D141" i="19" s="1" a="1"/>
  <c r="D141" i="19" s="1"/>
  <c r="G165" i="1" s="1"/>
  <c r="E136" i="19"/>
  <c r="F136" i="19"/>
  <c r="F140" i="19" s="1"/>
  <c r="F141" i="19" s="1" a="1"/>
  <c r="F141" i="19" s="1"/>
  <c r="I165" i="1" s="1"/>
  <c r="G136" i="19"/>
  <c r="H136" i="19"/>
  <c r="H140" i="19" s="1"/>
  <c r="H141" i="19" s="1" a="1"/>
  <c r="H141" i="19" s="1"/>
  <c r="K165" i="1" s="1"/>
  <c r="I136" i="19"/>
  <c r="J136" i="19"/>
  <c r="K136" i="19"/>
  <c r="L136" i="19"/>
  <c r="L140" i="19" s="1"/>
  <c r="L141" i="19" s="1" a="1"/>
  <c r="L141" i="19" s="1"/>
  <c r="O165" i="1" s="1"/>
  <c r="M136" i="19"/>
  <c r="N136" i="19"/>
  <c r="N140" i="19" s="1"/>
  <c r="O136" i="19"/>
  <c r="P136" i="19"/>
  <c r="P140" i="19" s="1"/>
  <c r="P141" i="19" s="1" a="1"/>
  <c r="P141" i="19" s="1"/>
  <c r="S165" i="1" s="1"/>
  <c r="Q136" i="19"/>
  <c r="R136" i="19"/>
  <c r="S136" i="19"/>
  <c r="T136" i="19"/>
  <c r="T140" i="19" s="1"/>
  <c r="T141" i="19" s="1" a="1"/>
  <c r="T141" i="19" s="1"/>
  <c r="W165" i="1" s="1"/>
  <c r="U136" i="19"/>
  <c r="U140" i="19" s="1"/>
  <c r="U141" i="19" s="1" a="1"/>
  <c r="U141" i="19" s="1"/>
  <c r="X165" i="1" s="1"/>
  <c r="V136" i="19"/>
  <c r="V140" i="19" s="1"/>
  <c r="V141" i="19" s="1" a="1"/>
  <c r="V141" i="19" s="1"/>
  <c r="Y165" i="1" s="1"/>
  <c r="W136" i="19"/>
  <c r="X136" i="19"/>
  <c r="X140" i="19" s="1"/>
  <c r="Y136" i="19"/>
  <c r="Z136" i="19"/>
  <c r="C131" i="19"/>
  <c r="D131" i="19"/>
  <c r="D132" i="19" s="1"/>
  <c r="D133" i="19" s="1" a="1"/>
  <c r="D133" i="19" s="1"/>
  <c r="G164" i="1" s="1"/>
  <c r="E131" i="19"/>
  <c r="F131" i="19"/>
  <c r="G131" i="19"/>
  <c r="H131" i="19"/>
  <c r="I131" i="19"/>
  <c r="J131" i="19"/>
  <c r="K131" i="19"/>
  <c r="L131" i="19"/>
  <c r="L132" i="19" s="1"/>
  <c r="L133" i="19" s="1" a="1"/>
  <c r="L133" i="19" s="1"/>
  <c r="O164" i="1" s="1"/>
  <c r="M131" i="19"/>
  <c r="M132" i="19" s="1"/>
  <c r="M133" i="19" s="1" a="1"/>
  <c r="M133" i="19" s="1"/>
  <c r="P164" i="1" s="1"/>
  <c r="N131" i="19"/>
  <c r="O131" i="19"/>
  <c r="P131" i="19"/>
  <c r="Q131" i="19"/>
  <c r="R131" i="19"/>
  <c r="S131" i="19"/>
  <c r="T131" i="19"/>
  <c r="T132" i="19" s="1"/>
  <c r="T133" i="19" s="1" a="1"/>
  <c r="T133" i="19" s="1"/>
  <c r="W164" i="1" s="1"/>
  <c r="U131" i="19"/>
  <c r="V131" i="19"/>
  <c r="W131" i="19"/>
  <c r="X131" i="19"/>
  <c r="Y131" i="19"/>
  <c r="Z131" i="19"/>
  <c r="E132" i="19"/>
  <c r="E133" i="19" s="1" a="1"/>
  <c r="E133" i="19" s="1"/>
  <c r="H164" i="1" s="1"/>
  <c r="F132" i="19"/>
  <c r="F133" i="19" s="1" a="1"/>
  <c r="F133" i="19" s="1"/>
  <c r="I164" i="1" s="1"/>
  <c r="J132" i="19"/>
  <c r="J133" i="19" s="1" a="1"/>
  <c r="J133" i="19" s="1"/>
  <c r="M164" i="1" s="1"/>
  <c r="N132" i="19"/>
  <c r="P132" i="19"/>
  <c r="P133" i="19" s="1" a="1"/>
  <c r="P133" i="19" s="1"/>
  <c r="S164" i="1" s="1"/>
  <c r="U132" i="19"/>
  <c r="U133" i="19" s="1" a="1"/>
  <c r="U133" i="19" s="1"/>
  <c r="X164" i="1" s="1"/>
  <c r="V132" i="19"/>
  <c r="V133" i="19" s="1" a="1"/>
  <c r="V133" i="19" s="1"/>
  <c r="Y164" i="1" s="1"/>
  <c r="X132" i="19"/>
  <c r="Z132" i="19"/>
  <c r="Z133" i="19" s="1" a="1"/>
  <c r="Z133" i="19" s="1"/>
  <c r="AC164" i="1" s="1"/>
  <c r="N133" i="19" a="1"/>
  <c r="N133" i="19"/>
  <c r="Q164" i="1" s="1"/>
  <c r="X133" i="19" a="1"/>
  <c r="X133" i="19" s="1"/>
  <c r="AA164" i="1" s="1"/>
  <c r="C128" i="19"/>
  <c r="C132" i="19" s="1"/>
  <c r="C133" i="19" s="1" a="1"/>
  <c r="C133" i="19" s="1"/>
  <c r="F164" i="1" s="1"/>
  <c r="D128" i="19"/>
  <c r="E128" i="19"/>
  <c r="F128" i="19"/>
  <c r="G128" i="19"/>
  <c r="G132" i="19" s="1"/>
  <c r="G133" i="19" s="1" a="1"/>
  <c r="G133" i="19" s="1"/>
  <c r="J164" i="1" s="1"/>
  <c r="H128" i="19"/>
  <c r="H132" i="19" s="1"/>
  <c r="H133" i="19" s="1" a="1"/>
  <c r="H133" i="19" s="1"/>
  <c r="K164" i="1" s="1"/>
  <c r="I128" i="19"/>
  <c r="I132" i="19" s="1"/>
  <c r="I133" i="19" s="1" a="1"/>
  <c r="I133" i="19" s="1"/>
  <c r="L164" i="1" s="1"/>
  <c r="J128" i="19"/>
  <c r="K128" i="19"/>
  <c r="K132" i="19" s="1"/>
  <c r="K133" i="19" s="1" a="1"/>
  <c r="K133" i="19" s="1"/>
  <c r="N164" i="1" s="1"/>
  <c r="L128" i="19"/>
  <c r="M128" i="19"/>
  <c r="N128" i="19"/>
  <c r="O128" i="19"/>
  <c r="O132" i="19" s="1"/>
  <c r="O133" i="19" s="1" a="1"/>
  <c r="O133" i="19" s="1"/>
  <c r="R164" i="1" s="1"/>
  <c r="P128" i="19"/>
  <c r="Q128" i="19"/>
  <c r="Q132" i="19" s="1"/>
  <c r="Q133" i="19" s="1" a="1"/>
  <c r="Q133" i="19" s="1"/>
  <c r="T164" i="1" s="1"/>
  <c r="R128" i="19"/>
  <c r="R132" i="19" s="1"/>
  <c r="R133" i="19" s="1" a="1"/>
  <c r="R133" i="19" s="1"/>
  <c r="U164" i="1" s="1"/>
  <c r="S128" i="19"/>
  <c r="S132" i="19" s="1"/>
  <c r="S133" i="19" s="1" a="1"/>
  <c r="S133" i="19" s="1"/>
  <c r="V164" i="1" s="1"/>
  <c r="T128" i="19"/>
  <c r="U128" i="19"/>
  <c r="V128" i="19"/>
  <c r="W128" i="19"/>
  <c r="W132" i="19" s="1"/>
  <c r="W133" i="19" s="1" a="1"/>
  <c r="W133" i="19" s="1"/>
  <c r="Z164" i="1" s="1"/>
  <c r="X128" i="19"/>
  <c r="Y128" i="19"/>
  <c r="Y132" i="19" s="1"/>
  <c r="Y133" i="19" s="1" a="1"/>
  <c r="Y133" i="19" s="1"/>
  <c r="AB164" i="1" s="1"/>
  <c r="Z128" i="19"/>
  <c r="C123" i="19"/>
  <c r="D123" i="19"/>
  <c r="E123" i="19"/>
  <c r="F123" i="19"/>
  <c r="G123" i="19"/>
  <c r="H123" i="19"/>
  <c r="I123" i="19"/>
  <c r="J123" i="19"/>
  <c r="J124" i="19" s="1"/>
  <c r="K123" i="19"/>
  <c r="L123" i="19"/>
  <c r="M123" i="19"/>
  <c r="N123" i="19"/>
  <c r="O123" i="19"/>
  <c r="P123" i="19"/>
  <c r="Q123" i="19"/>
  <c r="R123" i="19"/>
  <c r="S123" i="19"/>
  <c r="T123" i="19"/>
  <c r="U123" i="19"/>
  <c r="V123" i="19"/>
  <c r="W123" i="19"/>
  <c r="X123" i="19"/>
  <c r="Y123" i="19"/>
  <c r="Y124" i="19" s="1"/>
  <c r="Y125" i="19" s="1" a="1"/>
  <c r="Y125" i="19" s="1"/>
  <c r="AB163" i="1" s="1"/>
  <c r="Z123" i="19"/>
  <c r="Z124" i="19" s="1"/>
  <c r="Z125" i="19" s="1" a="1"/>
  <c r="Z125" i="19" s="1"/>
  <c r="AC163" i="1" s="1"/>
  <c r="E124" i="19"/>
  <c r="E125" i="19" s="1" a="1"/>
  <c r="E125" i="19" s="1"/>
  <c r="H163" i="1" s="1"/>
  <c r="H124" i="19"/>
  <c r="H125" i="19" s="1" a="1"/>
  <c r="H125" i="19" s="1"/>
  <c r="K163" i="1" s="1"/>
  <c r="I124" i="19"/>
  <c r="I125" i="19" s="1" a="1"/>
  <c r="I125" i="19" s="1"/>
  <c r="L163" i="1" s="1"/>
  <c r="K124" i="19"/>
  <c r="K125" i="19" s="1" a="1"/>
  <c r="K125" i="19" s="1"/>
  <c r="N163" i="1" s="1"/>
  <c r="M124" i="19"/>
  <c r="M125" i="19" s="1" a="1"/>
  <c r="M125" i="19" s="1"/>
  <c r="P163" i="1" s="1"/>
  <c r="R124" i="19"/>
  <c r="U124" i="19"/>
  <c r="U125" i="19" s="1" a="1"/>
  <c r="U125" i="19" s="1"/>
  <c r="X163" i="1" s="1"/>
  <c r="X124" i="19"/>
  <c r="X125" i="19" s="1" a="1"/>
  <c r="X125" i="19" s="1"/>
  <c r="AA163" i="1" s="1"/>
  <c r="F125" i="19" a="1"/>
  <c r="F125" i="19" s="1"/>
  <c r="I163" i="1" s="1"/>
  <c r="J125" i="19" a="1"/>
  <c r="J125" i="19" s="1"/>
  <c r="M163" i="1" s="1"/>
  <c r="R125" i="19" a="1"/>
  <c r="R125" i="19" s="1"/>
  <c r="U163" i="1" s="1"/>
  <c r="C120" i="19"/>
  <c r="C124" i="19" s="1"/>
  <c r="C125" i="19" s="1" a="1"/>
  <c r="C125" i="19" s="1"/>
  <c r="F163" i="1" s="1"/>
  <c r="D120" i="19"/>
  <c r="D124" i="19" s="1"/>
  <c r="D125" i="19" s="1" a="1"/>
  <c r="D125" i="19" s="1"/>
  <c r="G163" i="1" s="1"/>
  <c r="E120" i="19"/>
  <c r="F120" i="19"/>
  <c r="F124" i="19" s="1"/>
  <c r="G120" i="19"/>
  <c r="G124" i="19" s="1"/>
  <c r="G125" i="19" s="1" a="1"/>
  <c r="G125" i="19" s="1"/>
  <c r="J163" i="1" s="1"/>
  <c r="H120" i="19"/>
  <c r="I120" i="19"/>
  <c r="J120" i="19"/>
  <c r="K120" i="19"/>
  <c r="L120" i="19"/>
  <c r="L124" i="19" s="1"/>
  <c r="L125" i="19" s="1" a="1"/>
  <c r="L125" i="19" s="1"/>
  <c r="O163" i="1" s="1"/>
  <c r="M120" i="19"/>
  <c r="N120" i="19"/>
  <c r="N124" i="19" s="1"/>
  <c r="N125" i="19" s="1" a="1"/>
  <c r="N125" i="19" s="1"/>
  <c r="Q163" i="1" s="1"/>
  <c r="O120" i="19"/>
  <c r="O124" i="19" s="1"/>
  <c r="O125" i="19" s="1" a="1"/>
  <c r="O125" i="19" s="1"/>
  <c r="R163" i="1" s="1"/>
  <c r="P120" i="19"/>
  <c r="P124" i="19" s="1"/>
  <c r="P125" i="19" s="1" a="1"/>
  <c r="P125" i="19" s="1"/>
  <c r="S163" i="1" s="1"/>
  <c r="Q120" i="19"/>
  <c r="R120" i="19"/>
  <c r="S120" i="19"/>
  <c r="S124" i="19" s="1"/>
  <c r="S125" i="19" s="1" a="1"/>
  <c r="S125" i="19" s="1"/>
  <c r="V163" i="1" s="1"/>
  <c r="T120" i="19"/>
  <c r="T124" i="19" s="1"/>
  <c r="T125" i="19" s="1" a="1"/>
  <c r="T125" i="19" s="1"/>
  <c r="W163" i="1" s="1"/>
  <c r="U120" i="19"/>
  <c r="V120" i="19"/>
  <c r="V124" i="19" s="1"/>
  <c r="V125" i="19" s="1" a="1"/>
  <c r="V125" i="19" s="1"/>
  <c r="Y163" i="1" s="1"/>
  <c r="W120" i="19"/>
  <c r="W124" i="19" s="1"/>
  <c r="W125" i="19" s="1" a="1"/>
  <c r="W125" i="19" s="1"/>
  <c r="Z163" i="1" s="1"/>
  <c r="X120" i="19"/>
  <c r="Y120" i="19"/>
  <c r="Z120" i="19"/>
  <c r="C115" i="19"/>
  <c r="C116" i="19" s="1"/>
  <c r="C117" i="19" s="1" a="1"/>
  <c r="C117" i="19" s="1"/>
  <c r="F162" i="1" s="1"/>
  <c r="D115" i="19"/>
  <c r="E115" i="19"/>
  <c r="F115" i="19"/>
  <c r="G115" i="19"/>
  <c r="G116" i="19" s="1"/>
  <c r="G117" i="19" s="1" a="1"/>
  <c r="G117" i="19" s="1"/>
  <c r="J162" i="1" s="1"/>
  <c r="H115" i="19"/>
  <c r="I115" i="19"/>
  <c r="J115" i="19"/>
  <c r="K115" i="19"/>
  <c r="L115" i="19"/>
  <c r="M115" i="19"/>
  <c r="N115" i="19"/>
  <c r="O115" i="19"/>
  <c r="O116" i="19" s="1"/>
  <c r="O117" i="19" s="1" a="1"/>
  <c r="O117" i="19" s="1"/>
  <c r="R162" i="1" s="1"/>
  <c r="P115" i="19"/>
  <c r="Q115" i="19"/>
  <c r="R115" i="19"/>
  <c r="S115" i="19"/>
  <c r="S116" i="19" s="1"/>
  <c r="S117" i="19" s="1" a="1"/>
  <c r="S117" i="19" s="1"/>
  <c r="V162" i="1" s="1"/>
  <c r="T115" i="19"/>
  <c r="U115" i="19"/>
  <c r="V115" i="19"/>
  <c r="W115" i="19"/>
  <c r="W116" i="19" s="1"/>
  <c r="W117" i="19" s="1" a="1"/>
  <c r="W117" i="19" s="1"/>
  <c r="Z162" i="1" s="1"/>
  <c r="X115" i="19"/>
  <c r="Y115" i="19"/>
  <c r="Z115" i="19"/>
  <c r="H116" i="19"/>
  <c r="H117" i="19" s="1" a="1"/>
  <c r="H117" i="19" s="1"/>
  <c r="K162" i="1" s="1"/>
  <c r="K116" i="19"/>
  <c r="K117" i="19" s="1" a="1"/>
  <c r="K117" i="19" s="1"/>
  <c r="N162" i="1" s="1"/>
  <c r="L116" i="19"/>
  <c r="L117" i="19" s="1" a="1"/>
  <c r="L117" i="19" s="1"/>
  <c r="O162" i="1" s="1"/>
  <c r="X116" i="19"/>
  <c r="X117" i="19" s="1" a="1"/>
  <c r="X117" i="19" s="1"/>
  <c r="AA162" i="1" s="1"/>
  <c r="C112" i="19"/>
  <c r="D112" i="19"/>
  <c r="D116" i="19" s="1"/>
  <c r="D117" i="19" s="1" a="1"/>
  <c r="D117" i="19" s="1"/>
  <c r="G162" i="1" s="1"/>
  <c r="E112" i="19"/>
  <c r="E116" i="19" s="1"/>
  <c r="E117" i="19" s="1" a="1"/>
  <c r="E117" i="19" s="1"/>
  <c r="H162" i="1" s="1"/>
  <c r="F112" i="19"/>
  <c r="F116" i="19" s="1"/>
  <c r="F117" i="19" s="1" a="1"/>
  <c r="F117" i="19" s="1"/>
  <c r="I162" i="1" s="1"/>
  <c r="G112" i="19"/>
  <c r="H112" i="19"/>
  <c r="I112" i="19"/>
  <c r="J112" i="19"/>
  <c r="K112" i="19"/>
  <c r="L112" i="19"/>
  <c r="M112" i="19"/>
  <c r="M116" i="19" s="1"/>
  <c r="M117" i="19" s="1" a="1"/>
  <c r="M117" i="19" s="1"/>
  <c r="P162" i="1" s="1"/>
  <c r="N112" i="19"/>
  <c r="N116" i="19" s="1"/>
  <c r="N117" i="19" s="1" a="1"/>
  <c r="N117" i="19" s="1"/>
  <c r="Q162" i="1" s="1"/>
  <c r="O112" i="19"/>
  <c r="P112" i="19"/>
  <c r="Q112" i="19"/>
  <c r="R112" i="19"/>
  <c r="S112" i="19"/>
  <c r="T112" i="19"/>
  <c r="U112" i="19"/>
  <c r="U116" i="19" s="1"/>
  <c r="U117" i="19" s="1" a="1"/>
  <c r="U117" i="19" s="1"/>
  <c r="X162" i="1" s="1"/>
  <c r="V112" i="19"/>
  <c r="V116" i="19" s="1"/>
  <c r="V117" i="19" s="1" a="1"/>
  <c r="V117" i="19" s="1"/>
  <c r="Y162" i="1" s="1"/>
  <c r="W112" i="19"/>
  <c r="X112" i="19"/>
  <c r="Y112" i="19"/>
  <c r="Z112" i="19"/>
  <c r="C107" i="19"/>
  <c r="D107" i="19"/>
  <c r="E107" i="19"/>
  <c r="E108" i="19" s="1"/>
  <c r="E109" i="19" s="1" a="1"/>
  <c r="E109" i="19" s="1"/>
  <c r="H161" i="1" s="1"/>
  <c r="F107" i="19"/>
  <c r="F108" i="19" s="1"/>
  <c r="F109" i="19" s="1" a="1"/>
  <c r="F109" i="19" s="1"/>
  <c r="I161" i="1" s="1"/>
  <c r="G107" i="19"/>
  <c r="H107" i="19"/>
  <c r="I107" i="19"/>
  <c r="J107" i="19"/>
  <c r="K107" i="19"/>
  <c r="L107" i="19"/>
  <c r="M107" i="19"/>
  <c r="N107" i="19"/>
  <c r="N108" i="19" s="1"/>
  <c r="N109" i="19" s="1" a="1"/>
  <c r="N109" i="19" s="1"/>
  <c r="Q161" i="1" s="1"/>
  <c r="O107" i="19"/>
  <c r="P107" i="19"/>
  <c r="Q107" i="19"/>
  <c r="R107" i="19"/>
  <c r="S107" i="19"/>
  <c r="T107" i="19"/>
  <c r="U107" i="19"/>
  <c r="V107" i="19"/>
  <c r="W107" i="19"/>
  <c r="X107" i="19"/>
  <c r="Y107" i="19"/>
  <c r="Z107" i="19"/>
  <c r="G108" i="19"/>
  <c r="G109" i="19" s="1" a="1"/>
  <c r="G109" i="19" s="1"/>
  <c r="J161" i="1" s="1"/>
  <c r="H108" i="19"/>
  <c r="O108" i="19"/>
  <c r="O109" i="19" s="1" a="1"/>
  <c r="O109" i="19" s="1"/>
  <c r="R161" i="1" s="1"/>
  <c r="P108" i="19"/>
  <c r="R108" i="19"/>
  <c r="W108" i="19"/>
  <c r="W109" i="19" s="1" a="1"/>
  <c r="W109" i="19" s="1"/>
  <c r="Z161" i="1" s="1"/>
  <c r="H109" i="19" a="1"/>
  <c r="H109" i="19" s="1"/>
  <c r="K161" i="1" s="1"/>
  <c r="P109" i="19" a="1"/>
  <c r="P109" i="19" s="1"/>
  <c r="S161" i="1" s="1"/>
  <c r="R109" i="19" a="1"/>
  <c r="R109" i="19" s="1"/>
  <c r="U161" i="1" s="1"/>
  <c r="S109" i="19" a="1"/>
  <c r="S109" i="19" s="1"/>
  <c r="V161" i="1" s="1"/>
  <c r="C104" i="19"/>
  <c r="C108" i="19" s="1"/>
  <c r="C109" i="19" s="1" a="1"/>
  <c r="C109" i="19" s="1"/>
  <c r="F161" i="1" s="1"/>
  <c r="D104" i="19"/>
  <c r="D108" i="19" s="1"/>
  <c r="D109" i="19" s="1" a="1"/>
  <c r="D109" i="19" s="1"/>
  <c r="G161" i="1" s="1"/>
  <c r="E104" i="19"/>
  <c r="F104" i="19"/>
  <c r="G104" i="19"/>
  <c r="H104" i="19"/>
  <c r="I104" i="19"/>
  <c r="I108" i="19" s="1"/>
  <c r="I109" i="19" s="1" a="1"/>
  <c r="I109" i="19" s="1"/>
  <c r="L161" i="1" s="1"/>
  <c r="J104" i="19"/>
  <c r="J108" i="19" s="1"/>
  <c r="J109" i="19" s="1" a="1"/>
  <c r="J109" i="19" s="1"/>
  <c r="M161" i="1" s="1"/>
  <c r="K104" i="19"/>
  <c r="K108" i="19" s="1"/>
  <c r="K109" i="19" s="1" a="1"/>
  <c r="K109" i="19" s="1"/>
  <c r="N161" i="1" s="1"/>
  <c r="L104" i="19"/>
  <c r="L108" i="19" s="1"/>
  <c r="L109" i="19" s="1" a="1"/>
  <c r="L109" i="19" s="1"/>
  <c r="O161" i="1" s="1"/>
  <c r="M104" i="19"/>
  <c r="N104" i="19"/>
  <c r="O104" i="19"/>
  <c r="P104" i="19"/>
  <c r="Q104" i="19"/>
  <c r="Q108" i="19" s="1"/>
  <c r="Q109" i="19" s="1" a="1"/>
  <c r="Q109" i="19" s="1"/>
  <c r="T161" i="1" s="1"/>
  <c r="R104" i="19"/>
  <c r="S104" i="19"/>
  <c r="S108" i="19" s="1"/>
  <c r="T104" i="19"/>
  <c r="T108" i="19" s="1"/>
  <c r="T109" i="19" s="1" a="1"/>
  <c r="T109" i="19" s="1"/>
  <c r="W161" i="1" s="1"/>
  <c r="U104" i="19"/>
  <c r="V104" i="19"/>
  <c r="W104" i="19"/>
  <c r="X104" i="19"/>
  <c r="X108" i="19" s="1"/>
  <c r="X109" i="19" s="1" a="1"/>
  <c r="X109" i="19" s="1"/>
  <c r="AA161" i="1" s="1"/>
  <c r="Y104" i="19"/>
  <c r="Y108" i="19" s="1"/>
  <c r="Y109" i="19" s="1" a="1"/>
  <c r="Y109" i="19" s="1"/>
  <c r="AB161" i="1" s="1"/>
  <c r="Z104" i="19"/>
  <c r="Z108" i="19" s="1"/>
  <c r="Z109" i="19" s="1" a="1"/>
  <c r="Z109" i="19" s="1"/>
  <c r="AC161" i="1" s="1"/>
  <c r="C99" i="19"/>
  <c r="D99" i="19"/>
  <c r="E99" i="19"/>
  <c r="F99" i="19"/>
  <c r="G99" i="19"/>
  <c r="H99" i="19"/>
  <c r="I99" i="19"/>
  <c r="J99" i="19"/>
  <c r="J100" i="19" s="1"/>
  <c r="J101" i="19" s="1" a="1"/>
  <c r="J101" i="19" s="1"/>
  <c r="M160" i="1" s="1"/>
  <c r="K99" i="19"/>
  <c r="L99" i="19"/>
  <c r="L100" i="19" s="1"/>
  <c r="L101" i="19" s="1" a="1"/>
  <c r="L101" i="19" s="1"/>
  <c r="O160" i="1" s="1"/>
  <c r="M99" i="19"/>
  <c r="N99" i="19"/>
  <c r="O99" i="19"/>
  <c r="P99" i="19"/>
  <c r="Q99" i="19"/>
  <c r="R99" i="19"/>
  <c r="S99" i="19"/>
  <c r="T99" i="19"/>
  <c r="U99" i="19"/>
  <c r="V99" i="19"/>
  <c r="W99" i="19"/>
  <c r="X99" i="19"/>
  <c r="Y99" i="19"/>
  <c r="Z99" i="19"/>
  <c r="C100" i="19"/>
  <c r="D100" i="19"/>
  <c r="D101" i="19" s="1" a="1"/>
  <c r="D101" i="19" s="1"/>
  <c r="G160" i="1" s="1"/>
  <c r="K100" i="19"/>
  <c r="K101" i="19" s="1" a="1"/>
  <c r="K101" i="19" s="1"/>
  <c r="N160" i="1" s="1"/>
  <c r="Z100" i="19"/>
  <c r="Z101" i="19" s="1" a="1"/>
  <c r="Z101" i="19" s="1"/>
  <c r="AC160" i="1" s="1"/>
  <c r="C101" i="19" a="1"/>
  <c r="C101" i="19" s="1"/>
  <c r="F160" i="1" s="1"/>
  <c r="W101" i="19" a="1"/>
  <c r="W101" i="19" s="1"/>
  <c r="Z160" i="1" s="1"/>
  <c r="C96" i="19"/>
  <c r="D96" i="19"/>
  <c r="E96" i="19"/>
  <c r="E100" i="19" s="1"/>
  <c r="E101" i="19" s="1" a="1"/>
  <c r="E101" i="19" s="1"/>
  <c r="H160" i="1" s="1"/>
  <c r="F96" i="19"/>
  <c r="F100" i="19" s="1"/>
  <c r="F101" i="19" s="1" a="1"/>
  <c r="F101" i="19" s="1"/>
  <c r="I160" i="1" s="1"/>
  <c r="G96" i="19"/>
  <c r="G100" i="19" s="1"/>
  <c r="G101" i="19" s="1" a="1"/>
  <c r="G101" i="19" s="1"/>
  <c r="J160" i="1" s="1"/>
  <c r="H96" i="19"/>
  <c r="H100" i="19" s="1"/>
  <c r="H101" i="19" s="1" a="1"/>
  <c r="H101" i="19" s="1"/>
  <c r="K160" i="1" s="1"/>
  <c r="I96" i="19"/>
  <c r="I100" i="19" s="1"/>
  <c r="I101" i="19" s="1" a="1"/>
  <c r="I101" i="19" s="1"/>
  <c r="L160" i="1" s="1"/>
  <c r="J96" i="19"/>
  <c r="K96" i="19"/>
  <c r="L96" i="19"/>
  <c r="M96" i="19"/>
  <c r="M100" i="19" s="1"/>
  <c r="M101" i="19" s="1" a="1"/>
  <c r="M101" i="19" s="1"/>
  <c r="P160" i="1" s="1"/>
  <c r="N96" i="19"/>
  <c r="N100" i="19" s="1"/>
  <c r="N101" i="19" s="1" a="1"/>
  <c r="N101" i="19" s="1"/>
  <c r="Q160" i="1" s="1"/>
  <c r="O96" i="19"/>
  <c r="O100" i="19" s="1"/>
  <c r="O101" i="19" s="1" a="1"/>
  <c r="O101" i="19" s="1"/>
  <c r="R160" i="1" s="1"/>
  <c r="P96" i="19"/>
  <c r="P100" i="19" s="1"/>
  <c r="P101" i="19" s="1" a="1"/>
  <c r="P101" i="19" s="1"/>
  <c r="S160" i="1" s="1"/>
  <c r="Q96" i="19"/>
  <c r="Q100" i="19" s="1"/>
  <c r="Q101" i="19" s="1" a="1"/>
  <c r="Q101" i="19" s="1"/>
  <c r="T160" i="1" s="1"/>
  <c r="R96" i="19"/>
  <c r="R100" i="19" s="1"/>
  <c r="R101" i="19" s="1" a="1"/>
  <c r="R101" i="19" s="1"/>
  <c r="U160" i="1" s="1"/>
  <c r="S96" i="19"/>
  <c r="S100" i="19" s="1"/>
  <c r="S101" i="19" s="1" a="1"/>
  <c r="S101" i="19" s="1"/>
  <c r="V160" i="1" s="1"/>
  <c r="T96" i="19"/>
  <c r="T100" i="19" s="1"/>
  <c r="T101" i="19" s="1" a="1"/>
  <c r="T101" i="19" s="1"/>
  <c r="W160" i="1" s="1"/>
  <c r="U96" i="19"/>
  <c r="U100" i="19" s="1"/>
  <c r="U101" i="19" s="1" a="1"/>
  <c r="U101" i="19" s="1"/>
  <c r="X160" i="1" s="1"/>
  <c r="V96" i="19"/>
  <c r="V100" i="19" s="1"/>
  <c r="V101" i="19" s="1" a="1"/>
  <c r="V101" i="19" s="1"/>
  <c r="Y160" i="1" s="1"/>
  <c r="W96" i="19"/>
  <c r="W100" i="19" s="1"/>
  <c r="X96" i="19"/>
  <c r="X100" i="19" s="1"/>
  <c r="X101" i="19" s="1" a="1"/>
  <c r="X101" i="19" s="1"/>
  <c r="AA160" i="1" s="1"/>
  <c r="Y96" i="19"/>
  <c r="Y100" i="19" s="1"/>
  <c r="Y101" i="19" s="1" a="1"/>
  <c r="Y101" i="19" s="1"/>
  <c r="AB160" i="1" s="1"/>
  <c r="Z96" i="19"/>
  <c r="C91" i="19"/>
  <c r="D91" i="19"/>
  <c r="E91" i="19"/>
  <c r="F91" i="19"/>
  <c r="G91" i="19"/>
  <c r="H91" i="19"/>
  <c r="H92" i="19" s="1"/>
  <c r="H93" i="19" s="1" a="1"/>
  <c r="H93" i="19" s="1"/>
  <c r="K159" i="1" s="1"/>
  <c r="I91" i="19"/>
  <c r="I92" i="19" s="1"/>
  <c r="I93" i="19" s="1" a="1"/>
  <c r="I93" i="19" s="1"/>
  <c r="L159" i="1" s="1"/>
  <c r="J91" i="19"/>
  <c r="K91" i="19"/>
  <c r="L91" i="19"/>
  <c r="M91" i="19"/>
  <c r="N91" i="19"/>
  <c r="O91" i="19"/>
  <c r="P91" i="19"/>
  <c r="P92" i="19" s="1"/>
  <c r="P93" i="19" s="1" a="1"/>
  <c r="P93" i="19" s="1"/>
  <c r="S159" i="1" s="1"/>
  <c r="Q91" i="19"/>
  <c r="R91" i="19"/>
  <c r="S91" i="19"/>
  <c r="T91" i="19"/>
  <c r="U91" i="19"/>
  <c r="V91" i="19"/>
  <c r="W91" i="19"/>
  <c r="X91" i="19"/>
  <c r="X92" i="19" s="1"/>
  <c r="X93" i="19" s="1" a="1"/>
  <c r="X93" i="19" s="1"/>
  <c r="AA159" i="1" s="1"/>
  <c r="Y91" i="19"/>
  <c r="Z91" i="19"/>
  <c r="J92" i="19"/>
  <c r="J93" i="19" s="1" a="1"/>
  <c r="J93" i="19" s="1"/>
  <c r="M159" i="1" s="1"/>
  <c r="Q92" i="19"/>
  <c r="R92" i="19"/>
  <c r="R93" i="19" s="1" a="1"/>
  <c r="R93" i="19" s="1"/>
  <c r="U159" i="1" s="1"/>
  <c r="T92" i="19"/>
  <c r="T93" i="19" s="1" a="1"/>
  <c r="T93" i="19" s="1"/>
  <c r="W159" i="1" s="1"/>
  <c r="N93" i="19" a="1"/>
  <c r="N93" i="19" s="1"/>
  <c r="Q159" i="1" s="1"/>
  <c r="Q93" i="19" a="1"/>
  <c r="Q93" i="19" s="1"/>
  <c r="T159" i="1" s="1"/>
  <c r="C88" i="19"/>
  <c r="C92" i="19" s="1"/>
  <c r="C93" i="19" s="1" a="1"/>
  <c r="C93" i="19" s="1"/>
  <c r="F159" i="1" s="1"/>
  <c r="D88" i="19"/>
  <c r="D92" i="19" s="1"/>
  <c r="D93" i="19" s="1" a="1"/>
  <c r="D93" i="19" s="1"/>
  <c r="G159" i="1" s="1"/>
  <c r="E88" i="19"/>
  <c r="E92" i="19" s="1"/>
  <c r="E93" i="19" s="1" a="1"/>
  <c r="E93" i="19" s="1"/>
  <c r="H159" i="1" s="1"/>
  <c r="F88" i="19"/>
  <c r="F92" i="19" s="1"/>
  <c r="F93" i="19" s="1" a="1"/>
  <c r="F93" i="19" s="1"/>
  <c r="I159" i="1" s="1"/>
  <c r="G88" i="19"/>
  <c r="G92" i="19" s="1"/>
  <c r="G93" i="19" s="1" a="1"/>
  <c r="G93" i="19" s="1"/>
  <c r="J159" i="1" s="1"/>
  <c r="H88" i="19"/>
  <c r="I88" i="19"/>
  <c r="J88" i="19"/>
  <c r="K88" i="19"/>
  <c r="K92" i="19" s="1"/>
  <c r="K93" i="19" s="1" a="1"/>
  <c r="K93" i="19" s="1"/>
  <c r="N159" i="1" s="1"/>
  <c r="L88" i="19"/>
  <c r="L92" i="19" s="1"/>
  <c r="L93" i="19" s="1" a="1"/>
  <c r="L93" i="19" s="1"/>
  <c r="O159" i="1" s="1"/>
  <c r="M88" i="19"/>
  <c r="M92" i="19" s="1"/>
  <c r="M93" i="19" s="1" a="1"/>
  <c r="M93" i="19" s="1"/>
  <c r="P159" i="1" s="1"/>
  <c r="N88" i="19"/>
  <c r="N92" i="19" s="1"/>
  <c r="O88" i="19"/>
  <c r="O92" i="19" s="1"/>
  <c r="O93" i="19" s="1" a="1"/>
  <c r="O93" i="19" s="1"/>
  <c r="R159" i="1" s="1"/>
  <c r="P88" i="19"/>
  <c r="Q88" i="19"/>
  <c r="R88" i="19"/>
  <c r="S88" i="19"/>
  <c r="S92" i="19" s="1"/>
  <c r="S93" i="19" s="1" a="1"/>
  <c r="S93" i="19" s="1"/>
  <c r="V159" i="1" s="1"/>
  <c r="T88" i="19"/>
  <c r="U88" i="19"/>
  <c r="U92" i="19" s="1"/>
  <c r="U93" i="19" s="1" a="1"/>
  <c r="U93" i="19" s="1"/>
  <c r="X159" i="1" s="1"/>
  <c r="V88" i="19"/>
  <c r="V92" i="19" s="1"/>
  <c r="V93" i="19" s="1" a="1"/>
  <c r="V93" i="19" s="1"/>
  <c r="Y159" i="1" s="1"/>
  <c r="W88" i="19"/>
  <c r="W92" i="19" s="1"/>
  <c r="W93" i="19" s="1" a="1"/>
  <c r="W93" i="19" s="1"/>
  <c r="Z159" i="1" s="1"/>
  <c r="X88" i="19"/>
  <c r="Y88" i="19"/>
  <c r="Y92" i="19" s="1"/>
  <c r="Y93" i="19" s="1" a="1"/>
  <c r="Y93" i="19" s="1"/>
  <c r="AB159" i="1" s="1"/>
  <c r="Z88" i="19"/>
  <c r="Z92" i="19" s="1"/>
  <c r="Z93" i="19" s="1" a="1"/>
  <c r="Z93" i="19" s="1"/>
  <c r="AC159" i="1" s="1"/>
  <c r="C83" i="19"/>
  <c r="D83" i="19"/>
  <c r="E83" i="19"/>
  <c r="F83" i="19"/>
  <c r="G83" i="19"/>
  <c r="H83" i="19"/>
  <c r="I83" i="19"/>
  <c r="J83" i="19"/>
  <c r="K83" i="19"/>
  <c r="K84" i="19" s="1"/>
  <c r="K85" i="19" s="1" a="1"/>
  <c r="K85" i="19" s="1"/>
  <c r="N158" i="1" s="1"/>
  <c r="L83" i="19"/>
  <c r="M83" i="19"/>
  <c r="M84" i="19" s="1"/>
  <c r="M85" i="19" s="1" a="1"/>
  <c r="M85" i="19" s="1"/>
  <c r="P158" i="1" s="1"/>
  <c r="N83" i="19"/>
  <c r="O83" i="19"/>
  <c r="P83" i="19"/>
  <c r="Q83" i="19"/>
  <c r="R83" i="19"/>
  <c r="S83" i="19"/>
  <c r="T83" i="19"/>
  <c r="U83" i="19"/>
  <c r="V83" i="19"/>
  <c r="W83" i="19"/>
  <c r="X83" i="19"/>
  <c r="Y83" i="19"/>
  <c r="Z83" i="19"/>
  <c r="C84" i="19"/>
  <c r="D84" i="19"/>
  <c r="E84" i="19"/>
  <c r="E85" i="19" s="1" a="1"/>
  <c r="E85" i="19" s="1"/>
  <c r="H158" i="1" s="1"/>
  <c r="L84" i="19"/>
  <c r="L85" i="19" s="1" a="1"/>
  <c r="L85" i="19" s="1"/>
  <c r="O158" i="1" s="1"/>
  <c r="C85" i="19" a="1"/>
  <c r="C85" i="19" s="1"/>
  <c r="F158" i="1" s="1"/>
  <c r="D85" i="19" a="1"/>
  <c r="D85" i="19" s="1"/>
  <c r="G158" i="1" s="1"/>
  <c r="C80" i="19"/>
  <c r="D80" i="19"/>
  <c r="E80" i="19"/>
  <c r="F80" i="19"/>
  <c r="F84" i="19" s="1"/>
  <c r="F85" i="19" s="1" a="1"/>
  <c r="F85" i="19" s="1"/>
  <c r="I158" i="1" s="1"/>
  <c r="G80" i="19"/>
  <c r="G84" i="19" s="1"/>
  <c r="G85" i="19" s="1" a="1"/>
  <c r="G85" i="19" s="1"/>
  <c r="J158" i="1" s="1"/>
  <c r="H80" i="19"/>
  <c r="H84" i="19" s="1"/>
  <c r="H85" i="19" s="1" a="1"/>
  <c r="H85" i="19" s="1"/>
  <c r="K158" i="1" s="1"/>
  <c r="I80" i="19"/>
  <c r="I84" i="19" s="1"/>
  <c r="I85" i="19" s="1" a="1"/>
  <c r="I85" i="19" s="1"/>
  <c r="L158" i="1" s="1"/>
  <c r="J80" i="19"/>
  <c r="J84" i="19" s="1"/>
  <c r="J85" i="19" s="1" a="1"/>
  <c r="J85" i="19" s="1"/>
  <c r="M158" i="1" s="1"/>
  <c r="K80" i="19"/>
  <c r="L80" i="19"/>
  <c r="M80" i="19"/>
  <c r="N80" i="19"/>
  <c r="N84" i="19" s="1"/>
  <c r="N85" i="19" s="1" a="1"/>
  <c r="N85" i="19" s="1"/>
  <c r="Q158" i="1" s="1"/>
  <c r="O80" i="19"/>
  <c r="O84" i="19" s="1"/>
  <c r="O85" i="19" s="1" a="1"/>
  <c r="O85" i="19" s="1"/>
  <c r="R158" i="1" s="1"/>
  <c r="P80" i="19"/>
  <c r="P84" i="19" s="1"/>
  <c r="P85" i="19" s="1" a="1"/>
  <c r="P85" i="19" s="1"/>
  <c r="S158" i="1" s="1"/>
  <c r="Q80" i="19"/>
  <c r="Q84" i="19" s="1"/>
  <c r="Q85" i="19" s="1" a="1"/>
  <c r="Q85" i="19" s="1"/>
  <c r="T158" i="1" s="1"/>
  <c r="R80" i="19"/>
  <c r="R84" i="19" s="1"/>
  <c r="R85" i="19" s="1" a="1"/>
  <c r="R85" i="19" s="1"/>
  <c r="U158" i="1" s="1"/>
  <c r="S80" i="19"/>
  <c r="S84" i="19" s="1"/>
  <c r="S85" i="19" s="1" a="1"/>
  <c r="S85" i="19" s="1"/>
  <c r="V158" i="1" s="1"/>
  <c r="T80" i="19"/>
  <c r="T84" i="19" s="1"/>
  <c r="T85" i="19" s="1" a="1"/>
  <c r="T85" i="19" s="1"/>
  <c r="W158" i="1" s="1"/>
  <c r="U80" i="19"/>
  <c r="U84" i="19" s="1"/>
  <c r="U85" i="19" s="1" a="1"/>
  <c r="U85" i="19" s="1"/>
  <c r="X158" i="1" s="1"/>
  <c r="V80" i="19"/>
  <c r="V84" i="19" s="1"/>
  <c r="V85" i="19" s="1" a="1"/>
  <c r="V85" i="19" s="1"/>
  <c r="Y158" i="1" s="1"/>
  <c r="W80" i="19"/>
  <c r="W84" i="19" s="1"/>
  <c r="W85" i="19" s="1" a="1"/>
  <c r="W85" i="19" s="1"/>
  <c r="Z158" i="1" s="1"/>
  <c r="X80" i="19"/>
  <c r="X84" i="19" s="1"/>
  <c r="X85" i="19" s="1" a="1"/>
  <c r="X85" i="19" s="1"/>
  <c r="AA158" i="1" s="1"/>
  <c r="Y80" i="19"/>
  <c r="Y84" i="19" s="1"/>
  <c r="Y85" i="19" s="1" a="1"/>
  <c r="Y85" i="19" s="1"/>
  <c r="AB158" i="1" s="1"/>
  <c r="Z80" i="19"/>
  <c r="Z84" i="19" s="1"/>
  <c r="Z85" i="19" s="1" a="1"/>
  <c r="Z85" i="19" s="1"/>
  <c r="AC158" i="1" s="1"/>
  <c r="C75" i="19"/>
  <c r="D75" i="19"/>
  <c r="E75" i="19"/>
  <c r="F75" i="19"/>
  <c r="G75" i="19"/>
  <c r="H75" i="19"/>
  <c r="I75" i="19"/>
  <c r="I76" i="19" s="1"/>
  <c r="I77" i="19" s="1" a="1"/>
  <c r="I77" i="19" s="1"/>
  <c r="L157" i="1" s="1"/>
  <c r="J75" i="19"/>
  <c r="J76" i="19" s="1"/>
  <c r="J77" i="19" s="1" a="1"/>
  <c r="J77" i="19" s="1"/>
  <c r="M157" i="1" s="1"/>
  <c r="K75" i="19"/>
  <c r="L75" i="19"/>
  <c r="M75" i="19"/>
  <c r="N75" i="19"/>
  <c r="O75" i="19"/>
  <c r="P75" i="19"/>
  <c r="Q75" i="19"/>
  <c r="R75" i="19"/>
  <c r="R76" i="19" s="1"/>
  <c r="R77" i="19" s="1" a="1"/>
  <c r="R77" i="19" s="1"/>
  <c r="U157" i="1" s="1"/>
  <c r="S75" i="19"/>
  <c r="T75" i="19"/>
  <c r="U75" i="19"/>
  <c r="V75" i="19"/>
  <c r="W75" i="19"/>
  <c r="X75" i="19"/>
  <c r="Y75" i="19"/>
  <c r="Z75" i="19"/>
  <c r="C76" i="19"/>
  <c r="K76" i="19"/>
  <c r="L76" i="19"/>
  <c r="L77" i="19" s="1" a="1"/>
  <c r="L77" i="19" s="1"/>
  <c r="O157" i="1" s="1"/>
  <c r="O76" i="19"/>
  <c r="S76" i="19"/>
  <c r="S77" i="19" s="1" a="1"/>
  <c r="S77" i="19" s="1"/>
  <c r="V157" i="1" s="1"/>
  <c r="T76" i="19"/>
  <c r="T77" i="19" s="1" a="1"/>
  <c r="T77" i="19" s="1"/>
  <c r="W157" i="1" s="1"/>
  <c r="W76" i="19"/>
  <c r="W77" i="19" s="1" a="1"/>
  <c r="W77" i="19" s="1"/>
  <c r="Z157" i="1" s="1"/>
  <c r="X76" i="19"/>
  <c r="X77" i="19" s="1" a="1"/>
  <c r="X77" i="19" s="1"/>
  <c r="AA157" i="1" s="1"/>
  <c r="C77" i="19" a="1"/>
  <c r="C77" i="19" s="1"/>
  <c r="F157" i="1" s="1"/>
  <c r="K77" i="19" a="1"/>
  <c r="K77" i="19" s="1"/>
  <c r="N157" i="1" s="1"/>
  <c r="O77" i="19" a="1"/>
  <c r="O77" i="19" s="1"/>
  <c r="R157" i="1" s="1"/>
  <c r="C72" i="19"/>
  <c r="D72" i="19"/>
  <c r="D76" i="19" s="1"/>
  <c r="D77" i="19" s="1" a="1"/>
  <c r="D77" i="19" s="1"/>
  <c r="G157" i="1" s="1"/>
  <c r="E72" i="19"/>
  <c r="E76" i="19" s="1"/>
  <c r="E77" i="19" s="1" a="1"/>
  <c r="E77" i="19" s="1"/>
  <c r="H157" i="1" s="1"/>
  <c r="F72" i="19"/>
  <c r="F76" i="19" s="1"/>
  <c r="F77" i="19" s="1" a="1"/>
  <c r="F77" i="19" s="1"/>
  <c r="I157" i="1" s="1"/>
  <c r="G72" i="19"/>
  <c r="G76" i="19" s="1"/>
  <c r="G77" i="19" s="1" a="1"/>
  <c r="G77" i="19" s="1"/>
  <c r="J157" i="1" s="1"/>
  <c r="H72" i="19"/>
  <c r="H76" i="19" s="1"/>
  <c r="H77" i="19" s="1" a="1"/>
  <c r="H77" i="19" s="1"/>
  <c r="K157" i="1" s="1"/>
  <c r="I72" i="19"/>
  <c r="J72" i="19"/>
  <c r="K72" i="19"/>
  <c r="L72" i="19"/>
  <c r="M72" i="19"/>
  <c r="M76" i="19" s="1"/>
  <c r="M77" i="19" s="1" a="1"/>
  <c r="M77" i="19" s="1"/>
  <c r="P157" i="1" s="1"/>
  <c r="N72" i="19"/>
  <c r="N76" i="19" s="1"/>
  <c r="N77" i="19" s="1" a="1"/>
  <c r="N77" i="19" s="1"/>
  <c r="Q157" i="1" s="1"/>
  <c r="O72" i="19"/>
  <c r="P72" i="19"/>
  <c r="P76" i="19" s="1"/>
  <c r="P77" i="19" s="1" a="1"/>
  <c r="P77" i="19" s="1"/>
  <c r="S157" i="1" s="1"/>
  <c r="Q72" i="19"/>
  <c r="R72" i="19"/>
  <c r="S72" i="19"/>
  <c r="T72" i="19"/>
  <c r="U72" i="19"/>
  <c r="U76" i="19" s="1"/>
  <c r="U77" i="19" s="1" a="1"/>
  <c r="U77" i="19" s="1"/>
  <c r="X157" i="1" s="1"/>
  <c r="V72" i="19"/>
  <c r="V76" i="19" s="1"/>
  <c r="V77" i="19" s="1" a="1"/>
  <c r="V77" i="19" s="1"/>
  <c r="Y157" i="1" s="1"/>
  <c r="W72" i="19"/>
  <c r="X72" i="19"/>
  <c r="Y72" i="19"/>
  <c r="Z72" i="19"/>
  <c r="C67" i="19"/>
  <c r="D67" i="19"/>
  <c r="E67" i="19"/>
  <c r="E68" i="19" s="1"/>
  <c r="E69" i="19" s="1" a="1"/>
  <c r="E69" i="19" s="1"/>
  <c r="H156" i="1" s="1"/>
  <c r="F67" i="19"/>
  <c r="G67" i="19"/>
  <c r="H67" i="19"/>
  <c r="I67" i="19"/>
  <c r="J67" i="19"/>
  <c r="K67" i="19"/>
  <c r="L67" i="19"/>
  <c r="M67" i="19"/>
  <c r="M68" i="19" s="1"/>
  <c r="M69" i="19" s="1" a="1"/>
  <c r="M69" i="19" s="1"/>
  <c r="P156" i="1" s="1"/>
  <c r="N67" i="19"/>
  <c r="O67" i="19"/>
  <c r="P67" i="19"/>
  <c r="Q67" i="19"/>
  <c r="R67" i="19"/>
  <c r="S67" i="19"/>
  <c r="T67" i="19"/>
  <c r="U67" i="19"/>
  <c r="U68" i="19" s="1"/>
  <c r="U69" i="19" s="1" a="1"/>
  <c r="U69" i="19" s="1"/>
  <c r="X156" i="1" s="1"/>
  <c r="V67" i="19"/>
  <c r="W67" i="19"/>
  <c r="X67" i="19"/>
  <c r="Y67" i="19"/>
  <c r="Z67" i="19"/>
  <c r="D68" i="19"/>
  <c r="F68" i="19"/>
  <c r="F69" i="19" s="1" a="1"/>
  <c r="F69" i="19" s="1"/>
  <c r="I156" i="1" s="1"/>
  <c r="N68" i="19"/>
  <c r="P68" i="19"/>
  <c r="P69" i="19" s="1" a="1"/>
  <c r="P69" i="19" s="1"/>
  <c r="S156" i="1" s="1"/>
  <c r="X68" i="19"/>
  <c r="D69" i="19" a="1"/>
  <c r="D69" i="19" s="1"/>
  <c r="G156" i="1" s="1"/>
  <c r="N69" i="19" a="1"/>
  <c r="N69" i="19" s="1"/>
  <c r="Q156" i="1" s="1"/>
  <c r="X69" i="19" a="1"/>
  <c r="X69" i="19" s="1"/>
  <c r="AA156" i="1" s="1"/>
  <c r="C64" i="19"/>
  <c r="C68" i="19" s="1"/>
  <c r="C69" i="19" s="1" a="1"/>
  <c r="C69" i="19" s="1"/>
  <c r="F156" i="1" s="1"/>
  <c r="D64" i="19"/>
  <c r="E64" i="19"/>
  <c r="F64" i="19"/>
  <c r="G64" i="19"/>
  <c r="G68" i="19" s="1"/>
  <c r="G69" i="19" s="1" a="1"/>
  <c r="G69" i="19" s="1"/>
  <c r="J156" i="1" s="1"/>
  <c r="H64" i="19"/>
  <c r="H68" i="19" s="1"/>
  <c r="H69" i="19" s="1" a="1"/>
  <c r="H69" i="19" s="1"/>
  <c r="K156" i="1" s="1"/>
  <c r="I64" i="19"/>
  <c r="I68" i="19" s="1"/>
  <c r="I69" i="19" s="1" a="1"/>
  <c r="I69" i="19" s="1"/>
  <c r="L156" i="1" s="1"/>
  <c r="J64" i="19"/>
  <c r="J68" i="19" s="1"/>
  <c r="J69" i="19" s="1" a="1"/>
  <c r="J69" i="19" s="1"/>
  <c r="M156" i="1" s="1"/>
  <c r="K64" i="19"/>
  <c r="K68" i="19" s="1"/>
  <c r="K69" i="19" s="1" a="1"/>
  <c r="K69" i="19" s="1"/>
  <c r="N156" i="1" s="1"/>
  <c r="L64" i="19"/>
  <c r="L68" i="19" s="1"/>
  <c r="L69" i="19" s="1" a="1"/>
  <c r="L69" i="19" s="1"/>
  <c r="O156" i="1" s="1"/>
  <c r="M64" i="19"/>
  <c r="N64" i="19"/>
  <c r="O64" i="19"/>
  <c r="O68" i="19" s="1"/>
  <c r="O69" i="19" s="1" a="1"/>
  <c r="O69" i="19" s="1"/>
  <c r="R156" i="1" s="1"/>
  <c r="P64" i="19"/>
  <c r="Q64" i="19"/>
  <c r="Q68" i="19" s="1"/>
  <c r="Q69" i="19" s="1" a="1"/>
  <c r="Q69" i="19" s="1"/>
  <c r="T156" i="1" s="1"/>
  <c r="R64" i="19"/>
  <c r="R68" i="19" s="1"/>
  <c r="R69" i="19" s="1" a="1"/>
  <c r="R69" i="19" s="1"/>
  <c r="U156" i="1" s="1"/>
  <c r="S64" i="19"/>
  <c r="S68" i="19" s="1"/>
  <c r="S69" i="19" s="1" a="1"/>
  <c r="S69" i="19" s="1"/>
  <c r="V156" i="1" s="1"/>
  <c r="T64" i="19"/>
  <c r="T68" i="19" s="1"/>
  <c r="T69" i="19" s="1" a="1"/>
  <c r="T69" i="19" s="1"/>
  <c r="W156" i="1" s="1"/>
  <c r="U64" i="19"/>
  <c r="V64" i="19"/>
  <c r="V68" i="19" s="1"/>
  <c r="V69" i="19" s="1" a="1"/>
  <c r="V69" i="19" s="1"/>
  <c r="Y156" i="1" s="1"/>
  <c r="W64" i="19"/>
  <c r="W68" i="19" s="1"/>
  <c r="W69" i="19" s="1" a="1"/>
  <c r="W69" i="19" s="1"/>
  <c r="Z156" i="1" s="1"/>
  <c r="X64" i="19"/>
  <c r="Y64" i="19"/>
  <c r="Y68" i="19" s="1"/>
  <c r="Y69" i="19" s="1" a="1"/>
  <c r="Y69" i="19" s="1"/>
  <c r="AB156" i="1" s="1"/>
  <c r="Z64" i="19"/>
  <c r="Z68" i="19" s="1"/>
  <c r="Z69" i="19" s="1" a="1"/>
  <c r="Z69" i="19" s="1"/>
  <c r="AC156" i="1" s="1"/>
  <c r="C59" i="19"/>
  <c r="D59" i="19"/>
  <c r="E59" i="19"/>
  <c r="F59" i="19"/>
  <c r="G59" i="19"/>
  <c r="G60" i="19" s="1"/>
  <c r="G61" i="19" s="1" a="1"/>
  <c r="G61" i="19" s="1"/>
  <c r="J155" i="1" s="1"/>
  <c r="H59" i="19"/>
  <c r="I59" i="19"/>
  <c r="J59" i="19"/>
  <c r="K59" i="19"/>
  <c r="L59" i="19"/>
  <c r="M59" i="19"/>
  <c r="N59" i="19"/>
  <c r="O59" i="19"/>
  <c r="O60" i="19" s="1"/>
  <c r="O61" i="19" s="1" a="1"/>
  <c r="O61" i="19" s="1"/>
  <c r="R155" i="1" s="1"/>
  <c r="P59" i="19"/>
  <c r="Q59" i="19"/>
  <c r="R59" i="19"/>
  <c r="S59" i="19"/>
  <c r="T59" i="19"/>
  <c r="U59" i="19"/>
  <c r="V59" i="19"/>
  <c r="W59" i="19"/>
  <c r="X59" i="19"/>
  <c r="Y59" i="19"/>
  <c r="Z59" i="19"/>
  <c r="E60" i="19"/>
  <c r="H60" i="19"/>
  <c r="M60" i="19"/>
  <c r="M61" i="19" s="1" a="1"/>
  <c r="M61" i="19" s="1"/>
  <c r="P155" i="1" s="1"/>
  <c r="U60" i="19"/>
  <c r="U61" i="19" s="1" a="1"/>
  <c r="U61" i="19" s="1"/>
  <c r="X155" i="1" s="1"/>
  <c r="V60" i="19"/>
  <c r="V61" i="19" s="1" a="1"/>
  <c r="V61" i="19" s="1"/>
  <c r="Y155" i="1" s="1"/>
  <c r="W60" i="19"/>
  <c r="W61" i="19" s="1" a="1"/>
  <c r="W61" i="19" s="1"/>
  <c r="Z155" i="1" s="1"/>
  <c r="E61" i="19" a="1"/>
  <c r="E61" i="19" s="1"/>
  <c r="H155" i="1" s="1"/>
  <c r="H61" i="19" a="1"/>
  <c r="H61" i="19" s="1"/>
  <c r="K155" i="1" s="1"/>
  <c r="R61" i="19" a="1"/>
  <c r="R61" i="19" s="1"/>
  <c r="U155" i="1" s="1"/>
  <c r="C56" i="19"/>
  <c r="C60" i="19" s="1"/>
  <c r="C61" i="19" s="1" a="1"/>
  <c r="C61" i="19" s="1"/>
  <c r="F155" i="1" s="1"/>
  <c r="D56" i="19"/>
  <c r="D60" i="19" s="1"/>
  <c r="D61" i="19" s="1" a="1"/>
  <c r="D61" i="19" s="1"/>
  <c r="G155" i="1" s="1"/>
  <c r="E56" i="19"/>
  <c r="F56" i="19"/>
  <c r="F60" i="19" s="1"/>
  <c r="F61" i="19" s="1" a="1"/>
  <c r="F61" i="19" s="1"/>
  <c r="I155" i="1" s="1"/>
  <c r="G56" i="19"/>
  <c r="H56" i="19"/>
  <c r="I56" i="19"/>
  <c r="I60" i="19" s="1"/>
  <c r="I61" i="19" s="1" a="1"/>
  <c r="I61" i="19" s="1"/>
  <c r="L155" i="1" s="1"/>
  <c r="J56" i="19"/>
  <c r="J60" i="19" s="1"/>
  <c r="J61" i="19" s="1" a="1"/>
  <c r="J61" i="19" s="1"/>
  <c r="M155" i="1" s="1"/>
  <c r="K56" i="19"/>
  <c r="K60" i="19" s="1"/>
  <c r="K61" i="19" s="1" a="1"/>
  <c r="K61" i="19" s="1"/>
  <c r="N155" i="1" s="1"/>
  <c r="L56" i="19"/>
  <c r="L60" i="19" s="1"/>
  <c r="L61" i="19" s="1" a="1"/>
  <c r="L61" i="19" s="1"/>
  <c r="O155" i="1" s="1"/>
  <c r="M56" i="19"/>
  <c r="N56" i="19"/>
  <c r="N60" i="19" s="1"/>
  <c r="N61" i="19" s="1" a="1"/>
  <c r="N61" i="19" s="1"/>
  <c r="Q155" i="1" s="1"/>
  <c r="O56" i="19"/>
  <c r="P56" i="19"/>
  <c r="P60" i="19" s="1"/>
  <c r="P61" i="19" s="1" a="1"/>
  <c r="P61" i="19" s="1"/>
  <c r="S155" i="1" s="1"/>
  <c r="Q56" i="19"/>
  <c r="Q60" i="19" s="1"/>
  <c r="Q61" i="19" s="1" a="1"/>
  <c r="Q61" i="19" s="1"/>
  <c r="T155" i="1" s="1"/>
  <c r="R56" i="19"/>
  <c r="R60" i="19" s="1"/>
  <c r="S56" i="19"/>
  <c r="S60" i="19" s="1"/>
  <c r="S61" i="19" s="1" a="1"/>
  <c r="S61" i="19" s="1"/>
  <c r="V155" i="1" s="1"/>
  <c r="T56" i="19"/>
  <c r="T60" i="19" s="1"/>
  <c r="T61" i="19" s="1" a="1"/>
  <c r="T61" i="19" s="1"/>
  <c r="W155" i="1" s="1"/>
  <c r="U56" i="19"/>
  <c r="V56" i="19"/>
  <c r="W56" i="19"/>
  <c r="X56" i="19"/>
  <c r="X60" i="19" s="1"/>
  <c r="X61" i="19" s="1" a="1"/>
  <c r="X61" i="19" s="1"/>
  <c r="AA155" i="1" s="1"/>
  <c r="Y56" i="19"/>
  <c r="Y60" i="19" s="1"/>
  <c r="Y61" i="19" s="1" a="1"/>
  <c r="Y61" i="19" s="1"/>
  <c r="AB155" i="1" s="1"/>
  <c r="Z56" i="19"/>
  <c r="Z60" i="19" s="1"/>
  <c r="Z61" i="19" s="1" a="1"/>
  <c r="Z61" i="19" s="1"/>
  <c r="AC155" i="1" s="1"/>
  <c r="C51" i="19"/>
  <c r="D51" i="19"/>
  <c r="D52" i="19" s="1"/>
  <c r="D53" i="19" s="1" a="1"/>
  <c r="D53" i="19" s="1"/>
  <c r="G154" i="1" s="1"/>
  <c r="E51" i="19"/>
  <c r="F51" i="19"/>
  <c r="G51" i="19"/>
  <c r="H51" i="19"/>
  <c r="I51" i="19"/>
  <c r="I52" i="19" s="1"/>
  <c r="I53" i="19" s="1" a="1"/>
  <c r="I53" i="19" s="1"/>
  <c r="L154" i="1" s="1"/>
  <c r="J51" i="19"/>
  <c r="K51" i="19"/>
  <c r="L51" i="19"/>
  <c r="M51" i="19"/>
  <c r="N51" i="19"/>
  <c r="O51" i="19"/>
  <c r="O52" i="19" s="1"/>
  <c r="O53" i="19" s="1" a="1"/>
  <c r="O53" i="19" s="1"/>
  <c r="R154" i="1" s="1"/>
  <c r="P51" i="19"/>
  <c r="Q51" i="19"/>
  <c r="R51" i="19"/>
  <c r="S51" i="19"/>
  <c r="T51" i="19"/>
  <c r="T52" i="19" s="1"/>
  <c r="T53" i="19" s="1" a="1"/>
  <c r="T53" i="19" s="1"/>
  <c r="W154" i="1" s="1"/>
  <c r="U51" i="19"/>
  <c r="V51" i="19"/>
  <c r="W51" i="19"/>
  <c r="X51" i="19"/>
  <c r="Y51" i="19"/>
  <c r="Y52" i="19" s="1"/>
  <c r="Y53" i="19" s="1" a="1"/>
  <c r="Y53" i="19" s="1"/>
  <c r="AB154" i="1" s="1"/>
  <c r="Z51" i="19"/>
  <c r="E52" i="19"/>
  <c r="E53" i="19" s="1" a="1"/>
  <c r="E53" i="19" s="1"/>
  <c r="H154" i="1" s="1"/>
  <c r="G52" i="19"/>
  <c r="G53" i="19" s="1" a="1"/>
  <c r="G53" i="19" s="1"/>
  <c r="J154" i="1" s="1"/>
  <c r="J52" i="19"/>
  <c r="N52" i="19"/>
  <c r="N53" i="19" s="1" a="1"/>
  <c r="N53" i="19" s="1"/>
  <c r="Q154" i="1" s="1"/>
  <c r="W52" i="19"/>
  <c r="W53" i="19" s="1" a="1"/>
  <c r="W53" i="19" s="1"/>
  <c r="Z154" i="1" s="1"/>
  <c r="J53" i="19" a="1"/>
  <c r="J53" i="19" s="1"/>
  <c r="M154" i="1" s="1"/>
  <c r="C48" i="19"/>
  <c r="C52" i="19" s="1"/>
  <c r="C53" i="19" s="1" a="1"/>
  <c r="C53" i="19" s="1"/>
  <c r="F154" i="1" s="1"/>
  <c r="D48" i="19"/>
  <c r="E48" i="19"/>
  <c r="F48" i="19"/>
  <c r="F52" i="19" s="1"/>
  <c r="F53" i="19" s="1" a="1"/>
  <c r="F53" i="19" s="1"/>
  <c r="I154" i="1" s="1"/>
  <c r="G48" i="19"/>
  <c r="H48" i="19"/>
  <c r="H52" i="19" s="1"/>
  <c r="H53" i="19" s="1" a="1"/>
  <c r="H53" i="19" s="1"/>
  <c r="K154" i="1" s="1"/>
  <c r="I48" i="19"/>
  <c r="J48" i="19"/>
  <c r="K48" i="19"/>
  <c r="K52" i="19" s="1"/>
  <c r="K53" i="19" s="1" a="1"/>
  <c r="K53" i="19" s="1"/>
  <c r="N154" i="1" s="1"/>
  <c r="L48" i="19"/>
  <c r="M48" i="19"/>
  <c r="M52" i="19" s="1"/>
  <c r="M53" i="19" s="1" a="1"/>
  <c r="M53" i="19" s="1"/>
  <c r="P154" i="1" s="1"/>
  <c r="N48" i="19"/>
  <c r="O48" i="19"/>
  <c r="P48" i="19"/>
  <c r="P52" i="19" s="1"/>
  <c r="P53" i="19" s="1" a="1"/>
  <c r="P53" i="19" s="1"/>
  <c r="S154" i="1" s="1"/>
  <c r="Q48" i="19"/>
  <c r="Q52" i="19" s="1"/>
  <c r="Q53" i="19" s="1" a="1"/>
  <c r="Q53" i="19" s="1"/>
  <c r="T154" i="1" s="1"/>
  <c r="R48" i="19"/>
  <c r="R52" i="19" s="1"/>
  <c r="R53" i="19" s="1" a="1"/>
  <c r="R53" i="19" s="1"/>
  <c r="U154" i="1" s="1"/>
  <c r="S48" i="19"/>
  <c r="S52" i="19" s="1"/>
  <c r="S53" i="19" s="1" a="1"/>
  <c r="S53" i="19" s="1"/>
  <c r="V154" i="1" s="1"/>
  <c r="T48" i="19"/>
  <c r="U48" i="19"/>
  <c r="U52" i="19" s="1"/>
  <c r="U53" i="19" s="1" a="1"/>
  <c r="U53" i="19" s="1"/>
  <c r="X154" i="1" s="1"/>
  <c r="V48" i="19"/>
  <c r="V52" i="19" s="1"/>
  <c r="V53" i="19" s="1" a="1"/>
  <c r="V53" i="19" s="1"/>
  <c r="Y154" i="1" s="1"/>
  <c r="W48" i="19"/>
  <c r="X48" i="19"/>
  <c r="X52" i="19" s="1"/>
  <c r="X53" i="19" s="1" a="1"/>
  <c r="X53" i="19" s="1"/>
  <c r="AA154" i="1" s="1"/>
  <c r="Y48" i="19"/>
  <c r="Z48" i="19"/>
  <c r="Z52" i="19" s="1"/>
  <c r="Z53" i="19" s="1" a="1"/>
  <c r="Z53" i="19" s="1"/>
  <c r="AC154" i="1" s="1"/>
  <c r="C43" i="19"/>
  <c r="D43" i="19"/>
  <c r="E43" i="19"/>
  <c r="F43" i="19"/>
  <c r="G43" i="19"/>
  <c r="H43" i="19"/>
  <c r="I43" i="19"/>
  <c r="J43" i="19"/>
  <c r="J44" i="19" s="1"/>
  <c r="J45" i="19" s="1" a="1"/>
  <c r="J45" i="19" s="1"/>
  <c r="M153" i="1" s="1"/>
  <c r="K43" i="19"/>
  <c r="L43" i="19"/>
  <c r="M43" i="19"/>
  <c r="N43" i="19"/>
  <c r="O43" i="19"/>
  <c r="P43" i="19"/>
  <c r="Q43" i="19"/>
  <c r="R43" i="19"/>
  <c r="R44" i="19" s="1"/>
  <c r="R45" i="19" s="1" a="1"/>
  <c r="R45" i="19" s="1"/>
  <c r="U153" i="1" s="1"/>
  <c r="S43" i="19"/>
  <c r="T43" i="19"/>
  <c r="U43" i="19"/>
  <c r="U44" i="19" s="1"/>
  <c r="U45" i="19" s="1" a="1"/>
  <c r="U45" i="19" s="1"/>
  <c r="X153" i="1" s="1"/>
  <c r="V43" i="19"/>
  <c r="W43" i="19"/>
  <c r="X43" i="19"/>
  <c r="Y43" i="19"/>
  <c r="Z43" i="19"/>
  <c r="Z44" i="19" s="1"/>
  <c r="Z45" i="19" s="1" a="1"/>
  <c r="Z45" i="19" s="1"/>
  <c r="AC153" i="1" s="1"/>
  <c r="C44" i="19"/>
  <c r="C45" i="19" s="1" a="1"/>
  <c r="C45" i="19" s="1"/>
  <c r="F153" i="1" s="1"/>
  <c r="E44" i="19"/>
  <c r="E45" i="19" s="1" a="1"/>
  <c r="E45" i="19" s="1"/>
  <c r="H153" i="1" s="1"/>
  <c r="F44" i="19"/>
  <c r="F45" i="19" s="1" a="1"/>
  <c r="F45" i="19" s="1"/>
  <c r="I153" i="1" s="1"/>
  <c r="P44" i="19"/>
  <c r="P45" i="19" s="1" a="1"/>
  <c r="P45" i="19" s="1"/>
  <c r="S153" i="1" s="1"/>
  <c r="X44" i="19"/>
  <c r="X45" i="19" s="1" a="1"/>
  <c r="X45" i="19" s="1"/>
  <c r="AA153" i="1" s="1"/>
  <c r="Y44" i="19"/>
  <c r="Y45" i="19" s="1" a="1"/>
  <c r="Y45" i="19" s="1"/>
  <c r="AB153" i="1" s="1"/>
  <c r="L45" i="19" a="1"/>
  <c r="L45" i="19" s="1"/>
  <c r="O153" i="1" s="1"/>
  <c r="V45" i="19" a="1"/>
  <c r="V45" i="19" s="1"/>
  <c r="Y153" i="1" s="1"/>
  <c r="C40" i="19"/>
  <c r="D40" i="19"/>
  <c r="D44" i="19" s="1"/>
  <c r="D45" i="19" s="1" a="1"/>
  <c r="D45" i="19" s="1"/>
  <c r="G153" i="1" s="1"/>
  <c r="E40" i="19"/>
  <c r="F40" i="19"/>
  <c r="G40" i="19"/>
  <c r="G44" i="19" s="1"/>
  <c r="G45" i="19" s="1" a="1"/>
  <c r="G45" i="19" s="1"/>
  <c r="J153" i="1" s="1"/>
  <c r="H40" i="19"/>
  <c r="H44" i="19" s="1"/>
  <c r="H45" i="19" s="1" a="1"/>
  <c r="H45" i="19" s="1"/>
  <c r="K153" i="1" s="1"/>
  <c r="I40" i="19"/>
  <c r="I44" i="19" s="1"/>
  <c r="I45" i="19" s="1" a="1"/>
  <c r="I45" i="19" s="1"/>
  <c r="L153" i="1" s="1"/>
  <c r="J40" i="19"/>
  <c r="K40" i="19"/>
  <c r="K44" i="19" s="1"/>
  <c r="K45" i="19" s="1" a="1"/>
  <c r="K45" i="19" s="1"/>
  <c r="N153" i="1" s="1"/>
  <c r="L40" i="19"/>
  <c r="L44" i="19" s="1"/>
  <c r="M40" i="19"/>
  <c r="M44" i="19" s="1"/>
  <c r="M45" i="19" s="1" a="1"/>
  <c r="M45" i="19" s="1"/>
  <c r="P153" i="1" s="1"/>
  <c r="N40" i="19"/>
  <c r="N44" i="19" s="1"/>
  <c r="N45" i="19" s="1" a="1"/>
  <c r="N45" i="19" s="1"/>
  <c r="Q153" i="1" s="1"/>
  <c r="O40" i="19"/>
  <c r="O44" i="19" s="1"/>
  <c r="O45" i="19" s="1" a="1"/>
  <c r="O45" i="19" s="1"/>
  <c r="R153" i="1" s="1"/>
  <c r="P40" i="19"/>
  <c r="Q40" i="19"/>
  <c r="Q44" i="19" s="1"/>
  <c r="Q45" i="19" s="1" a="1"/>
  <c r="Q45" i="19" s="1"/>
  <c r="T153" i="1" s="1"/>
  <c r="R40" i="19"/>
  <c r="S40" i="19"/>
  <c r="S44" i="19" s="1"/>
  <c r="S45" i="19" s="1" a="1"/>
  <c r="S45" i="19" s="1"/>
  <c r="V153" i="1" s="1"/>
  <c r="T40" i="19"/>
  <c r="T44" i="19" s="1"/>
  <c r="T45" i="19" s="1" a="1"/>
  <c r="T45" i="19" s="1"/>
  <c r="W153" i="1" s="1"/>
  <c r="U40" i="19"/>
  <c r="V40" i="19"/>
  <c r="V44" i="19" s="1"/>
  <c r="W40" i="19"/>
  <c r="W44" i="19" s="1"/>
  <c r="W45" i="19" s="1" a="1"/>
  <c r="W45" i="19" s="1"/>
  <c r="Z153" i="1" s="1"/>
  <c r="X40" i="19"/>
  <c r="Y40" i="19"/>
  <c r="Z40" i="19"/>
  <c r="C35" i="19"/>
  <c r="D35" i="19"/>
  <c r="E35" i="19"/>
  <c r="F35" i="19"/>
  <c r="G35" i="19"/>
  <c r="H35" i="19"/>
  <c r="I35" i="19"/>
  <c r="J35" i="19"/>
  <c r="K35" i="19"/>
  <c r="L35" i="19"/>
  <c r="L36" i="19" s="1"/>
  <c r="L37" i="19" s="1" a="1"/>
  <c r="L37" i="19" s="1"/>
  <c r="O152" i="1" s="1"/>
  <c r="M35" i="19"/>
  <c r="N35" i="19"/>
  <c r="O35" i="19"/>
  <c r="O36" i="19" s="1"/>
  <c r="O37" i="19" s="1" a="1"/>
  <c r="O37" i="19" s="1"/>
  <c r="R152" i="1" s="1"/>
  <c r="P35" i="19"/>
  <c r="Q35" i="19"/>
  <c r="R35" i="19"/>
  <c r="S35" i="19"/>
  <c r="T35" i="19"/>
  <c r="T36" i="19" s="1"/>
  <c r="T37" i="19" s="1" a="1"/>
  <c r="T37" i="19" s="1"/>
  <c r="W152" i="1" s="1"/>
  <c r="U35" i="19"/>
  <c r="V35" i="19"/>
  <c r="W35" i="19"/>
  <c r="W36" i="19" s="1"/>
  <c r="W37" i="19" s="1" a="1"/>
  <c r="W37" i="19" s="1"/>
  <c r="Z152" i="1" s="1"/>
  <c r="X35" i="19"/>
  <c r="Y35" i="19"/>
  <c r="Z35" i="19"/>
  <c r="D36" i="19"/>
  <c r="D37" i="19" s="1" a="1"/>
  <c r="D37" i="19" s="1"/>
  <c r="G152" i="1" s="1"/>
  <c r="G36" i="19"/>
  <c r="G37" i="19" s="1" a="1"/>
  <c r="G37" i="19" s="1"/>
  <c r="J152" i="1" s="1"/>
  <c r="I36" i="19"/>
  <c r="P36" i="19"/>
  <c r="P37" i="19" s="1" a="1"/>
  <c r="P37" i="19" s="1"/>
  <c r="S152" i="1" s="1"/>
  <c r="X36" i="19"/>
  <c r="X37" i="19" s="1" a="1"/>
  <c r="X37" i="19" s="1"/>
  <c r="AA152" i="1" s="1"/>
  <c r="Y36" i="19"/>
  <c r="Y37" i="19" s="1" a="1"/>
  <c r="Y37" i="19" s="1"/>
  <c r="AB152" i="1" s="1"/>
  <c r="I37" i="19" a="1"/>
  <c r="I37" i="19" s="1"/>
  <c r="L152" i="1" s="1"/>
  <c r="K37" i="19" a="1"/>
  <c r="K37" i="19" s="1"/>
  <c r="N152" i="1" s="1"/>
  <c r="U37" i="19" a="1"/>
  <c r="U37" i="19" s="1"/>
  <c r="X152" i="1" s="1"/>
  <c r="C32" i="19"/>
  <c r="C36" i="19" s="1"/>
  <c r="C37" i="19" s="1" a="1"/>
  <c r="C37" i="19" s="1"/>
  <c r="F152" i="1" s="1"/>
  <c r="D32" i="19"/>
  <c r="E32" i="19"/>
  <c r="E36" i="19" s="1"/>
  <c r="E37" i="19" s="1" a="1"/>
  <c r="E37" i="19" s="1"/>
  <c r="H152" i="1" s="1"/>
  <c r="F32" i="19"/>
  <c r="F36" i="19" s="1"/>
  <c r="F37" i="19" s="1" a="1"/>
  <c r="F37" i="19" s="1"/>
  <c r="I152" i="1" s="1"/>
  <c r="G32" i="19"/>
  <c r="H32" i="19"/>
  <c r="H36" i="19" s="1"/>
  <c r="H37" i="19" s="1" a="1"/>
  <c r="H37" i="19" s="1"/>
  <c r="K152" i="1" s="1"/>
  <c r="I32" i="19"/>
  <c r="J32" i="19"/>
  <c r="J36" i="19" s="1"/>
  <c r="J37" i="19" s="1" a="1"/>
  <c r="J37" i="19" s="1"/>
  <c r="M152" i="1" s="1"/>
  <c r="K32" i="19"/>
  <c r="K36" i="19" s="1"/>
  <c r="L32" i="19"/>
  <c r="M32" i="19"/>
  <c r="M36" i="19" s="1"/>
  <c r="M37" i="19" s="1" a="1"/>
  <c r="M37" i="19" s="1"/>
  <c r="P152" i="1" s="1"/>
  <c r="N32" i="19"/>
  <c r="N36" i="19" s="1"/>
  <c r="N37" i="19" s="1" a="1"/>
  <c r="N37" i="19" s="1"/>
  <c r="Q152" i="1" s="1"/>
  <c r="O32" i="19"/>
  <c r="P32" i="19"/>
  <c r="Q32" i="19"/>
  <c r="Q36" i="19" s="1"/>
  <c r="Q37" i="19" s="1" a="1"/>
  <c r="Q37" i="19" s="1"/>
  <c r="T152" i="1" s="1"/>
  <c r="R32" i="19"/>
  <c r="R36" i="19" s="1"/>
  <c r="R37" i="19" s="1" a="1"/>
  <c r="R37" i="19" s="1"/>
  <c r="U152" i="1" s="1"/>
  <c r="S32" i="19"/>
  <c r="S36" i="19" s="1"/>
  <c r="S37" i="19" s="1" a="1"/>
  <c r="S37" i="19" s="1"/>
  <c r="V152" i="1" s="1"/>
  <c r="T32" i="19"/>
  <c r="U32" i="19"/>
  <c r="U36" i="19" s="1"/>
  <c r="V32" i="19"/>
  <c r="V36" i="19" s="1"/>
  <c r="V37" i="19" s="1" a="1"/>
  <c r="V37" i="19" s="1"/>
  <c r="Y152" i="1" s="1"/>
  <c r="W32" i="19"/>
  <c r="X32" i="19"/>
  <c r="Y32" i="19"/>
  <c r="Z32" i="19"/>
  <c r="Z36" i="19" s="1"/>
  <c r="Z37" i="19" s="1" a="1"/>
  <c r="Z37" i="19" s="1"/>
  <c r="AC152" i="1" s="1"/>
  <c r="C27" i="19"/>
  <c r="D27" i="19"/>
  <c r="E27" i="19"/>
  <c r="E28" i="19" s="1"/>
  <c r="E29" i="19" s="1" a="1"/>
  <c r="E29" i="19" s="1"/>
  <c r="H151" i="1" s="1"/>
  <c r="F27" i="19"/>
  <c r="F28" i="19" s="1"/>
  <c r="F29" i="19" s="1" a="1"/>
  <c r="F29" i="19" s="1"/>
  <c r="I151" i="1" s="1"/>
  <c r="G27" i="19"/>
  <c r="H27" i="19"/>
  <c r="I27" i="19"/>
  <c r="J27" i="19"/>
  <c r="K27" i="19"/>
  <c r="K28" i="19" s="1"/>
  <c r="K29" i="19" s="1" a="1"/>
  <c r="K29" i="19" s="1"/>
  <c r="N151" i="1" s="1"/>
  <c r="L27" i="19"/>
  <c r="M27" i="19"/>
  <c r="M28" i="19" s="1"/>
  <c r="M29" i="19" s="1" a="1"/>
  <c r="M29" i="19" s="1"/>
  <c r="P151" i="1" s="1"/>
  <c r="N27" i="19"/>
  <c r="N28" i="19" s="1"/>
  <c r="N29" i="19" s="1" a="1"/>
  <c r="N29" i="19" s="1"/>
  <c r="Q151" i="1" s="1"/>
  <c r="O27" i="19"/>
  <c r="P27" i="19"/>
  <c r="Q27" i="19"/>
  <c r="R27" i="19"/>
  <c r="S27" i="19"/>
  <c r="S28" i="19" s="1"/>
  <c r="S29" i="19" s="1" a="1"/>
  <c r="S29" i="19" s="1"/>
  <c r="V151" i="1" s="1"/>
  <c r="T27" i="19"/>
  <c r="U27" i="19"/>
  <c r="U28" i="19" s="1"/>
  <c r="U29" i="19" s="1" a="1"/>
  <c r="U29" i="19" s="1"/>
  <c r="X151" i="1" s="1"/>
  <c r="V27" i="19"/>
  <c r="V28" i="19" s="1"/>
  <c r="V29" i="19" s="1" a="1"/>
  <c r="V29" i="19" s="1"/>
  <c r="Y151" i="1" s="1"/>
  <c r="W27" i="19"/>
  <c r="X27" i="19"/>
  <c r="Y27" i="19"/>
  <c r="Z27" i="19"/>
  <c r="C28" i="19"/>
  <c r="C29" i="19" s="1" a="1"/>
  <c r="C29" i="19" s="1"/>
  <c r="F151" i="1" s="1"/>
  <c r="G28" i="19"/>
  <c r="G29" i="19" s="1" a="1"/>
  <c r="G29" i="19" s="1"/>
  <c r="J151" i="1" s="1"/>
  <c r="O28" i="19"/>
  <c r="O29" i="19" s="1" a="1"/>
  <c r="O29" i="19" s="1"/>
  <c r="R151" i="1" s="1"/>
  <c r="P28" i="19"/>
  <c r="P29" i="19" s="1" a="1"/>
  <c r="P29" i="19" s="1"/>
  <c r="S151" i="1" s="1"/>
  <c r="X28" i="19"/>
  <c r="X29" i="19" s="1" a="1"/>
  <c r="X29" i="19" s="1"/>
  <c r="AA151" i="1" s="1"/>
  <c r="Y28" i="19"/>
  <c r="Y29" i="19" s="1" a="1"/>
  <c r="Y29" i="19" s="1"/>
  <c r="AB151" i="1" s="1"/>
  <c r="D29" i="19"/>
  <c r="G151" i="1" s="1"/>
  <c r="L29" i="19" a="1"/>
  <c r="L29" i="19" s="1"/>
  <c r="O151" i="1" s="1"/>
  <c r="C24" i="19"/>
  <c r="D24" i="19"/>
  <c r="D28" i="19" s="1"/>
  <c r="D29" i="19" s="1" a="1"/>
  <c r="E24" i="19"/>
  <c r="F24" i="19"/>
  <c r="G24" i="19"/>
  <c r="H24" i="19"/>
  <c r="H28" i="19" s="1"/>
  <c r="H29" i="19" s="1" a="1"/>
  <c r="H29" i="19" s="1"/>
  <c r="K151" i="1" s="1"/>
  <c r="I24" i="19"/>
  <c r="I28" i="19" s="1"/>
  <c r="I29" i="19" s="1" a="1"/>
  <c r="I29" i="19" s="1"/>
  <c r="L151" i="1" s="1"/>
  <c r="J24" i="19"/>
  <c r="J28" i="19" s="1"/>
  <c r="J29" i="19" s="1" a="1"/>
  <c r="J29" i="19" s="1"/>
  <c r="M151" i="1" s="1"/>
  <c r="K24" i="19"/>
  <c r="L24" i="19"/>
  <c r="L28" i="19" s="1"/>
  <c r="M24" i="19"/>
  <c r="N24" i="19"/>
  <c r="O24" i="19"/>
  <c r="P24" i="19"/>
  <c r="Q24" i="19"/>
  <c r="Q28" i="19" s="1"/>
  <c r="Q29" i="19" s="1" a="1"/>
  <c r="Q29" i="19" s="1"/>
  <c r="T151" i="1" s="1"/>
  <c r="R24" i="19"/>
  <c r="R28" i="19" s="1"/>
  <c r="R29" i="19" s="1" a="1"/>
  <c r="R29" i="19" s="1"/>
  <c r="U151" i="1" s="1"/>
  <c r="S24" i="19"/>
  <c r="T24" i="19"/>
  <c r="T28" i="19" s="1"/>
  <c r="T29" i="19" s="1" a="1"/>
  <c r="T29" i="19" s="1"/>
  <c r="W151" i="1" s="1"/>
  <c r="U24" i="19"/>
  <c r="V24" i="19"/>
  <c r="W24" i="19"/>
  <c r="W28" i="19" s="1"/>
  <c r="W29" i="19" s="1" a="1"/>
  <c r="W29" i="19" s="1"/>
  <c r="Z151" i="1" s="1"/>
  <c r="X24" i="19"/>
  <c r="Y24" i="19"/>
  <c r="Z24" i="19"/>
  <c r="Z28" i="19" s="1"/>
  <c r="Z29" i="19" s="1" a="1"/>
  <c r="Z29" i="19" s="1"/>
  <c r="AC151" i="1" s="1"/>
  <c r="C19" i="19"/>
  <c r="D19" i="19"/>
  <c r="E19" i="19"/>
  <c r="F19" i="19"/>
  <c r="G19" i="19"/>
  <c r="G20" i="19" s="1"/>
  <c r="G21" i="19" s="1" a="1"/>
  <c r="G21" i="19" s="1"/>
  <c r="J150" i="1" s="1"/>
  <c r="H19" i="19"/>
  <c r="H20" i="19" s="1"/>
  <c r="H21" i="19" s="1" a="1"/>
  <c r="H21" i="19" s="1"/>
  <c r="K150" i="1" s="1"/>
  <c r="I19" i="19"/>
  <c r="J19" i="19"/>
  <c r="K19" i="19"/>
  <c r="L19" i="19"/>
  <c r="M19" i="19"/>
  <c r="N19" i="19"/>
  <c r="O19" i="19"/>
  <c r="O20" i="19" s="1"/>
  <c r="O21" i="19" s="1" a="1"/>
  <c r="O21" i="19" s="1"/>
  <c r="R150" i="1" s="1"/>
  <c r="P19" i="19"/>
  <c r="P20" i="19" s="1"/>
  <c r="P21" i="19" s="1" a="1"/>
  <c r="P21" i="19" s="1"/>
  <c r="S150" i="1" s="1"/>
  <c r="Q19" i="19"/>
  <c r="R19" i="19"/>
  <c r="R20" i="19" s="1"/>
  <c r="R21" i="19" s="1" a="1"/>
  <c r="R21" i="19" s="1"/>
  <c r="U150" i="1" s="1"/>
  <c r="S19" i="19"/>
  <c r="T19" i="19"/>
  <c r="U19" i="19"/>
  <c r="V19" i="19"/>
  <c r="W19" i="19"/>
  <c r="X19" i="19"/>
  <c r="X20" i="19" s="1"/>
  <c r="X21" i="19" s="1" a="1"/>
  <c r="X21" i="19" s="1"/>
  <c r="AA150" i="1" s="1"/>
  <c r="Y19" i="19"/>
  <c r="Z19" i="19"/>
  <c r="D20" i="19"/>
  <c r="D21" i="19" s="1" a="1"/>
  <c r="D21" i="19" s="1"/>
  <c r="G150" i="1" s="1"/>
  <c r="I20" i="19"/>
  <c r="L20" i="19"/>
  <c r="L21" i="19" s="1" a="1"/>
  <c r="L21" i="19" s="1"/>
  <c r="O150" i="1" s="1"/>
  <c r="M20" i="19"/>
  <c r="M21" i="19" s="1" a="1"/>
  <c r="M21" i="19" s="1"/>
  <c r="P150" i="1" s="1"/>
  <c r="Q20" i="19"/>
  <c r="I21" i="19" a="1"/>
  <c r="I21" i="19" s="1"/>
  <c r="L150" i="1" s="1"/>
  <c r="Q21" i="19" a="1"/>
  <c r="Q21" i="19" s="1"/>
  <c r="T150" i="1" s="1"/>
  <c r="S21" i="19" a="1"/>
  <c r="S21" i="19" s="1"/>
  <c r="V150" i="1" s="1"/>
  <c r="C16" i="19"/>
  <c r="C20" i="19" s="1"/>
  <c r="C21" i="19" s="1" a="1"/>
  <c r="C21" i="19" s="1"/>
  <c r="F150" i="1" s="1"/>
  <c r="D16" i="19"/>
  <c r="E16" i="19"/>
  <c r="E20" i="19" s="1"/>
  <c r="E21" i="19" s="1" a="1"/>
  <c r="E21" i="19" s="1"/>
  <c r="H150" i="1" s="1"/>
  <c r="F16" i="19"/>
  <c r="F20" i="19" s="1"/>
  <c r="F21" i="19" s="1" a="1"/>
  <c r="F21" i="19" s="1"/>
  <c r="I150" i="1" s="1"/>
  <c r="G16" i="19"/>
  <c r="H16" i="19"/>
  <c r="I16" i="19"/>
  <c r="J16" i="19"/>
  <c r="J20" i="19" s="1"/>
  <c r="J21" i="19" s="1" a="1"/>
  <c r="J21" i="19" s="1"/>
  <c r="M150" i="1" s="1"/>
  <c r="K16" i="19"/>
  <c r="K20" i="19" s="1"/>
  <c r="K21" i="19" s="1" a="1"/>
  <c r="K21" i="19" s="1"/>
  <c r="N150" i="1" s="1"/>
  <c r="L16" i="19"/>
  <c r="M16" i="19"/>
  <c r="N16" i="19"/>
  <c r="N20" i="19" s="1"/>
  <c r="N21" i="19" s="1" a="1"/>
  <c r="N21" i="19" s="1"/>
  <c r="Q150" i="1" s="1"/>
  <c r="O16" i="19"/>
  <c r="P16" i="19"/>
  <c r="Q16" i="19"/>
  <c r="R16" i="19"/>
  <c r="S16" i="19"/>
  <c r="S20" i="19" s="1"/>
  <c r="T16" i="19"/>
  <c r="T20" i="19" s="1"/>
  <c r="T21" i="19" s="1" a="1"/>
  <c r="T21" i="19" s="1"/>
  <c r="W150" i="1" s="1"/>
  <c r="U16" i="19"/>
  <c r="U20" i="19" s="1"/>
  <c r="U21" i="19" s="1" a="1"/>
  <c r="U21" i="19" s="1"/>
  <c r="X150" i="1" s="1"/>
  <c r="V16" i="19"/>
  <c r="V20" i="19" s="1"/>
  <c r="V21" i="19" s="1" a="1"/>
  <c r="V21" i="19" s="1"/>
  <c r="Y150" i="1" s="1"/>
  <c r="W16" i="19"/>
  <c r="W20" i="19" s="1"/>
  <c r="W21" i="19" s="1" a="1"/>
  <c r="W21" i="19" s="1"/>
  <c r="Z150" i="1" s="1"/>
  <c r="X16" i="19"/>
  <c r="Y16" i="19"/>
  <c r="Y20" i="19" s="1"/>
  <c r="Y21" i="19" s="1" a="1"/>
  <c r="Y21" i="19" s="1"/>
  <c r="AB150" i="1" s="1"/>
  <c r="Z16" i="19"/>
  <c r="Z20" i="19" s="1"/>
  <c r="Z21" i="19" s="1" a="1"/>
  <c r="Z21" i="19" s="1"/>
  <c r="AC150" i="1" s="1"/>
  <c r="L13" i="19" a="1"/>
  <c r="L13" i="19" s="1"/>
  <c r="O149" i="1" s="1"/>
  <c r="C12" i="19"/>
  <c r="C13" i="19" s="1" a="1"/>
  <c r="C13" i="19" s="1"/>
  <c r="F149" i="1" s="1"/>
  <c r="G12" i="19"/>
  <c r="G13" i="19" s="1" a="1"/>
  <c r="G13" i="19" s="1"/>
  <c r="J149" i="1" s="1"/>
  <c r="H12" i="19"/>
  <c r="H13" i="19" s="1" a="1"/>
  <c r="H13" i="19" s="1"/>
  <c r="K149" i="1" s="1"/>
  <c r="K12" i="19"/>
  <c r="K13" i="19" s="1" a="1"/>
  <c r="K13" i="19" s="1"/>
  <c r="N149" i="1" s="1"/>
  <c r="L12" i="19"/>
  <c r="P12" i="19"/>
  <c r="P13" i="19" s="1" a="1"/>
  <c r="P13" i="19" s="1"/>
  <c r="S149" i="1" s="1"/>
  <c r="T12" i="19"/>
  <c r="T13" i="19" s="1" a="1"/>
  <c r="T13" i="19" s="1"/>
  <c r="W149" i="1" s="1"/>
  <c r="U12" i="19"/>
  <c r="U13" i="19" s="1" a="1"/>
  <c r="U13" i="19" s="1"/>
  <c r="X149" i="1" s="1"/>
  <c r="C8" i="19"/>
  <c r="D8" i="19"/>
  <c r="D12" i="19" s="1"/>
  <c r="D13" i="19" s="1" a="1"/>
  <c r="D13" i="19" s="1"/>
  <c r="G149" i="1" s="1"/>
  <c r="E8" i="19"/>
  <c r="F8" i="19"/>
  <c r="F12" i="19" s="1"/>
  <c r="F13" i="19" s="1" a="1"/>
  <c r="F13" i="19" s="1"/>
  <c r="I149" i="1" s="1"/>
  <c r="G8" i="19"/>
  <c r="H8" i="19"/>
  <c r="I8" i="19"/>
  <c r="J8" i="19"/>
  <c r="J12" i="19" s="1"/>
  <c r="J13" i="19" s="1" a="1"/>
  <c r="J13" i="19" s="1"/>
  <c r="M149" i="1" s="1"/>
  <c r="K8" i="19"/>
  <c r="L8" i="19"/>
  <c r="M8" i="19"/>
  <c r="N8" i="19"/>
  <c r="N12" i="19" s="1"/>
  <c r="N13" i="19" s="1" a="1"/>
  <c r="N13" i="19" s="1"/>
  <c r="Q149" i="1" s="1"/>
  <c r="O8" i="19"/>
  <c r="P8" i="19"/>
  <c r="Q8" i="19"/>
  <c r="R8" i="19"/>
  <c r="S8" i="19"/>
  <c r="S12" i="19" s="1"/>
  <c r="S13" i="19" s="1" a="1"/>
  <c r="S13" i="19" s="1"/>
  <c r="V149" i="1" s="1"/>
  <c r="T8" i="19"/>
  <c r="U8" i="19"/>
  <c r="V8" i="19"/>
  <c r="V12" i="19" s="1"/>
  <c r="V13" i="19" s="1" a="1"/>
  <c r="V13" i="19" s="1"/>
  <c r="Y149" i="1" s="1"/>
  <c r="W8" i="19"/>
  <c r="X8" i="19"/>
  <c r="X12" i="19" s="1"/>
  <c r="X13" i="19" s="1" a="1"/>
  <c r="X13" i="19" s="1"/>
  <c r="AA149" i="1" s="1"/>
  <c r="Y8" i="19"/>
  <c r="Z8" i="19"/>
  <c r="Z12" i="19" s="1"/>
  <c r="Z13" i="19" s="1" a="1"/>
  <c r="Z13" i="19" s="1"/>
  <c r="AC149" i="1" s="1"/>
  <c r="AA8" i="19"/>
  <c r="C11" i="19"/>
  <c r="D11" i="19"/>
  <c r="E11" i="19"/>
  <c r="F11" i="19"/>
  <c r="G11" i="19"/>
  <c r="H11" i="19"/>
  <c r="I11" i="19"/>
  <c r="J11" i="19"/>
  <c r="K11" i="19"/>
  <c r="L11" i="19"/>
  <c r="M11" i="19"/>
  <c r="N11" i="19"/>
  <c r="O11" i="19"/>
  <c r="O12" i="19" s="1"/>
  <c r="O13" i="19" s="1" a="1"/>
  <c r="O13" i="19" s="1"/>
  <c r="R149" i="1" s="1"/>
  <c r="P11" i="19"/>
  <c r="Q11" i="19"/>
  <c r="R11" i="19"/>
  <c r="R12" i="19" s="1"/>
  <c r="R13" i="19" s="1" a="1"/>
  <c r="R13" i="19" s="1"/>
  <c r="U149" i="1" s="1"/>
  <c r="S11" i="19"/>
  <c r="T11" i="19"/>
  <c r="U11" i="19"/>
  <c r="V11" i="19"/>
  <c r="W11" i="19"/>
  <c r="W12" i="19" s="1"/>
  <c r="W13" i="19" s="1" a="1"/>
  <c r="W13" i="19" s="1"/>
  <c r="Z149" i="1" s="1"/>
  <c r="X11" i="19"/>
  <c r="Y11" i="19"/>
  <c r="Z11" i="19"/>
  <c r="C45" i="18" a="1"/>
  <c r="C45" i="18" s="1"/>
  <c r="D45" i="18" a="1"/>
  <c r="D45" i="18" s="1"/>
  <c r="E45" i="18" a="1"/>
  <c r="E45" i="18" s="1"/>
  <c r="F45" i="18" a="1"/>
  <c r="F45" i="18" s="1"/>
  <c r="G45" i="18" a="1"/>
  <c r="G45" i="18" s="1"/>
  <c r="H45" i="18" a="1"/>
  <c r="H45" i="18" s="1"/>
  <c r="I45" i="18" a="1"/>
  <c r="I45" i="18" s="1"/>
  <c r="J45" i="18" a="1"/>
  <c r="J45" i="18" s="1"/>
  <c r="K45" i="18" a="1"/>
  <c r="K45" i="18" s="1"/>
  <c r="L45" i="18" a="1"/>
  <c r="L45" i="18" s="1"/>
  <c r="M45" i="18" a="1"/>
  <c r="M45" i="18" s="1"/>
  <c r="N45" i="18" a="1"/>
  <c r="N45" i="18" s="1"/>
  <c r="C46" i="18" a="1"/>
  <c r="C46" i="18" s="1"/>
  <c r="D46" i="18" a="1"/>
  <c r="D46" i="18" s="1"/>
  <c r="E46" i="18" a="1"/>
  <c r="E46" i="18" s="1"/>
  <c r="F46" i="18" a="1"/>
  <c r="F46" i="18" s="1"/>
  <c r="G46" i="18" a="1"/>
  <c r="G46" i="18" s="1"/>
  <c r="H46" i="18" a="1"/>
  <c r="H46" i="18" s="1"/>
  <c r="I46" i="18" a="1"/>
  <c r="I46" i="18" s="1"/>
  <c r="J46" i="18" a="1"/>
  <c r="J46" i="18" s="1"/>
  <c r="K46" i="18" a="1"/>
  <c r="K46" i="18" s="1"/>
  <c r="L46" i="18" a="1"/>
  <c r="L46" i="18" s="1"/>
  <c r="M46" i="18" a="1"/>
  <c r="M46" i="18" s="1"/>
  <c r="N46" i="18" a="1"/>
  <c r="N46" i="18" s="1"/>
  <c r="C47" i="18" a="1"/>
  <c r="C47" i="18" s="1"/>
  <c r="D47" i="18" a="1"/>
  <c r="D47" i="18" s="1"/>
  <c r="E47" i="18" a="1"/>
  <c r="E47" i="18" s="1"/>
  <c r="F47" i="18" a="1"/>
  <c r="F47" i="18" s="1"/>
  <c r="G47" i="18" a="1"/>
  <c r="G47" i="18" s="1"/>
  <c r="H47" i="18" a="1"/>
  <c r="H47" i="18" s="1"/>
  <c r="I47" i="18" a="1"/>
  <c r="I47" i="18" s="1"/>
  <c r="J47" i="18" a="1"/>
  <c r="J47" i="18" s="1"/>
  <c r="K47" i="18" a="1"/>
  <c r="K47" i="18" s="1"/>
  <c r="L47" i="18" a="1"/>
  <c r="L47" i="18" s="1"/>
  <c r="M47" i="18" a="1"/>
  <c r="M47" i="18" s="1"/>
  <c r="N47" i="18" a="1"/>
  <c r="N47" i="18" s="1"/>
  <c r="C48" i="18" a="1"/>
  <c r="C48" i="18" s="1"/>
  <c r="D48" i="18" a="1"/>
  <c r="D48" i="18" s="1"/>
  <c r="E48" i="18" a="1"/>
  <c r="E48" i="18" s="1"/>
  <c r="F48" i="18" a="1"/>
  <c r="F48" i="18" s="1"/>
  <c r="G48" i="18" a="1"/>
  <c r="G48" i="18" s="1"/>
  <c r="H48" i="18" a="1"/>
  <c r="H48" i="18" s="1"/>
  <c r="I48" i="18" a="1"/>
  <c r="I48" i="18" s="1"/>
  <c r="J48" i="18" a="1"/>
  <c r="J48" i="18" s="1"/>
  <c r="K48" i="18" a="1"/>
  <c r="K48" i="18" s="1"/>
  <c r="L48" i="18" a="1"/>
  <c r="L48" i="18" s="1"/>
  <c r="M48" i="18" a="1"/>
  <c r="M48" i="18" s="1"/>
  <c r="N48" i="18" a="1"/>
  <c r="N48" i="18" s="1"/>
  <c r="C49" i="18" a="1"/>
  <c r="C49" i="18" s="1"/>
  <c r="D49" i="18" a="1"/>
  <c r="D49" i="18" s="1"/>
  <c r="E49" i="18" a="1"/>
  <c r="E49" i="18" s="1"/>
  <c r="F49" i="18" a="1"/>
  <c r="F49" i="18" s="1"/>
  <c r="G49" i="18" a="1"/>
  <c r="G49" i="18" s="1"/>
  <c r="H49" i="18" a="1"/>
  <c r="H49" i="18" s="1"/>
  <c r="I49" i="18" a="1"/>
  <c r="I49" i="18" s="1"/>
  <c r="J49" i="18" a="1"/>
  <c r="J49" i="18" s="1"/>
  <c r="K49" i="18" a="1"/>
  <c r="K49" i="18" s="1"/>
  <c r="L49" i="18" a="1"/>
  <c r="L49" i="18" s="1"/>
  <c r="M49" i="18" a="1"/>
  <c r="M49" i="18" s="1"/>
  <c r="N49" i="18" a="1"/>
  <c r="N49" i="18" s="1"/>
  <c r="C50" i="18" a="1"/>
  <c r="C50" i="18" s="1"/>
  <c r="D50" i="18" a="1"/>
  <c r="D50" i="18" s="1"/>
  <c r="E50" i="18" a="1"/>
  <c r="E50" i="18" s="1"/>
  <c r="F50" i="18" a="1"/>
  <c r="F50" i="18" s="1"/>
  <c r="G50" i="18" a="1"/>
  <c r="G50" i="18" s="1"/>
  <c r="H50" i="18" a="1"/>
  <c r="H50" i="18" s="1"/>
  <c r="I50" i="18" a="1"/>
  <c r="I50" i="18" s="1"/>
  <c r="J50" i="18" a="1"/>
  <c r="J50" i="18" s="1"/>
  <c r="K50" i="18" a="1"/>
  <c r="K50" i="18" s="1"/>
  <c r="L50" i="18" a="1"/>
  <c r="L50" i="18" s="1"/>
  <c r="M50" i="18" a="1"/>
  <c r="M50" i="18" s="1"/>
  <c r="N50" i="18" a="1"/>
  <c r="N50" i="18" s="1"/>
  <c r="C51" i="18" a="1"/>
  <c r="C51" i="18" s="1"/>
  <c r="D51" i="18" a="1"/>
  <c r="D51" i="18" s="1"/>
  <c r="E51" i="18" a="1"/>
  <c r="E51" i="18" s="1"/>
  <c r="F51" i="18" a="1"/>
  <c r="F51" i="18" s="1"/>
  <c r="G51" i="18" a="1"/>
  <c r="G51" i="18" s="1"/>
  <c r="H51" i="18" a="1"/>
  <c r="H51" i="18" s="1"/>
  <c r="I51" i="18" a="1"/>
  <c r="I51" i="18" s="1"/>
  <c r="J51" i="18" a="1"/>
  <c r="J51" i="18" s="1"/>
  <c r="K51" i="18" a="1"/>
  <c r="K51" i="18" s="1"/>
  <c r="L51" i="18" a="1"/>
  <c r="L51" i="18" s="1"/>
  <c r="M51" i="18" a="1"/>
  <c r="M51" i="18" s="1"/>
  <c r="N51" i="18" a="1"/>
  <c r="N51" i="18" s="1"/>
  <c r="C52" i="18" a="1"/>
  <c r="C52" i="18" s="1"/>
  <c r="D52" i="18" a="1"/>
  <c r="D52" i="18" s="1"/>
  <c r="E52" i="18" a="1"/>
  <c r="E52" i="18" s="1"/>
  <c r="F52" i="18" a="1"/>
  <c r="F52" i="18" s="1"/>
  <c r="G52" i="18" a="1"/>
  <c r="G52" i="18" s="1"/>
  <c r="H52" i="18" a="1"/>
  <c r="H52" i="18" s="1"/>
  <c r="I52" i="18" a="1"/>
  <c r="I52" i="18" s="1"/>
  <c r="J52" i="18" a="1"/>
  <c r="J52" i="18" s="1"/>
  <c r="K52" i="18" a="1"/>
  <c r="K52" i="18" s="1"/>
  <c r="L52" i="18" a="1"/>
  <c r="L52" i="18" s="1"/>
  <c r="M52" i="18" a="1"/>
  <c r="M52" i="18" s="1"/>
  <c r="N52" i="18" a="1"/>
  <c r="N52" i="18" s="1"/>
  <c r="C53" i="18" a="1"/>
  <c r="C53" i="18" s="1"/>
  <c r="D53" i="18" a="1"/>
  <c r="D53" i="18" s="1"/>
  <c r="E53" i="18" a="1"/>
  <c r="E53" i="18" s="1"/>
  <c r="F53" i="18" a="1"/>
  <c r="F53" i="18" s="1"/>
  <c r="G53" i="18" a="1"/>
  <c r="G53" i="18" s="1"/>
  <c r="H53" i="18" a="1"/>
  <c r="H53" i="18" s="1"/>
  <c r="I53" i="18" a="1"/>
  <c r="I53" i="18" s="1"/>
  <c r="J53" i="18" a="1"/>
  <c r="J53" i="18" s="1"/>
  <c r="K53" i="18" a="1"/>
  <c r="K53" i="18" s="1"/>
  <c r="L53" i="18" a="1"/>
  <c r="L53" i="18" s="1"/>
  <c r="M53" i="18" a="1"/>
  <c r="M53" i="18" s="1"/>
  <c r="N53" i="18" a="1"/>
  <c r="N53" i="18" s="1"/>
  <c r="C54" i="18" a="1"/>
  <c r="C54" i="18" s="1"/>
  <c r="D54" i="18" a="1"/>
  <c r="D54" i="18" s="1"/>
  <c r="E54" i="18" a="1"/>
  <c r="E54" i="18" s="1"/>
  <c r="F54" i="18" a="1"/>
  <c r="F54" i="18" s="1"/>
  <c r="G54" i="18" a="1"/>
  <c r="G54" i="18" s="1"/>
  <c r="H54" i="18" a="1"/>
  <c r="H54" i="18" s="1"/>
  <c r="I54" i="18" a="1"/>
  <c r="I54" i="18" s="1"/>
  <c r="J54" i="18" a="1"/>
  <c r="J54" i="18" s="1"/>
  <c r="K54" i="18" a="1"/>
  <c r="K54" i="18" s="1"/>
  <c r="L54" i="18" a="1"/>
  <c r="L54" i="18" s="1"/>
  <c r="M54" i="18" a="1"/>
  <c r="M54" i="18" s="1"/>
  <c r="N54" i="18" a="1"/>
  <c r="N54" i="18" s="1"/>
  <c r="C55" i="18" a="1"/>
  <c r="C55" i="18" s="1"/>
  <c r="D55" i="18" a="1"/>
  <c r="D55" i="18" s="1"/>
  <c r="E55" i="18" a="1"/>
  <c r="E55" i="18" s="1"/>
  <c r="F55" i="18" a="1"/>
  <c r="F55" i="18" s="1"/>
  <c r="G55" i="18" a="1"/>
  <c r="G55" i="18" s="1"/>
  <c r="H55" i="18" a="1"/>
  <c r="H55" i="18" s="1"/>
  <c r="I55" i="18" a="1"/>
  <c r="I55" i="18" s="1"/>
  <c r="J55" i="18" a="1"/>
  <c r="J55" i="18" s="1"/>
  <c r="K55" i="18" a="1"/>
  <c r="K55" i="18" s="1"/>
  <c r="L55" i="18" a="1"/>
  <c r="L55" i="18" s="1"/>
  <c r="M55" i="18" a="1"/>
  <c r="M55" i="18" s="1"/>
  <c r="N55" i="18" a="1"/>
  <c r="N55" i="18" s="1"/>
  <c r="C56" i="18" a="1"/>
  <c r="C56" i="18" s="1"/>
  <c r="D56" i="18" a="1"/>
  <c r="D56" i="18" s="1"/>
  <c r="E56" i="18" a="1"/>
  <c r="E56" i="18" s="1"/>
  <c r="F56" i="18" a="1"/>
  <c r="F56" i="18" s="1"/>
  <c r="G56" i="18" a="1"/>
  <c r="G56" i="18" s="1"/>
  <c r="H56" i="18" a="1"/>
  <c r="H56" i="18" s="1"/>
  <c r="I56" i="18" a="1"/>
  <c r="I56" i="18" s="1"/>
  <c r="J56" i="18" a="1"/>
  <c r="J56" i="18" s="1"/>
  <c r="K56" i="18" a="1"/>
  <c r="K56" i="18" s="1"/>
  <c r="L56" i="18" a="1"/>
  <c r="L56" i="18" s="1"/>
  <c r="M56" i="18" a="1"/>
  <c r="M56" i="18" s="1"/>
  <c r="N56" i="18" a="1"/>
  <c r="N56" i="18" s="1"/>
  <c r="C57" i="18" a="1"/>
  <c r="C57" i="18" s="1"/>
  <c r="D57" i="18" a="1"/>
  <c r="D57" i="18" s="1"/>
  <c r="E57" i="18" a="1"/>
  <c r="E57" i="18" s="1"/>
  <c r="F57" i="18" a="1"/>
  <c r="F57" i="18" s="1"/>
  <c r="G57" i="18" a="1"/>
  <c r="G57" i="18" s="1"/>
  <c r="H57" i="18" a="1"/>
  <c r="H57" i="18" s="1"/>
  <c r="I57" i="18" a="1"/>
  <c r="I57" i="18" s="1"/>
  <c r="J57" i="18" a="1"/>
  <c r="J57" i="18" s="1"/>
  <c r="K57" i="18" a="1"/>
  <c r="K57" i="18" s="1"/>
  <c r="L57" i="18" a="1"/>
  <c r="L57" i="18" s="1"/>
  <c r="M57" i="18" a="1"/>
  <c r="M57" i="18" s="1"/>
  <c r="N57" i="18" a="1"/>
  <c r="N57" i="18" s="1"/>
  <c r="C58" i="18" a="1"/>
  <c r="C58" i="18" s="1"/>
  <c r="D58" i="18" a="1"/>
  <c r="D58" i="18" s="1"/>
  <c r="E58" i="18" a="1"/>
  <c r="E58" i="18" s="1"/>
  <c r="F58" i="18" a="1"/>
  <c r="F58" i="18" s="1"/>
  <c r="G58" i="18" a="1"/>
  <c r="G58" i="18" s="1"/>
  <c r="H58" i="18" a="1"/>
  <c r="H58" i="18" s="1"/>
  <c r="I58" i="18" a="1"/>
  <c r="I58" i="18" s="1"/>
  <c r="J58" i="18" a="1"/>
  <c r="J58" i="18" s="1"/>
  <c r="K58" i="18" a="1"/>
  <c r="K58" i="18" s="1"/>
  <c r="L58" i="18" a="1"/>
  <c r="L58" i="18" s="1"/>
  <c r="M58" i="18" a="1"/>
  <c r="M58" i="18" s="1"/>
  <c r="N58" i="18" a="1"/>
  <c r="N58" i="18" s="1"/>
  <c r="C59" i="18" a="1"/>
  <c r="C59" i="18" s="1"/>
  <c r="D59" i="18" a="1"/>
  <c r="D59" i="18" s="1"/>
  <c r="E59" i="18" a="1"/>
  <c r="E59" i="18" s="1"/>
  <c r="F59" i="18" a="1"/>
  <c r="F59" i="18" s="1"/>
  <c r="G59" i="18" a="1"/>
  <c r="G59" i="18" s="1"/>
  <c r="H59" i="18" a="1"/>
  <c r="H59" i="18" s="1"/>
  <c r="I59" i="18" a="1"/>
  <c r="I59" i="18" s="1"/>
  <c r="J59" i="18" a="1"/>
  <c r="J59" i="18" s="1"/>
  <c r="K59" i="18" a="1"/>
  <c r="K59" i="18" s="1"/>
  <c r="L59" i="18" a="1"/>
  <c r="L59" i="18" s="1"/>
  <c r="M59" i="18" a="1"/>
  <c r="M59" i="18" s="1"/>
  <c r="N59" i="18" a="1"/>
  <c r="N59" i="18" s="1"/>
  <c r="C60" i="18" a="1"/>
  <c r="C60" i="18" s="1"/>
  <c r="D60" i="18" a="1"/>
  <c r="D60" i="18" s="1"/>
  <c r="E60" i="18" a="1"/>
  <c r="E60" i="18" s="1"/>
  <c r="F60" i="18" a="1"/>
  <c r="F60" i="18" s="1"/>
  <c r="G60" i="18" a="1"/>
  <c r="G60" i="18" s="1"/>
  <c r="H60" i="18" a="1"/>
  <c r="H60" i="18" s="1"/>
  <c r="I60" i="18" a="1"/>
  <c r="I60" i="18" s="1"/>
  <c r="J60" i="18" a="1"/>
  <c r="J60" i="18" s="1"/>
  <c r="K60" i="18" a="1"/>
  <c r="K60" i="18" s="1"/>
  <c r="L60" i="18" a="1"/>
  <c r="L60" i="18" s="1"/>
  <c r="M60" i="18" a="1"/>
  <c r="M60" i="18" s="1"/>
  <c r="N60" i="18" a="1"/>
  <c r="N60" i="18" s="1"/>
  <c r="C61" i="18" a="1"/>
  <c r="C61" i="18" s="1"/>
  <c r="D61" i="18" a="1"/>
  <c r="D61" i="18" s="1"/>
  <c r="E61" i="18" a="1"/>
  <c r="E61" i="18" s="1"/>
  <c r="F61" i="18" a="1"/>
  <c r="F61" i="18" s="1"/>
  <c r="G61" i="18" a="1"/>
  <c r="G61" i="18" s="1"/>
  <c r="H61" i="18" a="1"/>
  <c r="H61" i="18" s="1"/>
  <c r="I61" i="18" a="1"/>
  <c r="I61" i="18" s="1"/>
  <c r="J61" i="18" a="1"/>
  <c r="J61" i="18" s="1"/>
  <c r="K61" i="18" a="1"/>
  <c r="K61" i="18" s="1"/>
  <c r="L61" i="18" a="1"/>
  <c r="L61" i="18" s="1"/>
  <c r="M61" i="18" a="1"/>
  <c r="M61" i="18" s="1"/>
  <c r="N61" i="18" a="1"/>
  <c r="N61" i="18" s="1"/>
  <c r="C62" i="18" a="1"/>
  <c r="C62" i="18" s="1"/>
  <c r="D62" i="18" a="1"/>
  <c r="D62" i="18" s="1"/>
  <c r="E62" i="18" a="1"/>
  <c r="E62" i="18" s="1"/>
  <c r="F62" i="18" a="1"/>
  <c r="F62" i="18" s="1"/>
  <c r="G62" i="18" a="1"/>
  <c r="G62" i="18" s="1"/>
  <c r="H62" i="18" a="1"/>
  <c r="H62" i="18" s="1"/>
  <c r="I62" i="18" a="1"/>
  <c r="I62" i="18" s="1"/>
  <c r="J62" i="18" a="1"/>
  <c r="J62" i="18" s="1"/>
  <c r="K62" i="18" a="1"/>
  <c r="K62" i="18" s="1"/>
  <c r="L62" i="18" a="1"/>
  <c r="L62" i="18" s="1"/>
  <c r="M62" i="18" a="1"/>
  <c r="M62" i="18" s="1"/>
  <c r="N62" i="18" a="1"/>
  <c r="N62" i="18" s="1"/>
  <c r="C63" i="18" a="1"/>
  <c r="C63" i="18" s="1"/>
  <c r="D63" i="18" a="1"/>
  <c r="D63" i="18" s="1"/>
  <c r="E63" i="18" a="1"/>
  <c r="E63" i="18" s="1"/>
  <c r="F63" i="18" a="1"/>
  <c r="F63" i="18" s="1"/>
  <c r="G63" i="18" a="1"/>
  <c r="G63" i="18" s="1"/>
  <c r="H63" i="18" a="1"/>
  <c r="H63" i="18" s="1"/>
  <c r="I63" i="18" a="1"/>
  <c r="I63" i="18" s="1"/>
  <c r="J63" i="18" a="1"/>
  <c r="J63" i="18" s="1"/>
  <c r="K63" i="18" a="1"/>
  <c r="K63" i="18" s="1"/>
  <c r="L63" i="18" a="1"/>
  <c r="L63" i="18" s="1"/>
  <c r="M63" i="18" a="1"/>
  <c r="M63" i="18" s="1"/>
  <c r="N63" i="18" a="1"/>
  <c r="N63" i="18" s="1"/>
  <c r="C64" i="18" a="1"/>
  <c r="C64" i="18" s="1"/>
  <c r="D64" i="18" a="1"/>
  <c r="D64" i="18" s="1"/>
  <c r="E64" i="18" a="1"/>
  <c r="E64" i="18" s="1"/>
  <c r="F64" i="18" a="1"/>
  <c r="F64" i="18" s="1"/>
  <c r="G64" i="18" a="1"/>
  <c r="G64" i="18" s="1"/>
  <c r="H64" i="18" a="1"/>
  <c r="H64" i="18" s="1"/>
  <c r="I64" i="18" a="1"/>
  <c r="I64" i="18" s="1"/>
  <c r="J64" i="18" a="1"/>
  <c r="J64" i="18" s="1"/>
  <c r="K64" i="18" a="1"/>
  <c r="K64" i="18" s="1"/>
  <c r="L64" i="18" a="1"/>
  <c r="L64" i="18" s="1"/>
  <c r="M64" i="18" a="1"/>
  <c r="M64" i="18" s="1"/>
  <c r="N64" i="18" a="1"/>
  <c r="N64" i="18" s="1"/>
  <c r="C65" i="18" a="1"/>
  <c r="C65" i="18" s="1"/>
  <c r="D65" i="18" a="1"/>
  <c r="D65" i="18" s="1"/>
  <c r="E65" i="18" a="1"/>
  <c r="E65" i="18" s="1"/>
  <c r="F65" i="18" a="1"/>
  <c r="F65" i="18" s="1"/>
  <c r="G65" i="18" a="1"/>
  <c r="G65" i="18" s="1"/>
  <c r="H65" i="18" a="1"/>
  <c r="H65" i="18" s="1"/>
  <c r="I65" i="18" a="1"/>
  <c r="I65" i="18" s="1"/>
  <c r="J65" i="18" a="1"/>
  <c r="J65" i="18" s="1"/>
  <c r="K65" i="18" a="1"/>
  <c r="K65" i="18" s="1"/>
  <c r="L65" i="18" a="1"/>
  <c r="L65" i="18" s="1"/>
  <c r="M65" i="18" a="1"/>
  <c r="M65" i="18" s="1"/>
  <c r="N65" i="18" a="1"/>
  <c r="N65" i="18" s="1"/>
  <c r="C66" i="18" a="1"/>
  <c r="C66" i="18" s="1"/>
  <c r="D66" i="18" a="1"/>
  <c r="D66" i="18" s="1"/>
  <c r="E66" i="18" a="1"/>
  <c r="E66" i="18" s="1"/>
  <c r="F66" i="18" a="1"/>
  <c r="F66" i="18" s="1"/>
  <c r="G66" i="18" a="1"/>
  <c r="G66" i="18" s="1"/>
  <c r="H66" i="18" a="1"/>
  <c r="H66" i="18" s="1"/>
  <c r="I66" i="18" a="1"/>
  <c r="I66" i="18" s="1"/>
  <c r="J66" i="18" a="1"/>
  <c r="J66" i="18" s="1"/>
  <c r="K66" i="18" a="1"/>
  <c r="K66" i="18" s="1"/>
  <c r="L66" i="18" a="1"/>
  <c r="L66" i="18" s="1"/>
  <c r="M66" i="18" a="1"/>
  <c r="M66" i="18" s="1"/>
  <c r="N66" i="18" a="1"/>
  <c r="N66" i="18" s="1"/>
  <c r="C67" i="18" a="1"/>
  <c r="C67" i="18" s="1"/>
  <c r="D67" i="18" a="1"/>
  <c r="D67" i="18" s="1"/>
  <c r="E67" i="18" a="1"/>
  <c r="E67" i="18" s="1"/>
  <c r="F67" i="18" a="1"/>
  <c r="F67" i="18" s="1"/>
  <c r="G67" i="18" a="1"/>
  <c r="G67" i="18" s="1"/>
  <c r="H67" i="18" a="1"/>
  <c r="H67" i="18" s="1"/>
  <c r="I67" i="18" a="1"/>
  <c r="I67" i="18" s="1"/>
  <c r="J67" i="18" a="1"/>
  <c r="J67" i="18" s="1"/>
  <c r="K67" i="18" a="1"/>
  <c r="K67" i="18" s="1"/>
  <c r="L67" i="18" a="1"/>
  <c r="L67" i="18" s="1"/>
  <c r="M67" i="18" a="1"/>
  <c r="M67" i="18" s="1"/>
  <c r="N67" i="18" a="1"/>
  <c r="N67" i="18" s="1"/>
  <c r="C15" i="18"/>
  <c r="D15" i="18"/>
  <c r="E15" i="18"/>
  <c r="F15" i="18"/>
  <c r="G15" i="18"/>
  <c r="H15" i="18"/>
  <c r="I15" i="18"/>
  <c r="J15" i="18"/>
  <c r="K15" i="18"/>
  <c r="L15" i="18"/>
  <c r="M15" i="18"/>
  <c r="N15" i="18"/>
  <c r="C16" i="18"/>
  <c r="D16" i="18"/>
  <c r="E16" i="18"/>
  <c r="F16" i="18"/>
  <c r="G16" i="18"/>
  <c r="H16" i="18"/>
  <c r="I16" i="18"/>
  <c r="J16" i="18"/>
  <c r="K16" i="18"/>
  <c r="L16" i="18"/>
  <c r="M16" i="18"/>
  <c r="N16" i="18"/>
  <c r="C17" i="18"/>
  <c r="D17" i="18"/>
  <c r="E17" i="18"/>
  <c r="F17" i="18"/>
  <c r="G17" i="18"/>
  <c r="H17" i="18"/>
  <c r="I17" i="18"/>
  <c r="J17" i="18"/>
  <c r="K17" i="18"/>
  <c r="L17" i="18"/>
  <c r="M17" i="18"/>
  <c r="N17" i="18"/>
  <c r="C18" i="18"/>
  <c r="D18" i="18"/>
  <c r="E18" i="18"/>
  <c r="F18" i="18"/>
  <c r="G18" i="18"/>
  <c r="H18" i="18"/>
  <c r="I18" i="18"/>
  <c r="J18" i="18"/>
  <c r="K18" i="18"/>
  <c r="L18" i="18"/>
  <c r="M18" i="18"/>
  <c r="N18" i="18"/>
  <c r="C19" i="18"/>
  <c r="D19" i="18"/>
  <c r="E19" i="18"/>
  <c r="F19" i="18"/>
  <c r="G19" i="18"/>
  <c r="H19" i="18"/>
  <c r="I19" i="18"/>
  <c r="J19" i="18"/>
  <c r="K19" i="18"/>
  <c r="L19" i="18"/>
  <c r="M19" i="18"/>
  <c r="N19" i="18"/>
  <c r="C20" i="18"/>
  <c r="D20" i="18"/>
  <c r="E20" i="18"/>
  <c r="F20" i="18"/>
  <c r="G20" i="18"/>
  <c r="H20" i="18"/>
  <c r="I20" i="18"/>
  <c r="J20" i="18"/>
  <c r="K20" i="18"/>
  <c r="L20" i="18"/>
  <c r="M20" i="18"/>
  <c r="N20" i="18"/>
  <c r="C21" i="18"/>
  <c r="D21" i="18"/>
  <c r="E21" i="18"/>
  <c r="F21" i="18"/>
  <c r="G21" i="18"/>
  <c r="H21" i="18"/>
  <c r="I21" i="18"/>
  <c r="J21" i="18"/>
  <c r="K21" i="18"/>
  <c r="L21" i="18"/>
  <c r="M21" i="18"/>
  <c r="N21" i="18"/>
  <c r="C22" i="18"/>
  <c r="D22" i="18"/>
  <c r="E22" i="18"/>
  <c r="F22" i="18"/>
  <c r="G22" i="18"/>
  <c r="H22" i="18"/>
  <c r="I22" i="18"/>
  <c r="J22" i="18"/>
  <c r="K22" i="18"/>
  <c r="L22" i="18"/>
  <c r="M22" i="18"/>
  <c r="N22" i="18"/>
  <c r="C23" i="18"/>
  <c r="D23" i="18"/>
  <c r="E23" i="18"/>
  <c r="F23" i="18"/>
  <c r="G23" i="18"/>
  <c r="H23" i="18"/>
  <c r="I23" i="18"/>
  <c r="J23" i="18"/>
  <c r="K23" i="18"/>
  <c r="L23" i="18"/>
  <c r="M23" i="18"/>
  <c r="N23" i="18"/>
  <c r="C24" i="18"/>
  <c r="D24" i="18"/>
  <c r="E24" i="18"/>
  <c r="F24" i="18"/>
  <c r="G24" i="18"/>
  <c r="H24" i="18"/>
  <c r="I24" i="18"/>
  <c r="J24" i="18"/>
  <c r="K24" i="18"/>
  <c r="L24" i="18"/>
  <c r="M24" i="18"/>
  <c r="N24" i="18"/>
  <c r="C25" i="18"/>
  <c r="D25" i="18"/>
  <c r="E25" i="18"/>
  <c r="F25" i="18"/>
  <c r="G25" i="18"/>
  <c r="H25" i="18"/>
  <c r="I25" i="18"/>
  <c r="J25" i="18"/>
  <c r="K25" i="18"/>
  <c r="L25" i="18"/>
  <c r="M25" i="18"/>
  <c r="N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C28" i="18"/>
  <c r="D28" i="18"/>
  <c r="E28" i="18"/>
  <c r="F28" i="18"/>
  <c r="G28" i="18"/>
  <c r="H28" i="18"/>
  <c r="I28" i="18"/>
  <c r="J28" i="18"/>
  <c r="K28" i="18"/>
  <c r="L28" i="18"/>
  <c r="M28" i="18"/>
  <c r="N28" i="18"/>
  <c r="C29" i="18"/>
  <c r="D29" i="18"/>
  <c r="E29" i="18"/>
  <c r="F29" i="18"/>
  <c r="G29" i="18"/>
  <c r="H29" i="18"/>
  <c r="I29" i="18"/>
  <c r="J29" i="18"/>
  <c r="K29" i="18"/>
  <c r="L29" i="18"/>
  <c r="M29" i="18"/>
  <c r="N29" i="18"/>
  <c r="C30" i="18"/>
  <c r="D30" i="18"/>
  <c r="E30" i="18"/>
  <c r="F30" i="18"/>
  <c r="G30" i="18"/>
  <c r="H30" i="18"/>
  <c r="I30" i="18"/>
  <c r="J30" i="18"/>
  <c r="K30" i="18"/>
  <c r="L30" i="18"/>
  <c r="M30" i="18"/>
  <c r="N30" i="18"/>
  <c r="C31" i="18"/>
  <c r="D31" i="18"/>
  <c r="E31" i="18"/>
  <c r="F31" i="18"/>
  <c r="G31" i="18"/>
  <c r="H31" i="18"/>
  <c r="I31" i="18"/>
  <c r="J31" i="18"/>
  <c r="K31" i="18"/>
  <c r="L31" i="18"/>
  <c r="M31" i="18"/>
  <c r="N31" i="18"/>
  <c r="C32" i="18"/>
  <c r="D32" i="18"/>
  <c r="E32" i="18"/>
  <c r="F32" i="18"/>
  <c r="G32" i="18"/>
  <c r="H32" i="18"/>
  <c r="I32" i="18"/>
  <c r="J32" i="18"/>
  <c r="K32" i="18"/>
  <c r="L32" i="18"/>
  <c r="M32" i="18"/>
  <c r="N32" i="18"/>
  <c r="C33" i="18"/>
  <c r="D33" i="18"/>
  <c r="E33" i="18"/>
  <c r="F33" i="18"/>
  <c r="G33" i="18"/>
  <c r="H33" i="18"/>
  <c r="I33" i="18"/>
  <c r="J33" i="18"/>
  <c r="K33" i="18"/>
  <c r="L33" i="18"/>
  <c r="M33" i="18"/>
  <c r="N33" i="18"/>
  <c r="C34" i="18"/>
  <c r="D34" i="18"/>
  <c r="E34" i="18"/>
  <c r="F34" i="18"/>
  <c r="G34" i="18"/>
  <c r="H34" i="18"/>
  <c r="I34" i="18"/>
  <c r="J34" i="18"/>
  <c r="K34" i="18"/>
  <c r="L34" i="18"/>
  <c r="M34" i="18"/>
  <c r="N34" i="18"/>
  <c r="C35" i="18"/>
  <c r="D35" i="18"/>
  <c r="E35" i="18"/>
  <c r="F35" i="18"/>
  <c r="G35" i="18"/>
  <c r="H35" i="18"/>
  <c r="I35" i="18"/>
  <c r="J35" i="18"/>
  <c r="K35" i="18"/>
  <c r="L35" i="18"/>
  <c r="M35" i="18"/>
  <c r="N35" i="18"/>
  <c r="C36" i="18"/>
  <c r="D36" i="18"/>
  <c r="E36" i="18"/>
  <c r="F36" i="18"/>
  <c r="G36" i="18"/>
  <c r="H36" i="18"/>
  <c r="I36" i="18"/>
  <c r="J36" i="18"/>
  <c r="K36" i="18"/>
  <c r="L36" i="18"/>
  <c r="M36" i="18"/>
  <c r="N36" i="18"/>
  <c r="C37" i="18"/>
  <c r="D37" i="18"/>
  <c r="E37" i="18"/>
  <c r="F37" i="18"/>
  <c r="G37" i="18"/>
  <c r="H37" i="18"/>
  <c r="I37" i="18"/>
  <c r="J37" i="18"/>
  <c r="K37" i="18"/>
  <c r="L37" i="18"/>
  <c r="M37" i="18"/>
  <c r="N37" i="18"/>
  <c r="B32" i="17"/>
  <c r="B33" i="17"/>
  <c r="B34" i="17"/>
  <c r="B35" i="17"/>
  <c r="B36" i="17"/>
  <c r="C32" i="17"/>
  <c r="D32" i="17"/>
  <c r="E32" i="17"/>
  <c r="F32" i="17"/>
  <c r="G32" i="17"/>
  <c r="H32" i="17"/>
  <c r="I32" i="17"/>
  <c r="J32" i="17"/>
  <c r="K32" i="17"/>
  <c r="L32" i="17"/>
  <c r="M32" i="17"/>
  <c r="N32" i="17"/>
  <c r="O32" i="17"/>
  <c r="P32" i="17"/>
  <c r="Q32" i="17"/>
  <c r="R32" i="17"/>
  <c r="S32" i="17"/>
  <c r="T32" i="17"/>
  <c r="U32" i="17"/>
  <c r="V32" i="17"/>
  <c r="W32" i="17"/>
  <c r="X32" i="17"/>
  <c r="Y32" i="17"/>
  <c r="Z32" i="17"/>
  <c r="AA32" i="17"/>
  <c r="C33" i="17"/>
  <c r="D33" i="17"/>
  <c r="E33" i="17"/>
  <c r="F33" i="17"/>
  <c r="G33" i="17"/>
  <c r="H33" i="17"/>
  <c r="I33" i="17"/>
  <c r="J33" i="17"/>
  <c r="K33" i="17"/>
  <c r="L33" i="17"/>
  <c r="M33" i="17"/>
  <c r="N33" i="17"/>
  <c r="O33" i="17"/>
  <c r="P33" i="17"/>
  <c r="Q33" i="17"/>
  <c r="R33" i="17"/>
  <c r="S33" i="17"/>
  <c r="T33" i="17"/>
  <c r="U33" i="17"/>
  <c r="V33" i="17"/>
  <c r="W33" i="17"/>
  <c r="X33" i="17"/>
  <c r="Y33" i="17"/>
  <c r="Z33" i="17"/>
  <c r="AA33" i="17"/>
  <c r="C34" i="17"/>
  <c r="D34" i="17"/>
  <c r="E34" i="17"/>
  <c r="F34" i="17"/>
  <c r="G34" i="17"/>
  <c r="H34" i="17"/>
  <c r="I34" i="17"/>
  <c r="J34" i="17"/>
  <c r="K34" i="17"/>
  <c r="L34" i="17"/>
  <c r="M34" i="17"/>
  <c r="N34" i="17"/>
  <c r="O34" i="17"/>
  <c r="P34" i="17"/>
  <c r="Q34" i="17"/>
  <c r="R34" i="17"/>
  <c r="S34" i="17"/>
  <c r="T34" i="17"/>
  <c r="U34" i="17"/>
  <c r="V34" i="17"/>
  <c r="W34" i="17"/>
  <c r="X34" i="17"/>
  <c r="Y34" i="17"/>
  <c r="Z34" i="17"/>
  <c r="AA34" i="17"/>
  <c r="C35" i="17"/>
  <c r="D35" i="17"/>
  <c r="E35" i="17"/>
  <c r="F35" i="17"/>
  <c r="G35" i="17"/>
  <c r="H35" i="17"/>
  <c r="I35" i="17"/>
  <c r="J35" i="17"/>
  <c r="K35" i="17"/>
  <c r="L35" i="17"/>
  <c r="M35" i="17"/>
  <c r="N35" i="17"/>
  <c r="O35" i="17"/>
  <c r="P35" i="17"/>
  <c r="Q35" i="17"/>
  <c r="R35" i="17"/>
  <c r="S35" i="17"/>
  <c r="T35" i="17"/>
  <c r="U35" i="17"/>
  <c r="V35" i="17"/>
  <c r="W35" i="17"/>
  <c r="X35" i="17"/>
  <c r="Y35" i="17"/>
  <c r="Z35" i="17"/>
  <c r="AA35" i="17"/>
  <c r="C36" i="17"/>
  <c r="D36" i="17"/>
  <c r="E36" i="17"/>
  <c r="F36" i="17"/>
  <c r="G36" i="17"/>
  <c r="H36" i="17"/>
  <c r="I36" i="17"/>
  <c r="J36" i="17"/>
  <c r="K36" i="17"/>
  <c r="L36" i="17"/>
  <c r="M36" i="17"/>
  <c r="N36" i="17"/>
  <c r="O36" i="17"/>
  <c r="P36" i="17"/>
  <c r="Q36" i="17"/>
  <c r="R36" i="17"/>
  <c r="S36" i="17"/>
  <c r="T36" i="17"/>
  <c r="U36" i="17"/>
  <c r="V36" i="17"/>
  <c r="W36" i="17"/>
  <c r="X36" i="17"/>
  <c r="Y36" i="17"/>
  <c r="Z36" i="17"/>
  <c r="AA36" i="17"/>
  <c r="AB32" i="17"/>
  <c r="AB33" i="17"/>
  <c r="AB34" i="17"/>
  <c r="AB35" i="17"/>
  <c r="AB36" i="17"/>
  <c r="AE98" i="1"/>
  <c r="AF98" i="1"/>
  <c r="AG98" i="1"/>
  <c r="AH98" i="1"/>
  <c r="AI98" i="1"/>
  <c r="AJ98" i="1"/>
  <c r="AK98" i="1"/>
  <c r="AL98" i="1"/>
  <c r="AM98" i="1"/>
  <c r="AN98" i="1"/>
  <c r="AO98" i="1"/>
  <c r="AP98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E101" i="1"/>
  <c r="AF101" i="1"/>
  <c r="AG101" i="1"/>
  <c r="AH101" i="1"/>
  <c r="AI101" i="1"/>
  <c r="AJ101" i="1"/>
  <c r="AK101" i="1"/>
  <c r="AL101" i="1"/>
  <c r="AM101" i="1"/>
  <c r="AN101" i="1"/>
  <c r="AO101" i="1"/>
  <c r="AE102" i="1"/>
  <c r="AF102" i="1"/>
  <c r="AG102" i="1"/>
  <c r="AH102" i="1"/>
  <c r="AI102" i="1"/>
  <c r="AJ102" i="1"/>
  <c r="AK102" i="1"/>
  <c r="AL102" i="1"/>
  <c r="AM102" i="1"/>
  <c r="AN102" i="1"/>
  <c r="AO102" i="1"/>
  <c r="AE103" i="1"/>
  <c r="AF103" i="1"/>
  <c r="AG103" i="1"/>
  <c r="AH103" i="1"/>
  <c r="AI103" i="1"/>
  <c r="AJ103" i="1"/>
  <c r="AK103" i="1"/>
  <c r="AL103" i="1"/>
  <c r="AM103" i="1"/>
  <c r="AN103" i="1"/>
  <c r="AO103" i="1"/>
  <c r="AE104" i="1"/>
  <c r="AF104" i="1"/>
  <c r="AG104" i="1"/>
  <c r="AH104" i="1"/>
  <c r="AI104" i="1"/>
  <c r="AJ104" i="1"/>
  <c r="AK104" i="1"/>
  <c r="AL104" i="1"/>
  <c r="AM104" i="1"/>
  <c r="AN104" i="1"/>
  <c r="AO104" i="1"/>
  <c r="AE105" i="1"/>
  <c r="AF105" i="1"/>
  <c r="AG105" i="1"/>
  <c r="AH105" i="1"/>
  <c r="AI105" i="1"/>
  <c r="AJ105" i="1"/>
  <c r="AK105" i="1"/>
  <c r="AL105" i="1"/>
  <c r="AM105" i="1"/>
  <c r="AN105" i="1"/>
  <c r="AO105" i="1"/>
  <c r="AE106" i="1"/>
  <c r="AF106" i="1"/>
  <c r="AG106" i="1"/>
  <c r="AH106" i="1"/>
  <c r="AI106" i="1"/>
  <c r="AJ106" i="1"/>
  <c r="AK106" i="1"/>
  <c r="AL106" i="1"/>
  <c r="AM106" i="1"/>
  <c r="AN106" i="1"/>
  <c r="AO106" i="1"/>
  <c r="AE107" i="1"/>
  <c r="AF107" i="1"/>
  <c r="AG107" i="1"/>
  <c r="AH107" i="1"/>
  <c r="AI107" i="1"/>
  <c r="AJ107" i="1"/>
  <c r="AK107" i="1"/>
  <c r="AL107" i="1"/>
  <c r="AM107" i="1"/>
  <c r="AN107" i="1"/>
  <c r="AO107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E112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E115" i="1"/>
  <c r="AF115" i="1"/>
  <c r="AG115" i="1"/>
  <c r="AH115" i="1"/>
  <c r="AI115" i="1"/>
  <c r="AJ115" i="1"/>
  <c r="AK115" i="1"/>
  <c r="AL115" i="1"/>
  <c r="AM115" i="1"/>
  <c r="AN115" i="1"/>
  <c r="AO115" i="1"/>
  <c r="AP115" i="1"/>
  <c r="AQ115" i="1"/>
  <c r="AE116" i="1"/>
  <c r="AF116" i="1"/>
  <c r="AG116" i="1"/>
  <c r="AH116" i="1"/>
  <c r="AI116" i="1"/>
  <c r="AJ116" i="1"/>
  <c r="AK116" i="1"/>
  <c r="AL116" i="1"/>
  <c r="AM116" i="1"/>
  <c r="AN116" i="1"/>
  <c r="AO116" i="1"/>
  <c r="AP116" i="1"/>
  <c r="AQ116" i="1"/>
  <c r="AR116" i="1"/>
  <c r="AE117" i="1"/>
  <c r="AF117" i="1"/>
  <c r="AG117" i="1"/>
  <c r="AH117" i="1"/>
  <c r="AI117" i="1"/>
  <c r="AJ117" i="1"/>
  <c r="AK117" i="1"/>
  <c r="AL117" i="1"/>
  <c r="AM117" i="1"/>
  <c r="AN117" i="1"/>
  <c r="AO117" i="1"/>
  <c r="AP117" i="1"/>
  <c r="AE118" i="1"/>
  <c r="AF118" i="1"/>
  <c r="AG118" i="1"/>
  <c r="AH118" i="1"/>
  <c r="AI118" i="1"/>
  <c r="AJ118" i="1"/>
  <c r="AK118" i="1"/>
  <c r="AL118" i="1"/>
  <c r="AM118" i="1"/>
  <c r="AN118" i="1"/>
  <c r="AO118" i="1"/>
  <c r="AP118" i="1"/>
  <c r="AQ118" i="1"/>
  <c r="AE119" i="1"/>
  <c r="AF119" i="1"/>
  <c r="AG119" i="1"/>
  <c r="AH119" i="1"/>
  <c r="AI119" i="1"/>
  <c r="AJ119" i="1"/>
  <c r="AK119" i="1"/>
  <c r="AL119" i="1"/>
  <c r="AM119" i="1"/>
  <c r="AN119" i="1"/>
  <c r="AO119" i="1"/>
  <c r="AP119" i="1"/>
  <c r="AE120" i="1"/>
  <c r="AF120" i="1"/>
  <c r="AG120" i="1"/>
  <c r="AH120" i="1"/>
  <c r="AI120" i="1"/>
  <c r="AJ120" i="1"/>
  <c r="AK120" i="1"/>
  <c r="AL120" i="1"/>
  <c r="AM120" i="1"/>
  <c r="AN120" i="1"/>
  <c r="AO120" i="1"/>
  <c r="AP120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98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E81" i="1"/>
  <c r="AF81" i="1"/>
  <c r="AG81" i="1"/>
  <c r="AH81" i="1"/>
  <c r="AI81" i="1"/>
  <c r="AJ81" i="1"/>
  <c r="AK81" i="1"/>
  <c r="AL81" i="1"/>
  <c r="AM81" i="1"/>
  <c r="AN81" i="1"/>
  <c r="AO81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G86" i="1"/>
  <c r="AH86" i="1"/>
  <c r="AI86" i="1"/>
  <c r="AJ86" i="1"/>
  <c r="AK86" i="1"/>
  <c r="AL86" i="1"/>
  <c r="AM86" i="1"/>
  <c r="AN86" i="1"/>
  <c r="AO86" i="1"/>
  <c r="AP86" i="1"/>
  <c r="AE87" i="1"/>
  <c r="AF87" i="1"/>
  <c r="AG87" i="1"/>
  <c r="AH87" i="1"/>
  <c r="AI87" i="1"/>
  <c r="AJ87" i="1"/>
  <c r="AK87" i="1"/>
  <c r="AL87" i="1"/>
  <c r="AM87" i="1"/>
  <c r="AN87" i="1"/>
  <c r="AO87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AQ88" i="1"/>
  <c r="AR88" i="1"/>
  <c r="AG89" i="1"/>
  <c r="AH89" i="1"/>
  <c r="AI89" i="1"/>
  <c r="AJ89" i="1"/>
  <c r="AK89" i="1"/>
  <c r="AL89" i="1"/>
  <c r="AM89" i="1"/>
  <c r="AN89" i="1"/>
  <c r="AO89" i="1"/>
  <c r="AP89" i="1"/>
  <c r="AG90" i="1"/>
  <c r="AH90" i="1"/>
  <c r="AI90" i="1"/>
  <c r="AJ90" i="1"/>
  <c r="AK90" i="1"/>
  <c r="AL90" i="1"/>
  <c r="AM90" i="1"/>
  <c r="AN90" i="1"/>
  <c r="AO90" i="1"/>
  <c r="AP90" i="1"/>
  <c r="AG91" i="1"/>
  <c r="AH91" i="1"/>
  <c r="AI91" i="1"/>
  <c r="AJ91" i="1"/>
  <c r="AK91" i="1"/>
  <c r="AL91" i="1"/>
  <c r="AM91" i="1"/>
  <c r="AN91" i="1"/>
  <c r="AO91" i="1"/>
  <c r="AP91" i="1"/>
  <c r="AG92" i="1"/>
  <c r="AH92" i="1"/>
  <c r="AI92" i="1"/>
  <c r="AJ92" i="1"/>
  <c r="AK92" i="1"/>
  <c r="AL92" i="1"/>
  <c r="AM92" i="1"/>
  <c r="AN92" i="1"/>
  <c r="AO92" i="1"/>
  <c r="AG93" i="1"/>
  <c r="AH93" i="1"/>
  <c r="AI93" i="1"/>
  <c r="AJ93" i="1"/>
  <c r="AK93" i="1"/>
  <c r="AL93" i="1"/>
  <c r="AM93" i="1"/>
  <c r="AN93" i="1"/>
  <c r="AO93" i="1"/>
  <c r="AP93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7" i="1"/>
  <c r="AD88" i="1"/>
  <c r="AD94" i="1"/>
  <c r="AD72" i="1"/>
  <c r="AE19" i="1"/>
  <c r="AF19" i="1"/>
  <c r="AG19" i="1"/>
  <c r="AH19" i="1"/>
  <c r="AI19" i="1"/>
  <c r="AJ19" i="1"/>
  <c r="AK19" i="1"/>
  <c r="AL19" i="1"/>
  <c r="AE20" i="1"/>
  <c r="AF20" i="1"/>
  <c r="AG20" i="1"/>
  <c r="AH20" i="1"/>
  <c r="AI20" i="1"/>
  <c r="AK20" i="1"/>
  <c r="AL20" i="1"/>
  <c r="AE21" i="1"/>
  <c r="AF21" i="1"/>
  <c r="AG21" i="1"/>
  <c r="AH21" i="1"/>
  <c r="AI21" i="1"/>
  <c r="AJ21" i="1"/>
  <c r="AK21" i="1"/>
  <c r="AL21" i="1"/>
  <c r="AE22" i="1"/>
  <c r="AF22" i="1"/>
  <c r="AH22" i="1"/>
  <c r="AJ22" i="1"/>
  <c r="AL22" i="1"/>
  <c r="AE23" i="1"/>
  <c r="AF23" i="1"/>
  <c r="AE24" i="1"/>
  <c r="AF24" i="1"/>
  <c r="AI24" i="1"/>
  <c r="AE25" i="1"/>
  <c r="AF25" i="1"/>
  <c r="AH25" i="1"/>
  <c r="AE26" i="1"/>
  <c r="AF26" i="1"/>
  <c r="AH26" i="1"/>
  <c r="AE27" i="1"/>
  <c r="AF27" i="1"/>
  <c r="AI27" i="1"/>
  <c r="AL27" i="1"/>
  <c r="AE28" i="1"/>
  <c r="AF28" i="1"/>
  <c r="AH28" i="1"/>
  <c r="AL28" i="1"/>
  <c r="AE29" i="1"/>
  <c r="AF29" i="1"/>
  <c r="AG29" i="1"/>
  <c r="AH29" i="1"/>
  <c r="AI29" i="1"/>
  <c r="AE30" i="1"/>
  <c r="AF30" i="1"/>
  <c r="AG30" i="1"/>
  <c r="AH30" i="1"/>
  <c r="AI30" i="1"/>
  <c r="AE31" i="1"/>
  <c r="AF31" i="1"/>
  <c r="AG31" i="1"/>
  <c r="AH31" i="1"/>
  <c r="AI31" i="1"/>
  <c r="AK31" i="1"/>
  <c r="AE32" i="1"/>
  <c r="AF32" i="1"/>
  <c r="AG32" i="1"/>
  <c r="AH32" i="1"/>
  <c r="AI32" i="1"/>
  <c r="AL32" i="1"/>
  <c r="AE33" i="1"/>
  <c r="AF33" i="1"/>
  <c r="AG33" i="1"/>
  <c r="AH33" i="1"/>
  <c r="AI33" i="1"/>
  <c r="AJ33" i="1"/>
  <c r="AK33" i="1"/>
  <c r="AM33" i="1"/>
  <c r="AE34" i="1"/>
  <c r="AF34" i="1"/>
  <c r="AG34" i="1"/>
  <c r="AH34" i="1"/>
  <c r="AI34" i="1"/>
  <c r="AE35" i="1"/>
  <c r="AF35" i="1"/>
  <c r="AG35" i="1"/>
  <c r="AH35" i="1"/>
  <c r="AI35" i="1"/>
  <c r="AE36" i="1"/>
  <c r="AF36" i="1"/>
  <c r="AG36" i="1"/>
  <c r="AH36" i="1"/>
  <c r="AI36" i="1"/>
  <c r="AJ36" i="1"/>
  <c r="AK36" i="1"/>
  <c r="AL36" i="1"/>
  <c r="AE37" i="1"/>
  <c r="AF37" i="1"/>
  <c r="AG37" i="1"/>
  <c r="AH37" i="1"/>
  <c r="AI37" i="1"/>
  <c r="AE38" i="1"/>
  <c r="AF38" i="1"/>
  <c r="AG38" i="1"/>
  <c r="AH38" i="1"/>
  <c r="AI38" i="1"/>
  <c r="AK38" i="1"/>
  <c r="AL38" i="1"/>
  <c r="AE39" i="1"/>
  <c r="AF39" i="1"/>
  <c r="AG39" i="1"/>
  <c r="AH39" i="1"/>
  <c r="AI39" i="1"/>
  <c r="AL39" i="1"/>
  <c r="AE40" i="1"/>
  <c r="AF40" i="1"/>
  <c r="AG40" i="1"/>
  <c r="AH40" i="1"/>
  <c r="AI40" i="1"/>
  <c r="AJ40" i="1"/>
  <c r="AK40" i="1"/>
  <c r="AL40" i="1"/>
  <c r="AM40" i="1"/>
  <c r="AN40" i="1"/>
  <c r="AO40" i="1"/>
  <c r="AE41" i="1"/>
  <c r="AF41" i="1"/>
  <c r="AG41" i="1"/>
  <c r="AH41" i="1"/>
  <c r="AI41" i="1"/>
  <c r="AD20" i="1"/>
  <c r="AD21" i="1"/>
  <c r="AD22" i="1"/>
  <c r="AD23" i="1"/>
  <c r="AD24" i="1"/>
  <c r="AD26" i="1"/>
  <c r="AD27" i="1"/>
  <c r="AD28" i="1"/>
  <c r="AD35" i="1"/>
  <c r="AD36" i="1"/>
  <c r="AD37" i="1"/>
  <c r="AD38" i="1"/>
  <c r="AD39" i="1"/>
  <c r="AD40" i="1"/>
  <c r="AD41" i="1"/>
  <c r="AD19" i="1"/>
  <c r="B38" i="16"/>
  <c r="C38" i="16"/>
  <c r="B39" i="16"/>
  <c r="E14" i="16"/>
  <c r="E40" i="16" s="1"/>
  <c r="F14" i="16"/>
  <c r="F40" i="16" s="1"/>
  <c r="G14" i="16"/>
  <c r="G40" i="16" s="1"/>
  <c r="H14" i="16"/>
  <c r="H40" i="16" s="1"/>
  <c r="I14" i="16"/>
  <c r="I40" i="16" s="1"/>
  <c r="J14" i="16"/>
  <c r="J40" i="16" s="1"/>
  <c r="K14" i="16"/>
  <c r="K40" i="16" s="1"/>
  <c r="L14" i="16"/>
  <c r="L40" i="16" s="1"/>
  <c r="M14" i="16"/>
  <c r="M40" i="16" s="1"/>
  <c r="N14" i="16"/>
  <c r="N40" i="16" s="1"/>
  <c r="O14" i="16"/>
  <c r="O40" i="16" s="1"/>
  <c r="P14" i="16"/>
  <c r="P40" i="16" s="1"/>
  <c r="Q14" i="16"/>
  <c r="Q40" i="16" s="1"/>
  <c r="R14" i="16"/>
  <c r="R40" i="16" s="1"/>
  <c r="S14" i="16"/>
  <c r="S40" i="16" s="1"/>
  <c r="T14" i="16"/>
  <c r="T40" i="16" s="1"/>
  <c r="U14" i="16"/>
  <c r="U40" i="16" s="1"/>
  <c r="V14" i="16"/>
  <c r="V40" i="16" s="1"/>
  <c r="W14" i="16"/>
  <c r="W40" i="16" s="1"/>
  <c r="X14" i="16"/>
  <c r="X40" i="16" s="1"/>
  <c r="Y14" i="16"/>
  <c r="Y40" i="16" s="1"/>
  <c r="Z14" i="16"/>
  <c r="Z40" i="16" s="1"/>
  <c r="AA14" i="16"/>
  <c r="AA40" i="16" s="1"/>
  <c r="AB14" i="16"/>
  <c r="AB40" i="16" s="1"/>
  <c r="AC14" i="16"/>
  <c r="AC40" i="16" s="1"/>
  <c r="AD14" i="16"/>
  <c r="AD40" i="16" s="1"/>
  <c r="AE14" i="16"/>
  <c r="AE40" i="16" s="1"/>
  <c r="AF14" i="16"/>
  <c r="AF40" i="16" s="1"/>
  <c r="AG14" i="16"/>
  <c r="AG40" i="16" s="1"/>
  <c r="AH14" i="16"/>
  <c r="AH40" i="16" s="1"/>
  <c r="AI14" i="16"/>
  <c r="AI40" i="16" s="1"/>
  <c r="AM21" i="1" s="1"/>
  <c r="AJ14" i="16"/>
  <c r="AJ40" i="16" s="1"/>
  <c r="AN21" i="1" s="1"/>
  <c r="AK14" i="16"/>
  <c r="AK40" i="16" s="1"/>
  <c r="AO21" i="1" s="1"/>
  <c r="AL14" i="16"/>
  <c r="AL40" i="16" s="1"/>
  <c r="AP21" i="1" s="1"/>
  <c r="AM14" i="16"/>
  <c r="AM40" i="16" s="1"/>
  <c r="AQ21" i="1" s="1"/>
  <c r="AN14" i="16"/>
  <c r="AN40" i="16" s="1"/>
  <c r="AR21" i="1" s="1"/>
  <c r="AO14" i="16"/>
  <c r="AO40" i="16" s="1"/>
  <c r="AS21" i="1" s="1"/>
  <c r="AP14" i="16"/>
  <c r="AP40" i="16" s="1"/>
  <c r="AT21" i="1" s="1"/>
  <c r="AQ14" i="16"/>
  <c r="AQ40" i="16" s="1"/>
  <c r="AU21" i="1" s="1"/>
  <c r="AR14" i="16"/>
  <c r="AR40" i="16" s="1"/>
  <c r="AV21" i="1" s="1"/>
  <c r="AS14" i="16"/>
  <c r="AS40" i="16" s="1"/>
  <c r="AW21" i="1" s="1"/>
  <c r="AT14" i="16"/>
  <c r="AT40" i="16" s="1"/>
  <c r="AU14" i="16"/>
  <c r="AU40" i="16" s="1"/>
  <c r="AV14" i="16"/>
  <c r="AV40" i="16" s="1"/>
  <c r="AW14" i="16"/>
  <c r="AW40" i="16" s="1"/>
  <c r="E15" i="16"/>
  <c r="E41" i="16" s="1"/>
  <c r="F15" i="16"/>
  <c r="F41" i="16" s="1"/>
  <c r="G15" i="16"/>
  <c r="G41" i="16" s="1"/>
  <c r="H15" i="16"/>
  <c r="H41" i="16" s="1"/>
  <c r="I15" i="16"/>
  <c r="I41" i="16" s="1"/>
  <c r="J15" i="16"/>
  <c r="J41" i="16" s="1"/>
  <c r="K15" i="16"/>
  <c r="K41" i="16" s="1"/>
  <c r="L15" i="16"/>
  <c r="L41" i="16" s="1"/>
  <c r="M15" i="16"/>
  <c r="M41" i="16" s="1"/>
  <c r="N15" i="16"/>
  <c r="N41" i="16" s="1"/>
  <c r="O15" i="16"/>
  <c r="O41" i="16" s="1"/>
  <c r="P15" i="16"/>
  <c r="P41" i="16" s="1"/>
  <c r="Q15" i="16"/>
  <c r="Q41" i="16" s="1"/>
  <c r="R15" i="16"/>
  <c r="R41" i="16" s="1"/>
  <c r="S15" i="16"/>
  <c r="S41" i="16" s="1"/>
  <c r="T15" i="16"/>
  <c r="T41" i="16" s="1"/>
  <c r="U15" i="16"/>
  <c r="U41" i="16" s="1"/>
  <c r="V15" i="16"/>
  <c r="V41" i="16" s="1"/>
  <c r="W15" i="16"/>
  <c r="W41" i="16" s="1"/>
  <c r="X15" i="16"/>
  <c r="X41" i="16" s="1"/>
  <c r="Y15" i="16"/>
  <c r="Y41" i="16" s="1"/>
  <c r="Z15" i="16"/>
  <c r="Z41" i="16" s="1"/>
  <c r="AA15" i="16"/>
  <c r="AA41" i="16" s="1"/>
  <c r="AB15" i="16"/>
  <c r="AB41" i="16" s="1"/>
  <c r="AC15" i="16"/>
  <c r="AC41" i="16" s="1"/>
  <c r="AG22" i="1" s="1"/>
  <c r="AD15" i="16"/>
  <c r="AD41" i="16" s="1"/>
  <c r="AE15" i="16"/>
  <c r="AE41" i="16" s="1"/>
  <c r="AI22" i="1" s="1"/>
  <c r="AF15" i="16"/>
  <c r="AF41" i="16" s="1"/>
  <c r="AG15" i="16"/>
  <c r="AG41" i="16" s="1"/>
  <c r="AK22" i="1" s="1"/>
  <c r="AH15" i="16"/>
  <c r="AH41" i="16" s="1"/>
  <c r="AI15" i="16"/>
  <c r="AI41" i="16" s="1"/>
  <c r="AM22" i="1" s="1"/>
  <c r="AJ15" i="16"/>
  <c r="AJ41" i="16" s="1"/>
  <c r="AN22" i="1" s="1"/>
  <c r="AK15" i="16"/>
  <c r="AK41" i="16" s="1"/>
  <c r="AO22" i="1" s="1"/>
  <c r="AL15" i="16"/>
  <c r="AL41" i="16" s="1"/>
  <c r="AP22" i="1" s="1"/>
  <c r="AM15" i="16"/>
  <c r="AM41" i="16" s="1"/>
  <c r="AQ22" i="1" s="1"/>
  <c r="AN15" i="16"/>
  <c r="AN41" i="16" s="1"/>
  <c r="AR22" i="1" s="1"/>
  <c r="AO15" i="16"/>
  <c r="AO41" i="16" s="1"/>
  <c r="AS22" i="1" s="1"/>
  <c r="AP15" i="16"/>
  <c r="AP41" i="16" s="1"/>
  <c r="AT22" i="1" s="1"/>
  <c r="AQ15" i="16"/>
  <c r="AQ41" i="16" s="1"/>
  <c r="AU22" i="1" s="1"/>
  <c r="AR15" i="16"/>
  <c r="AR41" i="16" s="1"/>
  <c r="AV22" i="1" s="1"/>
  <c r="AS15" i="16"/>
  <c r="AS41" i="16" s="1"/>
  <c r="AW22" i="1" s="1"/>
  <c r="AT15" i="16"/>
  <c r="AT41" i="16" s="1"/>
  <c r="AU15" i="16"/>
  <c r="AU41" i="16" s="1"/>
  <c r="AV15" i="16"/>
  <c r="AV41" i="16" s="1"/>
  <c r="AW15" i="16"/>
  <c r="AW41" i="16" s="1"/>
  <c r="E16" i="16"/>
  <c r="E42" i="16" s="1"/>
  <c r="F16" i="16"/>
  <c r="F42" i="16" s="1"/>
  <c r="G16" i="16"/>
  <c r="G42" i="16" s="1"/>
  <c r="H16" i="16"/>
  <c r="H42" i="16" s="1"/>
  <c r="I16" i="16"/>
  <c r="I42" i="16" s="1"/>
  <c r="J16" i="16"/>
  <c r="J42" i="16" s="1"/>
  <c r="K16" i="16"/>
  <c r="K42" i="16" s="1"/>
  <c r="L16" i="16"/>
  <c r="L42" i="16" s="1"/>
  <c r="M16" i="16"/>
  <c r="M42" i="16" s="1"/>
  <c r="N16" i="16"/>
  <c r="N42" i="16" s="1"/>
  <c r="O16" i="16"/>
  <c r="O42" i="16" s="1"/>
  <c r="P16" i="16"/>
  <c r="P42" i="16" s="1"/>
  <c r="Q16" i="16"/>
  <c r="Q42" i="16" s="1"/>
  <c r="R16" i="16"/>
  <c r="R42" i="16" s="1"/>
  <c r="S16" i="16"/>
  <c r="S42" i="16" s="1"/>
  <c r="T16" i="16"/>
  <c r="T42" i="16" s="1"/>
  <c r="U16" i="16"/>
  <c r="U42" i="16" s="1"/>
  <c r="V16" i="16"/>
  <c r="V42" i="16" s="1"/>
  <c r="W16" i="16"/>
  <c r="W42" i="16" s="1"/>
  <c r="X16" i="16"/>
  <c r="X42" i="16" s="1"/>
  <c r="Y16" i="16"/>
  <c r="Y42" i="16" s="1"/>
  <c r="Z16" i="16"/>
  <c r="Z42" i="16" s="1"/>
  <c r="AA16" i="16"/>
  <c r="AA42" i="16" s="1"/>
  <c r="AB16" i="16"/>
  <c r="AB42" i="16" s="1"/>
  <c r="AC16" i="16"/>
  <c r="AC42" i="16" s="1"/>
  <c r="AG23" i="1" s="1"/>
  <c r="AD16" i="16"/>
  <c r="AD42" i="16" s="1"/>
  <c r="AH23" i="1" s="1"/>
  <c r="AE16" i="16"/>
  <c r="AE42" i="16" s="1"/>
  <c r="AI23" i="1" s="1"/>
  <c r="AF16" i="16"/>
  <c r="AF42" i="16" s="1"/>
  <c r="AJ23" i="1" s="1"/>
  <c r="AG16" i="16"/>
  <c r="AG42" i="16" s="1"/>
  <c r="AK23" i="1" s="1"/>
  <c r="AH16" i="16"/>
  <c r="AH42" i="16" s="1"/>
  <c r="AL23" i="1" s="1"/>
  <c r="AI16" i="16"/>
  <c r="AI42" i="16" s="1"/>
  <c r="AM23" i="1" s="1"/>
  <c r="AJ16" i="16"/>
  <c r="AJ42" i="16" s="1"/>
  <c r="AN23" i="1" s="1"/>
  <c r="AK16" i="16"/>
  <c r="AK42" i="16" s="1"/>
  <c r="AO23" i="1" s="1"/>
  <c r="AL16" i="16"/>
  <c r="AL42" i="16" s="1"/>
  <c r="AP23" i="1" s="1"/>
  <c r="AM16" i="16"/>
  <c r="AM42" i="16" s="1"/>
  <c r="AQ23" i="1" s="1"/>
  <c r="AN16" i="16"/>
  <c r="AN42" i="16" s="1"/>
  <c r="AR23" i="1" s="1"/>
  <c r="AO16" i="16"/>
  <c r="AO42" i="16" s="1"/>
  <c r="AS23" i="1" s="1"/>
  <c r="AP16" i="16"/>
  <c r="AP42" i="16" s="1"/>
  <c r="AT23" i="1" s="1"/>
  <c r="AQ16" i="16"/>
  <c r="AQ42" i="16" s="1"/>
  <c r="AU23" i="1" s="1"/>
  <c r="AR16" i="16"/>
  <c r="AR42" i="16" s="1"/>
  <c r="AV23" i="1" s="1"/>
  <c r="AS16" i="16"/>
  <c r="AS42" i="16" s="1"/>
  <c r="AW23" i="1" s="1"/>
  <c r="AT16" i="16"/>
  <c r="AT42" i="16" s="1"/>
  <c r="AU16" i="16"/>
  <c r="AU42" i="16" s="1"/>
  <c r="AV16" i="16"/>
  <c r="AV42" i="16" s="1"/>
  <c r="AW16" i="16"/>
  <c r="AW42" i="16" s="1"/>
  <c r="E17" i="16"/>
  <c r="E43" i="16" s="1"/>
  <c r="F17" i="16"/>
  <c r="F43" i="16" s="1"/>
  <c r="G17" i="16"/>
  <c r="G43" i="16" s="1"/>
  <c r="H17" i="16"/>
  <c r="H43" i="16" s="1"/>
  <c r="I17" i="16"/>
  <c r="I43" i="16" s="1"/>
  <c r="J17" i="16"/>
  <c r="J43" i="16" s="1"/>
  <c r="K17" i="16"/>
  <c r="K43" i="16" s="1"/>
  <c r="L17" i="16"/>
  <c r="L43" i="16" s="1"/>
  <c r="M17" i="16"/>
  <c r="M43" i="16" s="1"/>
  <c r="N17" i="16"/>
  <c r="N43" i="16" s="1"/>
  <c r="O17" i="16"/>
  <c r="O43" i="16" s="1"/>
  <c r="P17" i="16"/>
  <c r="P43" i="16" s="1"/>
  <c r="Q17" i="16"/>
  <c r="Q43" i="16" s="1"/>
  <c r="R17" i="16"/>
  <c r="R43" i="16" s="1"/>
  <c r="S17" i="16"/>
  <c r="S43" i="16" s="1"/>
  <c r="T17" i="16"/>
  <c r="T43" i="16" s="1"/>
  <c r="U17" i="16"/>
  <c r="U43" i="16" s="1"/>
  <c r="V17" i="16"/>
  <c r="V43" i="16" s="1"/>
  <c r="W17" i="16"/>
  <c r="W43" i="16" s="1"/>
  <c r="X17" i="16"/>
  <c r="X43" i="16" s="1"/>
  <c r="Y17" i="16"/>
  <c r="Y43" i="16" s="1"/>
  <c r="Z17" i="16"/>
  <c r="Z43" i="16" s="1"/>
  <c r="AA17" i="16"/>
  <c r="AA43" i="16" s="1"/>
  <c r="AB17" i="16"/>
  <c r="AB43" i="16" s="1"/>
  <c r="AC17" i="16"/>
  <c r="AC43" i="16" s="1"/>
  <c r="AG24" i="1" s="1"/>
  <c r="AD17" i="16"/>
  <c r="AD43" i="16" s="1"/>
  <c r="AH24" i="1" s="1"/>
  <c r="AE17" i="16"/>
  <c r="AE43" i="16" s="1"/>
  <c r="AF17" i="16"/>
  <c r="AF43" i="16" s="1"/>
  <c r="AJ24" i="1" s="1"/>
  <c r="AG17" i="16"/>
  <c r="AG43" i="16" s="1"/>
  <c r="AK24" i="1" s="1"/>
  <c r="AH17" i="16"/>
  <c r="AH43" i="16" s="1"/>
  <c r="AL24" i="1" s="1"/>
  <c r="AI17" i="16"/>
  <c r="AI43" i="16" s="1"/>
  <c r="AM24" i="1" s="1"/>
  <c r="AJ17" i="16"/>
  <c r="AJ43" i="16" s="1"/>
  <c r="AN24" i="1" s="1"/>
  <c r="AK17" i="16"/>
  <c r="AK43" i="16" s="1"/>
  <c r="AO24" i="1" s="1"/>
  <c r="AL17" i="16"/>
  <c r="AL43" i="16" s="1"/>
  <c r="AP24" i="1" s="1"/>
  <c r="AM17" i="16"/>
  <c r="AM43" i="16" s="1"/>
  <c r="AQ24" i="1" s="1"/>
  <c r="AN17" i="16"/>
  <c r="AN43" i="16" s="1"/>
  <c r="AR24" i="1" s="1"/>
  <c r="AO17" i="16"/>
  <c r="AO43" i="16" s="1"/>
  <c r="AS24" i="1" s="1"/>
  <c r="AP17" i="16"/>
  <c r="AP43" i="16" s="1"/>
  <c r="AT24" i="1" s="1"/>
  <c r="AQ17" i="16"/>
  <c r="AQ43" i="16" s="1"/>
  <c r="AU24" i="1" s="1"/>
  <c r="AR17" i="16"/>
  <c r="AR43" i="16" s="1"/>
  <c r="AV24" i="1" s="1"/>
  <c r="AS17" i="16"/>
  <c r="AS43" i="16" s="1"/>
  <c r="AW24" i="1" s="1"/>
  <c r="AT17" i="16"/>
  <c r="AT43" i="16" s="1"/>
  <c r="AU17" i="16"/>
  <c r="AU43" i="16" s="1"/>
  <c r="AV17" i="16"/>
  <c r="AV43" i="16" s="1"/>
  <c r="AW17" i="16"/>
  <c r="AW43" i="16" s="1"/>
  <c r="E18" i="16"/>
  <c r="E44" i="16" s="1"/>
  <c r="F18" i="16"/>
  <c r="F44" i="16" s="1"/>
  <c r="G18" i="16"/>
  <c r="G44" i="16" s="1"/>
  <c r="H18" i="16"/>
  <c r="H44" i="16" s="1"/>
  <c r="I18" i="16"/>
  <c r="I44" i="16" s="1"/>
  <c r="J18" i="16"/>
  <c r="J44" i="16" s="1"/>
  <c r="K18" i="16"/>
  <c r="K44" i="16" s="1"/>
  <c r="L18" i="16"/>
  <c r="L44" i="16" s="1"/>
  <c r="M18" i="16"/>
  <c r="M44" i="16" s="1"/>
  <c r="N18" i="16"/>
  <c r="N44" i="16" s="1"/>
  <c r="O18" i="16"/>
  <c r="O44" i="16" s="1"/>
  <c r="P18" i="16"/>
  <c r="P44" i="16" s="1"/>
  <c r="Q18" i="16"/>
  <c r="Q44" i="16" s="1"/>
  <c r="R18" i="16"/>
  <c r="R44" i="16" s="1"/>
  <c r="S18" i="16"/>
  <c r="S44" i="16" s="1"/>
  <c r="T18" i="16"/>
  <c r="T44" i="16" s="1"/>
  <c r="U18" i="16"/>
  <c r="U44" i="16" s="1"/>
  <c r="V18" i="16"/>
  <c r="V44" i="16" s="1"/>
  <c r="W18" i="16"/>
  <c r="W44" i="16" s="1"/>
  <c r="X18" i="16"/>
  <c r="X44" i="16" s="1"/>
  <c r="Y18" i="16"/>
  <c r="Y44" i="16" s="1"/>
  <c r="Z18" i="16"/>
  <c r="Z44" i="16" s="1"/>
  <c r="AD25" i="1" s="1"/>
  <c r="AA18" i="16"/>
  <c r="AA44" i="16" s="1"/>
  <c r="AB18" i="16"/>
  <c r="AB44" i="16" s="1"/>
  <c r="AC18" i="16"/>
  <c r="AC44" i="16" s="1"/>
  <c r="AG25" i="1" s="1"/>
  <c r="AD18" i="16"/>
  <c r="AD44" i="16" s="1"/>
  <c r="AE18" i="16"/>
  <c r="AE44" i="16" s="1"/>
  <c r="AI25" i="1" s="1"/>
  <c r="AF18" i="16"/>
  <c r="AF44" i="16" s="1"/>
  <c r="AJ25" i="1" s="1"/>
  <c r="AG18" i="16"/>
  <c r="AG44" i="16" s="1"/>
  <c r="AK25" i="1" s="1"/>
  <c r="AH18" i="16"/>
  <c r="AH44" i="16" s="1"/>
  <c r="AL25" i="1" s="1"/>
  <c r="AI18" i="16"/>
  <c r="AI44" i="16" s="1"/>
  <c r="AM25" i="1" s="1"/>
  <c r="AJ18" i="16"/>
  <c r="AJ44" i="16" s="1"/>
  <c r="AN25" i="1" s="1"/>
  <c r="AK18" i="16"/>
  <c r="AK44" i="16" s="1"/>
  <c r="AO25" i="1" s="1"/>
  <c r="AL18" i="16"/>
  <c r="AL44" i="16" s="1"/>
  <c r="AP25" i="1" s="1"/>
  <c r="AM18" i="16"/>
  <c r="AM44" i="16" s="1"/>
  <c r="AQ25" i="1" s="1"/>
  <c r="AN18" i="16"/>
  <c r="AN44" i="16" s="1"/>
  <c r="AR25" i="1" s="1"/>
  <c r="AO18" i="16"/>
  <c r="AO44" i="16" s="1"/>
  <c r="AS25" i="1" s="1"/>
  <c r="AP18" i="16"/>
  <c r="AP44" i="16" s="1"/>
  <c r="AT25" i="1" s="1"/>
  <c r="AQ18" i="16"/>
  <c r="AQ44" i="16" s="1"/>
  <c r="AU25" i="1" s="1"/>
  <c r="AR18" i="16"/>
  <c r="AR44" i="16" s="1"/>
  <c r="AV25" i="1" s="1"/>
  <c r="AS18" i="16"/>
  <c r="AS44" i="16" s="1"/>
  <c r="AW25" i="1" s="1"/>
  <c r="AT18" i="16"/>
  <c r="AT44" i="16" s="1"/>
  <c r="AU18" i="16"/>
  <c r="AU44" i="16" s="1"/>
  <c r="AV18" i="16"/>
  <c r="AV44" i="16" s="1"/>
  <c r="AW18" i="16"/>
  <c r="AW44" i="16" s="1"/>
  <c r="E19" i="16"/>
  <c r="E45" i="16" s="1"/>
  <c r="F19" i="16"/>
  <c r="F45" i="16" s="1"/>
  <c r="G19" i="16"/>
  <c r="G45" i="16" s="1"/>
  <c r="H19" i="16"/>
  <c r="H45" i="16" s="1"/>
  <c r="I19" i="16"/>
  <c r="I45" i="16" s="1"/>
  <c r="J19" i="16"/>
  <c r="J45" i="16" s="1"/>
  <c r="K19" i="16"/>
  <c r="K45" i="16" s="1"/>
  <c r="L19" i="16"/>
  <c r="L45" i="16" s="1"/>
  <c r="M19" i="16"/>
  <c r="M45" i="16" s="1"/>
  <c r="N19" i="16"/>
  <c r="N45" i="16" s="1"/>
  <c r="O19" i="16"/>
  <c r="O45" i="16" s="1"/>
  <c r="P19" i="16"/>
  <c r="P45" i="16" s="1"/>
  <c r="Q19" i="16"/>
  <c r="Q45" i="16" s="1"/>
  <c r="R19" i="16"/>
  <c r="R45" i="16" s="1"/>
  <c r="S19" i="16"/>
  <c r="S45" i="16" s="1"/>
  <c r="T19" i="16"/>
  <c r="T45" i="16" s="1"/>
  <c r="U19" i="16"/>
  <c r="U45" i="16" s="1"/>
  <c r="V19" i="16"/>
  <c r="V45" i="16" s="1"/>
  <c r="W19" i="16"/>
  <c r="W45" i="16" s="1"/>
  <c r="X19" i="16"/>
  <c r="X45" i="16" s="1"/>
  <c r="Y19" i="16"/>
  <c r="Y45" i="16" s="1"/>
  <c r="Z19" i="16"/>
  <c r="Z45" i="16" s="1"/>
  <c r="AA19" i="16"/>
  <c r="AA45" i="16" s="1"/>
  <c r="AB19" i="16"/>
  <c r="AB45" i="16" s="1"/>
  <c r="AC19" i="16"/>
  <c r="AC45" i="16" s="1"/>
  <c r="AG26" i="1" s="1"/>
  <c r="AD19" i="16"/>
  <c r="AD45" i="16" s="1"/>
  <c r="AE19" i="16"/>
  <c r="AE45" i="16" s="1"/>
  <c r="AI26" i="1" s="1"/>
  <c r="AF19" i="16"/>
  <c r="AF45" i="16" s="1"/>
  <c r="AJ26" i="1" s="1"/>
  <c r="AG19" i="16"/>
  <c r="AG45" i="16" s="1"/>
  <c r="AK26" i="1" s="1"/>
  <c r="AH19" i="16"/>
  <c r="AH45" i="16" s="1"/>
  <c r="AL26" i="1" s="1"/>
  <c r="AI19" i="16"/>
  <c r="AI45" i="16" s="1"/>
  <c r="AM26" i="1" s="1"/>
  <c r="AJ19" i="16"/>
  <c r="AJ45" i="16" s="1"/>
  <c r="AN26" i="1" s="1"/>
  <c r="AK19" i="16"/>
  <c r="AK45" i="16" s="1"/>
  <c r="AO26" i="1" s="1"/>
  <c r="AL19" i="16"/>
  <c r="AL45" i="16" s="1"/>
  <c r="AP26" i="1" s="1"/>
  <c r="AM19" i="16"/>
  <c r="AM45" i="16" s="1"/>
  <c r="AQ26" i="1" s="1"/>
  <c r="AN19" i="16"/>
  <c r="AN45" i="16" s="1"/>
  <c r="AR26" i="1" s="1"/>
  <c r="AO19" i="16"/>
  <c r="AO45" i="16" s="1"/>
  <c r="AS26" i="1" s="1"/>
  <c r="AP19" i="16"/>
  <c r="AP45" i="16" s="1"/>
  <c r="AT26" i="1" s="1"/>
  <c r="AQ19" i="16"/>
  <c r="AQ45" i="16" s="1"/>
  <c r="AU26" i="1" s="1"/>
  <c r="AR19" i="16"/>
  <c r="AR45" i="16" s="1"/>
  <c r="AV26" i="1" s="1"/>
  <c r="AS19" i="16"/>
  <c r="AS45" i="16" s="1"/>
  <c r="AW26" i="1" s="1"/>
  <c r="AT19" i="16"/>
  <c r="AT45" i="16" s="1"/>
  <c r="AU19" i="16"/>
  <c r="AU45" i="16" s="1"/>
  <c r="AV19" i="16"/>
  <c r="AV45" i="16" s="1"/>
  <c r="AW19" i="16"/>
  <c r="AW45" i="16" s="1"/>
  <c r="E20" i="16"/>
  <c r="E46" i="16" s="1"/>
  <c r="F20" i="16"/>
  <c r="F46" i="16" s="1"/>
  <c r="G20" i="16"/>
  <c r="G46" i="16" s="1"/>
  <c r="H20" i="16"/>
  <c r="H46" i="16" s="1"/>
  <c r="I20" i="16"/>
  <c r="I46" i="16" s="1"/>
  <c r="J20" i="16"/>
  <c r="J46" i="16" s="1"/>
  <c r="K20" i="16"/>
  <c r="K46" i="16" s="1"/>
  <c r="L20" i="16"/>
  <c r="L46" i="16" s="1"/>
  <c r="M20" i="16"/>
  <c r="M46" i="16" s="1"/>
  <c r="N20" i="16"/>
  <c r="N46" i="16" s="1"/>
  <c r="O20" i="16"/>
  <c r="O46" i="16" s="1"/>
  <c r="P20" i="16"/>
  <c r="P46" i="16" s="1"/>
  <c r="Q20" i="16"/>
  <c r="Q46" i="16" s="1"/>
  <c r="R20" i="16"/>
  <c r="R46" i="16" s="1"/>
  <c r="S20" i="16"/>
  <c r="S46" i="16" s="1"/>
  <c r="T20" i="16"/>
  <c r="T46" i="16" s="1"/>
  <c r="U20" i="16"/>
  <c r="U46" i="16" s="1"/>
  <c r="V20" i="16"/>
  <c r="V46" i="16" s="1"/>
  <c r="W20" i="16"/>
  <c r="W46" i="16" s="1"/>
  <c r="X20" i="16"/>
  <c r="X46" i="16" s="1"/>
  <c r="Y20" i="16"/>
  <c r="Y46" i="16" s="1"/>
  <c r="Z20" i="16"/>
  <c r="Z46" i="16" s="1"/>
  <c r="AA20" i="16"/>
  <c r="AA46" i="16" s="1"/>
  <c r="AB20" i="16"/>
  <c r="AB46" i="16" s="1"/>
  <c r="AC20" i="16"/>
  <c r="AC46" i="16" s="1"/>
  <c r="AG27" i="1" s="1"/>
  <c r="AD20" i="16"/>
  <c r="AD46" i="16" s="1"/>
  <c r="AH27" i="1" s="1"/>
  <c r="AE20" i="16"/>
  <c r="AE46" i="16" s="1"/>
  <c r="AF20" i="16"/>
  <c r="AF46" i="16" s="1"/>
  <c r="AJ27" i="1" s="1"/>
  <c r="AG20" i="16"/>
  <c r="AG46" i="16" s="1"/>
  <c r="AK27" i="1" s="1"/>
  <c r="AH20" i="16"/>
  <c r="AH46" i="16" s="1"/>
  <c r="AI20" i="16"/>
  <c r="AI46" i="16" s="1"/>
  <c r="AM27" i="1" s="1"/>
  <c r="AJ20" i="16"/>
  <c r="AJ46" i="16" s="1"/>
  <c r="AN27" i="1" s="1"/>
  <c r="AK20" i="16"/>
  <c r="AK46" i="16" s="1"/>
  <c r="AO27" i="1" s="1"/>
  <c r="AL20" i="16"/>
  <c r="AL46" i="16" s="1"/>
  <c r="AP27" i="1" s="1"/>
  <c r="AM20" i="16"/>
  <c r="AM46" i="16" s="1"/>
  <c r="AQ27" i="1" s="1"/>
  <c r="AN20" i="16"/>
  <c r="AN46" i="16" s="1"/>
  <c r="AR27" i="1" s="1"/>
  <c r="AO20" i="16"/>
  <c r="AO46" i="16" s="1"/>
  <c r="AS27" i="1" s="1"/>
  <c r="AP20" i="16"/>
  <c r="AP46" i="16" s="1"/>
  <c r="AT27" i="1" s="1"/>
  <c r="AQ20" i="16"/>
  <c r="AQ46" i="16" s="1"/>
  <c r="AU27" i="1" s="1"/>
  <c r="AR20" i="16"/>
  <c r="AR46" i="16" s="1"/>
  <c r="AV27" i="1" s="1"/>
  <c r="AS20" i="16"/>
  <c r="AS46" i="16" s="1"/>
  <c r="AW27" i="1" s="1"/>
  <c r="AT20" i="16"/>
  <c r="AT46" i="16" s="1"/>
  <c r="AU20" i="16"/>
  <c r="AU46" i="16" s="1"/>
  <c r="AV20" i="16"/>
  <c r="AV46" i="16" s="1"/>
  <c r="AW20" i="16"/>
  <c r="AW46" i="16" s="1"/>
  <c r="E21" i="16"/>
  <c r="E47" i="16" s="1"/>
  <c r="F21" i="16"/>
  <c r="F47" i="16" s="1"/>
  <c r="G21" i="16"/>
  <c r="G47" i="16" s="1"/>
  <c r="H21" i="16"/>
  <c r="H47" i="16" s="1"/>
  <c r="I21" i="16"/>
  <c r="I47" i="16" s="1"/>
  <c r="J21" i="16"/>
  <c r="J47" i="16" s="1"/>
  <c r="K21" i="16"/>
  <c r="K47" i="16" s="1"/>
  <c r="L21" i="16"/>
  <c r="L47" i="16" s="1"/>
  <c r="M21" i="16"/>
  <c r="M47" i="16" s="1"/>
  <c r="N21" i="16"/>
  <c r="N47" i="16" s="1"/>
  <c r="O21" i="16"/>
  <c r="O47" i="16" s="1"/>
  <c r="P21" i="16"/>
  <c r="P47" i="16" s="1"/>
  <c r="Q21" i="16"/>
  <c r="Q47" i="16" s="1"/>
  <c r="R21" i="16"/>
  <c r="R47" i="16" s="1"/>
  <c r="S21" i="16"/>
  <c r="S47" i="16" s="1"/>
  <c r="T21" i="16"/>
  <c r="T47" i="16" s="1"/>
  <c r="U21" i="16"/>
  <c r="U47" i="16" s="1"/>
  <c r="V21" i="16"/>
  <c r="V47" i="16" s="1"/>
  <c r="W21" i="16"/>
  <c r="W47" i="16" s="1"/>
  <c r="X21" i="16"/>
  <c r="X47" i="16" s="1"/>
  <c r="Y21" i="16"/>
  <c r="Y47" i="16" s="1"/>
  <c r="Z21" i="16"/>
  <c r="Z47" i="16" s="1"/>
  <c r="AA21" i="16"/>
  <c r="AA47" i="16" s="1"/>
  <c r="AB21" i="16"/>
  <c r="AB47" i="16" s="1"/>
  <c r="AC21" i="16"/>
  <c r="AC47" i="16" s="1"/>
  <c r="AG28" i="1" s="1"/>
  <c r="AD21" i="16"/>
  <c r="AD47" i="16" s="1"/>
  <c r="AE21" i="16"/>
  <c r="AE47" i="16" s="1"/>
  <c r="AI28" i="1" s="1"/>
  <c r="AF21" i="16"/>
  <c r="AF47" i="16" s="1"/>
  <c r="AJ28" i="1" s="1"/>
  <c r="AG21" i="16"/>
  <c r="AG47" i="16" s="1"/>
  <c r="AK28" i="1" s="1"/>
  <c r="AH21" i="16"/>
  <c r="AH47" i="16" s="1"/>
  <c r="AI21" i="16"/>
  <c r="AI47" i="16" s="1"/>
  <c r="AM28" i="1" s="1"/>
  <c r="AJ21" i="16"/>
  <c r="AJ47" i="16" s="1"/>
  <c r="AN28" i="1" s="1"/>
  <c r="AK21" i="16"/>
  <c r="AK47" i="16" s="1"/>
  <c r="AO28" i="1" s="1"/>
  <c r="AL21" i="16"/>
  <c r="AL47" i="16" s="1"/>
  <c r="AP28" i="1" s="1"/>
  <c r="AM21" i="16"/>
  <c r="AM47" i="16" s="1"/>
  <c r="AQ28" i="1" s="1"/>
  <c r="AN21" i="16"/>
  <c r="AN47" i="16" s="1"/>
  <c r="AR28" i="1" s="1"/>
  <c r="AO21" i="16"/>
  <c r="AO47" i="16" s="1"/>
  <c r="AS28" i="1" s="1"/>
  <c r="AP21" i="16"/>
  <c r="AP47" i="16" s="1"/>
  <c r="AT28" i="1" s="1"/>
  <c r="AQ21" i="16"/>
  <c r="AQ47" i="16" s="1"/>
  <c r="AU28" i="1" s="1"/>
  <c r="AR21" i="16"/>
  <c r="AR47" i="16" s="1"/>
  <c r="AV28" i="1" s="1"/>
  <c r="AS21" i="16"/>
  <c r="AS47" i="16" s="1"/>
  <c r="AW28" i="1" s="1"/>
  <c r="AT21" i="16"/>
  <c r="AT47" i="16" s="1"/>
  <c r="AU21" i="16"/>
  <c r="AU47" i="16" s="1"/>
  <c r="AV21" i="16"/>
  <c r="AV47" i="16" s="1"/>
  <c r="AW21" i="16"/>
  <c r="AW47" i="16" s="1"/>
  <c r="E22" i="16"/>
  <c r="E48" i="16" s="1"/>
  <c r="F22" i="16"/>
  <c r="F48" i="16" s="1"/>
  <c r="G22" i="16"/>
  <c r="G48" i="16" s="1"/>
  <c r="H22" i="16"/>
  <c r="H48" i="16" s="1"/>
  <c r="I22" i="16"/>
  <c r="I48" i="16" s="1"/>
  <c r="J22" i="16"/>
  <c r="J48" i="16" s="1"/>
  <c r="K22" i="16"/>
  <c r="K48" i="16" s="1"/>
  <c r="L22" i="16"/>
  <c r="L48" i="16" s="1"/>
  <c r="M22" i="16"/>
  <c r="M48" i="16" s="1"/>
  <c r="N22" i="16"/>
  <c r="N48" i="16" s="1"/>
  <c r="O22" i="16"/>
  <c r="O48" i="16" s="1"/>
  <c r="P22" i="16"/>
  <c r="P48" i="16" s="1"/>
  <c r="Q22" i="16"/>
  <c r="Q48" i="16" s="1"/>
  <c r="R22" i="16"/>
  <c r="R48" i="16" s="1"/>
  <c r="S22" i="16"/>
  <c r="S48" i="16" s="1"/>
  <c r="T22" i="16"/>
  <c r="T48" i="16" s="1"/>
  <c r="U22" i="16"/>
  <c r="U48" i="16" s="1"/>
  <c r="V22" i="16"/>
  <c r="V48" i="16" s="1"/>
  <c r="W22" i="16"/>
  <c r="W48" i="16" s="1"/>
  <c r="X22" i="16"/>
  <c r="X48" i="16" s="1"/>
  <c r="Y22" i="16"/>
  <c r="Y48" i="16" s="1"/>
  <c r="Z22" i="16"/>
  <c r="Z48" i="16" s="1"/>
  <c r="AD29" i="1" s="1"/>
  <c r="AA22" i="16"/>
  <c r="AA48" i="16" s="1"/>
  <c r="AB22" i="16"/>
  <c r="AB48" i="16" s="1"/>
  <c r="AC22" i="16"/>
  <c r="AC48" i="16" s="1"/>
  <c r="AD22" i="16"/>
  <c r="AD48" i="16" s="1"/>
  <c r="AE22" i="16"/>
  <c r="AE48" i="16" s="1"/>
  <c r="AF22" i="16"/>
  <c r="AF48" i="16" s="1"/>
  <c r="AJ29" i="1" s="1"/>
  <c r="AG22" i="16"/>
  <c r="AG48" i="16" s="1"/>
  <c r="AK29" i="1" s="1"/>
  <c r="AH22" i="16"/>
  <c r="AH48" i="16" s="1"/>
  <c r="AL29" i="1" s="1"/>
  <c r="AI22" i="16"/>
  <c r="AI48" i="16" s="1"/>
  <c r="AM29" i="1" s="1"/>
  <c r="AJ22" i="16"/>
  <c r="AJ48" i="16" s="1"/>
  <c r="AN29" i="1" s="1"/>
  <c r="AK22" i="16"/>
  <c r="AK48" i="16" s="1"/>
  <c r="AO29" i="1" s="1"/>
  <c r="AL22" i="16"/>
  <c r="AL48" i="16" s="1"/>
  <c r="AP29" i="1" s="1"/>
  <c r="AM22" i="16"/>
  <c r="AM48" i="16" s="1"/>
  <c r="AQ29" i="1" s="1"/>
  <c r="AN22" i="16"/>
  <c r="AN48" i="16" s="1"/>
  <c r="AR29" i="1" s="1"/>
  <c r="AO22" i="16"/>
  <c r="AO48" i="16" s="1"/>
  <c r="AS29" i="1" s="1"/>
  <c r="AP22" i="16"/>
  <c r="AP48" i="16" s="1"/>
  <c r="AT29" i="1" s="1"/>
  <c r="AQ22" i="16"/>
  <c r="AQ48" i="16" s="1"/>
  <c r="AU29" i="1" s="1"/>
  <c r="AR22" i="16"/>
  <c r="AR48" i="16" s="1"/>
  <c r="AV29" i="1" s="1"/>
  <c r="AS22" i="16"/>
  <c r="AS48" i="16" s="1"/>
  <c r="AW29" i="1" s="1"/>
  <c r="AT22" i="16"/>
  <c r="AT48" i="16" s="1"/>
  <c r="AU22" i="16"/>
  <c r="AU48" i="16" s="1"/>
  <c r="AV22" i="16"/>
  <c r="AV48" i="16" s="1"/>
  <c r="AW22" i="16"/>
  <c r="AW48" i="16" s="1"/>
  <c r="E23" i="16"/>
  <c r="E49" i="16" s="1"/>
  <c r="F23" i="16"/>
  <c r="F49" i="16" s="1"/>
  <c r="G23" i="16"/>
  <c r="G49" i="16" s="1"/>
  <c r="H23" i="16"/>
  <c r="H49" i="16" s="1"/>
  <c r="I23" i="16"/>
  <c r="I49" i="16" s="1"/>
  <c r="J23" i="16"/>
  <c r="J49" i="16" s="1"/>
  <c r="K23" i="16"/>
  <c r="K49" i="16" s="1"/>
  <c r="L23" i="16"/>
  <c r="L49" i="16" s="1"/>
  <c r="M23" i="16"/>
  <c r="M49" i="16" s="1"/>
  <c r="N23" i="16"/>
  <c r="N49" i="16" s="1"/>
  <c r="O23" i="16"/>
  <c r="O49" i="16" s="1"/>
  <c r="P23" i="16"/>
  <c r="P49" i="16" s="1"/>
  <c r="Q23" i="16"/>
  <c r="Q49" i="16" s="1"/>
  <c r="R23" i="16"/>
  <c r="R49" i="16" s="1"/>
  <c r="S23" i="16"/>
  <c r="S49" i="16" s="1"/>
  <c r="T23" i="16"/>
  <c r="T49" i="16" s="1"/>
  <c r="U23" i="16"/>
  <c r="U49" i="16" s="1"/>
  <c r="V23" i="16"/>
  <c r="V49" i="16" s="1"/>
  <c r="W23" i="16"/>
  <c r="W49" i="16" s="1"/>
  <c r="X23" i="16"/>
  <c r="X49" i="16" s="1"/>
  <c r="Y23" i="16"/>
  <c r="Y49" i="16" s="1"/>
  <c r="Z23" i="16"/>
  <c r="Z49" i="16" s="1"/>
  <c r="AD30" i="1" s="1"/>
  <c r="AA23" i="16"/>
  <c r="AA49" i="16" s="1"/>
  <c r="AB23" i="16"/>
  <c r="AB49" i="16" s="1"/>
  <c r="AC23" i="16"/>
  <c r="AC49" i="16" s="1"/>
  <c r="AD23" i="16"/>
  <c r="AD49" i="16" s="1"/>
  <c r="AE23" i="16"/>
  <c r="AE49" i="16" s="1"/>
  <c r="AF23" i="16"/>
  <c r="AF49" i="16" s="1"/>
  <c r="AJ30" i="1" s="1"/>
  <c r="AG23" i="16"/>
  <c r="AG49" i="16" s="1"/>
  <c r="AK30" i="1" s="1"/>
  <c r="AH23" i="16"/>
  <c r="AH49" i="16" s="1"/>
  <c r="AL30" i="1" s="1"/>
  <c r="AI23" i="16"/>
  <c r="AI49" i="16" s="1"/>
  <c r="AM30" i="1" s="1"/>
  <c r="AJ23" i="16"/>
  <c r="AJ49" i="16" s="1"/>
  <c r="AN30" i="1" s="1"/>
  <c r="AK23" i="16"/>
  <c r="AK49" i="16" s="1"/>
  <c r="AO30" i="1" s="1"/>
  <c r="AL23" i="16"/>
  <c r="AL49" i="16" s="1"/>
  <c r="AP30" i="1" s="1"/>
  <c r="AM23" i="16"/>
  <c r="AM49" i="16" s="1"/>
  <c r="AQ30" i="1" s="1"/>
  <c r="AN23" i="16"/>
  <c r="AN49" i="16" s="1"/>
  <c r="AR30" i="1" s="1"/>
  <c r="AO23" i="16"/>
  <c r="AO49" i="16" s="1"/>
  <c r="AS30" i="1" s="1"/>
  <c r="AP23" i="16"/>
  <c r="AP49" i="16" s="1"/>
  <c r="AT30" i="1" s="1"/>
  <c r="AQ23" i="16"/>
  <c r="AQ49" i="16" s="1"/>
  <c r="AU30" i="1" s="1"/>
  <c r="AR23" i="16"/>
  <c r="AR49" i="16" s="1"/>
  <c r="AV30" i="1" s="1"/>
  <c r="AS23" i="16"/>
  <c r="AS49" i="16" s="1"/>
  <c r="AW30" i="1" s="1"/>
  <c r="AT23" i="16"/>
  <c r="AT49" i="16" s="1"/>
  <c r="AU23" i="16"/>
  <c r="AU49" i="16" s="1"/>
  <c r="AV23" i="16"/>
  <c r="AV49" i="16" s="1"/>
  <c r="AW23" i="16"/>
  <c r="AW49" i="16" s="1"/>
  <c r="E24" i="16"/>
  <c r="E50" i="16" s="1"/>
  <c r="F24" i="16"/>
  <c r="F50" i="16" s="1"/>
  <c r="G24" i="16"/>
  <c r="G50" i="16" s="1"/>
  <c r="H24" i="16"/>
  <c r="H50" i="16" s="1"/>
  <c r="I24" i="16"/>
  <c r="I50" i="16" s="1"/>
  <c r="J24" i="16"/>
  <c r="J50" i="16" s="1"/>
  <c r="K24" i="16"/>
  <c r="K50" i="16" s="1"/>
  <c r="L24" i="16"/>
  <c r="L50" i="16" s="1"/>
  <c r="M24" i="16"/>
  <c r="M50" i="16" s="1"/>
  <c r="N24" i="16"/>
  <c r="N50" i="16" s="1"/>
  <c r="O24" i="16"/>
  <c r="O50" i="16" s="1"/>
  <c r="P24" i="16"/>
  <c r="P50" i="16" s="1"/>
  <c r="Q24" i="16"/>
  <c r="Q50" i="16" s="1"/>
  <c r="R24" i="16"/>
  <c r="R50" i="16" s="1"/>
  <c r="S24" i="16"/>
  <c r="S50" i="16" s="1"/>
  <c r="T24" i="16"/>
  <c r="T50" i="16" s="1"/>
  <c r="U24" i="16"/>
  <c r="U50" i="16" s="1"/>
  <c r="V24" i="16"/>
  <c r="V50" i="16" s="1"/>
  <c r="W24" i="16"/>
  <c r="W50" i="16" s="1"/>
  <c r="X24" i="16"/>
  <c r="X50" i="16" s="1"/>
  <c r="Y24" i="16"/>
  <c r="Y50" i="16" s="1"/>
  <c r="Z24" i="16"/>
  <c r="Z50" i="16" s="1"/>
  <c r="AD31" i="1" s="1"/>
  <c r="AA24" i="16"/>
  <c r="AA50" i="16" s="1"/>
  <c r="AB24" i="16"/>
  <c r="AB50" i="16" s="1"/>
  <c r="AC24" i="16"/>
  <c r="AC50" i="16" s="1"/>
  <c r="AD24" i="16"/>
  <c r="AD50" i="16" s="1"/>
  <c r="AE24" i="16"/>
  <c r="AE50" i="16" s="1"/>
  <c r="AF24" i="16"/>
  <c r="AF50" i="16" s="1"/>
  <c r="AJ31" i="1" s="1"/>
  <c r="AG24" i="16"/>
  <c r="AG50" i="16" s="1"/>
  <c r="AH24" i="16"/>
  <c r="AH50" i="16" s="1"/>
  <c r="AL31" i="1" s="1"/>
  <c r="AI24" i="16"/>
  <c r="AI50" i="16" s="1"/>
  <c r="AM31" i="1" s="1"/>
  <c r="AJ24" i="16"/>
  <c r="AJ50" i="16" s="1"/>
  <c r="AN31" i="1" s="1"/>
  <c r="AK24" i="16"/>
  <c r="AK50" i="16" s="1"/>
  <c r="AO31" i="1" s="1"/>
  <c r="AL24" i="16"/>
  <c r="AL50" i="16" s="1"/>
  <c r="AP31" i="1" s="1"/>
  <c r="AM24" i="16"/>
  <c r="AM50" i="16" s="1"/>
  <c r="AQ31" i="1" s="1"/>
  <c r="AN24" i="16"/>
  <c r="AN50" i="16" s="1"/>
  <c r="AR31" i="1" s="1"/>
  <c r="AO24" i="16"/>
  <c r="AO50" i="16" s="1"/>
  <c r="AS31" i="1" s="1"/>
  <c r="AP24" i="16"/>
  <c r="AP50" i="16" s="1"/>
  <c r="AT31" i="1" s="1"/>
  <c r="AQ24" i="16"/>
  <c r="AQ50" i="16" s="1"/>
  <c r="AU31" i="1" s="1"/>
  <c r="AR24" i="16"/>
  <c r="AR50" i="16" s="1"/>
  <c r="AV31" i="1" s="1"/>
  <c r="AS24" i="16"/>
  <c r="AS50" i="16" s="1"/>
  <c r="AW31" i="1" s="1"/>
  <c r="AT24" i="16"/>
  <c r="AT50" i="16" s="1"/>
  <c r="AU24" i="16"/>
  <c r="AU50" i="16" s="1"/>
  <c r="AV24" i="16"/>
  <c r="AV50" i="16" s="1"/>
  <c r="AW24" i="16"/>
  <c r="AW50" i="16" s="1"/>
  <c r="E25" i="16"/>
  <c r="E51" i="16" s="1"/>
  <c r="F25" i="16"/>
  <c r="F51" i="16" s="1"/>
  <c r="G25" i="16"/>
  <c r="G51" i="16" s="1"/>
  <c r="H25" i="16"/>
  <c r="H51" i="16" s="1"/>
  <c r="I25" i="16"/>
  <c r="I51" i="16" s="1"/>
  <c r="J25" i="16"/>
  <c r="J51" i="16" s="1"/>
  <c r="K25" i="16"/>
  <c r="K51" i="16" s="1"/>
  <c r="L25" i="16"/>
  <c r="L51" i="16" s="1"/>
  <c r="M25" i="16"/>
  <c r="M51" i="16" s="1"/>
  <c r="N25" i="16"/>
  <c r="N51" i="16" s="1"/>
  <c r="O25" i="16"/>
  <c r="O51" i="16" s="1"/>
  <c r="P25" i="16"/>
  <c r="P51" i="16" s="1"/>
  <c r="Q25" i="16"/>
  <c r="Q51" i="16" s="1"/>
  <c r="R25" i="16"/>
  <c r="R51" i="16" s="1"/>
  <c r="S25" i="16"/>
  <c r="S51" i="16" s="1"/>
  <c r="T25" i="16"/>
  <c r="T51" i="16" s="1"/>
  <c r="U25" i="16"/>
  <c r="U51" i="16" s="1"/>
  <c r="V25" i="16"/>
  <c r="V51" i="16" s="1"/>
  <c r="W25" i="16"/>
  <c r="W51" i="16" s="1"/>
  <c r="X25" i="16"/>
  <c r="X51" i="16" s="1"/>
  <c r="Y25" i="16"/>
  <c r="Y51" i="16" s="1"/>
  <c r="Z25" i="16"/>
  <c r="Z51" i="16" s="1"/>
  <c r="AD32" i="1" s="1"/>
  <c r="AA25" i="16"/>
  <c r="AA51" i="16" s="1"/>
  <c r="AB25" i="16"/>
  <c r="AB51" i="16" s="1"/>
  <c r="AC25" i="16"/>
  <c r="AC51" i="16" s="1"/>
  <c r="AD25" i="16"/>
  <c r="AD51" i="16" s="1"/>
  <c r="AE25" i="16"/>
  <c r="AE51" i="16" s="1"/>
  <c r="AF25" i="16"/>
  <c r="AF51" i="16" s="1"/>
  <c r="AJ32" i="1" s="1"/>
  <c r="AG25" i="16"/>
  <c r="AG51" i="16" s="1"/>
  <c r="AK32" i="1" s="1"/>
  <c r="AH25" i="16"/>
  <c r="AH51" i="16" s="1"/>
  <c r="AI25" i="16"/>
  <c r="AI51" i="16" s="1"/>
  <c r="AM32" i="1" s="1"/>
  <c r="AJ25" i="16"/>
  <c r="AJ51" i="16" s="1"/>
  <c r="AN32" i="1" s="1"/>
  <c r="AK25" i="16"/>
  <c r="AK51" i="16" s="1"/>
  <c r="AO32" i="1" s="1"/>
  <c r="AL25" i="16"/>
  <c r="AL51" i="16" s="1"/>
  <c r="AP32" i="1" s="1"/>
  <c r="AM25" i="16"/>
  <c r="AM51" i="16" s="1"/>
  <c r="AQ32" i="1" s="1"/>
  <c r="AN25" i="16"/>
  <c r="AN51" i="16" s="1"/>
  <c r="AR32" i="1" s="1"/>
  <c r="AO25" i="16"/>
  <c r="AO51" i="16" s="1"/>
  <c r="AS32" i="1" s="1"/>
  <c r="AP25" i="16"/>
  <c r="AP51" i="16" s="1"/>
  <c r="AT32" i="1" s="1"/>
  <c r="AQ25" i="16"/>
  <c r="AQ51" i="16" s="1"/>
  <c r="AU32" i="1" s="1"/>
  <c r="AR25" i="16"/>
  <c r="AR51" i="16" s="1"/>
  <c r="AV32" i="1" s="1"/>
  <c r="AS25" i="16"/>
  <c r="AS51" i="16" s="1"/>
  <c r="AW32" i="1" s="1"/>
  <c r="AT25" i="16"/>
  <c r="AT51" i="16" s="1"/>
  <c r="AU25" i="16"/>
  <c r="AU51" i="16" s="1"/>
  <c r="AV25" i="16"/>
  <c r="AV51" i="16" s="1"/>
  <c r="AW25" i="16"/>
  <c r="AW51" i="16" s="1"/>
  <c r="E26" i="16"/>
  <c r="E52" i="16" s="1"/>
  <c r="F26" i="16"/>
  <c r="F52" i="16" s="1"/>
  <c r="G26" i="16"/>
  <c r="G52" i="16" s="1"/>
  <c r="H26" i="16"/>
  <c r="H52" i="16" s="1"/>
  <c r="I26" i="16"/>
  <c r="I52" i="16" s="1"/>
  <c r="J26" i="16"/>
  <c r="J52" i="16" s="1"/>
  <c r="K26" i="16"/>
  <c r="K52" i="16" s="1"/>
  <c r="L26" i="16"/>
  <c r="L52" i="16" s="1"/>
  <c r="M26" i="16"/>
  <c r="M52" i="16" s="1"/>
  <c r="N26" i="16"/>
  <c r="N52" i="16" s="1"/>
  <c r="O26" i="16"/>
  <c r="O52" i="16" s="1"/>
  <c r="P26" i="16"/>
  <c r="P52" i="16" s="1"/>
  <c r="Q26" i="16"/>
  <c r="Q52" i="16" s="1"/>
  <c r="R26" i="16"/>
  <c r="R52" i="16" s="1"/>
  <c r="S26" i="16"/>
  <c r="S52" i="16" s="1"/>
  <c r="T26" i="16"/>
  <c r="T52" i="16" s="1"/>
  <c r="U26" i="16"/>
  <c r="U52" i="16" s="1"/>
  <c r="V26" i="16"/>
  <c r="V52" i="16" s="1"/>
  <c r="W26" i="16"/>
  <c r="W52" i="16" s="1"/>
  <c r="X26" i="16"/>
  <c r="X52" i="16" s="1"/>
  <c r="Y26" i="16"/>
  <c r="Y52" i="16" s="1"/>
  <c r="Z26" i="16"/>
  <c r="Z52" i="16" s="1"/>
  <c r="AD33" i="1" s="1"/>
  <c r="AA26" i="16"/>
  <c r="AA52" i="16" s="1"/>
  <c r="AB26" i="16"/>
  <c r="AB52" i="16" s="1"/>
  <c r="AC26" i="16"/>
  <c r="AC52" i="16" s="1"/>
  <c r="AD26" i="16"/>
  <c r="AD52" i="16" s="1"/>
  <c r="AE26" i="16"/>
  <c r="AE52" i="16" s="1"/>
  <c r="AF26" i="16"/>
  <c r="AF52" i="16" s="1"/>
  <c r="AG26" i="16"/>
  <c r="AG52" i="16" s="1"/>
  <c r="AH26" i="16"/>
  <c r="AH52" i="16" s="1"/>
  <c r="AL33" i="1" s="1"/>
  <c r="AI26" i="16"/>
  <c r="AI52" i="16" s="1"/>
  <c r="AJ26" i="16"/>
  <c r="AJ52" i="16" s="1"/>
  <c r="AN33" i="1" s="1"/>
  <c r="AK26" i="16"/>
  <c r="AK52" i="16" s="1"/>
  <c r="AO33" i="1" s="1"/>
  <c r="AL26" i="16"/>
  <c r="AL52" i="16" s="1"/>
  <c r="AP33" i="1" s="1"/>
  <c r="AM26" i="16"/>
  <c r="AM52" i="16" s="1"/>
  <c r="AQ33" i="1" s="1"/>
  <c r="AN26" i="16"/>
  <c r="AN52" i="16" s="1"/>
  <c r="AR33" i="1" s="1"/>
  <c r="AO26" i="16"/>
  <c r="AO52" i="16" s="1"/>
  <c r="AS33" i="1" s="1"/>
  <c r="AP26" i="16"/>
  <c r="AP52" i="16" s="1"/>
  <c r="AT33" i="1" s="1"/>
  <c r="AQ26" i="16"/>
  <c r="AQ52" i="16" s="1"/>
  <c r="AU33" i="1" s="1"/>
  <c r="AR26" i="16"/>
  <c r="AR52" i="16" s="1"/>
  <c r="AV33" i="1" s="1"/>
  <c r="AS26" i="16"/>
  <c r="AS52" i="16" s="1"/>
  <c r="AW33" i="1" s="1"/>
  <c r="AT26" i="16"/>
  <c r="AT52" i="16" s="1"/>
  <c r="AU26" i="16"/>
  <c r="AU52" i="16" s="1"/>
  <c r="AV26" i="16"/>
  <c r="AV52" i="16" s="1"/>
  <c r="AW26" i="16"/>
  <c r="AW52" i="16" s="1"/>
  <c r="E27" i="16"/>
  <c r="E53" i="16" s="1"/>
  <c r="F27" i="16"/>
  <c r="F53" i="16" s="1"/>
  <c r="G27" i="16"/>
  <c r="G53" i="16" s="1"/>
  <c r="H27" i="16"/>
  <c r="H53" i="16" s="1"/>
  <c r="I27" i="16"/>
  <c r="I53" i="16" s="1"/>
  <c r="J27" i="16"/>
  <c r="J53" i="16" s="1"/>
  <c r="K27" i="16"/>
  <c r="K53" i="16" s="1"/>
  <c r="L27" i="16"/>
  <c r="L53" i="16" s="1"/>
  <c r="M27" i="16"/>
  <c r="M53" i="16" s="1"/>
  <c r="N27" i="16"/>
  <c r="N53" i="16" s="1"/>
  <c r="O27" i="16"/>
  <c r="O53" i="16" s="1"/>
  <c r="P27" i="16"/>
  <c r="P53" i="16" s="1"/>
  <c r="Q27" i="16"/>
  <c r="Q53" i="16" s="1"/>
  <c r="R27" i="16"/>
  <c r="R53" i="16" s="1"/>
  <c r="S27" i="16"/>
  <c r="S53" i="16" s="1"/>
  <c r="T27" i="16"/>
  <c r="T53" i="16" s="1"/>
  <c r="U27" i="16"/>
  <c r="U53" i="16" s="1"/>
  <c r="V27" i="16"/>
  <c r="V53" i="16" s="1"/>
  <c r="W27" i="16"/>
  <c r="W53" i="16" s="1"/>
  <c r="X27" i="16"/>
  <c r="X53" i="16" s="1"/>
  <c r="Y27" i="16"/>
  <c r="Y53" i="16" s="1"/>
  <c r="Z27" i="16"/>
  <c r="Z53" i="16" s="1"/>
  <c r="AD34" i="1" s="1"/>
  <c r="AA27" i="16"/>
  <c r="AA53" i="16" s="1"/>
  <c r="AB27" i="16"/>
  <c r="AB53" i="16" s="1"/>
  <c r="AC27" i="16"/>
  <c r="AC53" i="16" s="1"/>
  <c r="AD27" i="16"/>
  <c r="AD53" i="16" s="1"/>
  <c r="AE27" i="16"/>
  <c r="AE53" i="16" s="1"/>
  <c r="AF27" i="16"/>
  <c r="AF53" i="16" s="1"/>
  <c r="AJ34" i="1" s="1"/>
  <c r="AG27" i="16"/>
  <c r="AG53" i="16" s="1"/>
  <c r="AK34" i="1" s="1"/>
  <c r="AH27" i="16"/>
  <c r="AH53" i="16" s="1"/>
  <c r="AL34" i="1" s="1"/>
  <c r="AI27" i="16"/>
  <c r="AI53" i="16" s="1"/>
  <c r="AM34" i="1" s="1"/>
  <c r="AJ27" i="16"/>
  <c r="AJ53" i="16" s="1"/>
  <c r="AN34" i="1" s="1"/>
  <c r="AK27" i="16"/>
  <c r="AK53" i="16" s="1"/>
  <c r="AO34" i="1" s="1"/>
  <c r="AL27" i="16"/>
  <c r="AL53" i="16" s="1"/>
  <c r="AP34" i="1" s="1"/>
  <c r="AM27" i="16"/>
  <c r="AM53" i="16" s="1"/>
  <c r="AQ34" i="1" s="1"/>
  <c r="AN27" i="16"/>
  <c r="AN53" i="16" s="1"/>
  <c r="AR34" i="1" s="1"/>
  <c r="AO27" i="16"/>
  <c r="AO53" i="16" s="1"/>
  <c r="AS34" i="1" s="1"/>
  <c r="AP27" i="16"/>
  <c r="AP53" i="16" s="1"/>
  <c r="AT34" i="1" s="1"/>
  <c r="AQ27" i="16"/>
  <c r="AQ53" i="16" s="1"/>
  <c r="AU34" i="1" s="1"/>
  <c r="AR27" i="16"/>
  <c r="AR53" i="16" s="1"/>
  <c r="AV34" i="1" s="1"/>
  <c r="AS27" i="16"/>
  <c r="AS53" i="16" s="1"/>
  <c r="AW34" i="1" s="1"/>
  <c r="AT27" i="16"/>
  <c r="AT53" i="16" s="1"/>
  <c r="AU27" i="16"/>
  <c r="AU53" i="16" s="1"/>
  <c r="AV27" i="16"/>
  <c r="AV53" i="16" s="1"/>
  <c r="AW27" i="16"/>
  <c r="AW53" i="16" s="1"/>
  <c r="E28" i="16"/>
  <c r="E54" i="16" s="1"/>
  <c r="F28" i="16"/>
  <c r="F54" i="16" s="1"/>
  <c r="G28" i="16"/>
  <c r="G54" i="16" s="1"/>
  <c r="H28" i="16"/>
  <c r="H54" i="16" s="1"/>
  <c r="I28" i="16"/>
  <c r="I54" i="16" s="1"/>
  <c r="J28" i="16"/>
  <c r="J54" i="16" s="1"/>
  <c r="K28" i="16"/>
  <c r="K54" i="16" s="1"/>
  <c r="L28" i="16"/>
  <c r="L54" i="16" s="1"/>
  <c r="M28" i="16"/>
  <c r="M54" i="16" s="1"/>
  <c r="N28" i="16"/>
  <c r="N54" i="16" s="1"/>
  <c r="O28" i="16"/>
  <c r="O54" i="16" s="1"/>
  <c r="P28" i="16"/>
  <c r="P54" i="16" s="1"/>
  <c r="Q28" i="16"/>
  <c r="Q54" i="16" s="1"/>
  <c r="R28" i="16"/>
  <c r="R54" i="16" s="1"/>
  <c r="S28" i="16"/>
  <c r="S54" i="16" s="1"/>
  <c r="T28" i="16"/>
  <c r="T54" i="16" s="1"/>
  <c r="U28" i="16"/>
  <c r="U54" i="16" s="1"/>
  <c r="V28" i="16"/>
  <c r="V54" i="16" s="1"/>
  <c r="W28" i="16"/>
  <c r="W54" i="16" s="1"/>
  <c r="X28" i="16"/>
  <c r="X54" i="16" s="1"/>
  <c r="Y28" i="16"/>
  <c r="Y54" i="16" s="1"/>
  <c r="Z28" i="16"/>
  <c r="Z54" i="16" s="1"/>
  <c r="AA28" i="16"/>
  <c r="AA54" i="16" s="1"/>
  <c r="AB28" i="16"/>
  <c r="AB54" i="16" s="1"/>
  <c r="AC28" i="16"/>
  <c r="AC54" i="16" s="1"/>
  <c r="AD28" i="16"/>
  <c r="AD54" i="16" s="1"/>
  <c r="AE28" i="16"/>
  <c r="AE54" i="16" s="1"/>
  <c r="AF28" i="16"/>
  <c r="AF54" i="16" s="1"/>
  <c r="AJ35" i="1" s="1"/>
  <c r="AG28" i="16"/>
  <c r="AG54" i="16" s="1"/>
  <c r="AK35" i="1" s="1"/>
  <c r="AH28" i="16"/>
  <c r="AH54" i="16" s="1"/>
  <c r="AL35" i="1" s="1"/>
  <c r="AI28" i="16"/>
  <c r="AI54" i="16" s="1"/>
  <c r="AM35" i="1" s="1"/>
  <c r="AJ28" i="16"/>
  <c r="AJ54" i="16" s="1"/>
  <c r="AN35" i="1" s="1"/>
  <c r="AK28" i="16"/>
  <c r="AK54" i="16" s="1"/>
  <c r="AO35" i="1" s="1"/>
  <c r="AL28" i="16"/>
  <c r="AL54" i="16" s="1"/>
  <c r="AP35" i="1" s="1"/>
  <c r="AM28" i="16"/>
  <c r="AM54" i="16" s="1"/>
  <c r="AQ35" i="1" s="1"/>
  <c r="AN28" i="16"/>
  <c r="AN54" i="16" s="1"/>
  <c r="AR35" i="1" s="1"/>
  <c r="AO28" i="16"/>
  <c r="AO54" i="16" s="1"/>
  <c r="AS35" i="1" s="1"/>
  <c r="AP28" i="16"/>
  <c r="AP54" i="16" s="1"/>
  <c r="AT35" i="1" s="1"/>
  <c r="AQ28" i="16"/>
  <c r="AQ54" i="16" s="1"/>
  <c r="AU35" i="1" s="1"/>
  <c r="AR28" i="16"/>
  <c r="AR54" i="16" s="1"/>
  <c r="AV35" i="1" s="1"/>
  <c r="AS28" i="16"/>
  <c r="AS54" i="16" s="1"/>
  <c r="AW35" i="1" s="1"/>
  <c r="AT28" i="16"/>
  <c r="AT54" i="16" s="1"/>
  <c r="AU28" i="16"/>
  <c r="AU54" i="16" s="1"/>
  <c r="AV28" i="16"/>
  <c r="AV54" i="16" s="1"/>
  <c r="AW28" i="16"/>
  <c r="AW54" i="16" s="1"/>
  <c r="E29" i="16"/>
  <c r="E55" i="16" s="1"/>
  <c r="F29" i="16"/>
  <c r="F55" i="16" s="1"/>
  <c r="G29" i="16"/>
  <c r="G55" i="16" s="1"/>
  <c r="H29" i="16"/>
  <c r="H55" i="16" s="1"/>
  <c r="I29" i="16"/>
  <c r="I55" i="16" s="1"/>
  <c r="J29" i="16"/>
  <c r="J55" i="16" s="1"/>
  <c r="K29" i="16"/>
  <c r="K55" i="16" s="1"/>
  <c r="L29" i="16"/>
  <c r="L55" i="16" s="1"/>
  <c r="M29" i="16"/>
  <c r="M55" i="16" s="1"/>
  <c r="N29" i="16"/>
  <c r="N55" i="16" s="1"/>
  <c r="O29" i="16"/>
  <c r="O55" i="16" s="1"/>
  <c r="P29" i="16"/>
  <c r="P55" i="16" s="1"/>
  <c r="Q29" i="16"/>
  <c r="Q55" i="16" s="1"/>
  <c r="R29" i="16"/>
  <c r="R55" i="16" s="1"/>
  <c r="S29" i="16"/>
  <c r="S55" i="16" s="1"/>
  <c r="T29" i="16"/>
  <c r="T55" i="16" s="1"/>
  <c r="U29" i="16"/>
  <c r="U55" i="16" s="1"/>
  <c r="V29" i="16"/>
  <c r="V55" i="16" s="1"/>
  <c r="W29" i="16"/>
  <c r="W55" i="16" s="1"/>
  <c r="X29" i="16"/>
  <c r="X55" i="16" s="1"/>
  <c r="Y29" i="16"/>
  <c r="Y55" i="16" s="1"/>
  <c r="Z29" i="16"/>
  <c r="Z55" i="16" s="1"/>
  <c r="AA29" i="16"/>
  <c r="AA55" i="16" s="1"/>
  <c r="AB29" i="16"/>
  <c r="AB55" i="16" s="1"/>
  <c r="AC29" i="16"/>
  <c r="AC55" i="16" s="1"/>
  <c r="AD29" i="16"/>
  <c r="AD55" i="16" s="1"/>
  <c r="AE29" i="16"/>
  <c r="AE55" i="16" s="1"/>
  <c r="AF29" i="16"/>
  <c r="AF55" i="16" s="1"/>
  <c r="AG29" i="16"/>
  <c r="AG55" i="16" s="1"/>
  <c r="AH29" i="16"/>
  <c r="AH55" i="16" s="1"/>
  <c r="AI29" i="16"/>
  <c r="AI55" i="16" s="1"/>
  <c r="AM36" i="1" s="1"/>
  <c r="AJ29" i="16"/>
  <c r="AJ55" i="16" s="1"/>
  <c r="AN36" i="1" s="1"/>
  <c r="AK29" i="16"/>
  <c r="AK55" i="16" s="1"/>
  <c r="AO36" i="1" s="1"/>
  <c r="AL29" i="16"/>
  <c r="AL55" i="16" s="1"/>
  <c r="AP36" i="1" s="1"/>
  <c r="AM29" i="16"/>
  <c r="AM55" i="16" s="1"/>
  <c r="AQ36" i="1" s="1"/>
  <c r="AN29" i="16"/>
  <c r="AN55" i="16" s="1"/>
  <c r="AR36" i="1" s="1"/>
  <c r="AO29" i="16"/>
  <c r="AO55" i="16" s="1"/>
  <c r="AS36" i="1" s="1"/>
  <c r="AP29" i="16"/>
  <c r="AP55" i="16" s="1"/>
  <c r="AT36" i="1" s="1"/>
  <c r="AQ29" i="16"/>
  <c r="AQ55" i="16" s="1"/>
  <c r="AU36" i="1" s="1"/>
  <c r="AR29" i="16"/>
  <c r="AR55" i="16" s="1"/>
  <c r="AV36" i="1" s="1"/>
  <c r="AS29" i="16"/>
  <c r="AS55" i="16" s="1"/>
  <c r="AW36" i="1" s="1"/>
  <c r="AT29" i="16"/>
  <c r="AT55" i="16" s="1"/>
  <c r="AU29" i="16"/>
  <c r="AU55" i="16" s="1"/>
  <c r="AV29" i="16"/>
  <c r="AV55" i="16" s="1"/>
  <c r="AW29" i="16"/>
  <c r="AW55" i="16" s="1"/>
  <c r="E30" i="16"/>
  <c r="E56" i="16" s="1"/>
  <c r="F30" i="16"/>
  <c r="F56" i="16" s="1"/>
  <c r="G30" i="16"/>
  <c r="G56" i="16" s="1"/>
  <c r="H30" i="16"/>
  <c r="H56" i="16" s="1"/>
  <c r="I30" i="16"/>
  <c r="I56" i="16" s="1"/>
  <c r="J30" i="16"/>
  <c r="J56" i="16" s="1"/>
  <c r="K30" i="16"/>
  <c r="K56" i="16" s="1"/>
  <c r="L30" i="16"/>
  <c r="L56" i="16" s="1"/>
  <c r="M30" i="16"/>
  <c r="M56" i="16" s="1"/>
  <c r="N30" i="16"/>
  <c r="N56" i="16" s="1"/>
  <c r="O30" i="16"/>
  <c r="O56" i="16" s="1"/>
  <c r="P30" i="16"/>
  <c r="P56" i="16" s="1"/>
  <c r="Q30" i="16"/>
  <c r="Q56" i="16" s="1"/>
  <c r="R30" i="16"/>
  <c r="R56" i="16" s="1"/>
  <c r="S30" i="16"/>
  <c r="S56" i="16" s="1"/>
  <c r="T30" i="16"/>
  <c r="T56" i="16" s="1"/>
  <c r="U30" i="16"/>
  <c r="U56" i="16" s="1"/>
  <c r="V30" i="16"/>
  <c r="V56" i="16" s="1"/>
  <c r="W30" i="16"/>
  <c r="W56" i="16" s="1"/>
  <c r="X30" i="16"/>
  <c r="X56" i="16" s="1"/>
  <c r="Y30" i="16"/>
  <c r="Y56" i="16" s="1"/>
  <c r="Z30" i="16"/>
  <c r="Z56" i="16" s="1"/>
  <c r="AA30" i="16"/>
  <c r="AA56" i="16" s="1"/>
  <c r="AB30" i="16"/>
  <c r="AB56" i="16" s="1"/>
  <c r="AC30" i="16"/>
  <c r="AC56" i="16" s="1"/>
  <c r="AD30" i="16"/>
  <c r="AD56" i="16" s="1"/>
  <c r="AE30" i="16"/>
  <c r="AE56" i="16" s="1"/>
  <c r="AF30" i="16"/>
  <c r="AF56" i="16" s="1"/>
  <c r="AJ37" i="1" s="1"/>
  <c r="AG30" i="16"/>
  <c r="AG56" i="16" s="1"/>
  <c r="AK37" i="1" s="1"/>
  <c r="AH30" i="16"/>
  <c r="AH56" i="16" s="1"/>
  <c r="AL37" i="1" s="1"/>
  <c r="AI30" i="16"/>
  <c r="AI56" i="16" s="1"/>
  <c r="AM37" i="1" s="1"/>
  <c r="AJ30" i="16"/>
  <c r="AJ56" i="16" s="1"/>
  <c r="AN37" i="1" s="1"/>
  <c r="AK30" i="16"/>
  <c r="AK56" i="16" s="1"/>
  <c r="AO37" i="1" s="1"/>
  <c r="AL30" i="16"/>
  <c r="AL56" i="16" s="1"/>
  <c r="AP37" i="1" s="1"/>
  <c r="AM30" i="16"/>
  <c r="AM56" i="16" s="1"/>
  <c r="AQ37" i="1" s="1"/>
  <c r="AN30" i="16"/>
  <c r="AN56" i="16" s="1"/>
  <c r="AR37" i="1" s="1"/>
  <c r="AO30" i="16"/>
  <c r="AO56" i="16" s="1"/>
  <c r="AS37" i="1" s="1"/>
  <c r="AP30" i="16"/>
  <c r="AP56" i="16" s="1"/>
  <c r="AT37" i="1" s="1"/>
  <c r="AQ30" i="16"/>
  <c r="AQ56" i="16" s="1"/>
  <c r="AU37" i="1" s="1"/>
  <c r="AR30" i="16"/>
  <c r="AR56" i="16" s="1"/>
  <c r="AV37" i="1" s="1"/>
  <c r="AS30" i="16"/>
  <c r="AS56" i="16" s="1"/>
  <c r="AW37" i="1" s="1"/>
  <c r="AT30" i="16"/>
  <c r="AT56" i="16" s="1"/>
  <c r="AU30" i="16"/>
  <c r="AU56" i="16" s="1"/>
  <c r="AV30" i="16"/>
  <c r="AV56" i="16" s="1"/>
  <c r="AW30" i="16"/>
  <c r="AW56" i="16" s="1"/>
  <c r="E31" i="16"/>
  <c r="E57" i="16" s="1"/>
  <c r="F31" i="16"/>
  <c r="F57" i="16" s="1"/>
  <c r="G31" i="16"/>
  <c r="G57" i="16" s="1"/>
  <c r="H31" i="16"/>
  <c r="H57" i="16" s="1"/>
  <c r="I31" i="16"/>
  <c r="I57" i="16" s="1"/>
  <c r="J31" i="16"/>
  <c r="J57" i="16" s="1"/>
  <c r="K31" i="16"/>
  <c r="K57" i="16" s="1"/>
  <c r="L31" i="16"/>
  <c r="L57" i="16" s="1"/>
  <c r="M31" i="16"/>
  <c r="M57" i="16" s="1"/>
  <c r="N31" i="16"/>
  <c r="N57" i="16" s="1"/>
  <c r="O31" i="16"/>
  <c r="O57" i="16" s="1"/>
  <c r="P31" i="16"/>
  <c r="P57" i="16" s="1"/>
  <c r="Q31" i="16"/>
  <c r="Q57" i="16" s="1"/>
  <c r="R31" i="16"/>
  <c r="R57" i="16" s="1"/>
  <c r="S31" i="16"/>
  <c r="S57" i="16" s="1"/>
  <c r="T31" i="16"/>
  <c r="T57" i="16" s="1"/>
  <c r="U31" i="16"/>
  <c r="U57" i="16" s="1"/>
  <c r="V31" i="16"/>
  <c r="V57" i="16" s="1"/>
  <c r="W31" i="16"/>
  <c r="W57" i="16" s="1"/>
  <c r="X31" i="16"/>
  <c r="X57" i="16" s="1"/>
  <c r="Y31" i="16"/>
  <c r="Y57" i="16" s="1"/>
  <c r="Z31" i="16"/>
  <c r="Z57" i="16" s="1"/>
  <c r="AA31" i="16"/>
  <c r="AA57" i="16" s="1"/>
  <c r="AB31" i="16"/>
  <c r="AB57" i="16" s="1"/>
  <c r="AC31" i="16"/>
  <c r="AC57" i="16" s="1"/>
  <c r="AD31" i="16"/>
  <c r="AD57" i="16" s="1"/>
  <c r="AE31" i="16"/>
  <c r="AE57" i="16" s="1"/>
  <c r="AF31" i="16"/>
  <c r="AF57" i="16" s="1"/>
  <c r="AJ38" i="1" s="1"/>
  <c r="AG31" i="16"/>
  <c r="AG57" i="16" s="1"/>
  <c r="AH31" i="16"/>
  <c r="AH57" i="16" s="1"/>
  <c r="AI31" i="16"/>
  <c r="AI57" i="16" s="1"/>
  <c r="AM38" i="1" s="1"/>
  <c r="AJ31" i="16"/>
  <c r="AJ57" i="16" s="1"/>
  <c r="AN38" i="1" s="1"/>
  <c r="AK31" i="16"/>
  <c r="AK57" i="16" s="1"/>
  <c r="AO38" i="1" s="1"/>
  <c r="AL31" i="16"/>
  <c r="AL57" i="16" s="1"/>
  <c r="AP38" i="1" s="1"/>
  <c r="AM31" i="16"/>
  <c r="AM57" i="16" s="1"/>
  <c r="AQ38" i="1" s="1"/>
  <c r="AN31" i="16"/>
  <c r="AN57" i="16" s="1"/>
  <c r="AR38" i="1" s="1"/>
  <c r="AO31" i="16"/>
  <c r="AO57" i="16" s="1"/>
  <c r="AS38" i="1" s="1"/>
  <c r="AP31" i="16"/>
  <c r="AP57" i="16" s="1"/>
  <c r="AT38" i="1" s="1"/>
  <c r="AQ31" i="16"/>
  <c r="AQ57" i="16" s="1"/>
  <c r="AU38" i="1" s="1"/>
  <c r="AR31" i="16"/>
  <c r="AR57" i="16" s="1"/>
  <c r="AV38" i="1" s="1"/>
  <c r="AS31" i="16"/>
  <c r="AS57" i="16" s="1"/>
  <c r="AW38" i="1" s="1"/>
  <c r="AT31" i="16"/>
  <c r="AT57" i="16" s="1"/>
  <c r="AU31" i="16"/>
  <c r="AU57" i="16" s="1"/>
  <c r="AV31" i="16"/>
  <c r="AV57" i="16" s="1"/>
  <c r="AW31" i="16"/>
  <c r="AW57" i="16" s="1"/>
  <c r="E32" i="16"/>
  <c r="E58" i="16" s="1"/>
  <c r="F32" i="16"/>
  <c r="F58" i="16" s="1"/>
  <c r="G32" i="16"/>
  <c r="G58" i="16" s="1"/>
  <c r="H32" i="16"/>
  <c r="H58" i="16" s="1"/>
  <c r="I32" i="16"/>
  <c r="I58" i="16" s="1"/>
  <c r="J32" i="16"/>
  <c r="J58" i="16" s="1"/>
  <c r="K32" i="16"/>
  <c r="K58" i="16" s="1"/>
  <c r="L32" i="16"/>
  <c r="L58" i="16" s="1"/>
  <c r="M32" i="16"/>
  <c r="M58" i="16" s="1"/>
  <c r="N32" i="16"/>
  <c r="N58" i="16" s="1"/>
  <c r="O32" i="16"/>
  <c r="O58" i="16" s="1"/>
  <c r="P32" i="16"/>
  <c r="P58" i="16" s="1"/>
  <c r="Q32" i="16"/>
  <c r="Q58" i="16" s="1"/>
  <c r="R32" i="16"/>
  <c r="R58" i="16" s="1"/>
  <c r="S32" i="16"/>
  <c r="S58" i="16" s="1"/>
  <c r="T32" i="16"/>
  <c r="T58" i="16" s="1"/>
  <c r="U32" i="16"/>
  <c r="U58" i="16" s="1"/>
  <c r="V32" i="16"/>
  <c r="V58" i="16" s="1"/>
  <c r="W32" i="16"/>
  <c r="W58" i="16" s="1"/>
  <c r="X32" i="16"/>
  <c r="X58" i="16" s="1"/>
  <c r="Y32" i="16"/>
  <c r="Y58" i="16" s="1"/>
  <c r="Z32" i="16"/>
  <c r="Z58" i="16" s="1"/>
  <c r="AA32" i="16"/>
  <c r="AA58" i="16" s="1"/>
  <c r="AB32" i="16"/>
  <c r="AB58" i="16" s="1"/>
  <c r="AC32" i="16"/>
  <c r="AC58" i="16" s="1"/>
  <c r="AD32" i="16"/>
  <c r="AD58" i="16" s="1"/>
  <c r="AE32" i="16"/>
  <c r="AE58" i="16" s="1"/>
  <c r="AF32" i="16"/>
  <c r="AF58" i="16" s="1"/>
  <c r="AJ39" i="1" s="1"/>
  <c r="AG32" i="16"/>
  <c r="AG58" i="16" s="1"/>
  <c r="AK39" i="1" s="1"/>
  <c r="AH32" i="16"/>
  <c r="AH58" i="16" s="1"/>
  <c r="AI32" i="16"/>
  <c r="AI58" i="16" s="1"/>
  <c r="AM39" i="1" s="1"/>
  <c r="AJ32" i="16"/>
  <c r="AJ58" i="16" s="1"/>
  <c r="AN39" i="1" s="1"/>
  <c r="AK32" i="16"/>
  <c r="AK58" i="16" s="1"/>
  <c r="AO39" i="1" s="1"/>
  <c r="AL32" i="16"/>
  <c r="AL58" i="16" s="1"/>
  <c r="AP39" i="1" s="1"/>
  <c r="AM32" i="16"/>
  <c r="AM58" i="16" s="1"/>
  <c r="AQ39" i="1" s="1"/>
  <c r="AN32" i="16"/>
  <c r="AN58" i="16" s="1"/>
  <c r="AR39" i="1" s="1"/>
  <c r="AO32" i="16"/>
  <c r="AO58" i="16" s="1"/>
  <c r="AS39" i="1" s="1"/>
  <c r="AP32" i="16"/>
  <c r="AP58" i="16" s="1"/>
  <c r="AT39" i="1" s="1"/>
  <c r="AQ32" i="16"/>
  <c r="AQ58" i="16" s="1"/>
  <c r="AU39" i="1" s="1"/>
  <c r="AR32" i="16"/>
  <c r="AR58" i="16" s="1"/>
  <c r="AV39" i="1" s="1"/>
  <c r="AS32" i="16"/>
  <c r="AS58" i="16" s="1"/>
  <c r="AW39" i="1" s="1"/>
  <c r="AT32" i="16"/>
  <c r="AT58" i="16" s="1"/>
  <c r="AU32" i="16"/>
  <c r="AU58" i="16" s="1"/>
  <c r="AV32" i="16"/>
  <c r="AV58" i="16" s="1"/>
  <c r="AW32" i="16"/>
  <c r="AW58" i="16" s="1"/>
  <c r="E33" i="16"/>
  <c r="E59" i="16" s="1"/>
  <c r="F33" i="16"/>
  <c r="F59" i="16" s="1"/>
  <c r="G33" i="16"/>
  <c r="G59" i="16" s="1"/>
  <c r="H33" i="16"/>
  <c r="H59" i="16" s="1"/>
  <c r="I33" i="16"/>
  <c r="I59" i="16" s="1"/>
  <c r="J33" i="16"/>
  <c r="J59" i="16" s="1"/>
  <c r="K33" i="16"/>
  <c r="K59" i="16" s="1"/>
  <c r="L33" i="16"/>
  <c r="L59" i="16" s="1"/>
  <c r="M33" i="16"/>
  <c r="M59" i="16" s="1"/>
  <c r="N33" i="16"/>
  <c r="N59" i="16" s="1"/>
  <c r="O33" i="16"/>
  <c r="O59" i="16" s="1"/>
  <c r="P33" i="16"/>
  <c r="P59" i="16" s="1"/>
  <c r="Q33" i="16"/>
  <c r="Q59" i="16" s="1"/>
  <c r="R33" i="16"/>
  <c r="R59" i="16" s="1"/>
  <c r="S33" i="16"/>
  <c r="S59" i="16" s="1"/>
  <c r="T33" i="16"/>
  <c r="T59" i="16" s="1"/>
  <c r="U33" i="16"/>
  <c r="U59" i="16" s="1"/>
  <c r="V33" i="16"/>
  <c r="V59" i="16" s="1"/>
  <c r="W33" i="16"/>
  <c r="W59" i="16" s="1"/>
  <c r="X33" i="16"/>
  <c r="X59" i="16" s="1"/>
  <c r="Y33" i="16"/>
  <c r="Y59" i="16" s="1"/>
  <c r="Z33" i="16"/>
  <c r="Z59" i="16" s="1"/>
  <c r="AA33" i="16"/>
  <c r="AA59" i="16" s="1"/>
  <c r="AB33" i="16"/>
  <c r="AB59" i="16" s="1"/>
  <c r="AC33" i="16"/>
  <c r="AC59" i="16" s="1"/>
  <c r="AD33" i="16"/>
  <c r="AD59" i="16" s="1"/>
  <c r="AE33" i="16"/>
  <c r="AE59" i="16" s="1"/>
  <c r="AF33" i="16"/>
  <c r="AF59" i="16" s="1"/>
  <c r="AG33" i="16"/>
  <c r="AG59" i="16" s="1"/>
  <c r="AH33" i="16"/>
  <c r="AH59" i="16" s="1"/>
  <c r="AI33" i="16"/>
  <c r="AI59" i="16" s="1"/>
  <c r="AJ33" i="16"/>
  <c r="AJ59" i="16" s="1"/>
  <c r="AK33" i="16"/>
  <c r="AK59" i="16" s="1"/>
  <c r="AL33" i="16"/>
  <c r="AL59" i="16" s="1"/>
  <c r="AP40" i="1" s="1"/>
  <c r="AM33" i="16"/>
  <c r="AM59" i="16" s="1"/>
  <c r="AQ40" i="1" s="1"/>
  <c r="AN33" i="16"/>
  <c r="AN59" i="16" s="1"/>
  <c r="AR40" i="1" s="1"/>
  <c r="AO33" i="16"/>
  <c r="AO59" i="16" s="1"/>
  <c r="AS40" i="1" s="1"/>
  <c r="AP33" i="16"/>
  <c r="AP59" i="16" s="1"/>
  <c r="AT40" i="1" s="1"/>
  <c r="AQ33" i="16"/>
  <c r="AQ59" i="16" s="1"/>
  <c r="AU40" i="1" s="1"/>
  <c r="AR33" i="16"/>
  <c r="AR59" i="16" s="1"/>
  <c r="AV40" i="1" s="1"/>
  <c r="AS33" i="16"/>
  <c r="AS59" i="16" s="1"/>
  <c r="AW40" i="1" s="1"/>
  <c r="AT33" i="16"/>
  <c r="AT59" i="16" s="1"/>
  <c r="AU33" i="16"/>
  <c r="AU59" i="16" s="1"/>
  <c r="AV33" i="16"/>
  <c r="AV59" i="16" s="1"/>
  <c r="AW33" i="16"/>
  <c r="AW59" i="16" s="1"/>
  <c r="E34" i="16"/>
  <c r="E60" i="16" s="1"/>
  <c r="F34" i="16"/>
  <c r="F60" i="16" s="1"/>
  <c r="G34" i="16"/>
  <c r="G60" i="16" s="1"/>
  <c r="H34" i="16"/>
  <c r="H60" i="16" s="1"/>
  <c r="I34" i="16"/>
  <c r="I60" i="16" s="1"/>
  <c r="J34" i="16"/>
  <c r="J60" i="16" s="1"/>
  <c r="K34" i="16"/>
  <c r="K60" i="16" s="1"/>
  <c r="L34" i="16"/>
  <c r="L60" i="16" s="1"/>
  <c r="M34" i="16"/>
  <c r="M60" i="16" s="1"/>
  <c r="N34" i="16"/>
  <c r="N60" i="16" s="1"/>
  <c r="O34" i="16"/>
  <c r="O60" i="16" s="1"/>
  <c r="P34" i="16"/>
  <c r="P60" i="16" s="1"/>
  <c r="Q34" i="16"/>
  <c r="Q60" i="16" s="1"/>
  <c r="R34" i="16"/>
  <c r="R60" i="16" s="1"/>
  <c r="S34" i="16"/>
  <c r="S60" i="16" s="1"/>
  <c r="T34" i="16"/>
  <c r="T60" i="16" s="1"/>
  <c r="U34" i="16"/>
  <c r="U60" i="16" s="1"/>
  <c r="V34" i="16"/>
  <c r="V60" i="16" s="1"/>
  <c r="W34" i="16"/>
  <c r="W60" i="16" s="1"/>
  <c r="X34" i="16"/>
  <c r="X60" i="16" s="1"/>
  <c r="Y34" i="16"/>
  <c r="Y60" i="16" s="1"/>
  <c r="Z34" i="16"/>
  <c r="Z60" i="16" s="1"/>
  <c r="AA34" i="16"/>
  <c r="AA60" i="16" s="1"/>
  <c r="AB34" i="16"/>
  <c r="AB60" i="16" s="1"/>
  <c r="AC34" i="16"/>
  <c r="AC60" i="16" s="1"/>
  <c r="AD34" i="16"/>
  <c r="AD60" i="16" s="1"/>
  <c r="AE34" i="16"/>
  <c r="AE60" i="16" s="1"/>
  <c r="AF34" i="16"/>
  <c r="AF60" i="16" s="1"/>
  <c r="AJ41" i="1" s="1"/>
  <c r="AG34" i="16"/>
  <c r="AG60" i="16" s="1"/>
  <c r="AK41" i="1" s="1"/>
  <c r="AH34" i="16"/>
  <c r="AH60" i="16" s="1"/>
  <c r="AL41" i="1" s="1"/>
  <c r="AI34" i="16"/>
  <c r="AI60" i="16" s="1"/>
  <c r="AM41" i="1" s="1"/>
  <c r="AJ34" i="16"/>
  <c r="AJ60" i="16" s="1"/>
  <c r="AN41" i="1" s="1"/>
  <c r="AK34" i="16"/>
  <c r="AK60" i="16" s="1"/>
  <c r="AO41" i="1" s="1"/>
  <c r="AL34" i="16"/>
  <c r="AL60" i="16" s="1"/>
  <c r="AP41" i="1" s="1"/>
  <c r="AM34" i="16"/>
  <c r="AM60" i="16" s="1"/>
  <c r="AQ41" i="1" s="1"/>
  <c r="AN34" i="16"/>
  <c r="AN60" i="16" s="1"/>
  <c r="AR41" i="1" s="1"/>
  <c r="AO34" i="16"/>
  <c r="AO60" i="16" s="1"/>
  <c r="AS41" i="1" s="1"/>
  <c r="AP34" i="16"/>
  <c r="AP60" i="16" s="1"/>
  <c r="AT41" i="1" s="1"/>
  <c r="AQ34" i="16"/>
  <c r="AQ60" i="16" s="1"/>
  <c r="AU41" i="1" s="1"/>
  <c r="AR34" i="16"/>
  <c r="AR60" i="16" s="1"/>
  <c r="AV41" i="1" s="1"/>
  <c r="AS34" i="16"/>
  <c r="AS60" i="16" s="1"/>
  <c r="AW41" i="1" s="1"/>
  <c r="AT34" i="16"/>
  <c r="AT60" i="16" s="1"/>
  <c r="AU34" i="16"/>
  <c r="AU60" i="16" s="1"/>
  <c r="AV34" i="16"/>
  <c r="AV60" i="16" s="1"/>
  <c r="AW34" i="16"/>
  <c r="AW60" i="16" s="1"/>
  <c r="B14" i="16"/>
  <c r="B40" i="16" s="1"/>
  <c r="C14" i="16"/>
  <c r="C40" i="16" s="1"/>
  <c r="B15" i="16"/>
  <c r="B41" i="16" s="1"/>
  <c r="C15" i="16"/>
  <c r="C41" i="16" s="1"/>
  <c r="B16" i="16"/>
  <c r="B42" i="16" s="1"/>
  <c r="C16" i="16"/>
  <c r="C42" i="16" s="1"/>
  <c r="B17" i="16"/>
  <c r="B43" i="16" s="1"/>
  <c r="C17" i="16"/>
  <c r="C43" i="16" s="1"/>
  <c r="B18" i="16"/>
  <c r="B44" i="16" s="1"/>
  <c r="C18" i="16"/>
  <c r="C44" i="16" s="1"/>
  <c r="B19" i="16"/>
  <c r="B45" i="16" s="1"/>
  <c r="C19" i="16"/>
  <c r="C45" i="16" s="1"/>
  <c r="B20" i="16"/>
  <c r="B46" i="16" s="1"/>
  <c r="C20" i="16"/>
  <c r="C46" i="16" s="1"/>
  <c r="B21" i="16"/>
  <c r="B47" i="16" s="1"/>
  <c r="C21" i="16"/>
  <c r="C47" i="16" s="1"/>
  <c r="B22" i="16"/>
  <c r="B48" i="16" s="1"/>
  <c r="C22" i="16"/>
  <c r="C48" i="16" s="1"/>
  <c r="B23" i="16"/>
  <c r="B49" i="16" s="1"/>
  <c r="C23" i="16"/>
  <c r="C49" i="16" s="1"/>
  <c r="B24" i="16"/>
  <c r="B50" i="16" s="1"/>
  <c r="C24" i="16"/>
  <c r="C50" i="16" s="1"/>
  <c r="B25" i="16"/>
  <c r="B51" i="16" s="1"/>
  <c r="C25" i="16"/>
  <c r="C51" i="16" s="1"/>
  <c r="B26" i="16"/>
  <c r="B52" i="16" s="1"/>
  <c r="C26" i="16"/>
  <c r="C52" i="16" s="1"/>
  <c r="B27" i="16"/>
  <c r="B53" i="16" s="1"/>
  <c r="C27" i="16"/>
  <c r="C53" i="16" s="1"/>
  <c r="B28" i="16"/>
  <c r="B54" i="16" s="1"/>
  <c r="C28" i="16"/>
  <c r="C54" i="16" s="1"/>
  <c r="B29" i="16"/>
  <c r="B55" i="16" s="1"/>
  <c r="C29" i="16"/>
  <c r="C55" i="16" s="1"/>
  <c r="B30" i="16"/>
  <c r="B56" i="16" s="1"/>
  <c r="C30" i="16"/>
  <c r="C56" i="16" s="1"/>
  <c r="B31" i="16"/>
  <c r="B57" i="16" s="1"/>
  <c r="C31" i="16"/>
  <c r="C57" i="16" s="1"/>
  <c r="B32" i="16"/>
  <c r="B58" i="16" s="1"/>
  <c r="C32" i="16"/>
  <c r="C58" i="16" s="1"/>
  <c r="B33" i="16"/>
  <c r="B59" i="16" s="1"/>
  <c r="C33" i="16"/>
  <c r="C59" i="16" s="1"/>
  <c r="B34" i="16"/>
  <c r="B60" i="16" s="1"/>
  <c r="C34" i="16"/>
  <c r="C60" i="16" s="1"/>
  <c r="C13" i="16"/>
  <c r="C39" i="16" s="1"/>
  <c r="D13" i="16"/>
  <c r="D39" i="16" s="1"/>
  <c r="E13" i="16"/>
  <c r="E39" i="16" s="1"/>
  <c r="F13" i="16"/>
  <c r="F39" i="16" s="1"/>
  <c r="G13" i="16"/>
  <c r="G39" i="16" s="1"/>
  <c r="H13" i="16"/>
  <c r="H39" i="16" s="1"/>
  <c r="I13" i="16"/>
  <c r="I39" i="16" s="1"/>
  <c r="J13" i="16"/>
  <c r="J39" i="16" s="1"/>
  <c r="K13" i="16"/>
  <c r="K39" i="16" s="1"/>
  <c r="L13" i="16"/>
  <c r="L39" i="16" s="1"/>
  <c r="M13" i="16"/>
  <c r="M39" i="16" s="1"/>
  <c r="N13" i="16"/>
  <c r="N39" i="16" s="1"/>
  <c r="O13" i="16"/>
  <c r="O39" i="16" s="1"/>
  <c r="P13" i="16"/>
  <c r="P39" i="16" s="1"/>
  <c r="Q13" i="16"/>
  <c r="Q39" i="16" s="1"/>
  <c r="R13" i="16"/>
  <c r="R39" i="16" s="1"/>
  <c r="S13" i="16"/>
  <c r="S39" i="16" s="1"/>
  <c r="T13" i="16"/>
  <c r="T39" i="16" s="1"/>
  <c r="U13" i="16"/>
  <c r="U39" i="16" s="1"/>
  <c r="V13" i="16"/>
  <c r="V39" i="16" s="1"/>
  <c r="W13" i="16"/>
  <c r="W39" i="16" s="1"/>
  <c r="X13" i="16"/>
  <c r="X39" i="16" s="1"/>
  <c r="Y13" i="16"/>
  <c r="Y39" i="16" s="1"/>
  <c r="Z13" i="16"/>
  <c r="Z39" i="16" s="1"/>
  <c r="AA13" i="16"/>
  <c r="AA39" i="16" s="1"/>
  <c r="AB13" i="16"/>
  <c r="AB39" i="16" s="1"/>
  <c r="AC13" i="16"/>
  <c r="AC39" i="16" s="1"/>
  <c r="AD13" i="16"/>
  <c r="AD39" i="16" s="1"/>
  <c r="AE13" i="16"/>
  <c r="AE39" i="16" s="1"/>
  <c r="AF13" i="16"/>
  <c r="AF39" i="16" s="1"/>
  <c r="AJ20" i="1" s="1"/>
  <c r="AG13" i="16"/>
  <c r="AG39" i="16" s="1"/>
  <c r="AH13" i="16"/>
  <c r="AH39" i="16" s="1"/>
  <c r="AI13" i="16"/>
  <c r="AI39" i="16" s="1"/>
  <c r="AM20" i="1" s="1"/>
  <c r="AJ13" i="16"/>
  <c r="AJ39" i="16" s="1"/>
  <c r="AN20" i="1" s="1"/>
  <c r="AK13" i="16"/>
  <c r="AK39" i="16" s="1"/>
  <c r="AO20" i="1" s="1"/>
  <c r="AL13" i="16"/>
  <c r="AL39" i="16" s="1"/>
  <c r="AP20" i="1" s="1"/>
  <c r="AM13" i="16"/>
  <c r="AM39" i="16" s="1"/>
  <c r="AQ20" i="1" s="1"/>
  <c r="AN13" i="16"/>
  <c r="AN39" i="16" s="1"/>
  <c r="AR20" i="1" s="1"/>
  <c r="AO13" i="16"/>
  <c r="AO39" i="16" s="1"/>
  <c r="AS20" i="1" s="1"/>
  <c r="AP13" i="16"/>
  <c r="AP39" i="16" s="1"/>
  <c r="AT20" i="1" s="1"/>
  <c r="AQ13" i="16"/>
  <c r="AQ39" i="16" s="1"/>
  <c r="AU20" i="1" s="1"/>
  <c r="AR13" i="16"/>
  <c r="AR39" i="16" s="1"/>
  <c r="AV20" i="1" s="1"/>
  <c r="AS13" i="16"/>
  <c r="AS39" i="16" s="1"/>
  <c r="AW20" i="1" s="1"/>
  <c r="AT13" i="16"/>
  <c r="AT39" i="16" s="1"/>
  <c r="AU13" i="16"/>
  <c r="AU39" i="16" s="1"/>
  <c r="AV13" i="16"/>
  <c r="AV39" i="16" s="1"/>
  <c r="AW13" i="16"/>
  <c r="AW39" i="16" s="1"/>
  <c r="B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H12" i="16"/>
  <c r="H38" i="16" s="1"/>
  <c r="I12" i="16"/>
  <c r="I38" i="16" s="1"/>
  <c r="J12" i="16"/>
  <c r="J38" i="16" s="1"/>
  <c r="K12" i="16"/>
  <c r="K38" i="16" s="1"/>
  <c r="L12" i="16"/>
  <c r="L38" i="16" s="1"/>
  <c r="M12" i="16"/>
  <c r="M38" i="16" s="1"/>
  <c r="N12" i="16"/>
  <c r="N38" i="16" s="1"/>
  <c r="O12" i="16"/>
  <c r="O38" i="16" s="1"/>
  <c r="P12" i="16"/>
  <c r="P38" i="16" s="1"/>
  <c r="Q12" i="16"/>
  <c r="Q38" i="16" s="1"/>
  <c r="R12" i="16"/>
  <c r="R38" i="16" s="1"/>
  <c r="S12" i="16"/>
  <c r="S38" i="16" s="1"/>
  <c r="T12" i="16"/>
  <c r="T38" i="16" s="1"/>
  <c r="U12" i="16"/>
  <c r="U38" i="16" s="1"/>
  <c r="V12" i="16"/>
  <c r="V38" i="16" s="1"/>
  <c r="W12" i="16"/>
  <c r="W38" i="16" s="1"/>
  <c r="X12" i="16"/>
  <c r="X38" i="16" s="1"/>
  <c r="Y12" i="16"/>
  <c r="Y38" i="16" s="1"/>
  <c r="Z12" i="16"/>
  <c r="Z38" i="16" s="1"/>
  <c r="AA12" i="16"/>
  <c r="AA38" i="16" s="1"/>
  <c r="AB12" i="16"/>
  <c r="AB38" i="16" s="1"/>
  <c r="AC12" i="16"/>
  <c r="AC38" i="16" s="1"/>
  <c r="AD12" i="16"/>
  <c r="AD38" i="16" s="1"/>
  <c r="AE12" i="16"/>
  <c r="AE38" i="16" s="1"/>
  <c r="AF12" i="16"/>
  <c r="AF38" i="16" s="1"/>
  <c r="AG12" i="16"/>
  <c r="AG38" i="16" s="1"/>
  <c r="AH12" i="16"/>
  <c r="AH38" i="16" s="1"/>
  <c r="AI12" i="16"/>
  <c r="AI38" i="16" s="1"/>
  <c r="AM19" i="1" s="1"/>
  <c r="AJ12" i="16"/>
  <c r="AJ38" i="16" s="1"/>
  <c r="AN19" i="1" s="1"/>
  <c r="AK12" i="16"/>
  <c r="AK38" i="16" s="1"/>
  <c r="AO19" i="1" s="1"/>
  <c r="AL12" i="16"/>
  <c r="AL38" i="16" s="1"/>
  <c r="AP19" i="1" s="1"/>
  <c r="AM12" i="16"/>
  <c r="AM38" i="16" s="1"/>
  <c r="AQ19" i="1" s="1"/>
  <c r="AN12" i="16"/>
  <c r="AN38" i="16" s="1"/>
  <c r="AR19" i="1" s="1"/>
  <c r="AO12" i="16"/>
  <c r="AO38" i="16" s="1"/>
  <c r="AS19" i="1" s="1"/>
  <c r="AP12" i="16"/>
  <c r="AP38" i="16" s="1"/>
  <c r="AT19" i="1" s="1"/>
  <c r="AQ12" i="16"/>
  <c r="AQ38" i="16" s="1"/>
  <c r="AU19" i="1" s="1"/>
  <c r="AR12" i="16"/>
  <c r="AR38" i="16" s="1"/>
  <c r="AV19" i="1" s="1"/>
  <c r="AS12" i="16"/>
  <c r="AS38" i="16" s="1"/>
  <c r="AW19" i="1" s="1"/>
  <c r="AT12" i="16"/>
  <c r="AT38" i="16" s="1"/>
  <c r="AU12" i="16"/>
  <c r="AU38" i="16" s="1"/>
  <c r="AV12" i="16"/>
  <c r="AV38" i="16" s="1"/>
  <c r="AW12" i="16"/>
  <c r="AW38" i="16" s="1"/>
  <c r="C12" i="16"/>
  <c r="D12" i="16"/>
  <c r="D38" i="16" s="1"/>
  <c r="E12" i="16"/>
  <c r="E38" i="16" s="1"/>
  <c r="F12" i="16"/>
  <c r="F38" i="16" s="1"/>
  <c r="G12" i="16"/>
  <c r="G38" i="16" s="1"/>
  <c r="B12" i="16"/>
  <c r="AP168" i="19"/>
  <c r="AO168" i="19"/>
  <c r="AN168" i="19"/>
  <c r="AM168" i="19"/>
  <c r="AL168" i="19"/>
  <c r="AK168" i="19"/>
  <c r="AJ168" i="19"/>
  <c r="AI168" i="19"/>
  <c r="AH168" i="19"/>
  <c r="AG168" i="19"/>
  <c r="AF168" i="19"/>
  <c r="AE168" i="19"/>
  <c r="AD168" i="19"/>
  <c r="AC168" i="19"/>
  <c r="AB168" i="19"/>
  <c r="AA168" i="19"/>
  <c r="AP184" i="19"/>
  <c r="AO184" i="19"/>
  <c r="AN184" i="19"/>
  <c r="AM184" i="19"/>
  <c r="AL184" i="19"/>
  <c r="AK184" i="19"/>
  <c r="AJ184" i="19"/>
  <c r="AI184" i="19"/>
  <c r="AH184" i="19"/>
  <c r="AG184" i="19"/>
  <c r="AF184" i="19"/>
  <c r="AE184" i="19"/>
  <c r="AD184" i="19"/>
  <c r="AC184" i="19"/>
  <c r="AB184" i="19"/>
  <c r="AA184" i="19"/>
  <c r="AP176" i="19"/>
  <c r="AO176" i="19"/>
  <c r="AN176" i="19"/>
  <c r="AM176" i="19"/>
  <c r="AL176" i="19"/>
  <c r="AK176" i="19"/>
  <c r="AJ176" i="19"/>
  <c r="AI176" i="19"/>
  <c r="AH176" i="19"/>
  <c r="AG176" i="19"/>
  <c r="AF176" i="19"/>
  <c r="AE176" i="19"/>
  <c r="AD176" i="19"/>
  <c r="AC176" i="19"/>
  <c r="AB176" i="19"/>
  <c r="AA176" i="19"/>
  <c r="AO160" i="19"/>
  <c r="AN160" i="19"/>
  <c r="AM160" i="19"/>
  <c r="AL160" i="19"/>
  <c r="AK160" i="19"/>
  <c r="AJ160" i="19"/>
  <c r="AI160" i="19"/>
  <c r="AH160" i="19"/>
  <c r="AG160" i="19"/>
  <c r="AF160" i="19"/>
  <c r="AE160" i="19"/>
  <c r="AD160" i="19"/>
  <c r="AC160" i="19"/>
  <c r="AB160" i="19"/>
  <c r="AA160" i="19"/>
  <c r="AP152" i="19"/>
  <c r="AP156" i="19" s="1"/>
  <c r="AP157" i="19" s="1" a="1"/>
  <c r="AP157" i="19" s="1"/>
  <c r="AO152" i="19"/>
  <c r="AN152" i="19"/>
  <c r="AM152" i="19"/>
  <c r="AL152" i="19"/>
  <c r="AK152" i="19"/>
  <c r="AJ152" i="19"/>
  <c r="AI152" i="19"/>
  <c r="AH152" i="19"/>
  <c r="AG152" i="19"/>
  <c r="AF152" i="19"/>
  <c r="AE152" i="19"/>
  <c r="AD152" i="19"/>
  <c r="AC152" i="19"/>
  <c r="AB152" i="19"/>
  <c r="AA152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AP136" i="19"/>
  <c r="AO136" i="19"/>
  <c r="AN136" i="19"/>
  <c r="AM136" i="19"/>
  <c r="AL136" i="19"/>
  <c r="AK136" i="19"/>
  <c r="AJ136" i="19"/>
  <c r="AI136" i="19"/>
  <c r="AH136" i="19"/>
  <c r="AG136" i="19"/>
  <c r="AF136" i="19"/>
  <c r="AE136" i="19"/>
  <c r="AD136" i="19"/>
  <c r="AC136" i="19"/>
  <c r="AB136" i="19"/>
  <c r="AA136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AP112" i="19"/>
  <c r="AO112" i="19"/>
  <c r="AN112" i="19"/>
  <c r="AM112" i="19"/>
  <c r="AL112" i="19"/>
  <c r="AK112" i="19"/>
  <c r="AJ112" i="19"/>
  <c r="AI112" i="19"/>
  <c r="AH112" i="19"/>
  <c r="AG112" i="19"/>
  <c r="AF112" i="19"/>
  <c r="AE112" i="19"/>
  <c r="AD112" i="19"/>
  <c r="AC112" i="19"/>
  <c r="AB112" i="19"/>
  <c r="AA112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AP80" i="19"/>
  <c r="AO80" i="19"/>
  <c r="AN80" i="19"/>
  <c r="AM80" i="19"/>
  <c r="AL80" i="19"/>
  <c r="AK80" i="19"/>
  <c r="AJ80" i="19"/>
  <c r="AI80" i="19"/>
  <c r="AH80" i="19"/>
  <c r="AG80" i="19"/>
  <c r="AF80" i="19"/>
  <c r="AE80" i="19"/>
  <c r="AD80" i="19"/>
  <c r="AC80" i="19"/>
  <c r="AB80" i="19"/>
  <c r="AA80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AP64" i="19"/>
  <c r="AO64" i="19"/>
  <c r="AN64" i="19"/>
  <c r="AM64" i="19"/>
  <c r="AL64" i="19"/>
  <c r="AK64" i="19"/>
  <c r="AJ64" i="19"/>
  <c r="AI64" i="19"/>
  <c r="AH64" i="19"/>
  <c r="AG64" i="19"/>
  <c r="AF64" i="19"/>
  <c r="AE64" i="19"/>
  <c r="AD64" i="19"/>
  <c r="AC64" i="19"/>
  <c r="AB64" i="19"/>
  <c r="AA64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AP48" i="19"/>
  <c r="AP52" i="19" s="1"/>
  <c r="AP53" i="19" s="1" a="1"/>
  <c r="AP53" i="19" s="1"/>
  <c r="AO48" i="19"/>
  <c r="AN48" i="19"/>
  <c r="AM48" i="19"/>
  <c r="AL48" i="19"/>
  <c r="AK48" i="19"/>
  <c r="AJ48" i="19"/>
  <c r="AI48" i="19"/>
  <c r="AH48" i="19"/>
  <c r="AG48" i="19"/>
  <c r="AF48" i="19"/>
  <c r="AE48" i="19"/>
  <c r="AD48" i="19"/>
  <c r="AC48" i="19"/>
  <c r="AB48" i="19"/>
  <c r="AA48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AP24" i="19"/>
  <c r="AO24" i="19"/>
  <c r="AN24" i="19"/>
  <c r="AM24" i="19"/>
  <c r="AL24" i="19"/>
  <c r="AK24" i="19"/>
  <c r="AJ24" i="19"/>
  <c r="AI24" i="19"/>
  <c r="AH24" i="19"/>
  <c r="AG24" i="19"/>
  <c r="AF24" i="19"/>
  <c r="AE24" i="19"/>
  <c r="AD24" i="19"/>
  <c r="AC24" i="19"/>
  <c r="AB24" i="19"/>
  <c r="AA24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AB8" i="19"/>
  <c r="AC8" i="19"/>
  <c r="AD8" i="19"/>
  <c r="AE8" i="19"/>
  <c r="AF8" i="19"/>
  <c r="AG8" i="19"/>
  <c r="AH8" i="19"/>
  <c r="AI8" i="19"/>
  <c r="AJ8" i="19"/>
  <c r="AK8" i="19"/>
  <c r="AL8" i="19"/>
  <c r="AM8" i="19"/>
  <c r="AN8" i="19"/>
  <c r="AO8" i="19"/>
  <c r="AP8" i="19"/>
  <c r="AL35" i="19"/>
  <c r="AM35" i="19"/>
  <c r="AN35" i="19"/>
  <c r="AO35" i="19"/>
  <c r="AP35" i="19"/>
  <c r="AB35" i="19"/>
  <c r="AC35" i="19"/>
  <c r="AD35" i="19"/>
  <c r="AE35" i="19"/>
  <c r="AF35" i="19"/>
  <c r="AG35" i="19"/>
  <c r="AH35" i="19"/>
  <c r="AI35" i="19"/>
  <c r="AJ35" i="19"/>
  <c r="AK35" i="19"/>
  <c r="AB43" i="19"/>
  <c r="AC43" i="19"/>
  <c r="AD43" i="19"/>
  <c r="AE43" i="19"/>
  <c r="AF43" i="19"/>
  <c r="AG43" i="19"/>
  <c r="AH43" i="19"/>
  <c r="AI43" i="19"/>
  <c r="AJ43" i="19"/>
  <c r="AK43" i="19"/>
  <c r="AL43" i="19"/>
  <c r="AM43" i="19"/>
  <c r="AN43" i="19"/>
  <c r="AO43" i="19"/>
  <c r="AP43" i="19"/>
  <c r="AB51" i="19"/>
  <c r="AC51" i="19"/>
  <c r="AD51" i="19"/>
  <c r="AE51" i="19"/>
  <c r="AF51" i="19"/>
  <c r="AG51" i="19"/>
  <c r="AH51" i="19"/>
  <c r="AI51" i="19"/>
  <c r="AJ51" i="19"/>
  <c r="AK51" i="19"/>
  <c r="AL51" i="19"/>
  <c r="AM51" i="19"/>
  <c r="AN51" i="19"/>
  <c r="AO51" i="19"/>
  <c r="AK59" i="19"/>
  <c r="AL59" i="19"/>
  <c r="AM59" i="19"/>
  <c r="AN59" i="19"/>
  <c r="AO59" i="19"/>
  <c r="AP59" i="19"/>
  <c r="AB59" i="19"/>
  <c r="AC59" i="19"/>
  <c r="AD59" i="19"/>
  <c r="AE59" i="19"/>
  <c r="AF59" i="19"/>
  <c r="AG59" i="19"/>
  <c r="AH59" i="19"/>
  <c r="AI59" i="19"/>
  <c r="AJ59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B75" i="19"/>
  <c r="AC75" i="19"/>
  <c r="AD75" i="19"/>
  <c r="AE75" i="19"/>
  <c r="AF75" i="19"/>
  <c r="AG75" i="19"/>
  <c r="AH75" i="19"/>
  <c r="AI75" i="19"/>
  <c r="AJ75" i="19"/>
  <c r="AK75" i="19"/>
  <c r="AL75" i="19"/>
  <c r="AM75" i="19"/>
  <c r="AN75" i="19"/>
  <c r="AO75" i="19"/>
  <c r="AP75" i="19"/>
  <c r="AB83" i="19"/>
  <c r="AC83" i="19"/>
  <c r="AD83" i="19"/>
  <c r="AE83" i="19"/>
  <c r="AF83" i="19"/>
  <c r="AG83" i="19"/>
  <c r="AH83" i="19"/>
  <c r="AI83" i="19"/>
  <c r="AJ83" i="19"/>
  <c r="AK83" i="19"/>
  <c r="AL83" i="19"/>
  <c r="AM83" i="19"/>
  <c r="AN83" i="19"/>
  <c r="AO83" i="19"/>
  <c r="AP83" i="19"/>
  <c r="AB91" i="19"/>
  <c r="AC91" i="19"/>
  <c r="AD91" i="19"/>
  <c r="AE91" i="19"/>
  <c r="AF91" i="19"/>
  <c r="AG91" i="19"/>
  <c r="AH91" i="19"/>
  <c r="AI91" i="19"/>
  <c r="AJ91" i="19"/>
  <c r="AK91" i="19"/>
  <c r="AL91" i="19"/>
  <c r="AM91" i="19"/>
  <c r="AN91" i="19"/>
  <c r="AO91" i="19"/>
  <c r="AP91" i="19"/>
  <c r="AL99" i="19"/>
  <c r="AM99" i="19"/>
  <c r="AN99" i="19"/>
  <c r="AO99" i="19"/>
  <c r="AP99" i="19"/>
  <c r="AB99" i="19"/>
  <c r="AC99" i="19"/>
  <c r="AD99" i="19"/>
  <c r="AE99" i="19"/>
  <c r="AF99" i="19"/>
  <c r="AG99" i="19"/>
  <c r="AH99" i="19"/>
  <c r="AI99" i="19"/>
  <c r="AJ99" i="19"/>
  <c r="AK99" i="19"/>
  <c r="AB107" i="19"/>
  <c r="AC107" i="19"/>
  <c r="AD107" i="19"/>
  <c r="AE107" i="19"/>
  <c r="AF107" i="19"/>
  <c r="AG107" i="19"/>
  <c r="AH107" i="19"/>
  <c r="AI107" i="19"/>
  <c r="AJ107" i="19"/>
  <c r="AK107" i="19"/>
  <c r="AL107" i="19"/>
  <c r="AM107" i="19"/>
  <c r="AN107" i="19"/>
  <c r="AO107" i="19"/>
  <c r="AP107" i="19"/>
  <c r="AB115" i="19"/>
  <c r="AC115" i="19"/>
  <c r="AD115" i="19"/>
  <c r="AE115" i="19"/>
  <c r="AF115" i="19"/>
  <c r="AG115" i="19"/>
  <c r="AH115" i="19"/>
  <c r="AI115" i="19"/>
  <c r="AJ115" i="19"/>
  <c r="AK115" i="19"/>
  <c r="AL115" i="19"/>
  <c r="AM115" i="19"/>
  <c r="AN115" i="19"/>
  <c r="AO115" i="19"/>
  <c r="AP115" i="19"/>
  <c r="AB123" i="19"/>
  <c r="AC123" i="19"/>
  <c r="AD123" i="19"/>
  <c r="AE123" i="19"/>
  <c r="AF123" i="19"/>
  <c r="AG123" i="19"/>
  <c r="AH123" i="19"/>
  <c r="AI123" i="19"/>
  <c r="AJ123" i="19"/>
  <c r="AK123" i="19"/>
  <c r="AL123" i="19"/>
  <c r="AM123" i="19"/>
  <c r="AN123" i="19"/>
  <c r="AO123" i="19"/>
  <c r="AP123" i="19"/>
  <c r="AL131" i="19"/>
  <c r="AM131" i="19"/>
  <c r="AN131" i="19"/>
  <c r="AO131" i="19"/>
  <c r="AP131" i="19"/>
  <c r="AB131" i="19"/>
  <c r="AC131" i="19"/>
  <c r="AD131" i="19"/>
  <c r="AE131" i="19"/>
  <c r="AF131" i="19"/>
  <c r="AG131" i="19"/>
  <c r="AH131" i="19"/>
  <c r="AI131" i="19"/>
  <c r="AJ131" i="19"/>
  <c r="AK131" i="19"/>
  <c r="AB139" i="19"/>
  <c r="AC139" i="19"/>
  <c r="AD139" i="19"/>
  <c r="AE139" i="19"/>
  <c r="AF139" i="19"/>
  <c r="AG139" i="19"/>
  <c r="AH139" i="19"/>
  <c r="AI139" i="19"/>
  <c r="AJ139" i="19"/>
  <c r="AK139" i="19"/>
  <c r="AL139" i="19"/>
  <c r="AM139" i="19"/>
  <c r="AN139" i="19"/>
  <c r="AO139" i="19"/>
  <c r="AP139" i="19"/>
  <c r="AB147" i="19"/>
  <c r="AC147" i="19"/>
  <c r="AD147" i="19"/>
  <c r="AE147" i="19"/>
  <c r="AF147" i="19"/>
  <c r="AG147" i="19"/>
  <c r="AH147" i="19"/>
  <c r="AI147" i="19"/>
  <c r="AJ147" i="19"/>
  <c r="AK147" i="19"/>
  <c r="AL147" i="19"/>
  <c r="AM147" i="19"/>
  <c r="AN147" i="19"/>
  <c r="AO147" i="19"/>
  <c r="AP147" i="19"/>
  <c r="AB155" i="19"/>
  <c r="AC155" i="19"/>
  <c r="AD155" i="19"/>
  <c r="AE155" i="19"/>
  <c r="AF155" i="19"/>
  <c r="AG155" i="19"/>
  <c r="AH155" i="19"/>
  <c r="AI155" i="19"/>
  <c r="AJ155" i="19"/>
  <c r="AK155" i="19"/>
  <c r="AL155" i="19"/>
  <c r="AM155" i="19"/>
  <c r="AN155" i="19"/>
  <c r="AO155" i="19"/>
  <c r="AL163" i="19"/>
  <c r="AM163" i="19"/>
  <c r="AN163" i="19"/>
  <c r="AO163" i="19"/>
  <c r="AP163" i="19"/>
  <c r="AB163" i="19"/>
  <c r="AC163" i="19"/>
  <c r="AD163" i="19"/>
  <c r="AE163" i="19"/>
  <c r="AF163" i="19"/>
  <c r="AG163" i="19"/>
  <c r="AH163" i="19"/>
  <c r="AI163" i="19"/>
  <c r="AJ163" i="19"/>
  <c r="AK163" i="19"/>
  <c r="AB171" i="19"/>
  <c r="AC171" i="19"/>
  <c r="AD171" i="19"/>
  <c r="AE171" i="19"/>
  <c r="AF171" i="19"/>
  <c r="AG171" i="19"/>
  <c r="AH171" i="19"/>
  <c r="AI171" i="19"/>
  <c r="AJ171" i="19"/>
  <c r="AK171" i="19"/>
  <c r="AL171" i="19"/>
  <c r="AM171" i="19"/>
  <c r="AN171" i="19"/>
  <c r="AO171" i="19"/>
  <c r="AP171" i="19"/>
  <c r="AB179" i="19"/>
  <c r="AC179" i="19"/>
  <c r="AD179" i="19"/>
  <c r="AE179" i="19"/>
  <c r="AF179" i="19"/>
  <c r="AG179" i="19"/>
  <c r="AH179" i="19"/>
  <c r="AI179" i="19"/>
  <c r="AJ179" i="19"/>
  <c r="AK179" i="19"/>
  <c r="AL179" i="19"/>
  <c r="AM179" i="19"/>
  <c r="AN179" i="19"/>
  <c r="AO179" i="19"/>
  <c r="AP179" i="19"/>
  <c r="AB187" i="19"/>
  <c r="AC187" i="19"/>
  <c r="AD187" i="19"/>
  <c r="AE187" i="19"/>
  <c r="AF187" i="19"/>
  <c r="AG187" i="19"/>
  <c r="AH187" i="19"/>
  <c r="AI187" i="19"/>
  <c r="AJ187" i="19"/>
  <c r="AK187" i="19"/>
  <c r="AL187" i="19"/>
  <c r="AM187" i="19"/>
  <c r="AN187" i="19"/>
  <c r="AO187" i="19"/>
  <c r="AP187" i="19"/>
  <c r="AA187" i="19"/>
  <c r="AA179" i="19"/>
  <c r="AA171" i="19"/>
  <c r="AA163" i="19"/>
  <c r="AA155" i="19"/>
  <c r="AA147" i="19"/>
  <c r="AA139" i="19"/>
  <c r="AA131" i="19"/>
  <c r="AA123" i="19"/>
  <c r="AA115" i="19"/>
  <c r="AA107" i="19"/>
  <c r="AA99" i="19"/>
  <c r="AA91" i="19"/>
  <c r="AA83" i="19"/>
  <c r="AA75" i="19"/>
  <c r="AA67" i="19"/>
  <c r="AA59" i="19"/>
  <c r="AA51" i="19"/>
  <c r="AA43" i="19"/>
  <c r="AA35" i="19"/>
  <c r="AB19" i="19"/>
  <c r="AC19" i="19"/>
  <c r="AD19" i="19"/>
  <c r="AE19" i="19"/>
  <c r="AF19" i="19"/>
  <c r="AG19" i="19"/>
  <c r="AH19" i="19"/>
  <c r="AI19" i="19"/>
  <c r="AJ19" i="19"/>
  <c r="AK19" i="19"/>
  <c r="AL19" i="19"/>
  <c r="AM19" i="19"/>
  <c r="AN19" i="19"/>
  <c r="AO19" i="19"/>
  <c r="AP19" i="19"/>
  <c r="AB27" i="19"/>
  <c r="AC27" i="19"/>
  <c r="AD27" i="19"/>
  <c r="AE27" i="19"/>
  <c r="AF27" i="19"/>
  <c r="AG27" i="19"/>
  <c r="AH27" i="19"/>
  <c r="AI27" i="19"/>
  <c r="AJ27" i="19"/>
  <c r="AK27" i="19"/>
  <c r="AL27" i="19"/>
  <c r="AM27" i="19"/>
  <c r="AN27" i="19"/>
  <c r="AO27" i="19"/>
  <c r="AP27" i="19"/>
  <c r="AA27" i="19"/>
  <c r="AA19" i="19"/>
  <c r="AB11" i="19"/>
  <c r="AC11" i="19"/>
  <c r="AD11" i="19"/>
  <c r="AE11" i="19"/>
  <c r="AF11" i="19"/>
  <c r="AG11" i="19"/>
  <c r="AH11" i="19"/>
  <c r="AI11" i="19"/>
  <c r="AJ11" i="19"/>
  <c r="AK11" i="19"/>
  <c r="AL11" i="19"/>
  <c r="AM11" i="19"/>
  <c r="AN11" i="19"/>
  <c r="AO11" i="19"/>
  <c r="AP11" i="19"/>
  <c r="AA11" i="19"/>
  <c r="C52" i="14" a="1"/>
  <c r="C52" i="14" s="1"/>
  <c r="G53" i="1" s="1"/>
  <c r="D52" i="14" a="1"/>
  <c r="D52" i="14" s="1"/>
  <c r="H53" i="1" s="1"/>
  <c r="E52" i="14" a="1"/>
  <c r="E52" i="14" s="1"/>
  <c r="I53" i="1" s="1"/>
  <c r="F52" i="14" a="1"/>
  <c r="F52" i="14" s="1"/>
  <c r="J53" i="1" s="1"/>
  <c r="G52" i="14" a="1"/>
  <c r="G52" i="14"/>
  <c r="K53" i="1" s="1"/>
  <c r="H52" i="14" a="1"/>
  <c r="H52" i="14" s="1"/>
  <c r="L53" i="1" s="1"/>
  <c r="I52" i="14" a="1"/>
  <c r="I52" i="14" s="1"/>
  <c r="M53" i="1" s="1"/>
  <c r="J52" i="14" a="1"/>
  <c r="J52" i="14" s="1"/>
  <c r="N53" i="1" s="1"/>
  <c r="K52" i="14" a="1"/>
  <c r="K52" i="14" s="1"/>
  <c r="O53" i="1" s="1"/>
  <c r="L52" i="14" a="1"/>
  <c r="L52" i="14" s="1"/>
  <c r="P53" i="1" s="1"/>
  <c r="M52" i="14" a="1"/>
  <c r="M52" i="14" s="1"/>
  <c r="Q53" i="1" s="1"/>
  <c r="N52" i="14" a="1"/>
  <c r="N52" i="14" s="1"/>
  <c r="R53" i="1" s="1"/>
  <c r="O52" i="14" a="1"/>
  <c r="O52" i="14" s="1"/>
  <c r="S53" i="1" s="1"/>
  <c r="P52" i="14" a="1"/>
  <c r="P52" i="14" s="1"/>
  <c r="T53" i="1" s="1"/>
  <c r="Q52" i="14" a="1"/>
  <c r="Q52" i="14" s="1"/>
  <c r="U53" i="1" s="1"/>
  <c r="R52" i="14" a="1"/>
  <c r="R52" i="14" s="1"/>
  <c r="V53" i="1" s="1"/>
  <c r="S52" i="14" a="1"/>
  <c r="S52" i="14" s="1"/>
  <c r="W53" i="1" s="1"/>
  <c r="T52" i="14" a="1"/>
  <c r="T52" i="14" s="1"/>
  <c r="X53" i="1" s="1"/>
  <c r="U52" i="14" a="1"/>
  <c r="U52" i="14" s="1"/>
  <c r="Y53" i="1" s="1"/>
  <c r="V52" i="14" a="1"/>
  <c r="V52" i="14" s="1"/>
  <c r="Z53" i="1" s="1"/>
  <c r="W52" i="14" a="1"/>
  <c r="W52" i="14" s="1"/>
  <c r="AA53" i="1" s="1"/>
  <c r="X52" i="14" a="1"/>
  <c r="X52" i="14" s="1"/>
  <c r="AB53" i="1" s="1"/>
  <c r="Y52" i="14" a="1"/>
  <c r="Y52" i="14" s="1"/>
  <c r="AC53" i="1" s="1"/>
  <c r="Z52" i="14" a="1"/>
  <c r="Z52" i="14" s="1"/>
  <c r="AD53" i="1" s="1"/>
  <c r="AA52" i="14" a="1"/>
  <c r="AA52" i="14" s="1"/>
  <c r="AE53" i="1" s="1"/>
  <c r="AB52" i="14" a="1"/>
  <c r="AB52" i="14" s="1"/>
  <c r="AF53" i="1" s="1"/>
  <c r="B52" i="14" a="1"/>
  <c r="B52" i="14" s="1"/>
  <c r="F53" i="1" s="1"/>
  <c r="O66" i="15" a="1"/>
  <c r="O66" i="15" s="1"/>
  <c r="P66" i="15" a="1"/>
  <c r="P66" i="15" s="1"/>
  <c r="Q66" i="15" a="1"/>
  <c r="Q66" i="15" s="1"/>
  <c r="R66" i="15" a="1"/>
  <c r="R66" i="15"/>
  <c r="S66" i="15" a="1"/>
  <c r="S66" i="15" s="1"/>
  <c r="T66" i="15" a="1"/>
  <c r="T66" i="15" s="1"/>
  <c r="U66" i="15" a="1"/>
  <c r="U66" i="15" s="1"/>
  <c r="V66" i="15" a="1"/>
  <c r="V66" i="15" s="1"/>
  <c r="W66" i="15" a="1"/>
  <c r="W66" i="15" s="1"/>
  <c r="X66" i="15" a="1"/>
  <c r="X66" i="15" s="1"/>
  <c r="Y66" i="15" a="1"/>
  <c r="Y66" i="15" s="1"/>
  <c r="Z66" i="15" a="1"/>
  <c r="Z66" i="15" s="1"/>
  <c r="AA66" i="15" a="1"/>
  <c r="AA66" i="15" s="1"/>
  <c r="AB66" i="15" a="1"/>
  <c r="AB66" i="15" s="1"/>
  <c r="AC66" i="15" a="1"/>
  <c r="AC66" i="15" s="1"/>
  <c r="AD66" i="15" a="1"/>
  <c r="AD66" i="15" s="1"/>
  <c r="AE66" i="15" a="1"/>
  <c r="AE66" i="15" s="1"/>
  <c r="AF66" i="15" a="1"/>
  <c r="AF66" i="15" s="1"/>
  <c r="AG66" i="15" a="1"/>
  <c r="AG66" i="15" s="1"/>
  <c r="AH66" i="15" a="1"/>
  <c r="AH66" i="15" s="1"/>
  <c r="AI66" i="15" a="1"/>
  <c r="AI66" i="15" s="1"/>
  <c r="AJ66" i="15" a="1"/>
  <c r="AJ66" i="15" s="1"/>
  <c r="AK66" i="15" a="1"/>
  <c r="AK66" i="15" s="1"/>
  <c r="AL66" i="15" a="1"/>
  <c r="AL66" i="15" s="1"/>
  <c r="AM66" i="15" a="1"/>
  <c r="AM66" i="15" s="1"/>
  <c r="AN66" i="15" a="1"/>
  <c r="AN66" i="15" s="1"/>
  <c r="AO66" i="15" a="1"/>
  <c r="AO66" i="15" s="1"/>
  <c r="AP66" i="15" a="1"/>
  <c r="AP66" i="15" s="1"/>
  <c r="AQ66" i="15" a="1"/>
  <c r="AQ66" i="15" s="1"/>
  <c r="AR66" i="15" a="1"/>
  <c r="AR66" i="15" s="1"/>
  <c r="AS66" i="15" a="1"/>
  <c r="AS66" i="15" s="1"/>
  <c r="AT66" i="15" a="1"/>
  <c r="AT66" i="15" s="1"/>
  <c r="AU66" i="15" a="1"/>
  <c r="AU66" i="15" s="1"/>
  <c r="AV66" i="15" a="1"/>
  <c r="AV66" i="15" s="1"/>
  <c r="AW66" i="15" a="1"/>
  <c r="AW66" i="15" s="1"/>
  <c r="AX66" i="15" a="1"/>
  <c r="AX66" i="15" s="1"/>
  <c r="O67" i="15" a="1"/>
  <c r="O67" i="15" s="1"/>
  <c r="P67" i="15" a="1"/>
  <c r="P67" i="15" s="1"/>
  <c r="Q67" i="15" a="1"/>
  <c r="Q67" i="15" s="1"/>
  <c r="R67" i="15" a="1"/>
  <c r="R67" i="15" s="1"/>
  <c r="S67" i="15" a="1"/>
  <c r="S67" i="15" s="1"/>
  <c r="T67" i="15" a="1"/>
  <c r="T67" i="15" s="1"/>
  <c r="U67" i="15" a="1"/>
  <c r="U67" i="15" s="1"/>
  <c r="V67" i="15" a="1"/>
  <c r="V67" i="15" s="1"/>
  <c r="W67" i="15" a="1"/>
  <c r="W67" i="15" s="1"/>
  <c r="X67" i="15" a="1"/>
  <c r="X67" i="15" s="1"/>
  <c r="Y67" i="15" a="1"/>
  <c r="Y67" i="15" s="1"/>
  <c r="Z67" i="15" a="1"/>
  <c r="Z67" i="15" s="1"/>
  <c r="AA67" i="15" a="1"/>
  <c r="AA67" i="15" s="1"/>
  <c r="AB67" i="15" a="1"/>
  <c r="AB67" i="15" s="1"/>
  <c r="AC67" i="15" a="1"/>
  <c r="AC67" i="15" s="1"/>
  <c r="AD67" i="15" a="1"/>
  <c r="AD67" i="15" s="1"/>
  <c r="AE67" i="15" a="1"/>
  <c r="AE67" i="15" s="1"/>
  <c r="AF67" i="15" a="1"/>
  <c r="AF67" i="15" s="1"/>
  <c r="AG67" i="15" a="1"/>
  <c r="AG67" i="15" s="1"/>
  <c r="AH67" i="15" a="1"/>
  <c r="AH67" i="15"/>
  <c r="AI67" i="15" a="1"/>
  <c r="AI67" i="15"/>
  <c r="AJ67" i="15" a="1"/>
  <c r="AJ67" i="15" s="1"/>
  <c r="AK67" i="15" a="1"/>
  <c r="AK67" i="15" s="1"/>
  <c r="AL67" i="15" a="1"/>
  <c r="AL67" i="15" s="1"/>
  <c r="AM67" i="15" a="1"/>
  <c r="AM67" i="15" s="1"/>
  <c r="AN67" i="15" a="1"/>
  <c r="AN67" i="15" s="1"/>
  <c r="AO67" i="15" a="1"/>
  <c r="AO67" i="15" s="1"/>
  <c r="AP67" i="15" a="1"/>
  <c r="AP67" i="15" s="1"/>
  <c r="AQ67" i="15" a="1"/>
  <c r="AQ67" i="15" s="1"/>
  <c r="AR67" i="15" a="1"/>
  <c r="AR67" i="15" s="1"/>
  <c r="AS67" i="15" a="1"/>
  <c r="AS67" i="15" s="1"/>
  <c r="AT67" i="15" a="1"/>
  <c r="AT67" i="15" s="1"/>
  <c r="AU67" i="15" a="1"/>
  <c r="AU67" i="15" s="1"/>
  <c r="AV67" i="15" a="1"/>
  <c r="AV67" i="15" s="1"/>
  <c r="O68" i="15" a="1"/>
  <c r="O68" i="15" s="1"/>
  <c r="P68" i="15" a="1"/>
  <c r="P68" i="15" s="1"/>
  <c r="Q68" i="15" a="1"/>
  <c r="Q68" i="15" s="1"/>
  <c r="R68" i="15" a="1"/>
  <c r="R68" i="15" s="1"/>
  <c r="S68" i="15" a="1"/>
  <c r="S68" i="15" s="1"/>
  <c r="T68" i="15" a="1"/>
  <c r="T68" i="15" s="1"/>
  <c r="U68" i="15" a="1"/>
  <c r="U68" i="15" s="1"/>
  <c r="V68" i="15" a="1"/>
  <c r="V68" i="15" s="1"/>
  <c r="W68" i="15" a="1"/>
  <c r="W68" i="15" s="1"/>
  <c r="X68" i="15" a="1"/>
  <c r="X68" i="15" s="1"/>
  <c r="Y68" i="15" a="1"/>
  <c r="Y68" i="15" s="1"/>
  <c r="Z68" i="15" a="1"/>
  <c r="Z68" i="15" s="1"/>
  <c r="AA68" i="15" a="1"/>
  <c r="AA68" i="15" s="1"/>
  <c r="AB68" i="15" a="1"/>
  <c r="AB68" i="15" s="1"/>
  <c r="AC68" i="15" a="1"/>
  <c r="AC68" i="15" s="1"/>
  <c r="AD68" i="15" a="1"/>
  <c r="AD68" i="15" s="1"/>
  <c r="AE68" i="15" a="1"/>
  <c r="AE68" i="15" s="1"/>
  <c r="AF68" i="15" a="1"/>
  <c r="AF68" i="15" s="1"/>
  <c r="AG68" i="15" a="1"/>
  <c r="AG68" i="15" s="1"/>
  <c r="AH68" i="15" a="1"/>
  <c r="AH68" i="15" s="1"/>
  <c r="AI68" i="15" a="1"/>
  <c r="AI68" i="15" s="1"/>
  <c r="AJ68" i="15" a="1"/>
  <c r="AJ68" i="15" s="1"/>
  <c r="AK68" i="15" a="1"/>
  <c r="AK68" i="15" s="1"/>
  <c r="AL68" i="15" a="1"/>
  <c r="AL68" i="15" s="1"/>
  <c r="AM68" i="15" a="1"/>
  <c r="AM68" i="15" s="1"/>
  <c r="AN68" i="15" a="1"/>
  <c r="AN68" i="15" s="1"/>
  <c r="AO68" i="15" a="1"/>
  <c r="AO68" i="15" s="1"/>
  <c r="AP68" i="15" a="1"/>
  <c r="AP68" i="15" s="1"/>
  <c r="AQ68" i="15" a="1"/>
  <c r="AQ68" i="15" s="1"/>
  <c r="AR68" i="15" a="1"/>
  <c r="AR68" i="15" s="1"/>
  <c r="AS68" i="15" a="1"/>
  <c r="AS68" i="15" s="1"/>
  <c r="AT68" i="15" a="1"/>
  <c r="AT68" i="15" s="1"/>
  <c r="AU68" i="15" a="1"/>
  <c r="AU68" i="15" s="1"/>
  <c r="AV68" i="15" a="1"/>
  <c r="AV68" i="15" s="1"/>
  <c r="AW68" i="15" a="1"/>
  <c r="AW68" i="15" s="1"/>
  <c r="AX68" i="15" a="1"/>
  <c r="AX68" i="15" s="1"/>
  <c r="O69" i="15" a="1"/>
  <c r="O69" i="15" s="1"/>
  <c r="P69" i="15" a="1"/>
  <c r="P69" i="15" s="1"/>
  <c r="Q69" i="15" a="1"/>
  <c r="Q69" i="15" s="1"/>
  <c r="R69" i="15" a="1"/>
  <c r="R69" i="15" s="1"/>
  <c r="S69" i="15" a="1"/>
  <c r="S69" i="15" s="1"/>
  <c r="T69" i="15" a="1"/>
  <c r="T69" i="15" s="1"/>
  <c r="U69" i="15" a="1"/>
  <c r="U69" i="15" s="1"/>
  <c r="V69" i="15" a="1"/>
  <c r="V69" i="15" s="1"/>
  <c r="W69" i="15" a="1"/>
  <c r="W69" i="15" s="1"/>
  <c r="X69" i="15" a="1"/>
  <c r="X69" i="15"/>
  <c r="Y69" i="15" a="1"/>
  <c r="Y69" i="15" s="1"/>
  <c r="Z69" i="15" a="1"/>
  <c r="Z69" i="15" s="1"/>
  <c r="AA69" i="15" a="1"/>
  <c r="AA69" i="15" s="1"/>
  <c r="AB69" i="15" a="1"/>
  <c r="AB69" i="15" s="1"/>
  <c r="AC69" i="15" a="1"/>
  <c r="AC69" i="15" s="1"/>
  <c r="AD69" i="15" a="1"/>
  <c r="AD69" i="15" s="1"/>
  <c r="AE69" i="15" a="1"/>
  <c r="AE69" i="15" s="1"/>
  <c r="AF69" i="15" a="1"/>
  <c r="AF69" i="15" s="1"/>
  <c r="AG69" i="15" a="1"/>
  <c r="AG69" i="15" s="1"/>
  <c r="AH69" i="15" a="1"/>
  <c r="AH69" i="15" s="1"/>
  <c r="AI69" i="15" a="1"/>
  <c r="AI69" i="15" s="1"/>
  <c r="AJ69" i="15" a="1"/>
  <c r="AJ69" i="15" s="1"/>
  <c r="AK69" i="15" a="1"/>
  <c r="AK69" i="15" s="1"/>
  <c r="AL69" i="15" a="1"/>
  <c r="AL69" i="15" s="1"/>
  <c r="AM69" i="15" a="1"/>
  <c r="AM69" i="15" s="1"/>
  <c r="AN69" i="15" a="1"/>
  <c r="AN69" i="15" s="1"/>
  <c r="AO69" i="15" a="1"/>
  <c r="AO69" i="15" s="1"/>
  <c r="AP69" i="15" a="1"/>
  <c r="AP69" i="15" s="1"/>
  <c r="AQ69" i="15" a="1"/>
  <c r="AQ69" i="15" s="1"/>
  <c r="AR69" i="15" a="1"/>
  <c r="AR69" i="15" s="1"/>
  <c r="AS69" i="15" a="1"/>
  <c r="AS69" i="15" s="1"/>
  <c r="AT69" i="15" a="1"/>
  <c r="AT69" i="15" s="1"/>
  <c r="AU69" i="15" a="1"/>
  <c r="AU69" i="15" s="1"/>
  <c r="AV69" i="15" a="1"/>
  <c r="AV69" i="15" s="1"/>
  <c r="AW69" i="15" a="1"/>
  <c r="AW69" i="15" s="1"/>
  <c r="O70" i="15" a="1"/>
  <c r="O70" i="15" s="1"/>
  <c r="P70" i="15" a="1"/>
  <c r="P70" i="15" s="1"/>
  <c r="Q70" i="15" a="1"/>
  <c r="Q70" i="15" s="1"/>
  <c r="R70" i="15" a="1"/>
  <c r="R70" i="15" s="1"/>
  <c r="S70" i="15" a="1"/>
  <c r="S70" i="15" s="1"/>
  <c r="T70" i="15" a="1"/>
  <c r="T70" i="15" s="1"/>
  <c r="U70" i="15" a="1"/>
  <c r="U70" i="15" s="1"/>
  <c r="V70" i="15" a="1"/>
  <c r="V70" i="15" s="1"/>
  <c r="W70" i="15" a="1"/>
  <c r="W70" i="15" s="1"/>
  <c r="X70" i="15" a="1"/>
  <c r="X70" i="15" s="1"/>
  <c r="Y70" i="15" a="1"/>
  <c r="Y70" i="15" s="1"/>
  <c r="Z70" i="15" a="1"/>
  <c r="Z70" i="15" s="1"/>
  <c r="AA70" i="15" a="1"/>
  <c r="AA70" i="15" s="1"/>
  <c r="AB70" i="15" a="1"/>
  <c r="AB70" i="15" s="1"/>
  <c r="AC70" i="15" a="1"/>
  <c r="AC70" i="15" s="1"/>
  <c r="AD70" i="15" a="1"/>
  <c r="AD70" i="15" s="1"/>
  <c r="AE70" i="15" a="1"/>
  <c r="AE70" i="15" s="1"/>
  <c r="AF70" i="15" a="1"/>
  <c r="AF70" i="15" s="1"/>
  <c r="AG70" i="15" a="1"/>
  <c r="AG70" i="15" s="1"/>
  <c r="AH70" i="15" a="1"/>
  <c r="AH70" i="15" s="1"/>
  <c r="AI70" i="15" a="1"/>
  <c r="AI70" i="15" s="1"/>
  <c r="AJ70" i="15" a="1"/>
  <c r="AJ70" i="15" s="1"/>
  <c r="AK70" i="15" a="1"/>
  <c r="AK70" i="15"/>
  <c r="AL70" i="15" a="1"/>
  <c r="AL70" i="15"/>
  <c r="AM70" i="15" a="1"/>
  <c r="AM70" i="15"/>
  <c r="AN70" i="15" a="1"/>
  <c r="AN70" i="15" s="1"/>
  <c r="AO70" i="15" a="1"/>
  <c r="AO70" i="15" s="1"/>
  <c r="AP70" i="15" a="1"/>
  <c r="AP70" i="15" s="1"/>
  <c r="AQ70" i="15" a="1"/>
  <c r="AQ70" i="15" s="1"/>
  <c r="AR70" i="15" a="1"/>
  <c r="AR70" i="15"/>
  <c r="AS70" i="15" a="1"/>
  <c r="AS70" i="15" s="1"/>
  <c r="AT70" i="15" a="1"/>
  <c r="AT70" i="15" s="1"/>
  <c r="AU70" i="15" a="1"/>
  <c r="AU70" i="15" s="1"/>
  <c r="AV70" i="15" a="1"/>
  <c r="AV70" i="15" s="1"/>
  <c r="AW70" i="15" a="1"/>
  <c r="AW70" i="15" s="1"/>
  <c r="O71" i="15" a="1"/>
  <c r="O71" i="15" s="1"/>
  <c r="P71" i="15" a="1"/>
  <c r="P71" i="15" s="1"/>
  <c r="Q71" i="15" a="1"/>
  <c r="Q71" i="15"/>
  <c r="R71" i="15" a="1"/>
  <c r="R71" i="15" s="1"/>
  <c r="S71" i="15" a="1"/>
  <c r="S71" i="15" s="1"/>
  <c r="T71" i="15" a="1"/>
  <c r="T71" i="15"/>
  <c r="U71" i="15" a="1"/>
  <c r="U71" i="15" s="1"/>
  <c r="V71" i="15" a="1"/>
  <c r="V71" i="15" s="1"/>
  <c r="W71" i="15" a="1"/>
  <c r="W71" i="15" s="1"/>
  <c r="X71" i="15" a="1"/>
  <c r="X71" i="15" s="1"/>
  <c r="Y71" i="15" a="1"/>
  <c r="Y71" i="15" s="1"/>
  <c r="Z71" i="15" a="1"/>
  <c r="Z71" i="15" s="1"/>
  <c r="AA71" i="15" a="1"/>
  <c r="AA71" i="15" s="1"/>
  <c r="AB71" i="15" a="1"/>
  <c r="AB71" i="15" s="1"/>
  <c r="AC71" i="15" a="1"/>
  <c r="AC71" i="15" s="1"/>
  <c r="AD71" i="15" a="1"/>
  <c r="AD71" i="15" s="1"/>
  <c r="AE71" i="15" a="1"/>
  <c r="AE71" i="15" s="1"/>
  <c r="AF71" i="15" a="1"/>
  <c r="AF71" i="15" s="1"/>
  <c r="AG71" i="15" a="1"/>
  <c r="AG71" i="15" s="1"/>
  <c r="AH71" i="15" a="1"/>
  <c r="AH71" i="15" s="1"/>
  <c r="AI71" i="15" a="1"/>
  <c r="AI71" i="15" s="1"/>
  <c r="AJ71" i="15" a="1"/>
  <c r="AJ71" i="15" s="1"/>
  <c r="AK71" i="15" a="1"/>
  <c r="AK71" i="15"/>
  <c r="AL71" i="15" a="1"/>
  <c r="AL71" i="15" s="1"/>
  <c r="AM71" i="15" a="1"/>
  <c r="AM71" i="15" s="1"/>
  <c r="AN71" i="15" a="1"/>
  <c r="AN71" i="15"/>
  <c r="AO71" i="15" a="1"/>
  <c r="AO71" i="15"/>
  <c r="AP71" i="15" a="1"/>
  <c r="AP71" i="15" s="1"/>
  <c r="AQ71" i="15" a="1"/>
  <c r="AQ71" i="15" s="1"/>
  <c r="AR71" i="15" a="1"/>
  <c r="AR71" i="15" s="1"/>
  <c r="AS71" i="15" a="1"/>
  <c r="AS71" i="15" s="1"/>
  <c r="AT71" i="15" a="1"/>
  <c r="AT71" i="15" s="1"/>
  <c r="AU71" i="15" a="1"/>
  <c r="AU71" i="15" s="1"/>
  <c r="AV71" i="15" a="1"/>
  <c r="AV71" i="15" s="1"/>
  <c r="O72" i="15" a="1"/>
  <c r="O72" i="15" s="1"/>
  <c r="P72" i="15" a="1"/>
  <c r="P72" i="15" s="1"/>
  <c r="Q72" i="15" a="1"/>
  <c r="Q72" i="15" s="1"/>
  <c r="R72" i="15" a="1"/>
  <c r="R72" i="15" s="1"/>
  <c r="S72" i="15" a="1"/>
  <c r="S72" i="15"/>
  <c r="T72" i="15" a="1"/>
  <c r="T72" i="15" s="1"/>
  <c r="U72" i="15" a="1"/>
  <c r="U72" i="15" s="1"/>
  <c r="V72" i="15" a="1"/>
  <c r="V72" i="15" s="1"/>
  <c r="W72" i="15" a="1"/>
  <c r="W72" i="15" s="1"/>
  <c r="X72" i="15" a="1"/>
  <c r="X72" i="15" s="1"/>
  <c r="Y72" i="15" a="1"/>
  <c r="Y72" i="15" s="1"/>
  <c r="Z72" i="15" a="1"/>
  <c r="Z72" i="15" s="1"/>
  <c r="AA72" i="15" a="1"/>
  <c r="AA72" i="15" s="1"/>
  <c r="AB72" i="15" a="1"/>
  <c r="AB72" i="15" s="1"/>
  <c r="AC72" i="15" a="1"/>
  <c r="AC72" i="15" s="1"/>
  <c r="AD72" i="15" a="1"/>
  <c r="AD72" i="15" s="1"/>
  <c r="AE72" i="15" a="1"/>
  <c r="AE72" i="15"/>
  <c r="AF72" i="15" a="1"/>
  <c r="AF72" i="15"/>
  <c r="AG72" i="15" a="1"/>
  <c r="AG72" i="15" s="1"/>
  <c r="AH72" i="15" a="1"/>
  <c r="AH72" i="15" s="1"/>
  <c r="AI72" i="15" a="1"/>
  <c r="AI72" i="15" s="1"/>
  <c r="AJ72" i="15" a="1"/>
  <c r="AJ72" i="15" s="1"/>
  <c r="AK72" i="15" a="1"/>
  <c r="AK72" i="15" s="1"/>
  <c r="AL72" i="15" a="1"/>
  <c r="AL72" i="15" s="1"/>
  <c r="AM72" i="15" a="1"/>
  <c r="AM72" i="15" s="1"/>
  <c r="AN72" i="15" a="1"/>
  <c r="AN72" i="15" s="1"/>
  <c r="AO72" i="15" a="1"/>
  <c r="AO72" i="15" s="1"/>
  <c r="AP72" i="15" a="1"/>
  <c r="AP72" i="15" s="1"/>
  <c r="AQ72" i="15" a="1"/>
  <c r="AQ72" i="15" s="1"/>
  <c r="AR72" i="15" a="1"/>
  <c r="AR72" i="15" s="1"/>
  <c r="AS72" i="15" a="1"/>
  <c r="AS72" i="15" s="1"/>
  <c r="AT72" i="15" a="1"/>
  <c r="AT72" i="15" s="1"/>
  <c r="AU72" i="15" a="1"/>
  <c r="AU72" i="15" s="1"/>
  <c r="AV72" i="15" a="1"/>
  <c r="AV72" i="15" s="1"/>
  <c r="AW72" i="15" a="1"/>
  <c r="AW72" i="15" s="1"/>
  <c r="O73" i="15" a="1"/>
  <c r="O73" i="15" s="1"/>
  <c r="P73" i="15" a="1"/>
  <c r="P73" i="15" s="1"/>
  <c r="Q73" i="15" a="1"/>
  <c r="Q73" i="15" s="1"/>
  <c r="R73" i="15" a="1"/>
  <c r="R73" i="15" s="1"/>
  <c r="S73" i="15" a="1"/>
  <c r="S73" i="15" s="1"/>
  <c r="T73" i="15" a="1"/>
  <c r="T73" i="15" s="1"/>
  <c r="U73" i="15" a="1"/>
  <c r="U73" i="15" s="1"/>
  <c r="V73" i="15" a="1"/>
  <c r="V73" i="15" s="1"/>
  <c r="W73" i="15" a="1"/>
  <c r="W73" i="15" s="1"/>
  <c r="X73" i="15" a="1"/>
  <c r="X73" i="15" s="1"/>
  <c r="Y73" i="15" a="1"/>
  <c r="Y73" i="15" s="1"/>
  <c r="Z73" i="15" a="1"/>
  <c r="Z73" i="15" s="1"/>
  <c r="AA73" i="15" a="1"/>
  <c r="AA73" i="15" s="1"/>
  <c r="AB73" i="15" a="1"/>
  <c r="AB73" i="15"/>
  <c r="AC73" i="15" a="1"/>
  <c r="AC73" i="15"/>
  <c r="AD73" i="15" a="1"/>
  <c r="AD73" i="15"/>
  <c r="AE73" i="15" a="1"/>
  <c r="AE73" i="15" s="1"/>
  <c r="AF73" i="15" a="1"/>
  <c r="AF73" i="15" s="1"/>
  <c r="AG73" i="15" a="1"/>
  <c r="AG73" i="15" s="1"/>
  <c r="AH73" i="15" a="1"/>
  <c r="AH73" i="15" s="1"/>
  <c r="AI73" i="15" a="1"/>
  <c r="AI73" i="15" s="1"/>
  <c r="AJ73" i="15" a="1"/>
  <c r="AJ73" i="15" s="1"/>
  <c r="AK73" i="15" a="1"/>
  <c r="AK73" i="15" s="1"/>
  <c r="AL73" i="15" a="1"/>
  <c r="AL73" i="15" s="1"/>
  <c r="AM73" i="15" a="1"/>
  <c r="AM73" i="15" s="1"/>
  <c r="AN73" i="15" a="1"/>
  <c r="AN73" i="15" s="1"/>
  <c r="AO73" i="15" a="1"/>
  <c r="AO73" i="15" s="1"/>
  <c r="AP73" i="15" a="1"/>
  <c r="AP73" i="15" s="1"/>
  <c r="AQ73" i="15" a="1"/>
  <c r="AQ73" i="15"/>
  <c r="AR73" i="15" a="1"/>
  <c r="AR73" i="15" s="1"/>
  <c r="AS73" i="15" a="1"/>
  <c r="AS73" i="15" s="1"/>
  <c r="AT73" i="15" a="1"/>
  <c r="AT73" i="15" s="1"/>
  <c r="AU73" i="15" a="1"/>
  <c r="AU73" i="15" s="1"/>
  <c r="AV73" i="15" a="1"/>
  <c r="AV73" i="15" s="1"/>
  <c r="AW73" i="15" a="1"/>
  <c r="AW73" i="15" s="1"/>
  <c r="O74" i="15" a="1"/>
  <c r="O74" i="15" s="1"/>
  <c r="P74" i="15" a="1"/>
  <c r="P74" i="15" s="1"/>
  <c r="Q74" i="15" a="1"/>
  <c r="Q74" i="15" s="1"/>
  <c r="R74" i="15" a="1"/>
  <c r="R74" i="15" s="1"/>
  <c r="S74" i="15" a="1"/>
  <c r="S74" i="15" s="1"/>
  <c r="T74" i="15" a="1"/>
  <c r="T74" i="15" s="1"/>
  <c r="U74" i="15" a="1"/>
  <c r="U74" i="15" s="1"/>
  <c r="V74" i="15" a="1"/>
  <c r="V74" i="15" s="1"/>
  <c r="W74" i="15" a="1"/>
  <c r="W74" i="15" s="1"/>
  <c r="X74" i="15" a="1"/>
  <c r="X74" i="15" s="1"/>
  <c r="Y74" i="15" a="1"/>
  <c r="Y74" i="15" s="1"/>
  <c r="Z74" i="15" a="1"/>
  <c r="Z74" i="15" s="1"/>
  <c r="AA74" i="15" a="1"/>
  <c r="AA74" i="15" s="1"/>
  <c r="AB74" i="15" a="1"/>
  <c r="AB74" i="15" s="1"/>
  <c r="AC74" i="15" a="1"/>
  <c r="AC74" i="15" s="1"/>
  <c r="AD74" i="15" a="1"/>
  <c r="AD74" i="15" s="1"/>
  <c r="AE74" i="15" a="1"/>
  <c r="AE74" i="15" s="1"/>
  <c r="AF74" i="15" a="1"/>
  <c r="AF74" i="15" s="1"/>
  <c r="AG74" i="15" a="1"/>
  <c r="AG74" i="15" s="1"/>
  <c r="AH74" i="15" a="1"/>
  <c r="AH74" i="15" s="1"/>
  <c r="AI74" i="15" a="1"/>
  <c r="AI74" i="15" s="1"/>
  <c r="AJ74" i="15" a="1"/>
  <c r="AJ74" i="15" s="1"/>
  <c r="AK74" i="15" a="1"/>
  <c r="AK74" i="15" s="1"/>
  <c r="AL74" i="15" a="1"/>
  <c r="AL74" i="15" s="1"/>
  <c r="AM74" i="15" a="1"/>
  <c r="AM74" i="15" s="1"/>
  <c r="AN74" i="15" a="1"/>
  <c r="AN74" i="15" s="1"/>
  <c r="AO74" i="15" a="1"/>
  <c r="AO74" i="15" s="1"/>
  <c r="AP74" i="15" a="1"/>
  <c r="AP74" i="15" s="1"/>
  <c r="AQ74" i="15" a="1"/>
  <c r="AQ74" i="15" s="1"/>
  <c r="AR74" i="15" a="1"/>
  <c r="AR74" i="15" s="1"/>
  <c r="AS74" i="15" a="1"/>
  <c r="AS74" i="15" s="1"/>
  <c r="AT74" i="15" a="1"/>
  <c r="AT74" i="15" s="1"/>
  <c r="AU74" i="15" a="1"/>
  <c r="AU74" i="15" s="1"/>
  <c r="AV74" i="15" a="1"/>
  <c r="AV74" i="15" s="1"/>
  <c r="AW74" i="15" a="1"/>
  <c r="AW74" i="15" s="1"/>
  <c r="O75" i="15" a="1"/>
  <c r="O75" i="15" s="1"/>
  <c r="P75" i="15" a="1"/>
  <c r="P75" i="15" s="1"/>
  <c r="Q75" i="15" a="1"/>
  <c r="Q75" i="15" s="1"/>
  <c r="R75" i="15" a="1"/>
  <c r="R75" i="15" s="1"/>
  <c r="S75" i="15" a="1"/>
  <c r="S75" i="15" s="1"/>
  <c r="T75" i="15" a="1"/>
  <c r="T75" i="15" s="1"/>
  <c r="U75" i="15" a="1"/>
  <c r="U75" i="15" s="1"/>
  <c r="V75" i="15" a="1"/>
  <c r="V75" i="15"/>
  <c r="W75" i="15" a="1"/>
  <c r="W75" i="15" s="1"/>
  <c r="X75" i="15" a="1"/>
  <c r="X75" i="15" s="1"/>
  <c r="Y75" i="15" a="1"/>
  <c r="Y75" i="15" s="1"/>
  <c r="Z75" i="15" a="1"/>
  <c r="Z75" i="15" s="1"/>
  <c r="AA75" i="15" a="1"/>
  <c r="AA75" i="15" s="1"/>
  <c r="AB75" i="15" a="1"/>
  <c r="AB75" i="15" s="1"/>
  <c r="AC75" i="15" a="1"/>
  <c r="AC75" i="15" s="1"/>
  <c r="AD75" i="15" a="1"/>
  <c r="AD75" i="15" s="1"/>
  <c r="AE75" i="15" a="1"/>
  <c r="AE75" i="15" s="1"/>
  <c r="AF75" i="15" a="1"/>
  <c r="AF75" i="15"/>
  <c r="AG75" i="15" a="1"/>
  <c r="AG75" i="15"/>
  <c r="AH75" i="15" a="1"/>
  <c r="AH75" i="15"/>
  <c r="AI75" i="15" a="1"/>
  <c r="AI75" i="15" s="1"/>
  <c r="AJ75" i="15" a="1"/>
  <c r="AJ75" i="15" s="1"/>
  <c r="AK75" i="15" a="1"/>
  <c r="AK75" i="15" s="1"/>
  <c r="AL75" i="15" a="1"/>
  <c r="AL75" i="15" s="1"/>
  <c r="AM75" i="15" a="1"/>
  <c r="AM75" i="15" s="1"/>
  <c r="AN75" i="15" a="1"/>
  <c r="AN75" i="15" s="1"/>
  <c r="AO75" i="15" a="1"/>
  <c r="AO75" i="15" s="1"/>
  <c r="AP75" i="15" a="1"/>
  <c r="AP75" i="15"/>
  <c r="AQ75" i="15" a="1"/>
  <c r="AQ75" i="15" s="1"/>
  <c r="AR75" i="15" a="1"/>
  <c r="AR75" i="15" s="1"/>
  <c r="AS75" i="15" a="1"/>
  <c r="AS75" i="15" s="1"/>
  <c r="AT75" i="15" a="1"/>
  <c r="AT75" i="15" s="1"/>
  <c r="AU75" i="15" a="1"/>
  <c r="AU75" i="15" s="1"/>
  <c r="AV75" i="15" a="1"/>
  <c r="AV75" i="15" s="1"/>
  <c r="AW75" i="15" a="1"/>
  <c r="AW75" i="15" s="1"/>
  <c r="O76" i="15" a="1"/>
  <c r="O76" i="15" s="1"/>
  <c r="P76" i="15" a="1"/>
  <c r="P76" i="15" s="1"/>
  <c r="Q76" i="15" a="1"/>
  <c r="Q76" i="15" s="1"/>
  <c r="R76" i="15" a="1"/>
  <c r="R76" i="15" s="1"/>
  <c r="S76" i="15" a="1"/>
  <c r="S76" i="15" s="1"/>
  <c r="T76" i="15" a="1"/>
  <c r="T76" i="15" s="1"/>
  <c r="U76" i="15" a="1"/>
  <c r="U76" i="15" s="1"/>
  <c r="V76" i="15" a="1"/>
  <c r="V76" i="15" s="1"/>
  <c r="W76" i="15" a="1"/>
  <c r="W76" i="15" s="1"/>
  <c r="X76" i="15" a="1"/>
  <c r="X76" i="15" s="1"/>
  <c r="Y76" i="15" a="1"/>
  <c r="Y76" i="15" s="1"/>
  <c r="Z76" i="15" a="1"/>
  <c r="Z76" i="15" s="1"/>
  <c r="AA76" i="15" a="1"/>
  <c r="AA76" i="15" s="1"/>
  <c r="AB76" i="15" a="1"/>
  <c r="AB76" i="15" s="1"/>
  <c r="AC76" i="15" a="1"/>
  <c r="AC76" i="15" s="1"/>
  <c r="AD76" i="15" a="1"/>
  <c r="AD76" i="15" s="1"/>
  <c r="AE76" i="15" a="1"/>
  <c r="AE76" i="15" s="1"/>
  <c r="AF76" i="15" a="1"/>
  <c r="AF76" i="15"/>
  <c r="AG76" i="15" a="1"/>
  <c r="AG76" i="15" s="1"/>
  <c r="AH76" i="15" a="1"/>
  <c r="AH76" i="15" s="1"/>
  <c r="AI76" i="15" a="1"/>
  <c r="AI76" i="15" s="1"/>
  <c r="AJ76" i="15" a="1"/>
  <c r="AJ76" i="15" s="1"/>
  <c r="AK76" i="15" a="1"/>
  <c r="AK76" i="15" s="1"/>
  <c r="AL76" i="15" a="1"/>
  <c r="AL76" i="15" s="1"/>
  <c r="AM76" i="15" a="1"/>
  <c r="AM76" i="15" s="1"/>
  <c r="AN76" i="15" a="1"/>
  <c r="AN76" i="15" s="1"/>
  <c r="AO76" i="15" a="1"/>
  <c r="AO76" i="15" s="1"/>
  <c r="AP76" i="15" a="1"/>
  <c r="AP76" i="15" s="1"/>
  <c r="AQ76" i="15" a="1"/>
  <c r="AQ76" i="15" s="1"/>
  <c r="AR76" i="15" a="1"/>
  <c r="AR76" i="15" s="1"/>
  <c r="AS76" i="15" a="1"/>
  <c r="AS76" i="15" s="1"/>
  <c r="AT76" i="15" a="1"/>
  <c r="AT76" i="15" s="1"/>
  <c r="AU76" i="15" a="1"/>
  <c r="AU76" i="15" s="1"/>
  <c r="AV76" i="15" a="1"/>
  <c r="AV76" i="15" s="1"/>
  <c r="AW76" i="15" a="1"/>
  <c r="AW76" i="15" s="1"/>
  <c r="AX76" i="15" a="1"/>
  <c r="AX76" i="15" s="1"/>
  <c r="O77" i="15" a="1"/>
  <c r="O77" i="15" s="1"/>
  <c r="P77" i="15" a="1"/>
  <c r="P77" i="15" s="1"/>
  <c r="Q77" i="15" a="1"/>
  <c r="Q77" i="15" s="1"/>
  <c r="R77" i="15" a="1"/>
  <c r="R77" i="15" s="1"/>
  <c r="S77" i="15" a="1"/>
  <c r="S77" i="15" s="1"/>
  <c r="T77" i="15" a="1"/>
  <c r="T77" i="15" s="1"/>
  <c r="U77" i="15" a="1"/>
  <c r="U77" i="15" s="1"/>
  <c r="V77" i="15" a="1"/>
  <c r="V77" i="15" s="1"/>
  <c r="W77" i="15" a="1"/>
  <c r="W77" i="15" s="1"/>
  <c r="X77" i="15" a="1"/>
  <c r="X77" i="15" s="1"/>
  <c r="Y77" i="15" a="1"/>
  <c r="Y77" i="15" s="1"/>
  <c r="Z77" i="15" a="1"/>
  <c r="Z77" i="15" s="1"/>
  <c r="AA77" i="15" a="1"/>
  <c r="AA77" i="15" s="1"/>
  <c r="AB77" i="15" a="1"/>
  <c r="AB77" i="15" s="1"/>
  <c r="AC77" i="15" a="1"/>
  <c r="AC77" i="15" s="1"/>
  <c r="AD77" i="15" a="1"/>
  <c r="AD77" i="15" s="1"/>
  <c r="AE77" i="15" a="1"/>
  <c r="AE77" i="15" s="1"/>
  <c r="AF77" i="15" a="1"/>
  <c r="AF77" i="15" s="1"/>
  <c r="AG77" i="15" a="1"/>
  <c r="AG77" i="15" s="1"/>
  <c r="AH77" i="15" a="1"/>
  <c r="AH77" i="15" s="1"/>
  <c r="AI77" i="15" a="1"/>
  <c r="AI77" i="15" s="1"/>
  <c r="AJ77" i="15" a="1"/>
  <c r="AJ77" i="15" s="1"/>
  <c r="AK77" i="15" a="1"/>
  <c r="AK77" i="15" s="1"/>
  <c r="AL77" i="15" a="1"/>
  <c r="AL77" i="15" s="1"/>
  <c r="AM77" i="15" a="1"/>
  <c r="AM77" i="15" s="1"/>
  <c r="AN77" i="15" a="1"/>
  <c r="AN77" i="15" s="1"/>
  <c r="AO77" i="15" a="1"/>
  <c r="AO77" i="15" s="1"/>
  <c r="AP77" i="15" a="1"/>
  <c r="AP77" i="15" s="1"/>
  <c r="AQ77" i="15" a="1"/>
  <c r="AQ77" i="15" s="1"/>
  <c r="AR77" i="15" a="1"/>
  <c r="AR77" i="15" s="1"/>
  <c r="AS77" i="15" a="1"/>
  <c r="AS77" i="15" s="1"/>
  <c r="AT77" i="15" a="1"/>
  <c r="AT77" i="15" s="1"/>
  <c r="AU77" i="15" a="1"/>
  <c r="AU77" i="15" s="1"/>
  <c r="AV77" i="15" a="1"/>
  <c r="AV77" i="15" s="1"/>
  <c r="AW77" i="15" a="1"/>
  <c r="AW77" i="15" s="1"/>
  <c r="AX77" i="15" a="1"/>
  <c r="AX77" i="15" s="1"/>
  <c r="O78" i="15" a="1"/>
  <c r="O78" i="15" s="1"/>
  <c r="P78" i="15" a="1"/>
  <c r="P78" i="15" s="1"/>
  <c r="Q78" i="15" a="1"/>
  <c r="Q78" i="15" s="1"/>
  <c r="R78" i="15" a="1"/>
  <c r="R78" i="15" s="1"/>
  <c r="S78" i="15" a="1"/>
  <c r="S78" i="15" s="1"/>
  <c r="T78" i="15" a="1"/>
  <c r="T78" i="15" s="1"/>
  <c r="U78" i="15" a="1"/>
  <c r="U78" i="15" s="1"/>
  <c r="V78" i="15" a="1"/>
  <c r="V78" i="15" s="1"/>
  <c r="W78" i="15" a="1"/>
  <c r="W78" i="15" s="1"/>
  <c r="X78" i="15" a="1"/>
  <c r="X78" i="15" s="1"/>
  <c r="Y78" i="15" a="1"/>
  <c r="Y78" i="15" s="1"/>
  <c r="Z78" i="15" a="1"/>
  <c r="Z78" i="15" s="1"/>
  <c r="AA78" i="15" a="1"/>
  <c r="AA78" i="15" s="1"/>
  <c r="AB78" i="15" a="1"/>
  <c r="AB78" i="15" s="1"/>
  <c r="AC78" i="15" a="1"/>
  <c r="AC78" i="15" s="1"/>
  <c r="AD78" i="15" a="1"/>
  <c r="AD78" i="15" s="1"/>
  <c r="AE78" i="15" a="1"/>
  <c r="AE78" i="15" s="1"/>
  <c r="AF78" i="15" a="1"/>
  <c r="AF78" i="15" s="1"/>
  <c r="AG78" i="15" a="1"/>
  <c r="AG78" i="15" s="1"/>
  <c r="AH78" i="15" a="1"/>
  <c r="AH78" i="15"/>
  <c r="AI78" i="15" a="1"/>
  <c r="AI78" i="15"/>
  <c r="AJ78" i="15" a="1"/>
  <c r="AJ78" i="15"/>
  <c r="AK78" i="15" a="1"/>
  <c r="AK78" i="15" s="1"/>
  <c r="AL78" i="15" a="1"/>
  <c r="AL78" i="15" s="1"/>
  <c r="AM78" i="15" a="1"/>
  <c r="AM78" i="15" s="1"/>
  <c r="AN78" i="15" a="1"/>
  <c r="AN78" i="15" s="1"/>
  <c r="AO78" i="15" a="1"/>
  <c r="AO78" i="15" s="1"/>
  <c r="AP78" i="15" a="1"/>
  <c r="AP78" i="15" s="1"/>
  <c r="AQ78" i="15" a="1"/>
  <c r="AQ78" i="15" s="1"/>
  <c r="AR78" i="15" a="1"/>
  <c r="AR78" i="15" s="1"/>
  <c r="AS78" i="15" a="1"/>
  <c r="AS78" i="15" s="1"/>
  <c r="AT78" i="15" a="1"/>
  <c r="AT78" i="15" s="1"/>
  <c r="AU78" i="15" a="1"/>
  <c r="AU78" i="15" s="1"/>
  <c r="AV78" i="15" a="1"/>
  <c r="AV78" i="15" s="1"/>
  <c r="O79" i="15" a="1"/>
  <c r="O79" i="15" s="1"/>
  <c r="P79" i="15" a="1"/>
  <c r="P79" i="15" s="1"/>
  <c r="Q79" i="15" a="1"/>
  <c r="Q79" i="15"/>
  <c r="R79" i="15" a="1"/>
  <c r="R79" i="15" s="1"/>
  <c r="S79" i="15" a="1"/>
  <c r="S79" i="15" s="1"/>
  <c r="T79" i="15" a="1"/>
  <c r="T79" i="15" s="1"/>
  <c r="U79" i="15" a="1"/>
  <c r="U79" i="15" s="1"/>
  <c r="V79" i="15" a="1"/>
  <c r="V79" i="15" s="1"/>
  <c r="W79" i="15" a="1"/>
  <c r="W79" i="15" s="1"/>
  <c r="X79" i="15" a="1"/>
  <c r="X79" i="15" s="1"/>
  <c r="Y79" i="15" a="1"/>
  <c r="Y79" i="15" s="1"/>
  <c r="Z79" i="15" a="1"/>
  <c r="Z79" i="15" s="1"/>
  <c r="AA79" i="15" a="1"/>
  <c r="AA79" i="15" s="1"/>
  <c r="AB79" i="15" a="1"/>
  <c r="AB79" i="15" s="1"/>
  <c r="AC79" i="15" a="1"/>
  <c r="AC79" i="15" s="1"/>
  <c r="AD79" i="15" a="1"/>
  <c r="AD79" i="15" s="1"/>
  <c r="AE79" i="15" a="1"/>
  <c r="AE79" i="15" s="1"/>
  <c r="AF79" i="15" a="1"/>
  <c r="AF79" i="15" s="1"/>
  <c r="AG79" i="15" a="1"/>
  <c r="AG79" i="15" s="1"/>
  <c r="AH79" i="15" a="1"/>
  <c r="AH79" i="15" s="1"/>
  <c r="AI79" i="15" a="1"/>
  <c r="AI79" i="15" s="1"/>
  <c r="AJ79" i="15" a="1"/>
  <c r="AJ79" i="15" s="1"/>
  <c r="AK79" i="15" a="1"/>
  <c r="AK79" i="15" s="1"/>
  <c r="AL79" i="15" a="1"/>
  <c r="AL79" i="15" s="1"/>
  <c r="AM79" i="15" a="1"/>
  <c r="AM79" i="15" s="1"/>
  <c r="AN79" i="15" a="1"/>
  <c r="AN79" i="15" s="1"/>
  <c r="AO79" i="15" a="1"/>
  <c r="AO79" i="15" s="1"/>
  <c r="AP79" i="15" a="1"/>
  <c r="AP79" i="15" s="1"/>
  <c r="AQ79" i="15" a="1"/>
  <c r="AQ79" i="15" s="1"/>
  <c r="AR79" i="15" a="1"/>
  <c r="AR79" i="15" s="1"/>
  <c r="AS79" i="15" a="1"/>
  <c r="AS79" i="15" s="1"/>
  <c r="AT79" i="15" a="1"/>
  <c r="AT79" i="15" s="1"/>
  <c r="AU79" i="15" a="1"/>
  <c r="AU79" i="15" s="1"/>
  <c r="AV79" i="15" a="1"/>
  <c r="AV79" i="15" s="1"/>
  <c r="AW79" i="15" a="1"/>
  <c r="AW79" i="15" s="1"/>
  <c r="AX79" i="15" a="1"/>
  <c r="AX79" i="15" s="1"/>
  <c r="O80" i="15" a="1"/>
  <c r="O80" i="15" s="1"/>
  <c r="P80" i="15" a="1"/>
  <c r="P80" i="15" s="1"/>
  <c r="Q80" i="15" a="1"/>
  <c r="Q80" i="15" s="1"/>
  <c r="R80" i="15" a="1"/>
  <c r="R80" i="15" s="1"/>
  <c r="S80" i="15" a="1"/>
  <c r="S80" i="15" s="1"/>
  <c r="T80" i="15" a="1"/>
  <c r="T80" i="15"/>
  <c r="U80" i="15" a="1"/>
  <c r="U80" i="15" s="1"/>
  <c r="V80" i="15" a="1"/>
  <c r="V80" i="15" s="1"/>
  <c r="W80" i="15" a="1"/>
  <c r="W80" i="15" s="1"/>
  <c r="X80" i="15" a="1"/>
  <c r="X80" i="15" s="1"/>
  <c r="Y80" i="15" a="1"/>
  <c r="Y80" i="15" s="1"/>
  <c r="Z80" i="15" a="1"/>
  <c r="Z80" i="15" s="1"/>
  <c r="AA80" i="15" a="1"/>
  <c r="AA80" i="15" s="1"/>
  <c r="AB80" i="15" a="1"/>
  <c r="AB80" i="15" s="1"/>
  <c r="AC80" i="15" a="1"/>
  <c r="AC80" i="15" s="1"/>
  <c r="AD80" i="15" a="1"/>
  <c r="AD80" i="15" s="1"/>
  <c r="AE80" i="15" a="1"/>
  <c r="AE80" i="15" s="1"/>
  <c r="AF80" i="15" a="1"/>
  <c r="AF80" i="15" s="1"/>
  <c r="AG80" i="15" a="1"/>
  <c r="AG80" i="15" s="1"/>
  <c r="AH80" i="15" a="1"/>
  <c r="AH80" i="15" s="1"/>
  <c r="AI80" i="15" a="1"/>
  <c r="AI80" i="15" s="1"/>
  <c r="AJ80" i="15" a="1"/>
  <c r="AJ80" i="15" s="1"/>
  <c r="AK80" i="15" a="1"/>
  <c r="AK80" i="15" s="1"/>
  <c r="AL80" i="15" a="1"/>
  <c r="AL80" i="15" s="1"/>
  <c r="AM80" i="15" a="1"/>
  <c r="AM80" i="15" s="1"/>
  <c r="AN80" i="15" a="1"/>
  <c r="AN80" i="15" s="1"/>
  <c r="AO80" i="15" a="1"/>
  <c r="AO80" i="15" s="1"/>
  <c r="AP80" i="15" a="1"/>
  <c r="AP80" i="15" s="1"/>
  <c r="AQ80" i="15" a="1"/>
  <c r="AQ80" i="15" s="1"/>
  <c r="AR80" i="15" a="1"/>
  <c r="AR80" i="15" s="1"/>
  <c r="AS80" i="15" a="1"/>
  <c r="AS80" i="15" s="1"/>
  <c r="AT80" i="15" a="1"/>
  <c r="AT80" i="15" s="1"/>
  <c r="AU80" i="15" a="1"/>
  <c r="AU80" i="15" s="1"/>
  <c r="AV80" i="15" a="1"/>
  <c r="AV80" i="15"/>
  <c r="AW80" i="15" a="1"/>
  <c r="AW80" i="15"/>
  <c r="AX80" i="15" a="1"/>
  <c r="AX80" i="15" s="1"/>
  <c r="O81" i="15" a="1"/>
  <c r="O81" i="15" s="1"/>
  <c r="P81" i="15" a="1"/>
  <c r="P81" i="15" s="1"/>
  <c r="Q81" i="15" a="1"/>
  <c r="Q81" i="15" s="1"/>
  <c r="R81" i="15" a="1"/>
  <c r="R81" i="15" s="1"/>
  <c r="S81" i="15" a="1"/>
  <c r="S81" i="15" s="1"/>
  <c r="T81" i="15" a="1"/>
  <c r="T81" i="15" s="1"/>
  <c r="U81" i="15" a="1"/>
  <c r="U81" i="15" s="1"/>
  <c r="V81" i="15" a="1"/>
  <c r="V81" i="15" s="1"/>
  <c r="W81" i="15" a="1"/>
  <c r="W81" i="15" s="1"/>
  <c r="X81" i="15" a="1"/>
  <c r="X81" i="15" s="1"/>
  <c r="Y81" i="15" a="1"/>
  <c r="Y81" i="15" s="1"/>
  <c r="Z81" i="15" a="1"/>
  <c r="Z81" i="15" s="1"/>
  <c r="AA81" i="15" a="1"/>
  <c r="AA81" i="15" s="1"/>
  <c r="AB81" i="15" a="1"/>
  <c r="AB81" i="15"/>
  <c r="AC81" i="15" a="1"/>
  <c r="AC81" i="15" s="1"/>
  <c r="AD81" i="15" a="1"/>
  <c r="AD81" i="15" s="1"/>
  <c r="AE81" i="15" a="1"/>
  <c r="AE81" i="15" s="1"/>
  <c r="AF81" i="15" a="1"/>
  <c r="AF81" i="15" s="1"/>
  <c r="AG81" i="15" a="1"/>
  <c r="AG81" i="15" s="1"/>
  <c r="AH81" i="15" a="1"/>
  <c r="AH81" i="15"/>
  <c r="AI81" i="15" a="1"/>
  <c r="AI81" i="15" s="1"/>
  <c r="AJ81" i="15" a="1"/>
  <c r="AJ81" i="15" s="1"/>
  <c r="AK81" i="15" a="1"/>
  <c r="AK81" i="15" s="1"/>
  <c r="AL81" i="15" a="1"/>
  <c r="AL81" i="15" s="1"/>
  <c r="AM81" i="15" a="1"/>
  <c r="AM81" i="15" s="1"/>
  <c r="AN81" i="15" a="1"/>
  <c r="AN81" i="15" s="1"/>
  <c r="AO81" i="15" a="1"/>
  <c r="AO81" i="15" s="1"/>
  <c r="AP81" i="15" a="1"/>
  <c r="AP81" i="15" s="1"/>
  <c r="AQ81" i="15" a="1"/>
  <c r="AQ81" i="15" s="1"/>
  <c r="AR81" i="15" a="1"/>
  <c r="AR81" i="15" s="1"/>
  <c r="AS81" i="15" a="1"/>
  <c r="AS81" i="15" s="1"/>
  <c r="AT81" i="15" a="1"/>
  <c r="AT81" i="15"/>
  <c r="AU81" i="15" a="1"/>
  <c r="AU81" i="15" s="1"/>
  <c r="AV81" i="15" a="1"/>
  <c r="AV81" i="15" s="1"/>
  <c r="AW81" i="15" a="1"/>
  <c r="AW81" i="15" s="1"/>
  <c r="AX81" i="15" a="1"/>
  <c r="AX81" i="15"/>
  <c r="O82" i="15" a="1"/>
  <c r="O82" i="15" s="1"/>
  <c r="P82" i="15" a="1"/>
  <c r="P82" i="15" s="1"/>
  <c r="Q82" i="15" a="1"/>
  <c r="Q82" i="15" s="1"/>
  <c r="R82" i="15" a="1"/>
  <c r="R82" i="15" s="1"/>
  <c r="S82" i="15" a="1"/>
  <c r="S82" i="15" s="1"/>
  <c r="T82" i="15" a="1"/>
  <c r="T82" i="15" s="1"/>
  <c r="U82" i="15" a="1"/>
  <c r="U82" i="15" s="1"/>
  <c r="V82" i="15" a="1"/>
  <c r="V82" i="15" s="1"/>
  <c r="W82" i="15" a="1"/>
  <c r="W82" i="15" s="1"/>
  <c r="X82" i="15" a="1"/>
  <c r="X82" i="15" s="1"/>
  <c r="Y82" i="15" a="1"/>
  <c r="Y82" i="15" s="1"/>
  <c r="Z82" i="15" a="1"/>
  <c r="Z82" i="15" s="1"/>
  <c r="AA82" i="15" a="1"/>
  <c r="AA82" i="15" s="1"/>
  <c r="AB82" i="15" a="1"/>
  <c r="AB82" i="15" s="1"/>
  <c r="AC82" i="15" a="1"/>
  <c r="AC82" i="15" s="1"/>
  <c r="AD82" i="15" a="1"/>
  <c r="AD82" i="15" s="1"/>
  <c r="AE82" i="15" a="1"/>
  <c r="AE82" i="15" s="1"/>
  <c r="AF82" i="15" a="1"/>
  <c r="AF82" i="15" s="1"/>
  <c r="AG82" i="15" a="1"/>
  <c r="AG82" i="15" s="1"/>
  <c r="AH82" i="15" a="1"/>
  <c r="AH82" i="15" s="1"/>
  <c r="AI82" i="15" a="1"/>
  <c r="AI82" i="15" s="1"/>
  <c r="AJ82" i="15" a="1"/>
  <c r="AJ82" i="15" s="1"/>
  <c r="AK82" i="15" a="1"/>
  <c r="AK82" i="15"/>
  <c r="AL82" i="15" a="1"/>
  <c r="AL82" i="15" s="1"/>
  <c r="AM82" i="15" a="1"/>
  <c r="AM82" i="15" s="1"/>
  <c r="AN82" i="15" a="1"/>
  <c r="AN82" i="15" s="1"/>
  <c r="AO82" i="15" a="1"/>
  <c r="AO82" i="15" s="1"/>
  <c r="AP82" i="15" a="1"/>
  <c r="AP82" i="15" s="1"/>
  <c r="AQ82" i="15" a="1"/>
  <c r="AQ82" i="15" s="1"/>
  <c r="AR82" i="15" a="1"/>
  <c r="AR82" i="15" s="1"/>
  <c r="AS82" i="15" a="1"/>
  <c r="AS82" i="15" s="1"/>
  <c r="AT82" i="15" a="1"/>
  <c r="AT82" i="15" s="1"/>
  <c r="AU82" i="15" a="1"/>
  <c r="AU82" i="15" s="1"/>
  <c r="AV82" i="15" a="1"/>
  <c r="AV82" i="15" s="1"/>
  <c r="O83" i="15" a="1"/>
  <c r="O83" i="15" s="1"/>
  <c r="P83" i="15" a="1"/>
  <c r="P83" i="15" s="1"/>
  <c r="Q83" i="15" a="1"/>
  <c r="Q83" i="15" s="1"/>
  <c r="R83" i="15" a="1"/>
  <c r="R83" i="15" s="1"/>
  <c r="S83" i="15" a="1"/>
  <c r="S83" i="15" s="1"/>
  <c r="T83" i="15" a="1"/>
  <c r="T83" i="15" s="1"/>
  <c r="U83" i="15" a="1"/>
  <c r="U83" i="15" s="1"/>
  <c r="V83" i="15" a="1"/>
  <c r="V83" i="15" s="1"/>
  <c r="W83" i="15" a="1"/>
  <c r="W83" i="15" s="1"/>
  <c r="X83" i="15" a="1"/>
  <c r="X83" i="15"/>
  <c r="Y83" i="15" a="1"/>
  <c r="Y83" i="15" s="1"/>
  <c r="Z83" i="15" a="1"/>
  <c r="Z83" i="15" s="1"/>
  <c r="AA83" i="15" a="1"/>
  <c r="AA83" i="15" s="1"/>
  <c r="AB83" i="15" a="1"/>
  <c r="AB83" i="15" s="1"/>
  <c r="AC83" i="15" a="1"/>
  <c r="AC83" i="15" s="1"/>
  <c r="AD83" i="15" a="1"/>
  <c r="AD83" i="15" s="1"/>
  <c r="AE83" i="15" a="1"/>
  <c r="AE83" i="15" s="1"/>
  <c r="AF83" i="15" a="1"/>
  <c r="AF83" i="15" s="1"/>
  <c r="AG83" i="15" a="1"/>
  <c r="AG83" i="15" s="1"/>
  <c r="AH83" i="15" a="1"/>
  <c r="AH83" i="15" s="1"/>
  <c r="AI83" i="15" a="1"/>
  <c r="AI83" i="15" s="1"/>
  <c r="AJ83" i="15" a="1"/>
  <c r="AJ83" i="15" s="1"/>
  <c r="AK83" i="15" a="1"/>
  <c r="AK83" i="15" s="1"/>
  <c r="AL83" i="15" a="1"/>
  <c r="AL83" i="15" s="1"/>
  <c r="AM83" i="15" a="1"/>
  <c r="AM83" i="15" s="1"/>
  <c r="AN83" i="15" a="1"/>
  <c r="AN83" i="15" s="1"/>
  <c r="AO83" i="15" a="1"/>
  <c r="AO83" i="15" s="1"/>
  <c r="AP83" i="15" a="1"/>
  <c r="AP83" i="15" s="1"/>
  <c r="AQ83" i="15" a="1"/>
  <c r="AQ83" i="15" s="1"/>
  <c r="AR83" i="15" a="1"/>
  <c r="AR83" i="15" s="1"/>
  <c r="AS83" i="15" a="1"/>
  <c r="AS83" i="15" s="1"/>
  <c r="AT83" i="15" a="1"/>
  <c r="AT83" i="15" s="1"/>
  <c r="AU83" i="15" a="1"/>
  <c r="AU83" i="15" s="1"/>
  <c r="AV83" i="15" a="1"/>
  <c r="AV83" i="15" s="1"/>
  <c r="AW83" i="15" a="1"/>
  <c r="AW83" i="15" s="1"/>
  <c r="AX83" i="15" a="1"/>
  <c r="AX83" i="15" s="1"/>
  <c r="O84" i="15" a="1"/>
  <c r="O84" i="15" s="1"/>
  <c r="P84" i="15" a="1"/>
  <c r="P84" i="15" s="1"/>
  <c r="Q84" i="15" a="1"/>
  <c r="Q84" i="15" s="1"/>
  <c r="R84" i="15" a="1"/>
  <c r="R84" i="15" s="1"/>
  <c r="S84" i="15" a="1"/>
  <c r="S84" i="15" s="1"/>
  <c r="T84" i="15" a="1"/>
  <c r="T84" i="15" s="1"/>
  <c r="U84" i="15" a="1"/>
  <c r="U84" i="15" s="1"/>
  <c r="V84" i="15" a="1"/>
  <c r="V84" i="15" s="1"/>
  <c r="W84" i="15" a="1"/>
  <c r="W84" i="15" s="1"/>
  <c r="X84" i="15" a="1"/>
  <c r="X84" i="15" s="1"/>
  <c r="Y84" i="15" a="1"/>
  <c r="Y84" i="15" s="1"/>
  <c r="Z84" i="15" a="1"/>
  <c r="Z84" i="15" s="1"/>
  <c r="AA84" i="15" a="1"/>
  <c r="AA84" i="15" s="1"/>
  <c r="AB84" i="15" a="1"/>
  <c r="AB84" i="15" s="1"/>
  <c r="AC84" i="15" a="1"/>
  <c r="AC84" i="15" s="1"/>
  <c r="AD84" i="15" a="1"/>
  <c r="AD84" i="15" s="1"/>
  <c r="AE84" i="15" a="1"/>
  <c r="AE84" i="15" s="1"/>
  <c r="AF84" i="15" a="1"/>
  <c r="AF84" i="15" s="1"/>
  <c r="AG84" i="15" a="1"/>
  <c r="AG84" i="15" s="1"/>
  <c r="AH84" i="15" a="1"/>
  <c r="AH84" i="15" s="1"/>
  <c r="AI84" i="15" a="1"/>
  <c r="AI84" i="15" s="1"/>
  <c r="AJ84" i="15" a="1"/>
  <c r="AJ84" i="15" s="1"/>
  <c r="AK84" i="15" a="1"/>
  <c r="AK84" i="15" s="1"/>
  <c r="AL84" i="15" a="1"/>
  <c r="AL84" i="15" s="1"/>
  <c r="AM84" i="15" a="1"/>
  <c r="AM84" i="15"/>
  <c r="AN84" i="15" a="1"/>
  <c r="AN84" i="15"/>
  <c r="AO84" i="15" a="1"/>
  <c r="AO84" i="15"/>
  <c r="AP84" i="15" a="1"/>
  <c r="AP84" i="15"/>
  <c r="AQ84" i="15" a="1"/>
  <c r="AQ84" i="15"/>
  <c r="AR84" i="15" a="1"/>
  <c r="AR84" i="15"/>
  <c r="AS84" i="15" a="1"/>
  <c r="AS84" i="15"/>
  <c r="AT84" i="15" a="1"/>
  <c r="AT84" i="15"/>
  <c r="AU84" i="15" a="1"/>
  <c r="AU84" i="15"/>
  <c r="AV84" i="15" a="1"/>
  <c r="AV84" i="15"/>
  <c r="O85" i="15" a="1"/>
  <c r="O85" i="15"/>
  <c r="P85" i="15" a="1"/>
  <c r="P85" i="15"/>
  <c r="Q85" i="15" a="1"/>
  <c r="Q85" i="15"/>
  <c r="R85" i="15" a="1"/>
  <c r="R85" i="15"/>
  <c r="S85" i="15" a="1"/>
  <c r="S85" i="15"/>
  <c r="T85" i="15" a="1"/>
  <c r="T85" i="15"/>
  <c r="U85" i="15" a="1"/>
  <c r="U85" i="15"/>
  <c r="V85" i="15" a="1"/>
  <c r="V85" i="15"/>
  <c r="W85" i="15" a="1"/>
  <c r="W85" i="15"/>
  <c r="X85" i="15" a="1"/>
  <c r="X85" i="15"/>
  <c r="Y85" i="15" a="1"/>
  <c r="Y85" i="15"/>
  <c r="Z85" i="15" a="1"/>
  <c r="Z85" i="15"/>
  <c r="AA85" i="15" a="1"/>
  <c r="AA85" i="15"/>
  <c r="AB85" i="15" a="1"/>
  <c r="AB85" i="15"/>
  <c r="AC85" i="15" a="1"/>
  <c r="AC85" i="15"/>
  <c r="AD85" i="15" a="1"/>
  <c r="AD85" i="15"/>
  <c r="AE85" i="15" a="1"/>
  <c r="AE85" i="15"/>
  <c r="AF85" i="15" a="1"/>
  <c r="AF85" i="15"/>
  <c r="AG85" i="15" a="1"/>
  <c r="AG85" i="15"/>
  <c r="AH85" i="15" a="1"/>
  <c r="AH85" i="15"/>
  <c r="AI85" i="15" a="1"/>
  <c r="AI85" i="15"/>
  <c r="AJ85" i="15" a="1"/>
  <c r="AJ85" i="15"/>
  <c r="AK85" i="15" a="1"/>
  <c r="AK85" i="15"/>
  <c r="AL85" i="15" a="1"/>
  <c r="AL85" i="15"/>
  <c r="AM85" i="15" a="1"/>
  <c r="AM85" i="15"/>
  <c r="AN85" i="15" a="1"/>
  <c r="AN85" i="15"/>
  <c r="AO85" i="15" a="1"/>
  <c r="AO85" i="15"/>
  <c r="AP85" i="15" a="1"/>
  <c r="AP85" i="15"/>
  <c r="AQ85" i="15" a="1"/>
  <c r="AQ85" i="15"/>
  <c r="AR85" i="15" a="1"/>
  <c r="AR85" i="15"/>
  <c r="AS85" i="15" a="1"/>
  <c r="AS85" i="15"/>
  <c r="AT85" i="15" a="1"/>
  <c r="AT85" i="15"/>
  <c r="AU85" i="15" a="1"/>
  <c r="AU85" i="15"/>
  <c r="AV85" i="15" a="1"/>
  <c r="AV85" i="15"/>
  <c r="AW85" i="15" a="1"/>
  <c r="AW85" i="15"/>
  <c r="AX85" i="15" a="1"/>
  <c r="AX85" i="15"/>
  <c r="O86" i="15" a="1"/>
  <c r="O86" i="15"/>
  <c r="P86" i="15" a="1"/>
  <c r="P86" i="15"/>
  <c r="Q86" i="15" a="1"/>
  <c r="Q86" i="15"/>
  <c r="R86" i="15" a="1"/>
  <c r="R86" i="15"/>
  <c r="S86" i="15" a="1"/>
  <c r="S86" i="15"/>
  <c r="T86" i="15" a="1"/>
  <c r="T86" i="15"/>
  <c r="U86" i="15" a="1"/>
  <c r="U86" i="15"/>
  <c r="V86" i="15" a="1"/>
  <c r="V86" i="15"/>
  <c r="W86" i="15" a="1"/>
  <c r="W86" i="15"/>
  <c r="X86" i="15" a="1"/>
  <c r="X86" i="15"/>
  <c r="Y86" i="15" a="1"/>
  <c r="Y86" i="15"/>
  <c r="Z86" i="15" a="1"/>
  <c r="Z86" i="15"/>
  <c r="AA86" i="15" a="1"/>
  <c r="AA86" i="15"/>
  <c r="AB86" i="15" a="1"/>
  <c r="AB86" i="15"/>
  <c r="AC86" i="15" a="1"/>
  <c r="AC86" i="15"/>
  <c r="AD86" i="15" a="1"/>
  <c r="AD86" i="15"/>
  <c r="AE86" i="15" a="1"/>
  <c r="AE86" i="15"/>
  <c r="AF86" i="15" a="1"/>
  <c r="AF86" i="15"/>
  <c r="AG86" i="15" a="1"/>
  <c r="AG86" i="15"/>
  <c r="AH86" i="15" a="1"/>
  <c r="AH86" i="15"/>
  <c r="AI86" i="15" a="1"/>
  <c r="AI86" i="15"/>
  <c r="AJ86" i="15" a="1"/>
  <c r="AJ86" i="15"/>
  <c r="AK86" i="15" a="1"/>
  <c r="AK86" i="15"/>
  <c r="AL86" i="15" a="1"/>
  <c r="AL86" i="15"/>
  <c r="AM86" i="15" a="1"/>
  <c r="AM86" i="15"/>
  <c r="AN86" i="15" a="1"/>
  <c r="AN86" i="15"/>
  <c r="AO86" i="15" a="1"/>
  <c r="AO86" i="15"/>
  <c r="AP86" i="15" a="1"/>
  <c r="AP86" i="15"/>
  <c r="AQ86" i="15" a="1"/>
  <c r="AQ86" i="15"/>
  <c r="AR86" i="15" a="1"/>
  <c r="AR86" i="15"/>
  <c r="AS86" i="15" a="1"/>
  <c r="AS86" i="15"/>
  <c r="AT86" i="15" a="1"/>
  <c r="AT86" i="15"/>
  <c r="AU86" i="15" a="1"/>
  <c r="AU86" i="15"/>
  <c r="AV86" i="15" a="1"/>
  <c r="AV86" i="15"/>
  <c r="AW86" i="15" a="1"/>
  <c r="AW86" i="15"/>
  <c r="AX86" i="15" a="1"/>
  <c r="AX86" i="15"/>
  <c r="O87" i="15" a="1"/>
  <c r="O87" i="15"/>
  <c r="P87" i="15" a="1"/>
  <c r="P87" i="15"/>
  <c r="Q87" i="15" a="1"/>
  <c r="Q87" i="15"/>
  <c r="R87" i="15" a="1"/>
  <c r="R87" i="15"/>
  <c r="S87" i="15" a="1"/>
  <c r="S87" i="15"/>
  <c r="T87" i="15" a="1"/>
  <c r="T87" i="15"/>
  <c r="U87" i="15" a="1"/>
  <c r="U87" i="15"/>
  <c r="V87" i="15" a="1"/>
  <c r="V87" i="15"/>
  <c r="W87" i="15" a="1"/>
  <c r="W87" i="15"/>
  <c r="X87" i="15" a="1"/>
  <c r="X87" i="15"/>
  <c r="Y87" i="15" a="1"/>
  <c r="Y87" i="15"/>
  <c r="Z87" i="15" a="1"/>
  <c r="Z87" i="15"/>
  <c r="AA87" i="15" a="1"/>
  <c r="AA87" i="15"/>
  <c r="AB87" i="15" a="1"/>
  <c r="AB87" i="15"/>
  <c r="AC87" i="15" a="1"/>
  <c r="AC87" i="15"/>
  <c r="AD87" i="15" a="1"/>
  <c r="AD87" i="15"/>
  <c r="AE87" i="15" a="1"/>
  <c r="AE87" i="15"/>
  <c r="AF87" i="15" a="1"/>
  <c r="AF87" i="15"/>
  <c r="AG87" i="15" a="1"/>
  <c r="AG87" i="15"/>
  <c r="AH87" i="15" a="1"/>
  <c r="AH87" i="15"/>
  <c r="AI87" i="15" a="1"/>
  <c r="AI87" i="15"/>
  <c r="AJ87" i="15" a="1"/>
  <c r="AJ87" i="15"/>
  <c r="AK87" i="15" a="1"/>
  <c r="AK87" i="15"/>
  <c r="AL87" i="15" a="1"/>
  <c r="AL87" i="15"/>
  <c r="AM87" i="15" a="1"/>
  <c r="AM87" i="15"/>
  <c r="AN87" i="15" a="1"/>
  <c r="AN87" i="15"/>
  <c r="AO87" i="15" a="1"/>
  <c r="AO87" i="15"/>
  <c r="AP87" i="15" a="1"/>
  <c r="AP87" i="15"/>
  <c r="AQ87" i="15" a="1"/>
  <c r="AQ87" i="15"/>
  <c r="AR87" i="15" a="1"/>
  <c r="AR87" i="15"/>
  <c r="AS87" i="15" a="1"/>
  <c r="AS87" i="15"/>
  <c r="AT87" i="15" a="1"/>
  <c r="AT87" i="15"/>
  <c r="AU87" i="15" a="1"/>
  <c r="AU87" i="15"/>
  <c r="AV87" i="15" a="1"/>
  <c r="AV87" i="15"/>
  <c r="AW87" i="15" a="1"/>
  <c r="AW87" i="15"/>
  <c r="AX87" i="15" a="1"/>
  <c r="AX87" i="15"/>
  <c r="O88" i="15" a="1"/>
  <c r="O88" i="15"/>
  <c r="P88" i="15" a="1"/>
  <c r="P88" i="15"/>
  <c r="Q88" i="15" a="1"/>
  <c r="Q88" i="15"/>
  <c r="R88" i="15" a="1"/>
  <c r="R88" i="15"/>
  <c r="S88" i="15" a="1"/>
  <c r="S88" i="15"/>
  <c r="T88" i="15" a="1"/>
  <c r="T88" i="15"/>
  <c r="U88" i="15" a="1"/>
  <c r="U88" i="15"/>
  <c r="V88" i="15" a="1"/>
  <c r="V88" i="15"/>
  <c r="W88" i="15" a="1"/>
  <c r="W88" i="15"/>
  <c r="X88" i="15" a="1"/>
  <c r="X88" i="15"/>
  <c r="Y88" i="15" a="1"/>
  <c r="Y88" i="15"/>
  <c r="Z88" i="15" a="1"/>
  <c r="Z88" i="15"/>
  <c r="AA88" i="15" a="1"/>
  <c r="AA88" i="15"/>
  <c r="AB88" i="15" a="1"/>
  <c r="AB88" i="15"/>
  <c r="AC88" i="15" a="1"/>
  <c r="AC88" i="15"/>
  <c r="AD88" i="15" a="1"/>
  <c r="AD88" i="15"/>
  <c r="AE88" i="15" a="1"/>
  <c r="AE88" i="15"/>
  <c r="AF88" i="15" a="1"/>
  <c r="AF88" i="15"/>
  <c r="AG88" i="15" a="1"/>
  <c r="AG88" i="15"/>
  <c r="AH88" i="15" a="1"/>
  <c r="AH88" i="15"/>
  <c r="AI88" i="15" a="1"/>
  <c r="AI88" i="15"/>
  <c r="AJ88" i="15" a="1"/>
  <c r="AJ88" i="15"/>
  <c r="AK88" i="15" a="1"/>
  <c r="AK88" i="15"/>
  <c r="AL88" i="15" a="1"/>
  <c r="AL88" i="15"/>
  <c r="AM88" i="15" a="1"/>
  <c r="AM88" i="15"/>
  <c r="AN88" i="15" a="1"/>
  <c r="AN88" i="15" s="1"/>
  <c r="AO88" i="15" a="1"/>
  <c r="AO88" i="15" s="1"/>
  <c r="AP88" i="15" a="1"/>
  <c r="AP88" i="15" s="1"/>
  <c r="AQ88" i="15" a="1"/>
  <c r="AQ88" i="15" s="1"/>
  <c r="AR88" i="15" a="1"/>
  <c r="AR88" i="15" s="1"/>
  <c r="AS88" i="15" a="1"/>
  <c r="AS88" i="15" s="1"/>
  <c r="AT88" i="15" a="1"/>
  <c r="AT88" i="15" s="1"/>
  <c r="AU88" i="15" a="1"/>
  <c r="AU88" i="15" s="1"/>
  <c r="AV88" i="15" a="1"/>
  <c r="AV88" i="15" s="1"/>
  <c r="AW88" i="15" a="1"/>
  <c r="AW88" i="15" s="1"/>
  <c r="AX88" i="15" a="1"/>
  <c r="AX88" i="15" s="1"/>
  <c r="N67" i="15" a="1"/>
  <c r="N67" i="15" s="1"/>
  <c r="N68" i="15" a="1"/>
  <c r="N68" i="15" s="1"/>
  <c r="N69" i="15" a="1"/>
  <c r="N69" i="15" s="1"/>
  <c r="N70" i="15" a="1"/>
  <c r="N70" i="15" s="1"/>
  <c r="N71" i="15" a="1"/>
  <c r="N71" i="15" s="1"/>
  <c r="N72" i="15" a="1"/>
  <c r="N72" i="15" s="1"/>
  <c r="N73" i="15" a="1"/>
  <c r="N73" i="15" s="1"/>
  <c r="N74" i="15" a="1"/>
  <c r="N74" i="15" s="1"/>
  <c r="N75" i="15" a="1"/>
  <c r="N75" i="15" s="1"/>
  <c r="N76" i="15" a="1"/>
  <c r="N76" i="15" s="1"/>
  <c r="N77" i="15" a="1"/>
  <c r="N77" i="15" s="1"/>
  <c r="N78" i="15" a="1"/>
  <c r="N78" i="15" s="1"/>
  <c r="N79" i="15" a="1"/>
  <c r="N79" i="15" s="1"/>
  <c r="N80" i="15" a="1"/>
  <c r="N80" i="15" s="1"/>
  <c r="N81" i="15" a="1"/>
  <c r="N81" i="15" s="1"/>
  <c r="N82" i="15" a="1"/>
  <c r="N82" i="15" s="1"/>
  <c r="N83" i="15" a="1"/>
  <c r="N83" i="15" s="1"/>
  <c r="N84" i="15" a="1"/>
  <c r="N84" i="15" s="1"/>
  <c r="N85" i="15" a="1"/>
  <c r="N85" i="15" s="1"/>
  <c r="N86" i="15" a="1"/>
  <c r="N86" i="15" s="1"/>
  <c r="N87" i="15" a="1"/>
  <c r="N87" i="15" s="1"/>
  <c r="N88" i="15" a="1"/>
  <c r="N88" i="15" s="1"/>
  <c r="N66" i="15" a="1"/>
  <c r="N66" i="15" s="1"/>
  <c r="C44" i="17" a="1"/>
  <c r="C44" i="17" s="1"/>
  <c r="D44" i="17" a="1"/>
  <c r="D44" i="17"/>
  <c r="E44" i="17" a="1"/>
  <c r="E44" i="17" s="1"/>
  <c r="F44" i="17" a="1"/>
  <c r="F44" i="17"/>
  <c r="G44" i="17" a="1"/>
  <c r="G44" i="17" s="1"/>
  <c r="H44" i="17" a="1"/>
  <c r="H44" i="17" s="1"/>
  <c r="I44" i="17" a="1"/>
  <c r="I44" i="17"/>
  <c r="J44" i="17" a="1"/>
  <c r="J44" i="17" s="1"/>
  <c r="K44" i="17" a="1"/>
  <c r="K44" i="17" s="1"/>
  <c r="L44" i="17" a="1"/>
  <c r="L44" i="17" s="1"/>
  <c r="M44" i="17" a="1"/>
  <c r="M44" i="17" s="1"/>
  <c r="N44" i="17" a="1"/>
  <c r="N44" i="17" s="1"/>
  <c r="O44" i="17" a="1"/>
  <c r="O44" i="17" s="1"/>
  <c r="P44" i="17" a="1"/>
  <c r="P44" i="17" s="1"/>
  <c r="Q44" i="17" a="1"/>
  <c r="Q44" i="17" s="1"/>
  <c r="R44" i="17" a="1"/>
  <c r="R44" i="17" s="1"/>
  <c r="S44" i="17" a="1"/>
  <c r="S44" i="17" s="1"/>
  <c r="T44" i="17" a="1"/>
  <c r="T44" i="17" s="1"/>
  <c r="U44" i="17" a="1"/>
  <c r="U44" i="17" s="1"/>
  <c r="V44" i="17" a="1"/>
  <c r="V44" i="17" s="1"/>
  <c r="W44" i="17" a="1"/>
  <c r="W44" i="17" s="1"/>
  <c r="X44" i="17" a="1"/>
  <c r="X44" i="17" s="1"/>
  <c r="Y44" i="17" a="1"/>
  <c r="Y44" i="17" s="1"/>
  <c r="Z44" i="17" a="1"/>
  <c r="Z44" i="17" s="1"/>
  <c r="AA44" i="17" a="1"/>
  <c r="AA44" i="17" s="1"/>
  <c r="AB44" i="17" a="1"/>
  <c r="AB44" i="17" s="1"/>
  <c r="AC44" i="17" a="1"/>
  <c r="AC44" i="17" s="1"/>
  <c r="AD44" i="17" a="1"/>
  <c r="AD44" i="17" s="1"/>
  <c r="AE44" i="17" a="1"/>
  <c r="AE44" i="17" s="1"/>
  <c r="AF44" i="17" a="1"/>
  <c r="AF44" i="17" s="1"/>
  <c r="AG44" i="17" a="1"/>
  <c r="AG44" i="17" s="1"/>
  <c r="AH44" i="17" a="1"/>
  <c r="AH44" i="17" s="1"/>
  <c r="AI44" i="17" a="1"/>
  <c r="AI44" i="17" s="1"/>
  <c r="AJ44" i="17" a="1"/>
  <c r="AJ44" i="17" s="1"/>
  <c r="AK44" i="17" a="1"/>
  <c r="AK44" i="17" s="1"/>
  <c r="AL44" i="17" a="1"/>
  <c r="AL44" i="17" s="1"/>
  <c r="AM44" i="17" a="1"/>
  <c r="AM44" i="17" s="1"/>
  <c r="AN44" i="17" a="1"/>
  <c r="AN44" i="17" s="1"/>
  <c r="C45" i="17" a="1"/>
  <c r="C45" i="17" s="1"/>
  <c r="D45" i="17" a="1"/>
  <c r="D45" i="17" s="1"/>
  <c r="E45" i="17" a="1"/>
  <c r="E45" i="17" s="1"/>
  <c r="F45" i="17" a="1"/>
  <c r="F45" i="17" s="1"/>
  <c r="G45" i="17" a="1"/>
  <c r="G45" i="17" s="1"/>
  <c r="H45" i="17" a="1"/>
  <c r="H45" i="17" s="1"/>
  <c r="I45" i="17" a="1"/>
  <c r="I45" i="17" s="1"/>
  <c r="J45" i="17" a="1"/>
  <c r="J45" i="17"/>
  <c r="K45" i="17" a="1"/>
  <c r="K45" i="17" s="1"/>
  <c r="L45" i="17" a="1"/>
  <c r="L45" i="17" s="1"/>
  <c r="M45" i="17" a="1"/>
  <c r="M45" i="17" s="1"/>
  <c r="N45" i="17" a="1"/>
  <c r="N45" i="17" s="1"/>
  <c r="O45" i="17" a="1"/>
  <c r="O45" i="17" s="1"/>
  <c r="P45" i="17" a="1"/>
  <c r="P45" i="17" s="1"/>
  <c r="Q45" i="17" a="1"/>
  <c r="Q45" i="17" s="1"/>
  <c r="R45" i="17" a="1"/>
  <c r="R45" i="17" s="1"/>
  <c r="S45" i="17" a="1"/>
  <c r="S45" i="17" s="1"/>
  <c r="T45" i="17" a="1"/>
  <c r="T45" i="17" s="1"/>
  <c r="U45" i="17" a="1"/>
  <c r="U45" i="17" s="1"/>
  <c r="V45" i="17" a="1"/>
  <c r="V45" i="17" s="1"/>
  <c r="W45" i="17" a="1"/>
  <c r="W45" i="17" s="1"/>
  <c r="X45" i="17" a="1"/>
  <c r="X45" i="17" s="1"/>
  <c r="Y45" i="17" a="1"/>
  <c r="Y45" i="17" s="1"/>
  <c r="Z45" i="17" a="1"/>
  <c r="Z45" i="17" s="1"/>
  <c r="AA45" i="17" a="1"/>
  <c r="AA45" i="17" s="1"/>
  <c r="AB45" i="17" a="1"/>
  <c r="AB45" i="17" s="1"/>
  <c r="AC45" i="17" a="1"/>
  <c r="AC45" i="17" s="1"/>
  <c r="AD45" i="17" a="1"/>
  <c r="AD45" i="17" s="1"/>
  <c r="AE45" i="17" a="1"/>
  <c r="AE45" i="17" s="1"/>
  <c r="AF45" i="17" a="1"/>
  <c r="AF45" i="17" s="1"/>
  <c r="AG45" i="17" a="1"/>
  <c r="AG45" i="17" s="1"/>
  <c r="AH45" i="17" a="1"/>
  <c r="AH45" i="17" s="1"/>
  <c r="AI45" i="17" a="1"/>
  <c r="AI45" i="17" s="1"/>
  <c r="AJ45" i="17" a="1"/>
  <c r="AJ45" i="17" s="1"/>
  <c r="AK45" i="17" a="1"/>
  <c r="AK45" i="17" s="1"/>
  <c r="AL45" i="17" a="1"/>
  <c r="AL45" i="17" s="1"/>
  <c r="AM45" i="17" a="1"/>
  <c r="AM45" i="17" s="1"/>
  <c r="AN45" i="17" a="1"/>
  <c r="AN45" i="17" s="1"/>
  <c r="C46" i="17" a="1"/>
  <c r="C46" i="17" s="1"/>
  <c r="D46" i="17" a="1"/>
  <c r="D46" i="17" s="1"/>
  <c r="E46" i="17" a="1"/>
  <c r="E46" i="17" s="1"/>
  <c r="F46" i="17" a="1"/>
  <c r="F46" i="17" s="1"/>
  <c r="G46" i="17" a="1"/>
  <c r="G46" i="17" s="1"/>
  <c r="H46" i="17" a="1"/>
  <c r="H46" i="17" s="1"/>
  <c r="I46" i="17" a="1"/>
  <c r="I46" i="17" s="1"/>
  <c r="J46" i="17" a="1"/>
  <c r="J46" i="17" s="1"/>
  <c r="K46" i="17" a="1"/>
  <c r="K46" i="17" s="1"/>
  <c r="L46" i="17" a="1"/>
  <c r="L46" i="17" s="1"/>
  <c r="M46" i="17" a="1"/>
  <c r="M46" i="17" s="1"/>
  <c r="N46" i="17" a="1"/>
  <c r="N46" i="17" s="1"/>
  <c r="O46" i="17" a="1"/>
  <c r="O46" i="17"/>
  <c r="P46" i="17" a="1"/>
  <c r="P46" i="17" s="1"/>
  <c r="Q46" i="17" a="1"/>
  <c r="Q46" i="17" s="1"/>
  <c r="R46" i="17" a="1"/>
  <c r="R46" i="17" s="1"/>
  <c r="S46" i="17" a="1"/>
  <c r="S46" i="17" s="1"/>
  <c r="T46" i="17" a="1"/>
  <c r="T46" i="17" s="1"/>
  <c r="U46" i="17" a="1"/>
  <c r="U46" i="17" s="1"/>
  <c r="V46" i="17" a="1"/>
  <c r="V46" i="17" s="1"/>
  <c r="W46" i="17" a="1"/>
  <c r="W46" i="17" s="1"/>
  <c r="X46" i="17" a="1"/>
  <c r="X46" i="17" s="1"/>
  <c r="Y46" i="17" a="1"/>
  <c r="Y46" i="17" s="1"/>
  <c r="Z46" i="17" a="1"/>
  <c r="Z46" i="17"/>
  <c r="AA46" i="17" a="1"/>
  <c r="AA46" i="17" s="1"/>
  <c r="AB46" i="17" a="1"/>
  <c r="AB46" i="17" s="1"/>
  <c r="AC46" i="17" a="1"/>
  <c r="AC46" i="17" s="1"/>
  <c r="AD46" i="17" a="1"/>
  <c r="AD46" i="17" s="1"/>
  <c r="AE46" i="17" a="1"/>
  <c r="AE46" i="17" s="1"/>
  <c r="AF46" i="17" a="1"/>
  <c r="AF46" i="17" s="1"/>
  <c r="AG46" i="17" a="1"/>
  <c r="AG46" i="17" s="1"/>
  <c r="AH46" i="17" a="1"/>
  <c r="AH46" i="17" s="1"/>
  <c r="AI46" i="17" a="1"/>
  <c r="AI46" i="17" s="1"/>
  <c r="AJ46" i="17" a="1"/>
  <c r="AJ46" i="17" s="1"/>
  <c r="AK46" i="17" a="1"/>
  <c r="AK46" i="17" s="1"/>
  <c r="AL46" i="17" a="1"/>
  <c r="AL46" i="17" s="1"/>
  <c r="AM46" i="17" a="1"/>
  <c r="AM46" i="17" s="1"/>
  <c r="AN46" i="17" a="1"/>
  <c r="AN46" i="17" s="1"/>
  <c r="AR74" i="1" s="1"/>
  <c r="C47" i="17" a="1"/>
  <c r="C47" i="17" s="1"/>
  <c r="D47" i="17" a="1"/>
  <c r="D47" i="17" s="1"/>
  <c r="E47" i="17" a="1"/>
  <c r="E47" i="17" s="1"/>
  <c r="F47" i="17" a="1"/>
  <c r="F47" i="17" s="1"/>
  <c r="G47" i="17" a="1"/>
  <c r="G47" i="17" s="1"/>
  <c r="H47" i="17" a="1"/>
  <c r="H47" i="17" s="1"/>
  <c r="I47" i="17" a="1"/>
  <c r="I47" i="17" s="1"/>
  <c r="J47" i="17" a="1"/>
  <c r="J47" i="17" s="1"/>
  <c r="K47" i="17" a="1"/>
  <c r="K47" i="17" s="1"/>
  <c r="L47" i="17" a="1"/>
  <c r="L47" i="17" s="1"/>
  <c r="M47" i="17" a="1"/>
  <c r="M47" i="17" s="1"/>
  <c r="N47" i="17" a="1"/>
  <c r="N47" i="17" s="1"/>
  <c r="O47" i="17" a="1"/>
  <c r="O47" i="17" s="1"/>
  <c r="P47" i="17" a="1"/>
  <c r="P47" i="17" s="1"/>
  <c r="Q47" i="17" a="1"/>
  <c r="Q47" i="17" s="1"/>
  <c r="R47" i="17" a="1"/>
  <c r="R47" i="17" s="1"/>
  <c r="S47" i="17" a="1"/>
  <c r="S47" i="17" s="1"/>
  <c r="T47" i="17" a="1"/>
  <c r="T47" i="17" s="1"/>
  <c r="U47" i="17" a="1"/>
  <c r="U47" i="17" s="1"/>
  <c r="V47" i="17" a="1"/>
  <c r="V47" i="17" s="1"/>
  <c r="W47" i="17" a="1"/>
  <c r="W47" i="17" s="1"/>
  <c r="X47" i="17" a="1"/>
  <c r="X47" i="17" s="1"/>
  <c r="Y47" i="17" a="1"/>
  <c r="Y47" i="17" s="1"/>
  <c r="Z47" i="17" a="1"/>
  <c r="Z47" i="17" s="1"/>
  <c r="AA47" i="17" a="1"/>
  <c r="AA47" i="17" s="1"/>
  <c r="AB47" i="17" a="1"/>
  <c r="AB47" i="17" s="1"/>
  <c r="AC47" i="17" a="1"/>
  <c r="AC47" i="17" s="1"/>
  <c r="AD47" i="17" a="1"/>
  <c r="AD47" i="17" s="1"/>
  <c r="AE47" i="17" a="1"/>
  <c r="AE47" i="17" s="1"/>
  <c r="AF47" i="17" a="1"/>
  <c r="AF47" i="17" s="1"/>
  <c r="AG47" i="17" a="1"/>
  <c r="AG47" i="17" s="1"/>
  <c r="AH47" i="17" a="1"/>
  <c r="AH47" i="17" s="1"/>
  <c r="AI47" i="17" a="1"/>
  <c r="AI47" i="17" s="1"/>
  <c r="AJ47" i="17" a="1"/>
  <c r="AJ47" i="17" s="1"/>
  <c r="AK47" i="17" a="1"/>
  <c r="AK47" i="17" s="1"/>
  <c r="AL47" i="17" a="1"/>
  <c r="AL47" i="17" s="1"/>
  <c r="AM47" i="17" a="1"/>
  <c r="AM47" i="17" s="1"/>
  <c r="AN47" i="17" a="1"/>
  <c r="AN47" i="17" s="1"/>
  <c r="AR75" i="1" s="1"/>
  <c r="C48" i="17" a="1"/>
  <c r="C48" i="17" s="1"/>
  <c r="D48" i="17" a="1"/>
  <c r="D48" i="17" s="1"/>
  <c r="E48" i="17" a="1"/>
  <c r="E48" i="17" s="1"/>
  <c r="F48" i="17" a="1"/>
  <c r="F48" i="17" s="1"/>
  <c r="G48" i="17" a="1"/>
  <c r="G48" i="17" s="1"/>
  <c r="H48" i="17" a="1"/>
  <c r="H48" i="17" s="1"/>
  <c r="I48" i="17" a="1"/>
  <c r="I48" i="17" s="1"/>
  <c r="J48" i="17" a="1"/>
  <c r="J48" i="17" s="1"/>
  <c r="K48" i="17" a="1"/>
  <c r="K48" i="17" s="1"/>
  <c r="L48" i="17" a="1"/>
  <c r="L48" i="17" s="1"/>
  <c r="M48" i="17" a="1"/>
  <c r="M48" i="17" s="1"/>
  <c r="N48" i="17" a="1"/>
  <c r="N48" i="17" s="1"/>
  <c r="O48" i="17" a="1"/>
  <c r="O48" i="17" s="1"/>
  <c r="P48" i="17" a="1"/>
  <c r="P48" i="17" s="1"/>
  <c r="Q48" i="17" a="1"/>
  <c r="Q48" i="17" s="1"/>
  <c r="R48" i="17" a="1"/>
  <c r="R48" i="17" s="1"/>
  <c r="S48" i="17" a="1"/>
  <c r="S48" i="17" s="1"/>
  <c r="T48" i="17" a="1"/>
  <c r="T48" i="17" s="1"/>
  <c r="U48" i="17" a="1"/>
  <c r="U48" i="17" s="1"/>
  <c r="V48" i="17" a="1"/>
  <c r="V48" i="17" s="1"/>
  <c r="W48" i="17" a="1"/>
  <c r="W48" i="17" s="1"/>
  <c r="X48" i="17" a="1"/>
  <c r="X48" i="17" s="1"/>
  <c r="Y48" i="17" a="1"/>
  <c r="Y48" i="17" s="1"/>
  <c r="Z48" i="17" a="1"/>
  <c r="Z48" i="17" s="1"/>
  <c r="AA48" i="17" a="1"/>
  <c r="AA48" i="17" s="1"/>
  <c r="AB48" i="17" a="1"/>
  <c r="AB48" i="17" s="1"/>
  <c r="AC48" i="17" a="1"/>
  <c r="AC48" i="17" s="1"/>
  <c r="AD48" i="17" a="1"/>
  <c r="AD48" i="17" s="1"/>
  <c r="AE48" i="17" a="1"/>
  <c r="AE48" i="17" s="1"/>
  <c r="AF48" i="17" a="1"/>
  <c r="AF48" i="17" s="1"/>
  <c r="AG48" i="17" a="1"/>
  <c r="AG48" i="17" s="1"/>
  <c r="AH48" i="17" a="1"/>
  <c r="AH48" i="17" s="1"/>
  <c r="AI48" i="17" a="1"/>
  <c r="AI48" i="17" s="1"/>
  <c r="AJ48" i="17" a="1"/>
  <c r="AJ48" i="17" s="1"/>
  <c r="AK48" i="17" a="1"/>
  <c r="AK48" i="17" s="1"/>
  <c r="AL48" i="17" a="1"/>
  <c r="AL48" i="17" s="1"/>
  <c r="AM48" i="17" a="1"/>
  <c r="AM48" i="17" s="1"/>
  <c r="C49" i="17" a="1"/>
  <c r="C49" i="17" s="1"/>
  <c r="D49" i="17" a="1"/>
  <c r="D49" i="17" s="1"/>
  <c r="E49" i="17" a="1"/>
  <c r="E49" i="17" s="1"/>
  <c r="F49" i="17" a="1"/>
  <c r="F49" i="17" s="1"/>
  <c r="G49" i="17" a="1"/>
  <c r="G49" i="17" s="1"/>
  <c r="H49" i="17" a="1"/>
  <c r="H49" i="17" s="1"/>
  <c r="I49" i="17" a="1"/>
  <c r="I49" i="17" s="1"/>
  <c r="J49" i="17" a="1"/>
  <c r="J49" i="17" s="1"/>
  <c r="K49" i="17" a="1"/>
  <c r="K49" i="17" s="1"/>
  <c r="L49" i="17" a="1"/>
  <c r="L49" i="17" s="1"/>
  <c r="M49" i="17" a="1"/>
  <c r="M49" i="17" s="1"/>
  <c r="N49" i="17" a="1"/>
  <c r="N49" i="17" s="1"/>
  <c r="O49" i="17" a="1"/>
  <c r="O49" i="17" s="1"/>
  <c r="P49" i="17" a="1"/>
  <c r="P49" i="17" s="1"/>
  <c r="Q49" i="17" a="1"/>
  <c r="Q49" i="17" s="1"/>
  <c r="R49" i="17" a="1"/>
  <c r="R49" i="17" s="1"/>
  <c r="S49" i="17" a="1"/>
  <c r="S49" i="17" s="1"/>
  <c r="T49" i="17" a="1"/>
  <c r="T49" i="17" s="1"/>
  <c r="U49" i="17" a="1"/>
  <c r="U49" i="17" s="1"/>
  <c r="V49" i="17" a="1"/>
  <c r="V49" i="17" s="1"/>
  <c r="W49" i="17" a="1"/>
  <c r="W49" i="17" s="1"/>
  <c r="X49" i="17" a="1"/>
  <c r="X49" i="17" s="1"/>
  <c r="Y49" i="17" a="1"/>
  <c r="Y49" i="17" s="1"/>
  <c r="Z49" i="17" a="1"/>
  <c r="Z49" i="17" s="1"/>
  <c r="AA49" i="17" a="1"/>
  <c r="AA49" i="17" s="1"/>
  <c r="AB49" i="17" a="1"/>
  <c r="AB49" i="17" s="1"/>
  <c r="AC49" i="17" a="1"/>
  <c r="AC49" i="17" s="1"/>
  <c r="AD49" i="17" a="1"/>
  <c r="AD49" i="17" s="1"/>
  <c r="AE49" i="17" a="1"/>
  <c r="AE49" i="17" s="1"/>
  <c r="AF49" i="17" a="1"/>
  <c r="AF49" i="17" s="1"/>
  <c r="AG49" i="17" a="1"/>
  <c r="AG49" i="17" s="1"/>
  <c r="AH49" i="17" a="1"/>
  <c r="AH49" i="17" s="1"/>
  <c r="AI49" i="17" a="1"/>
  <c r="AI49" i="17" s="1"/>
  <c r="AJ49" i="17" a="1"/>
  <c r="AJ49" i="17" s="1"/>
  <c r="AK49" i="17" a="1"/>
  <c r="AK49" i="17" s="1"/>
  <c r="AL49" i="17" a="1"/>
  <c r="AL49" i="17" s="1"/>
  <c r="AM49" i="17" a="1"/>
  <c r="AM49" i="17" s="1"/>
  <c r="C50" i="17" a="1"/>
  <c r="C50" i="17" s="1"/>
  <c r="D50" i="17" a="1"/>
  <c r="D50" i="17" s="1"/>
  <c r="E50" i="17" a="1"/>
  <c r="E50" i="17" s="1"/>
  <c r="F50" i="17" a="1"/>
  <c r="F50" i="17" s="1"/>
  <c r="G50" i="17" a="1"/>
  <c r="G50" i="17" s="1"/>
  <c r="H50" i="17" a="1"/>
  <c r="H50" i="17" s="1"/>
  <c r="I50" i="17" a="1"/>
  <c r="I50" i="17" s="1"/>
  <c r="J50" i="17" a="1"/>
  <c r="J50" i="17" s="1"/>
  <c r="K50" i="17" a="1"/>
  <c r="K50" i="17" s="1"/>
  <c r="L50" i="17" a="1"/>
  <c r="L50" i="17" s="1"/>
  <c r="M50" i="17" a="1"/>
  <c r="M50" i="17" s="1"/>
  <c r="N50" i="17" a="1"/>
  <c r="N50" i="17" s="1"/>
  <c r="O50" i="17" a="1"/>
  <c r="O50" i="17" s="1"/>
  <c r="P50" i="17" a="1"/>
  <c r="P50" i="17" s="1"/>
  <c r="Q50" i="17" a="1"/>
  <c r="Q50" i="17" s="1"/>
  <c r="R50" i="17" a="1"/>
  <c r="R50" i="17" s="1"/>
  <c r="S50" i="17" a="1"/>
  <c r="S50" i="17" s="1"/>
  <c r="T50" i="17" a="1"/>
  <c r="T50" i="17" s="1"/>
  <c r="U50" i="17" a="1"/>
  <c r="U50" i="17"/>
  <c r="V50" i="17" a="1"/>
  <c r="V50" i="17"/>
  <c r="W50" i="17" a="1"/>
  <c r="W50" i="17" s="1"/>
  <c r="X50" i="17" a="1"/>
  <c r="X50" i="17" s="1"/>
  <c r="Y50" i="17" a="1"/>
  <c r="Y50" i="17" s="1"/>
  <c r="Z50" i="17" a="1"/>
  <c r="Z50" i="17" s="1"/>
  <c r="AA50" i="17" a="1"/>
  <c r="AA50" i="17" s="1"/>
  <c r="AB50" i="17" a="1"/>
  <c r="AB50" i="17" s="1"/>
  <c r="AC50" i="17" a="1"/>
  <c r="AC50" i="17" s="1"/>
  <c r="AD50" i="17" a="1"/>
  <c r="AD50" i="17" s="1"/>
  <c r="AE50" i="17" a="1"/>
  <c r="AE50" i="17"/>
  <c r="AF50" i="17" a="1"/>
  <c r="AF50" i="17" s="1"/>
  <c r="AG50" i="17" a="1"/>
  <c r="AG50" i="17" s="1"/>
  <c r="AH50" i="17" a="1"/>
  <c r="AH50" i="17" s="1"/>
  <c r="AI50" i="17" a="1"/>
  <c r="AI50" i="17" s="1"/>
  <c r="AJ50" i="17" a="1"/>
  <c r="AJ50" i="17" s="1"/>
  <c r="AK50" i="17" a="1"/>
  <c r="AK50" i="17" s="1"/>
  <c r="AL50" i="17" a="1"/>
  <c r="AL50" i="17" s="1"/>
  <c r="C51" i="17" a="1"/>
  <c r="C51" i="17" s="1"/>
  <c r="D51" i="17" a="1"/>
  <c r="D51" i="17"/>
  <c r="E51" i="17" a="1"/>
  <c r="E51" i="17"/>
  <c r="F51" i="17" a="1"/>
  <c r="F51" i="17"/>
  <c r="G51" i="17" a="1"/>
  <c r="G51" i="17" s="1"/>
  <c r="H51" i="17" a="1"/>
  <c r="H51" i="17" s="1"/>
  <c r="I51" i="17" a="1"/>
  <c r="I51" i="17" s="1"/>
  <c r="J51" i="17" a="1"/>
  <c r="J51" i="17" s="1"/>
  <c r="K51" i="17" a="1"/>
  <c r="K51" i="17" s="1"/>
  <c r="L51" i="17" a="1"/>
  <c r="L51" i="17" s="1"/>
  <c r="M51" i="17" a="1"/>
  <c r="M51" i="17" s="1"/>
  <c r="N51" i="17" a="1"/>
  <c r="N51" i="17" s="1"/>
  <c r="O51" i="17" a="1"/>
  <c r="O51" i="17" s="1"/>
  <c r="P51" i="17" a="1"/>
  <c r="P51" i="17" s="1"/>
  <c r="Q51" i="17" a="1"/>
  <c r="Q51" i="17" s="1"/>
  <c r="R51" i="17" a="1"/>
  <c r="R51" i="17" s="1"/>
  <c r="S51" i="17" a="1"/>
  <c r="S51" i="17" s="1"/>
  <c r="T51" i="17" a="1"/>
  <c r="T51" i="17" s="1"/>
  <c r="U51" i="17" a="1"/>
  <c r="U51" i="17"/>
  <c r="V51" i="17" a="1"/>
  <c r="V51" i="17" s="1"/>
  <c r="W51" i="17" a="1"/>
  <c r="W51" i="17" s="1"/>
  <c r="X51" i="17" a="1"/>
  <c r="X51" i="17" s="1"/>
  <c r="Y51" i="17" a="1"/>
  <c r="Y51" i="17" s="1"/>
  <c r="Z51" i="17" a="1"/>
  <c r="Z51" i="17" s="1"/>
  <c r="AA51" i="17" a="1"/>
  <c r="AA51" i="17" s="1"/>
  <c r="AB51" i="17" a="1"/>
  <c r="AB51" i="17" s="1"/>
  <c r="AC51" i="17" a="1"/>
  <c r="AC51" i="17" s="1"/>
  <c r="AD51" i="17" a="1"/>
  <c r="AD51" i="17" s="1"/>
  <c r="AE51" i="17" a="1"/>
  <c r="AE51" i="17" s="1"/>
  <c r="AF51" i="17" a="1"/>
  <c r="AF51" i="17" s="1"/>
  <c r="AG51" i="17" a="1"/>
  <c r="AG51" i="17" s="1"/>
  <c r="AH51" i="17" a="1"/>
  <c r="AH51" i="17" s="1"/>
  <c r="AI51" i="17" a="1"/>
  <c r="AI51" i="17" s="1"/>
  <c r="AJ51" i="17" a="1"/>
  <c r="AJ51" i="17" s="1"/>
  <c r="AK51" i="17" a="1"/>
  <c r="AK51" i="17" s="1"/>
  <c r="AL51" i="17" a="1"/>
  <c r="AL51" i="17" s="1"/>
  <c r="AM51" i="17" a="1"/>
  <c r="AM51" i="17" s="1"/>
  <c r="AN51" i="17" a="1"/>
  <c r="AN51" i="17" s="1"/>
  <c r="AR79" i="1" s="1"/>
  <c r="C52" i="17" a="1"/>
  <c r="C52" i="17" s="1"/>
  <c r="D52" i="17" a="1"/>
  <c r="D52" i="17" s="1"/>
  <c r="E52" i="17" a="1"/>
  <c r="E52" i="17" s="1"/>
  <c r="F52" i="17" a="1"/>
  <c r="F52" i="17" s="1"/>
  <c r="G52" i="17" a="1"/>
  <c r="G52" i="17" s="1"/>
  <c r="H52" i="17" a="1"/>
  <c r="H52" i="17" s="1"/>
  <c r="I52" i="17" a="1"/>
  <c r="I52" i="17" s="1"/>
  <c r="J52" i="17" a="1"/>
  <c r="J52" i="17"/>
  <c r="K52" i="17" a="1"/>
  <c r="K52" i="17"/>
  <c r="L52" i="17" a="1"/>
  <c r="L52" i="17"/>
  <c r="M52" i="17" a="1"/>
  <c r="M52" i="17" s="1"/>
  <c r="N52" i="17" a="1"/>
  <c r="N52" i="17" s="1"/>
  <c r="O52" i="17" a="1"/>
  <c r="O52" i="17" s="1"/>
  <c r="P52" i="17" a="1"/>
  <c r="P52" i="17" s="1"/>
  <c r="Q52" i="17" a="1"/>
  <c r="Q52" i="17" s="1"/>
  <c r="R52" i="17" a="1"/>
  <c r="R52" i="17" s="1"/>
  <c r="S52" i="17" a="1"/>
  <c r="S52" i="17" s="1"/>
  <c r="T52" i="17" a="1"/>
  <c r="T52" i="17" s="1"/>
  <c r="U52" i="17" a="1"/>
  <c r="U52" i="17" s="1"/>
  <c r="V52" i="17" a="1"/>
  <c r="V52" i="17" s="1"/>
  <c r="W52" i="17" a="1"/>
  <c r="W52" i="17" s="1"/>
  <c r="X52" i="17" a="1"/>
  <c r="X52" i="17" s="1"/>
  <c r="Y52" i="17" a="1"/>
  <c r="Y52" i="17" s="1"/>
  <c r="Z52" i="17" a="1"/>
  <c r="Z52" i="17" s="1"/>
  <c r="AA52" i="17" a="1"/>
  <c r="AA52" i="17" s="1"/>
  <c r="AB52" i="17" a="1"/>
  <c r="AB52" i="17" s="1"/>
  <c r="AC52" i="17" a="1"/>
  <c r="AC52" i="17" s="1"/>
  <c r="AD52" i="17" a="1"/>
  <c r="AD52" i="17" s="1"/>
  <c r="AE52" i="17" a="1"/>
  <c r="AE52" i="17" s="1"/>
  <c r="AF52" i="17" a="1"/>
  <c r="AF52" i="17" s="1"/>
  <c r="AG52" i="17" a="1"/>
  <c r="AG52" i="17" s="1"/>
  <c r="AH52" i="17" a="1"/>
  <c r="AH52" i="17" s="1"/>
  <c r="AI52" i="17" a="1"/>
  <c r="AI52" i="17" s="1"/>
  <c r="AJ52" i="17" a="1"/>
  <c r="AJ52" i="17" s="1"/>
  <c r="AK52" i="17" a="1"/>
  <c r="AK52" i="17"/>
  <c r="AL52" i="17" a="1"/>
  <c r="AL52" i="17" s="1"/>
  <c r="C53" i="17" a="1"/>
  <c r="C53" i="17" s="1"/>
  <c r="D53" i="17" a="1"/>
  <c r="D53" i="17" s="1"/>
  <c r="E53" i="17" a="1"/>
  <c r="E53" i="17" s="1"/>
  <c r="F53" i="17" a="1"/>
  <c r="F53" i="17" s="1"/>
  <c r="G53" i="17" a="1"/>
  <c r="G53" i="17" s="1"/>
  <c r="H53" i="17" a="1"/>
  <c r="H53" i="17" s="1"/>
  <c r="I53" i="17" a="1"/>
  <c r="I53" i="17" s="1"/>
  <c r="J53" i="17" a="1"/>
  <c r="J53" i="17" s="1"/>
  <c r="K53" i="17" a="1"/>
  <c r="K53" i="17" s="1"/>
  <c r="L53" i="17" a="1"/>
  <c r="L53" i="17" s="1"/>
  <c r="M53" i="17" a="1"/>
  <c r="M53" i="17" s="1"/>
  <c r="N53" i="17" a="1"/>
  <c r="N53" i="17" s="1"/>
  <c r="O53" i="17" a="1"/>
  <c r="O53" i="17" s="1"/>
  <c r="P53" i="17" a="1"/>
  <c r="P53" i="17" s="1"/>
  <c r="Q53" i="17" a="1"/>
  <c r="Q53" i="17" s="1"/>
  <c r="R53" i="17" a="1"/>
  <c r="R53" i="17" s="1"/>
  <c r="S53" i="17" a="1"/>
  <c r="S53" i="17" s="1"/>
  <c r="T53" i="17" a="1"/>
  <c r="T53" i="17" s="1"/>
  <c r="U53" i="17" a="1"/>
  <c r="U53" i="17" s="1"/>
  <c r="V53" i="17" a="1"/>
  <c r="V53" i="17" s="1"/>
  <c r="W53" i="17" a="1"/>
  <c r="W53" i="17" s="1"/>
  <c r="X53" i="17" a="1"/>
  <c r="X53" i="17" s="1"/>
  <c r="Y53" i="17" a="1"/>
  <c r="Y53" i="17" s="1"/>
  <c r="Z53" i="17" a="1"/>
  <c r="Z53" i="17" s="1"/>
  <c r="AA53" i="17" a="1"/>
  <c r="AA53" i="17" s="1"/>
  <c r="AB53" i="17" a="1"/>
  <c r="AB53" i="17" s="1"/>
  <c r="AC53" i="17" a="1"/>
  <c r="AC53" i="17" s="1"/>
  <c r="AD53" i="17" a="1"/>
  <c r="AD53" i="17" s="1"/>
  <c r="AE53" i="17" a="1"/>
  <c r="AE53" i="17"/>
  <c r="AF53" i="17" a="1"/>
  <c r="AF53" i="17" s="1"/>
  <c r="AG53" i="17" a="1"/>
  <c r="AG53" i="17" s="1"/>
  <c r="AH53" i="17" a="1"/>
  <c r="AH53" i="17" s="1"/>
  <c r="AI53" i="17" a="1"/>
  <c r="AI53" i="17" s="1"/>
  <c r="AJ53" i="17" a="1"/>
  <c r="AJ53" i="17" s="1"/>
  <c r="AK53" i="17" a="1"/>
  <c r="AK53" i="17" s="1"/>
  <c r="C54" i="17" a="1"/>
  <c r="C54" i="17" s="1"/>
  <c r="D54" i="17" a="1"/>
  <c r="D54" i="17" s="1"/>
  <c r="E54" i="17" a="1"/>
  <c r="E54" i="17" s="1"/>
  <c r="F54" i="17" a="1"/>
  <c r="F54" i="17" s="1"/>
  <c r="G54" i="17" a="1"/>
  <c r="G54" i="17" s="1"/>
  <c r="H54" i="17" a="1"/>
  <c r="H54" i="17" s="1"/>
  <c r="I54" i="17" a="1"/>
  <c r="I54" i="17" s="1"/>
  <c r="J54" i="17" a="1"/>
  <c r="J54" i="17" s="1"/>
  <c r="K54" i="17" a="1"/>
  <c r="K54" i="17" s="1"/>
  <c r="L54" i="17" a="1"/>
  <c r="L54" i="17" s="1"/>
  <c r="M54" i="17" a="1"/>
  <c r="M54" i="17" s="1"/>
  <c r="N54" i="17" a="1"/>
  <c r="N54" i="17"/>
  <c r="O54" i="17" a="1"/>
  <c r="O54" i="17" s="1"/>
  <c r="P54" i="17" a="1"/>
  <c r="P54" i="17" s="1"/>
  <c r="Q54" i="17" a="1"/>
  <c r="Q54" i="17" s="1"/>
  <c r="R54" i="17" a="1"/>
  <c r="R54" i="17" s="1"/>
  <c r="S54" i="17" a="1"/>
  <c r="S54" i="17" s="1"/>
  <c r="T54" i="17" a="1"/>
  <c r="T54" i="17" s="1"/>
  <c r="U54" i="17" a="1"/>
  <c r="U54" i="17" s="1"/>
  <c r="V54" i="17" a="1"/>
  <c r="V54" i="17" s="1"/>
  <c r="W54" i="17" a="1"/>
  <c r="W54" i="17" s="1"/>
  <c r="X54" i="17" a="1"/>
  <c r="X54" i="17" s="1"/>
  <c r="Y54" i="17" a="1"/>
  <c r="Y54" i="17" s="1"/>
  <c r="Z54" i="17" a="1"/>
  <c r="Z54" i="17" s="1"/>
  <c r="AA54" i="17" a="1"/>
  <c r="AA54" i="17" s="1"/>
  <c r="AB54" i="17" a="1"/>
  <c r="AB54" i="17" s="1"/>
  <c r="AC54" i="17" a="1"/>
  <c r="AC54" i="17" s="1"/>
  <c r="AD54" i="17" a="1"/>
  <c r="AD54" i="17" s="1"/>
  <c r="AE54" i="17" a="1"/>
  <c r="AE54" i="17" s="1"/>
  <c r="AF54" i="17" a="1"/>
  <c r="AF54" i="17" s="1"/>
  <c r="AG54" i="17" a="1"/>
  <c r="AG54" i="17"/>
  <c r="AH54" i="17" a="1"/>
  <c r="AH54" i="17" s="1"/>
  <c r="AI54" i="17" a="1"/>
  <c r="AI54" i="17" s="1"/>
  <c r="AJ54" i="17" a="1"/>
  <c r="AJ54" i="17" s="1"/>
  <c r="AK54" i="17" a="1"/>
  <c r="AK54" i="17" s="1"/>
  <c r="AL54" i="17" a="1"/>
  <c r="AL54" i="17" s="1"/>
  <c r="C55" i="17" a="1"/>
  <c r="C55" i="17" s="1"/>
  <c r="D55" i="17" a="1"/>
  <c r="D55" i="17" s="1"/>
  <c r="E55" i="17" a="1"/>
  <c r="E55" i="17" s="1"/>
  <c r="F55" i="17" a="1"/>
  <c r="F55" i="17" s="1"/>
  <c r="G55" i="17" a="1"/>
  <c r="G55" i="17" s="1"/>
  <c r="H55" i="17" a="1"/>
  <c r="H55" i="17" s="1"/>
  <c r="I55" i="17" a="1"/>
  <c r="I55" i="17" s="1"/>
  <c r="J55" i="17" a="1"/>
  <c r="J55" i="17" s="1"/>
  <c r="K55" i="17" a="1"/>
  <c r="K55" i="17" s="1"/>
  <c r="L55" i="17" a="1"/>
  <c r="L55" i="17" s="1"/>
  <c r="M55" i="17" a="1"/>
  <c r="M55" i="17" s="1"/>
  <c r="N55" i="17" a="1"/>
  <c r="N55" i="17" s="1"/>
  <c r="O55" i="17" a="1"/>
  <c r="O55" i="17" s="1"/>
  <c r="P55" i="17" a="1"/>
  <c r="P55" i="17" s="1"/>
  <c r="Q55" i="17" a="1"/>
  <c r="Q55" i="17" s="1"/>
  <c r="R55" i="17" a="1"/>
  <c r="R55" i="17" s="1"/>
  <c r="S55" i="17" a="1"/>
  <c r="S55" i="17" s="1"/>
  <c r="T55" i="17" a="1"/>
  <c r="T55" i="17"/>
  <c r="U55" i="17" a="1"/>
  <c r="U55" i="17" s="1"/>
  <c r="V55" i="17" a="1"/>
  <c r="V55" i="17" s="1"/>
  <c r="W55" i="17" a="1"/>
  <c r="W55" i="17" s="1"/>
  <c r="X55" i="17" a="1"/>
  <c r="X55" i="17" s="1"/>
  <c r="Y55" i="17" a="1"/>
  <c r="Y55" i="17" s="1"/>
  <c r="Z55" i="17" a="1"/>
  <c r="Z55" i="17" s="1"/>
  <c r="AA55" i="17" a="1"/>
  <c r="AA55" i="17" s="1"/>
  <c r="AB55" i="17" a="1"/>
  <c r="AB55" i="17" s="1"/>
  <c r="AC55" i="17" a="1"/>
  <c r="AC55" i="17" s="1"/>
  <c r="AD55" i="17" a="1"/>
  <c r="AD55" i="17" s="1"/>
  <c r="AE55" i="17" a="1"/>
  <c r="AE55" i="17" s="1"/>
  <c r="AF55" i="17" a="1"/>
  <c r="AF55" i="17"/>
  <c r="AG55" i="17" a="1"/>
  <c r="AG55" i="17" s="1"/>
  <c r="AH55" i="17" a="1"/>
  <c r="AH55" i="17" s="1"/>
  <c r="AI55" i="17" a="1"/>
  <c r="AI55" i="17" s="1"/>
  <c r="AJ55" i="17" a="1"/>
  <c r="AJ55" i="17" s="1"/>
  <c r="AK55" i="17" a="1"/>
  <c r="AK55" i="17" s="1"/>
  <c r="AL55" i="17" a="1"/>
  <c r="AL55" i="17" s="1"/>
  <c r="C56" i="17" a="1"/>
  <c r="C56" i="17" s="1"/>
  <c r="D56" i="17" a="1"/>
  <c r="D56" i="17" s="1"/>
  <c r="E56" i="17" a="1"/>
  <c r="E56" i="17" s="1"/>
  <c r="F56" i="17" a="1"/>
  <c r="F56" i="17" s="1"/>
  <c r="G56" i="17" a="1"/>
  <c r="G56" i="17" s="1"/>
  <c r="H56" i="17" a="1"/>
  <c r="H56" i="17" s="1"/>
  <c r="I56" i="17" a="1"/>
  <c r="I56" i="17" s="1"/>
  <c r="J56" i="17" a="1"/>
  <c r="J56" i="17" s="1"/>
  <c r="K56" i="17" a="1"/>
  <c r="K56" i="17" s="1"/>
  <c r="L56" i="17" a="1"/>
  <c r="L56" i="17" s="1"/>
  <c r="M56" i="17" a="1"/>
  <c r="M56" i="17" s="1"/>
  <c r="N56" i="17" a="1"/>
  <c r="N56" i="17" s="1"/>
  <c r="O56" i="17" a="1"/>
  <c r="O56" i="17" s="1"/>
  <c r="P56" i="17" a="1"/>
  <c r="P56" i="17" s="1"/>
  <c r="Q56" i="17" a="1"/>
  <c r="Q56" i="17" s="1"/>
  <c r="R56" i="17" a="1"/>
  <c r="R56" i="17" s="1"/>
  <c r="S56" i="17" a="1"/>
  <c r="S56" i="17" s="1"/>
  <c r="T56" i="17" a="1"/>
  <c r="T56" i="17" s="1"/>
  <c r="U56" i="17" a="1"/>
  <c r="U56" i="17" s="1"/>
  <c r="V56" i="17" a="1"/>
  <c r="V56" i="17" s="1"/>
  <c r="W56" i="17" a="1"/>
  <c r="W56" i="17" s="1"/>
  <c r="X56" i="17" a="1"/>
  <c r="X56" i="17" s="1"/>
  <c r="Y56" i="17" a="1"/>
  <c r="Y56" i="17" s="1"/>
  <c r="Z56" i="17" a="1"/>
  <c r="Z56" i="17" s="1"/>
  <c r="AA56" i="17" a="1"/>
  <c r="AA56" i="17" s="1"/>
  <c r="AB56" i="17" a="1"/>
  <c r="AB56" i="17" s="1"/>
  <c r="AC56" i="17" a="1"/>
  <c r="AC56" i="17" s="1"/>
  <c r="AD56" i="17" a="1"/>
  <c r="AD56" i="17" s="1"/>
  <c r="AE56" i="17" a="1"/>
  <c r="AE56" i="17" s="1"/>
  <c r="AF56" i="17" a="1"/>
  <c r="AF56" i="17" s="1"/>
  <c r="AG56" i="17" a="1"/>
  <c r="AG56" i="17" s="1"/>
  <c r="AH56" i="17" a="1"/>
  <c r="AH56" i="17" s="1"/>
  <c r="AI56" i="17" a="1"/>
  <c r="AI56" i="17" s="1"/>
  <c r="AJ56" i="17" a="1"/>
  <c r="AJ56" i="17" s="1"/>
  <c r="AK56" i="17" a="1"/>
  <c r="AK56" i="17" s="1"/>
  <c r="AL56" i="17" a="1"/>
  <c r="AL56" i="17" s="1"/>
  <c r="C57" i="17" a="1"/>
  <c r="C57" i="17" s="1"/>
  <c r="D57" i="17" a="1"/>
  <c r="D57" i="17" s="1"/>
  <c r="E57" i="17" a="1"/>
  <c r="E57" i="17" s="1"/>
  <c r="F57" i="17" a="1"/>
  <c r="F57" i="17" s="1"/>
  <c r="G57" i="17" a="1"/>
  <c r="G57" i="17" s="1"/>
  <c r="H57" i="17" a="1"/>
  <c r="H57" i="17" s="1"/>
  <c r="I57" i="17" a="1"/>
  <c r="I57" i="17" s="1"/>
  <c r="J57" i="17" a="1"/>
  <c r="J57" i="17" s="1"/>
  <c r="K57" i="17" a="1"/>
  <c r="K57" i="17" s="1"/>
  <c r="L57" i="17" a="1"/>
  <c r="L57" i="17" s="1"/>
  <c r="M57" i="17" a="1"/>
  <c r="M57" i="17" s="1"/>
  <c r="N57" i="17" a="1"/>
  <c r="N57" i="17" s="1"/>
  <c r="O57" i="17" a="1"/>
  <c r="O57" i="17" s="1"/>
  <c r="P57" i="17" a="1"/>
  <c r="P57" i="17" s="1"/>
  <c r="Q57" i="17" a="1"/>
  <c r="Q57" i="17" s="1"/>
  <c r="R57" i="17" a="1"/>
  <c r="R57" i="17" s="1"/>
  <c r="S57" i="17" a="1"/>
  <c r="S57" i="17" s="1"/>
  <c r="T57" i="17" a="1"/>
  <c r="T57" i="17" s="1"/>
  <c r="U57" i="17" a="1"/>
  <c r="U57" i="17" s="1"/>
  <c r="V57" i="17" a="1"/>
  <c r="V57" i="17" s="1"/>
  <c r="W57" i="17" a="1"/>
  <c r="W57" i="17" s="1"/>
  <c r="X57" i="17" a="1"/>
  <c r="X57" i="17" s="1"/>
  <c r="Y57" i="17" a="1"/>
  <c r="Y57" i="17" s="1"/>
  <c r="Z57" i="17" a="1"/>
  <c r="Z57" i="17" s="1"/>
  <c r="AA57" i="17" a="1"/>
  <c r="AA57" i="17" s="1"/>
  <c r="AB57" i="17" a="1"/>
  <c r="AB57" i="17" s="1"/>
  <c r="AC57" i="17" a="1"/>
  <c r="AC57" i="17" s="1"/>
  <c r="AD57" i="17" a="1"/>
  <c r="AD57" i="17" s="1"/>
  <c r="AE57" i="17" a="1"/>
  <c r="AE57" i="17" s="1"/>
  <c r="AF57" i="17" a="1"/>
  <c r="AF57" i="17" s="1"/>
  <c r="AG57" i="17" a="1"/>
  <c r="AG57" i="17" s="1"/>
  <c r="AH57" i="17" a="1"/>
  <c r="AH57" i="17" s="1"/>
  <c r="AI57" i="17" a="1"/>
  <c r="AI57" i="17" s="1"/>
  <c r="AJ57" i="17" a="1"/>
  <c r="AJ57" i="17" s="1"/>
  <c r="AK57" i="17" a="1"/>
  <c r="AK57" i="17" s="1"/>
  <c r="AL57" i="17" a="1"/>
  <c r="AL57" i="17" s="1"/>
  <c r="I58" i="17" a="1"/>
  <c r="I58" i="17" s="1"/>
  <c r="L58" i="17" a="1"/>
  <c r="L58" i="17" s="1"/>
  <c r="M58" i="17" a="1"/>
  <c r="M58" i="17" s="1"/>
  <c r="O58" i="17" a="1"/>
  <c r="O58" i="17" s="1"/>
  <c r="AA58" i="17" a="1"/>
  <c r="AA58" i="17" s="1"/>
  <c r="AE86" i="1" s="1"/>
  <c r="AC58" i="17" a="1"/>
  <c r="AC58" i="17" s="1"/>
  <c r="AD58" i="17" a="1"/>
  <c r="AD58" i="17" s="1"/>
  <c r="AE58" i="17" a="1"/>
  <c r="AE58" i="17" s="1"/>
  <c r="AF58" i="17" a="1"/>
  <c r="AF58" i="17" s="1"/>
  <c r="AG58" i="17" a="1"/>
  <c r="AG58" i="17" s="1"/>
  <c r="AH58" i="17" a="1"/>
  <c r="AH58" i="17" s="1"/>
  <c r="AI58" i="17" a="1"/>
  <c r="AI58" i="17" s="1"/>
  <c r="AJ58" i="17" a="1"/>
  <c r="AJ58" i="17" s="1"/>
  <c r="AK58" i="17" a="1"/>
  <c r="AK58" i="17" s="1"/>
  <c r="AL58" i="17" a="1"/>
  <c r="AL58" i="17" s="1"/>
  <c r="C59" i="17" a="1"/>
  <c r="C59" i="17" s="1"/>
  <c r="D59" i="17" a="1"/>
  <c r="D59" i="17" s="1"/>
  <c r="E59" i="17" a="1"/>
  <c r="E59" i="17" s="1"/>
  <c r="F59" i="17" a="1"/>
  <c r="F59" i="17"/>
  <c r="G59" i="17" a="1"/>
  <c r="G59" i="17" s="1"/>
  <c r="H59" i="17" a="1"/>
  <c r="H59" i="17" s="1"/>
  <c r="I59" i="17" a="1"/>
  <c r="I59" i="17" s="1"/>
  <c r="J59" i="17" a="1"/>
  <c r="J59" i="17" s="1"/>
  <c r="K59" i="17" a="1"/>
  <c r="K59" i="17" s="1"/>
  <c r="L59" i="17" a="1"/>
  <c r="L59" i="17" s="1"/>
  <c r="M59" i="17" a="1"/>
  <c r="M59" i="17" s="1"/>
  <c r="N59" i="17" a="1"/>
  <c r="N59" i="17" s="1"/>
  <c r="O59" i="17" a="1"/>
  <c r="O59" i="17" s="1"/>
  <c r="P59" i="17" a="1"/>
  <c r="P59" i="17" s="1"/>
  <c r="Q59" i="17" a="1"/>
  <c r="Q59" i="17" s="1"/>
  <c r="R59" i="17" a="1"/>
  <c r="R59" i="17" s="1"/>
  <c r="S59" i="17" a="1"/>
  <c r="S59" i="17" s="1"/>
  <c r="T59" i="17" a="1"/>
  <c r="T59" i="17" s="1"/>
  <c r="U59" i="17" a="1"/>
  <c r="U59" i="17" s="1"/>
  <c r="V59" i="17" a="1"/>
  <c r="V59" i="17"/>
  <c r="W59" i="17" a="1"/>
  <c r="W59" i="17" s="1"/>
  <c r="X59" i="17" a="1"/>
  <c r="X59" i="17" s="1"/>
  <c r="Y59" i="17" a="1"/>
  <c r="Y59" i="17" s="1"/>
  <c r="Z59" i="17" a="1"/>
  <c r="Z59" i="17" s="1"/>
  <c r="AA59" i="17" a="1"/>
  <c r="AA59" i="17" s="1"/>
  <c r="AB59" i="17" a="1"/>
  <c r="AB59" i="17" s="1"/>
  <c r="AC59" i="17" a="1"/>
  <c r="AC59" i="17" s="1"/>
  <c r="AD59" i="17" a="1"/>
  <c r="AD59" i="17" s="1"/>
  <c r="AE59" i="17" a="1"/>
  <c r="AE59" i="17" s="1"/>
  <c r="AF59" i="17" a="1"/>
  <c r="AF59" i="17" s="1"/>
  <c r="AG59" i="17" a="1"/>
  <c r="AG59" i="17" s="1"/>
  <c r="AH59" i="17" a="1"/>
  <c r="AH59" i="17" s="1"/>
  <c r="AI59" i="17" a="1"/>
  <c r="AI59" i="17" s="1"/>
  <c r="AJ59" i="17" a="1"/>
  <c r="AJ59" i="17" s="1"/>
  <c r="AK59" i="17" a="1"/>
  <c r="AK59" i="17" s="1"/>
  <c r="AL59" i="17" a="1"/>
  <c r="AL59" i="17" s="1"/>
  <c r="AP87" i="1" s="1"/>
  <c r="C60" i="17" a="1"/>
  <c r="C60" i="17" s="1"/>
  <c r="D60" i="17" a="1"/>
  <c r="D60" i="17" s="1"/>
  <c r="E60" i="17" a="1"/>
  <c r="E60" i="17" s="1"/>
  <c r="F60" i="17" a="1"/>
  <c r="F60" i="17" s="1"/>
  <c r="G60" i="17" a="1"/>
  <c r="G60" i="17" s="1"/>
  <c r="H60" i="17" a="1"/>
  <c r="H60" i="17" s="1"/>
  <c r="I60" i="17" a="1"/>
  <c r="I60" i="17" s="1"/>
  <c r="J60" i="17" a="1"/>
  <c r="J60" i="17" s="1"/>
  <c r="K60" i="17" a="1"/>
  <c r="K60" i="17" s="1"/>
  <c r="L60" i="17" a="1"/>
  <c r="L60" i="17" s="1"/>
  <c r="M60" i="17" a="1"/>
  <c r="M60" i="17" s="1"/>
  <c r="N60" i="17" a="1"/>
  <c r="N60" i="17" s="1"/>
  <c r="O60" i="17" a="1"/>
  <c r="O60" i="17" s="1"/>
  <c r="P60" i="17" a="1"/>
  <c r="P60" i="17" s="1"/>
  <c r="Q60" i="17" a="1"/>
  <c r="Q60" i="17" s="1"/>
  <c r="R60" i="17" a="1"/>
  <c r="R60" i="17" s="1"/>
  <c r="S60" i="17" a="1"/>
  <c r="S60" i="17" s="1"/>
  <c r="T60" i="17" a="1"/>
  <c r="T60" i="17"/>
  <c r="U60" i="17" a="1"/>
  <c r="U60" i="17" s="1"/>
  <c r="V60" i="17" a="1"/>
  <c r="V60" i="17" s="1"/>
  <c r="W60" i="17" a="1"/>
  <c r="W60" i="17" s="1"/>
  <c r="X60" i="17" a="1"/>
  <c r="X60" i="17" s="1"/>
  <c r="Y60" i="17" a="1"/>
  <c r="Y60" i="17" s="1"/>
  <c r="Z60" i="17" a="1"/>
  <c r="Z60" i="17" s="1"/>
  <c r="AA60" i="17" a="1"/>
  <c r="AA60" i="17" s="1"/>
  <c r="AB60" i="17" a="1"/>
  <c r="AB60" i="17" s="1"/>
  <c r="AC60" i="17" a="1"/>
  <c r="AC60" i="17" s="1"/>
  <c r="AD60" i="17" a="1"/>
  <c r="AD60" i="17" s="1"/>
  <c r="AE60" i="17" a="1"/>
  <c r="AE60" i="17" s="1"/>
  <c r="AF60" i="17" a="1"/>
  <c r="AF60" i="17" s="1"/>
  <c r="AG60" i="17" a="1"/>
  <c r="AG60" i="17" s="1"/>
  <c r="AH60" i="17" a="1"/>
  <c r="AH60" i="17" s="1"/>
  <c r="AI60" i="17" a="1"/>
  <c r="AI60" i="17" s="1"/>
  <c r="AJ60" i="17" a="1"/>
  <c r="AJ60" i="17" s="1"/>
  <c r="AK60" i="17" a="1"/>
  <c r="AK60" i="17" s="1"/>
  <c r="AL60" i="17" a="1"/>
  <c r="AL60" i="17" s="1"/>
  <c r="AM60" i="17" a="1"/>
  <c r="AM60" i="17" s="1"/>
  <c r="AN60" i="17" a="1"/>
  <c r="AN60" i="17" s="1"/>
  <c r="C61" i="17" a="1"/>
  <c r="C61" i="17"/>
  <c r="D61" i="17" a="1"/>
  <c r="D61" i="17" s="1"/>
  <c r="E61" i="17" a="1"/>
  <c r="E61" i="17" s="1"/>
  <c r="F61" i="17" a="1"/>
  <c r="F61" i="17" s="1"/>
  <c r="G61" i="17" a="1"/>
  <c r="G61" i="17" s="1"/>
  <c r="H61" i="17" a="1"/>
  <c r="H61" i="17" s="1"/>
  <c r="I61" i="17" a="1"/>
  <c r="I61" i="17" s="1"/>
  <c r="J61" i="17" a="1"/>
  <c r="J61" i="17" s="1"/>
  <c r="K61" i="17" a="1"/>
  <c r="K61" i="17" s="1"/>
  <c r="L61" i="17" a="1"/>
  <c r="L61" i="17" s="1"/>
  <c r="M61" i="17" a="1"/>
  <c r="M61" i="17" s="1"/>
  <c r="N61" i="17" a="1"/>
  <c r="N61" i="17" s="1"/>
  <c r="O61" i="17" a="1"/>
  <c r="O61" i="17" s="1"/>
  <c r="P61" i="17" a="1"/>
  <c r="P61" i="17" s="1"/>
  <c r="Q61" i="17" a="1"/>
  <c r="Q61" i="17" s="1"/>
  <c r="R61" i="17" a="1"/>
  <c r="R61" i="17" s="1"/>
  <c r="S61" i="17" a="1"/>
  <c r="S61" i="17" s="1"/>
  <c r="T61" i="17" a="1"/>
  <c r="T61" i="17" s="1"/>
  <c r="U61" i="17" a="1"/>
  <c r="U61" i="17" s="1"/>
  <c r="V61" i="17" a="1"/>
  <c r="V61" i="17" s="1"/>
  <c r="W61" i="17" a="1"/>
  <c r="W61" i="17" s="1"/>
  <c r="X61" i="17" a="1"/>
  <c r="X61" i="17" s="1"/>
  <c r="Y61" i="17" a="1"/>
  <c r="Y61" i="17" s="1"/>
  <c r="Z61" i="17" a="1"/>
  <c r="Z61" i="17" s="1"/>
  <c r="AD89" i="1" s="1"/>
  <c r="AA61" i="17" a="1"/>
  <c r="AA61" i="17" s="1"/>
  <c r="AE89" i="1" s="1"/>
  <c r="AB61" i="17" a="1"/>
  <c r="AB61" i="17" s="1"/>
  <c r="AF89" i="1" s="1"/>
  <c r="AC61" i="17" a="1"/>
  <c r="AC61" i="17"/>
  <c r="AD61" i="17" a="1"/>
  <c r="AD61" i="17"/>
  <c r="AE61" i="17" a="1"/>
  <c r="AE61" i="17"/>
  <c r="AF61" i="17" a="1"/>
  <c r="AF61" i="17"/>
  <c r="AG61" i="17" a="1"/>
  <c r="AG61" i="17"/>
  <c r="AH61" i="17" a="1"/>
  <c r="AH61" i="17"/>
  <c r="AI61" i="17" a="1"/>
  <c r="AI61" i="17"/>
  <c r="AJ61" i="17" a="1"/>
  <c r="AJ61" i="17"/>
  <c r="AK61" i="17" a="1"/>
  <c r="AK61" i="17"/>
  <c r="AL61" i="17" a="1"/>
  <c r="AL61" i="17"/>
  <c r="AM61" i="17" a="1"/>
  <c r="AM61" i="17" s="1"/>
  <c r="AQ89" i="1" s="1"/>
  <c r="C62" i="17" a="1"/>
  <c r="C62" i="17" s="1"/>
  <c r="D62" i="17" a="1"/>
  <c r="D62" i="17" s="1"/>
  <c r="E62" i="17" a="1"/>
  <c r="E62" i="17" s="1"/>
  <c r="F62" i="17" a="1"/>
  <c r="F62" i="17" s="1"/>
  <c r="G62" i="17" a="1"/>
  <c r="G62" i="17" s="1"/>
  <c r="H62" i="17" a="1"/>
  <c r="H62" i="17" s="1"/>
  <c r="I62" i="17" a="1"/>
  <c r="I62" i="17" s="1"/>
  <c r="J62" i="17" a="1"/>
  <c r="J62" i="17" s="1"/>
  <c r="K62" i="17" a="1"/>
  <c r="K62" i="17" s="1"/>
  <c r="L62" i="17" a="1"/>
  <c r="L62" i="17" s="1"/>
  <c r="M62" i="17" a="1"/>
  <c r="M62" i="17" s="1"/>
  <c r="N62" i="17" a="1"/>
  <c r="N62" i="17" s="1"/>
  <c r="O62" i="17" a="1"/>
  <c r="O62" i="17" s="1"/>
  <c r="P62" i="17" a="1"/>
  <c r="P62" i="17" s="1"/>
  <c r="Q62" i="17" a="1"/>
  <c r="Q62" i="17" s="1"/>
  <c r="R62" i="17" a="1"/>
  <c r="R62" i="17" s="1"/>
  <c r="S62" i="17" a="1"/>
  <c r="S62" i="17" s="1"/>
  <c r="T62" i="17" a="1"/>
  <c r="T62" i="17" s="1"/>
  <c r="U62" i="17" a="1"/>
  <c r="U62" i="17" s="1"/>
  <c r="V62" i="17" a="1"/>
  <c r="V62" i="17" s="1"/>
  <c r="W62" i="17" a="1"/>
  <c r="W62" i="17" s="1"/>
  <c r="X62" i="17" a="1"/>
  <c r="X62" i="17" s="1"/>
  <c r="Y62" i="17" a="1"/>
  <c r="Y62" i="17" s="1"/>
  <c r="Z62" i="17" a="1"/>
  <c r="Z62" i="17" s="1"/>
  <c r="AD90" i="1" s="1"/>
  <c r="AA62" i="17" a="1"/>
  <c r="AA62" i="17" s="1"/>
  <c r="AE90" i="1" s="1"/>
  <c r="AB62" i="17" a="1"/>
  <c r="AB62" i="17" s="1"/>
  <c r="AF90" i="1" s="1"/>
  <c r="AC62" i="17" a="1"/>
  <c r="AC62" i="17"/>
  <c r="AD62" i="17" a="1"/>
  <c r="AD62" i="17"/>
  <c r="AE62" i="17" a="1"/>
  <c r="AE62" i="17"/>
  <c r="AF62" i="17" a="1"/>
  <c r="AF62" i="17"/>
  <c r="AG62" i="17" a="1"/>
  <c r="AG62" i="17"/>
  <c r="AH62" i="17" a="1"/>
  <c r="AH62" i="17"/>
  <c r="AI62" i="17" a="1"/>
  <c r="AI62" i="17"/>
  <c r="AJ62" i="17" a="1"/>
  <c r="AJ62" i="17"/>
  <c r="AK62" i="17" a="1"/>
  <c r="AK62" i="17"/>
  <c r="AL62" i="17" a="1"/>
  <c r="AL62" i="17"/>
  <c r="AM62" i="17" a="1"/>
  <c r="AM62" i="17" s="1"/>
  <c r="AQ90" i="1" s="1"/>
  <c r="C63" i="17" a="1"/>
  <c r="C63" i="17"/>
  <c r="D63" i="17" a="1"/>
  <c r="D63" i="17"/>
  <c r="E63" i="17" a="1"/>
  <c r="E63" i="17"/>
  <c r="F63" i="17" a="1"/>
  <c r="F63" i="17"/>
  <c r="G63" i="17" a="1"/>
  <c r="G63" i="17" s="1"/>
  <c r="H63" i="17" a="1"/>
  <c r="H63" i="17" s="1"/>
  <c r="I63" i="17" a="1"/>
  <c r="I63" i="17" s="1"/>
  <c r="J63" i="17" a="1"/>
  <c r="J63" i="17" s="1"/>
  <c r="K63" i="17" a="1"/>
  <c r="K63" i="17" s="1"/>
  <c r="L63" i="17" a="1"/>
  <c r="L63" i="17" s="1"/>
  <c r="M63" i="17" a="1"/>
  <c r="M63" i="17"/>
  <c r="N63" i="17" a="1"/>
  <c r="N63" i="17" s="1"/>
  <c r="O63" i="17" a="1"/>
  <c r="O63" i="17"/>
  <c r="P63" i="17" a="1"/>
  <c r="P63" i="17" s="1"/>
  <c r="Q63" i="17" a="1"/>
  <c r="Q63" i="17" s="1"/>
  <c r="R63" i="17" a="1"/>
  <c r="R63" i="17" s="1"/>
  <c r="S63" i="17" a="1"/>
  <c r="S63" i="17"/>
  <c r="T63" i="17" a="1"/>
  <c r="T63" i="17" s="1"/>
  <c r="U63" i="17" a="1"/>
  <c r="U63" i="17" s="1"/>
  <c r="V63" i="17" a="1"/>
  <c r="V63" i="17" s="1"/>
  <c r="W63" i="17" a="1"/>
  <c r="W63" i="17" s="1"/>
  <c r="X63" i="17" a="1"/>
  <c r="X63" i="17" s="1"/>
  <c r="Y63" i="17" a="1"/>
  <c r="Y63" i="17" s="1"/>
  <c r="Z63" i="17" a="1"/>
  <c r="Z63" i="17"/>
  <c r="AD91" i="1" s="1"/>
  <c r="AA63" i="17" a="1"/>
  <c r="AA63" i="17"/>
  <c r="AE91" i="1" s="1"/>
  <c r="AB63" i="17" a="1"/>
  <c r="AB63" i="17" s="1"/>
  <c r="AF91" i="1" s="1"/>
  <c r="AC63" i="17" a="1"/>
  <c r="AC63" i="17"/>
  <c r="AD63" i="17" a="1"/>
  <c r="AD63" i="17" s="1"/>
  <c r="AE63" i="17" a="1"/>
  <c r="AE63" i="17" s="1"/>
  <c r="AF63" i="17" a="1"/>
  <c r="AF63" i="17" s="1"/>
  <c r="AG63" i="17" a="1"/>
  <c r="AG63" i="17" s="1"/>
  <c r="AH63" i="17" a="1"/>
  <c r="AH63" i="17" s="1"/>
  <c r="AI63" i="17" a="1"/>
  <c r="AI63" i="17" s="1"/>
  <c r="AJ63" i="17" a="1"/>
  <c r="AJ63" i="17" s="1"/>
  <c r="AK63" i="17" a="1"/>
  <c r="AK63" i="17" s="1"/>
  <c r="AL63" i="17" a="1"/>
  <c r="AL63" i="17" s="1"/>
  <c r="AM63" i="17" a="1"/>
  <c r="AM63" i="17" s="1"/>
  <c r="AQ91" i="1" s="1"/>
  <c r="C64" i="17" a="1"/>
  <c r="C64" i="17" s="1"/>
  <c r="D64" i="17" a="1"/>
  <c r="D64" i="17" s="1"/>
  <c r="E64" i="17" a="1"/>
  <c r="E64" i="17" s="1"/>
  <c r="F64" i="17" a="1"/>
  <c r="F64" i="17" s="1"/>
  <c r="G64" i="17" a="1"/>
  <c r="G64" i="17" s="1"/>
  <c r="H64" i="17" a="1"/>
  <c r="H64" i="17" s="1"/>
  <c r="I64" i="17" a="1"/>
  <c r="I64" i="17" s="1"/>
  <c r="J64" i="17" a="1"/>
  <c r="J64" i="17" s="1"/>
  <c r="K64" i="17" a="1"/>
  <c r="K64" i="17" s="1"/>
  <c r="L64" i="17" a="1"/>
  <c r="L64" i="17" s="1"/>
  <c r="M64" i="17" a="1"/>
  <c r="M64" i="17" s="1"/>
  <c r="N64" i="17" a="1"/>
  <c r="N64" i="17" s="1"/>
  <c r="O64" i="17" a="1"/>
  <c r="O64" i="17" s="1"/>
  <c r="P64" i="17" a="1"/>
  <c r="P64" i="17" s="1"/>
  <c r="Q64" i="17" a="1"/>
  <c r="Q64" i="17" s="1"/>
  <c r="R64" i="17" a="1"/>
  <c r="R64" i="17" s="1"/>
  <c r="S64" i="17" a="1"/>
  <c r="S64" i="17" s="1"/>
  <c r="T64" i="17" a="1"/>
  <c r="T64" i="17" s="1"/>
  <c r="U64" i="17" a="1"/>
  <c r="U64" i="17" s="1"/>
  <c r="V64" i="17" a="1"/>
  <c r="V64" i="17" s="1"/>
  <c r="W64" i="17" a="1"/>
  <c r="W64" i="17" s="1"/>
  <c r="X64" i="17" a="1"/>
  <c r="X64" i="17" s="1"/>
  <c r="Y64" i="17" a="1"/>
  <c r="Y64" i="17" s="1"/>
  <c r="Z64" i="17" a="1"/>
  <c r="Z64" i="17" s="1"/>
  <c r="AD92" i="1" s="1"/>
  <c r="AA64" i="17" a="1"/>
  <c r="AA64" i="17" s="1"/>
  <c r="AE92" i="1" s="1"/>
  <c r="AB64" i="17" a="1"/>
  <c r="AB64" i="17" s="1"/>
  <c r="AF92" i="1" s="1"/>
  <c r="AC64" i="17" a="1"/>
  <c r="AC64" i="17" s="1"/>
  <c r="AD64" i="17" a="1"/>
  <c r="AD64" i="17" s="1"/>
  <c r="AE64" i="17" a="1"/>
  <c r="AE64" i="17" s="1"/>
  <c r="AF64" i="17" a="1"/>
  <c r="AF64" i="17" s="1"/>
  <c r="AG64" i="17" a="1"/>
  <c r="AG64" i="17" s="1"/>
  <c r="AH64" i="17" a="1"/>
  <c r="AH64" i="17" s="1"/>
  <c r="AI64" i="17" a="1"/>
  <c r="AI64" i="17" s="1"/>
  <c r="AJ64" i="17" a="1"/>
  <c r="AJ64" i="17" s="1"/>
  <c r="AK64" i="17" a="1"/>
  <c r="AK64" i="17" s="1"/>
  <c r="AL64" i="17" a="1"/>
  <c r="AL64" i="17" s="1"/>
  <c r="AP92" i="1" s="1"/>
  <c r="C65" i="17" a="1"/>
  <c r="C65" i="17" s="1"/>
  <c r="D65" i="17" a="1"/>
  <c r="D65" i="17" s="1"/>
  <c r="E65" i="17" a="1"/>
  <c r="E65" i="17"/>
  <c r="F65" i="17" a="1"/>
  <c r="F65" i="17" s="1"/>
  <c r="G65" i="17" a="1"/>
  <c r="G65" i="17" s="1"/>
  <c r="H65" i="17" a="1"/>
  <c r="H65" i="17" s="1"/>
  <c r="I65" i="17" a="1"/>
  <c r="I65" i="17" s="1"/>
  <c r="J65" i="17" a="1"/>
  <c r="J65" i="17" s="1"/>
  <c r="K65" i="17" a="1"/>
  <c r="K65" i="17" s="1"/>
  <c r="L65" i="17" a="1"/>
  <c r="L65" i="17" s="1"/>
  <c r="M65" i="17" a="1"/>
  <c r="M65" i="17" s="1"/>
  <c r="N65" i="17" a="1"/>
  <c r="N65" i="17" s="1"/>
  <c r="O65" i="17" a="1"/>
  <c r="O65" i="17" s="1"/>
  <c r="P65" i="17" a="1"/>
  <c r="P65" i="17" s="1"/>
  <c r="Q65" i="17" a="1"/>
  <c r="Q65" i="17" s="1"/>
  <c r="R65" i="17" a="1"/>
  <c r="R65" i="17" s="1"/>
  <c r="S65" i="17" a="1"/>
  <c r="S65" i="17" s="1"/>
  <c r="T65" i="17" a="1"/>
  <c r="T65" i="17" s="1"/>
  <c r="U65" i="17" a="1"/>
  <c r="U65" i="17" s="1"/>
  <c r="V65" i="17" a="1"/>
  <c r="V65" i="17" s="1"/>
  <c r="W65" i="17" a="1"/>
  <c r="W65" i="17" s="1"/>
  <c r="X65" i="17" a="1"/>
  <c r="X65" i="17" s="1"/>
  <c r="Y65" i="17" a="1"/>
  <c r="Y65" i="17" s="1"/>
  <c r="Z65" i="17" a="1"/>
  <c r="Z65" i="17" s="1"/>
  <c r="AD93" i="1" s="1"/>
  <c r="AA65" i="17" a="1"/>
  <c r="AA65" i="17" s="1"/>
  <c r="AE93" i="1" s="1"/>
  <c r="AB65" i="17" a="1"/>
  <c r="AB65" i="17" s="1"/>
  <c r="AF93" i="1" s="1"/>
  <c r="AC65" i="17" a="1"/>
  <c r="AC65" i="17" s="1"/>
  <c r="AD65" i="17" a="1"/>
  <c r="AD65" i="17" s="1"/>
  <c r="AE65" i="17" a="1"/>
  <c r="AE65" i="17" s="1"/>
  <c r="AF65" i="17" a="1"/>
  <c r="AF65" i="17" s="1"/>
  <c r="AG65" i="17" a="1"/>
  <c r="AG65" i="17" s="1"/>
  <c r="AH65" i="17" a="1"/>
  <c r="AH65" i="17" s="1"/>
  <c r="AI65" i="17" a="1"/>
  <c r="AI65" i="17" s="1"/>
  <c r="AJ65" i="17" a="1"/>
  <c r="AJ65" i="17" s="1"/>
  <c r="AK65" i="17" a="1"/>
  <c r="AK65" i="17" s="1"/>
  <c r="AL65" i="17" a="1"/>
  <c r="AL65" i="17" s="1"/>
  <c r="C66" i="17" a="1"/>
  <c r="C66" i="17" s="1"/>
  <c r="D66" i="17" a="1"/>
  <c r="D66" i="17" s="1"/>
  <c r="E66" i="17" a="1"/>
  <c r="E66" i="17" s="1"/>
  <c r="F66" i="17" a="1"/>
  <c r="F66" i="17" s="1"/>
  <c r="G66" i="17" a="1"/>
  <c r="G66" i="17" s="1"/>
  <c r="H66" i="17" a="1"/>
  <c r="H66" i="17" s="1"/>
  <c r="I66" i="17" a="1"/>
  <c r="I66" i="17" s="1"/>
  <c r="J66" i="17" a="1"/>
  <c r="J66" i="17"/>
  <c r="K66" i="17" a="1"/>
  <c r="K66" i="17" s="1"/>
  <c r="L66" i="17" a="1"/>
  <c r="L66" i="17" s="1"/>
  <c r="M66" i="17" a="1"/>
  <c r="M66" i="17" s="1"/>
  <c r="N66" i="17" a="1"/>
  <c r="N66" i="17" s="1"/>
  <c r="O66" i="17" a="1"/>
  <c r="O66" i="17" s="1"/>
  <c r="P66" i="17" a="1"/>
  <c r="P66" i="17" s="1"/>
  <c r="Q66" i="17" a="1"/>
  <c r="Q66" i="17" s="1"/>
  <c r="R66" i="17" a="1"/>
  <c r="R66" i="17" s="1"/>
  <c r="S66" i="17" a="1"/>
  <c r="S66" i="17" s="1"/>
  <c r="T66" i="17" a="1"/>
  <c r="T66" i="17" s="1"/>
  <c r="U66" i="17" a="1"/>
  <c r="U66" i="17" s="1"/>
  <c r="V66" i="17" a="1"/>
  <c r="V66" i="17" s="1"/>
  <c r="W66" i="17" a="1"/>
  <c r="W66" i="17" s="1"/>
  <c r="X66" i="17" a="1"/>
  <c r="X66" i="17" s="1"/>
  <c r="Y66" i="17" a="1"/>
  <c r="Y66" i="17" s="1"/>
  <c r="Z66" i="17" a="1"/>
  <c r="Z66" i="17" s="1"/>
  <c r="AA66" i="17" a="1"/>
  <c r="AA66" i="17" s="1"/>
  <c r="AB66" i="17" a="1"/>
  <c r="AB66" i="17" s="1"/>
  <c r="AC66" i="17" a="1"/>
  <c r="AC66" i="17" s="1"/>
  <c r="AD66" i="17" a="1"/>
  <c r="AD66" i="17" s="1"/>
  <c r="AE66" i="17" a="1"/>
  <c r="AE66" i="17" s="1"/>
  <c r="AF66" i="17" a="1"/>
  <c r="AF66" i="17"/>
  <c r="AG66" i="17" a="1"/>
  <c r="AG66" i="17" s="1"/>
  <c r="AH66" i="17" a="1"/>
  <c r="AH66" i="17" s="1"/>
  <c r="AI66" i="17" a="1"/>
  <c r="AI66" i="17" s="1"/>
  <c r="AJ66" i="17" a="1"/>
  <c r="AJ66" i="17" s="1"/>
  <c r="AK66" i="17" a="1"/>
  <c r="AK66" i="17" s="1"/>
  <c r="AL66" i="17" a="1"/>
  <c r="AL66" i="17" s="1"/>
  <c r="AM66" i="17" a="1"/>
  <c r="AM66" i="17" s="1"/>
  <c r="B61" i="17" a="1"/>
  <c r="B61" i="17" s="1"/>
  <c r="B62" i="17" a="1"/>
  <c r="B62" i="17" s="1"/>
  <c r="B63" i="17" a="1"/>
  <c r="B63" i="17" s="1"/>
  <c r="B64" i="17" a="1"/>
  <c r="B64" i="17" s="1"/>
  <c r="B65" i="17" a="1"/>
  <c r="B65" i="17" s="1"/>
  <c r="B66" i="17" a="1"/>
  <c r="B66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/>
  <c r="B53" i="17" a="1"/>
  <c r="B53" i="17" s="1"/>
  <c r="B54" i="17" a="1"/>
  <c r="B54" i="17" s="1"/>
  <c r="B55" i="17" a="1"/>
  <c r="B55" i="17" s="1"/>
  <c r="B56" i="17" a="1"/>
  <c r="B56" i="17" s="1"/>
  <c r="B57" i="17" a="1"/>
  <c r="B57" i="17" s="1"/>
  <c r="B59" i="17" a="1"/>
  <c r="B59" i="17" s="1"/>
  <c r="B60" i="17" a="1"/>
  <c r="B60" i="17" s="1"/>
  <c r="B44" i="17" a="1"/>
  <c r="B44" i="17" s="1"/>
  <c r="BF23" i="19" a="1"/>
  <c r="BF23" i="19" s="1"/>
  <c r="BF24" i="19" a="1"/>
  <c r="BF24" i="19" s="1"/>
  <c r="BF25" i="19" a="1"/>
  <c r="BF25" i="19" s="1"/>
  <c r="BF26" i="19" a="1"/>
  <c r="BF26" i="19" s="1"/>
  <c r="BF27" i="19" a="1"/>
  <c r="BF27" i="19" s="1"/>
  <c r="BF28" i="19" a="1"/>
  <c r="BF28" i="19" s="1"/>
  <c r="BF29" i="19" a="1"/>
  <c r="BF29" i="19" s="1"/>
  <c r="BF30" i="19" a="1"/>
  <c r="BF30" i="19" s="1"/>
  <c r="BF31" i="19" a="1"/>
  <c r="BF31" i="19" s="1"/>
  <c r="BF32" i="19" a="1"/>
  <c r="BF32" i="19" s="1"/>
  <c r="BF21" i="19" a="1"/>
  <c r="BF21" i="19" s="1"/>
  <c r="BF22" i="19" a="1"/>
  <c r="BF22" i="19" s="1"/>
  <c r="BA28" i="15"/>
  <c r="BB28" i="15"/>
  <c r="BC28" i="15"/>
  <c r="BD28" i="15"/>
  <c r="BE28" i="15"/>
  <c r="BF28" i="15"/>
  <c r="BG28" i="15"/>
  <c r="BH28" i="15"/>
  <c r="BI28" i="15"/>
  <c r="AZ28" i="15"/>
  <c r="AY28" i="15"/>
  <c r="BB14" i="15"/>
  <c r="BC14" i="15"/>
  <c r="BD14" i="15"/>
  <c r="BE14" i="15"/>
  <c r="BF14" i="15"/>
  <c r="BG14" i="15"/>
  <c r="BH14" i="15"/>
  <c r="BI14" i="15"/>
  <c r="BB15" i="15"/>
  <c r="BC15" i="15"/>
  <c r="BD15" i="15"/>
  <c r="BE15" i="15"/>
  <c r="BF15" i="15"/>
  <c r="BG15" i="15"/>
  <c r="BH15" i="15"/>
  <c r="BI15" i="15"/>
  <c r="BB16" i="15"/>
  <c r="BG16" i="15"/>
  <c r="BH16" i="15"/>
  <c r="BI16" i="15"/>
  <c r="BB18" i="15"/>
  <c r="BC18" i="15"/>
  <c r="BD18" i="15"/>
  <c r="BE18" i="15"/>
  <c r="BF18" i="15"/>
  <c r="BG18" i="15"/>
  <c r="BH18" i="15"/>
  <c r="BI18" i="15"/>
  <c r="BB19" i="15"/>
  <c r="BC19" i="15"/>
  <c r="BD19" i="15"/>
  <c r="BE19" i="15"/>
  <c r="BF19" i="15"/>
  <c r="BG19" i="15"/>
  <c r="BH19" i="15"/>
  <c r="BI19" i="15"/>
  <c r="BB20" i="15"/>
  <c r="BC20" i="15"/>
  <c r="BF20" i="15"/>
  <c r="BG20" i="15"/>
  <c r="BH20" i="15"/>
  <c r="BI20" i="15"/>
  <c r="BB21" i="15"/>
  <c r="BC21" i="15"/>
  <c r="BD21" i="15"/>
  <c r="BE21" i="15"/>
  <c r="BF21" i="15"/>
  <c r="BG21" i="15"/>
  <c r="BH21" i="15"/>
  <c r="BI21" i="15"/>
  <c r="BA14" i="15"/>
  <c r="BA15" i="15"/>
  <c r="BA16" i="15"/>
  <c r="BA18" i="15"/>
  <c r="BA19" i="15"/>
  <c r="BA20" i="15"/>
  <c r="BA21" i="15"/>
  <c r="AZ14" i="15"/>
  <c r="AZ15" i="15"/>
  <c r="AZ16" i="15"/>
  <c r="AZ18" i="15"/>
  <c r="AZ19" i="15"/>
  <c r="AZ20" i="15"/>
  <c r="AZ21" i="15"/>
  <c r="AY14" i="15"/>
  <c r="AY15" i="15"/>
  <c r="AY16" i="15"/>
  <c r="BM16" i="15" s="1"/>
  <c r="AY18" i="15"/>
  <c r="AY19" i="15"/>
  <c r="AY20" i="15"/>
  <c r="AY21" i="15"/>
  <c r="AM22" i="14"/>
  <c r="AM51" i="14" s="1" a="1"/>
  <c r="AM51" i="14" s="1"/>
  <c r="AQ52" i="1" s="1"/>
  <c r="AN22" i="14"/>
  <c r="AN51" i="14" s="1" a="1"/>
  <c r="AN51" i="14" s="1"/>
  <c r="AR52" i="1" s="1"/>
  <c r="AO22" i="14"/>
  <c r="AO51" i="14" s="1" a="1"/>
  <c r="AO51" i="14" s="1"/>
  <c r="AS52" i="1" s="1"/>
  <c r="AP22" i="14"/>
  <c r="AP51" i="14" s="1" a="1"/>
  <c r="AP51" i="14" s="1"/>
  <c r="AT52" i="1" s="1"/>
  <c r="AQ22" i="14"/>
  <c r="AQ51" i="14" s="1" a="1"/>
  <c r="AQ51" i="14" s="1"/>
  <c r="AU52" i="1" s="1"/>
  <c r="AR22" i="14"/>
  <c r="AR51" i="14" s="1" a="1"/>
  <c r="AR51" i="14" s="1"/>
  <c r="AV52" i="1" s="1"/>
  <c r="AS22" i="14"/>
  <c r="AS51" i="14" s="1" a="1"/>
  <c r="AS51" i="14" s="1"/>
  <c r="AW52" i="1" s="1"/>
  <c r="AT22" i="14"/>
  <c r="AT51" i="14" s="1" a="1"/>
  <c r="AT51" i="14" s="1"/>
  <c r="AU22" i="14"/>
  <c r="AU51" i="14" s="1" a="1"/>
  <c r="AU51" i="14" s="1"/>
  <c r="AV22" i="14"/>
  <c r="AV51" i="14" s="1" a="1"/>
  <c r="AV51" i="14" s="1"/>
  <c r="AW22" i="14"/>
  <c r="AW51" i="14" s="1" a="1"/>
  <c r="AW51" i="14" s="1"/>
  <c r="AM23" i="14"/>
  <c r="AM52" i="14" s="1" a="1"/>
  <c r="AM52" i="14" s="1"/>
  <c r="AQ53" i="1" s="1"/>
  <c r="AN23" i="14"/>
  <c r="AN52" i="14" s="1" a="1"/>
  <c r="AN52" i="14" s="1"/>
  <c r="AR53" i="1" s="1"/>
  <c r="AO23" i="14"/>
  <c r="AO52" i="14" s="1" a="1"/>
  <c r="AO52" i="14" s="1"/>
  <c r="AS53" i="1" s="1"/>
  <c r="AP23" i="14"/>
  <c r="AP52" i="14" s="1" a="1"/>
  <c r="AP52" i="14" s="1"/>
  <c r="AT53" i="1" s="1"/>
  <c r="AQ23" i="14"/>
  <c r="AQ52" i="14" s="1" a="1"/>
  <c r="AQ52" i="14" s="1"/>
  <c r="AU53" i="1" s="1"/>
  <c r="AR23" i="14"/>
  <c r="AR52" i="14" s="1" a="1"/>
  <c r="AR52" i="14" s="1"/>
  <c r="AV53" i="1" s="1"/>
  <c r="AS23" i="14"/>
  <c r="AS52" i="14" s="1" a="1"/>
  <c r="AS52" i="14" s="1"/>
  <c r="AW53" i="1" s="1"/>
  <c r="AT23" i="14"/>
  <c r="AT52" i="14" s="1" a="1"/>
  <c r="AT52" i="14" s="1"/>
  <c r="AU23" i="14"/>
  <c r="AU52" i="14" s="1" a="1"/>
  <c r="AU52" i="14" s="1"/>
  <c r="AV23" i="14"/>
  <c r="AV52" i="14" s="1" a="1"/>
  <c r="AV52" i="14" s="1"/>
  <c r="AW23" i="14"/>
  <c r="AW52" i="14" s="1" a="1"/>
  <c r="AW52" i="14" s="1"/>
  <c r="AM24" i="14"/>
  <c r="AM53" i="14" s="1" a="1"/>
  <c r="AM53" i="14" s="1"/>
  <c r="AQ54" i="1" s="1"/>
  <c r="AN24" i="14"/>
  <c r="AN53" i="14" s="1" a="1"/>
  <c r="AN53" i="14" s="1"/>
  <c r="AR54" i="1" s="1"/>
  <c r="AO24" i="14"/>
  <c r="AO53" i="14" s="1" a="1"/>
  <c r="AO53" i="14" s="1"/>
  <c r="AS54" i="1" s="1"/>
  <c r="AP24" i="14"/>
  <c r="AP53" i="14" s="1" a="1"/>
  <c r="AP53" i="14" s="1"/>
  <c r="AT54" i="1" s="1"/>
  <c r="AQ24" i="14"/>
  <c r="AQ53" i="14" s="1" a="1"/>
  <c r="AQ53" i="14" s="1"/>
  <c r="AU54" i="1" s="1"/>
  <c r="AR24" i="14"/>
  <c r="AR53" i="14" s="1" a="1"/>
  <c r="AR53" i="14" s="1"/>
  <c r="AV54" i="1" s="1"/>
  <c r="AS24" i="14"/>
  <c r="AS53" i="14" s="1" a="1"/>
  <c r="AS53" i="14" s="1"/>
  <c r="AW54" i="1" s="1"/>
  <c r="AT24" i="14"/>
  <c r="AT53" i="14" s="1" a="1"/>
  <c r="AT53" i="14" s="1"/>
  <c r="AU24" i="14"/>
  <c r="AU53" i="14" s="1" a="1"/>
  <c r="AU53" i="14" s="1"/>
  <c r="AV24" i="14"/>
  <c r="AV53" i="14" s="1" a="1"/>
  <c r="AV53" i="14" s="1"/>
  <c r="AW24" i="14"/>
  <c r="AW53" i="14" s="1" a="1"/>
  <c r="AW53" i="14" s="1"/>
  <c r="AM25" i="14"/>
  <c r="AM54" i="14" s="1" a="1"/>
  <c r="AM54" i="14" s="1"/>
  <c r="AQ55" i="1" s="1"/>
  <c r="AN25" i="14"/>
  <c r="AN54" i="14" s="1" a="1"/>
  <c r="AN54" i="14" s="1"/>
  <c r="AR55" i="1" s="1"/>
  <c r="AO25" i="14"/>
  <c r="AO54" i="14" s="1" a="1"/>
  <c r="AO54" i="14" s="1"/>
  <c r="AS55" i="1" s="1"/>
  <c r="AP25" i="14"/>
  <c r="AP54" i="14" s="1" a="1"/>
  <c r="AP54" i="14" s="1"/>
  <c r="AT55" i="1" s="1"/>
  <c r="AQ25" i="14"/>
  <c r="AQ54" i="14" s="1" a="1"/>
  <c r="AQ54" i="14" s="1"/>
  <c r="AU55" i="1" s="1"/>
  <c r="AR25" i="14"/>
  <c r="AR54" i="14" s="1" a="1"/>
  <c r="AR54" i="14" s="1"/>
  <c r="AV55" i="1" s="1"/>
  <c r="AS25" i="14"/>
  <c r="AS54" i="14" s="1" a="1"/>
  <c r="AS54" i="14" s="1"/>
  <c r="AW55" i="1" s="1"/>
  <c r="AT25" i="14"/>
  <c r="AT54" i="14" s="1" a="1"/>
  <c r="AT54" i="14" s="1"/>
  <c r="AU25" i="14"/>
  <c r="AU54" i="14" s="1" a="1"/>
  <c r="AU54" i="14" s="1"/>
  <c r="AV25" i="14"/>
  <c r="AV54" i="14" s="1" a="1"/>
  <c r="AV54" i="14" s="1"/>
  <c r="AW25" i="14"/>
  <c r="AW54" i="14" s="1" a="1"/>
  <c r="AW54" i="14" s="1"/>
  <c r="AM26" i="14"/>
  <c r="AM55" i="14" s="1" a="1"/>
  <c r="AM55" i="14" s="1"/>
  <c r="AQ56" i="1" s="1"/>
  <c r="AN26" i="14"/>
  <c r="AN55" i="14" s="1" a="1"/>
  <c r="AN55" i="14" s="1"/>
  <c r="AR56" i="1" s="1"/>
  <c r="AO26" i="14"/>
  <c r="AO55" i="14" s="1" a="1"/>
  <c r="AO55" i="14" s="1"/>
  <c r="AS56" i="1" s="1"/>
  <c r="AP26" i="14"/>
  <c r="AP55" i="14" s="1" a="1"/>
  <c r="AP55" i="14" s="1"/>
  <c r="AT56" i="1" s="1"/>
  <c r="AQ26" i="14"/>
  <c r="AQ55" i="14" s="1" a="1"/>
  <c r="AQ55" i="14" s="1"/>
  <c r="AU56" i="1" s="1"/>
  <c r="AR26" i="14"/>
  <c r="AR55" i="14" s="1" a="1"/>
  <c r="AR55" i="14" s="1"/>
  <c r="AV56" i="1" s="1"/>
  <c r="AS26" i="14"/>
  <c r="AS55" i="14" s="1" a="1"/>
  <c r="AS55" i="14" s="1"/>
  <c r="AW56" i="1" s="1"/>
  <c r="AT26" i="14"/>
  <c r="AT55" i="14" s="1" a="1"/>
  <c r="AT55" i="14" s="1"/>
  <c r="AU26" i="14"/>
  <c r="AU55" i="14" s="1" a="1"/>
  <c r="AU55" i="14" s="1"/>
  <c r="AV26" i="14"/>
  <c r="AV55" i="14" s="1" a="1"/>
  <c r="AV55" i="14" s="1"/>
  <c r="AW26" i="14"/>
  <c r="AW55" i="14" s="1" a="1"/>
  <c r="AW55" i="14" s="1"/>
  <c r="AM27" i="14"/>
  <c r="AM56" i="14" s="1" a="1"/>
  <c r="AM56" i="14" s="1"/>
  <c r="AQ57" i="1" s="1"/>
  <c r="AN27" i="14"/>
  <c r="AN56" i="14" s="1" a="1"/>
  <c r="AN56" i="14" s="1"/>
  <c r="AR57" i="1" s="1"/>
  <c r="AO27" i="14"/>
  <c r="AO56" i="14" s="1" a="1"/>
  <c r="AO56" i="14" s="1"/>
  <c r="AS57" i="1" s="1"/>
  <c r="AP27" i="14"/>
  <c r="AP56" i="14" s="1" a="1"/>
  <c r="AP56" i="14" s="1"/>
  <c r="AT57" i="1" s="1"/>
  <c r="AQ27" i="14"/>
  <c r="AQ56" i="14" s="1" a="1"/>
  <c r="AQ56" i="14" s="1"/>
  <c r="AU57" i="1" s="1"/>
  <c r="AR27" i="14"/>
  <c r="AR56" i="14" s="1" a="1"/>
  <c r="AR56" i="14" s="1"/>
  <c r="AV57" i="1" s="1"/>
  <c r="AS27" i="14"/>
  <c r="AS56" i="14" s="1" a="1"/>
  <c r="AS56" i="14" s="1"/>
  <c r="AW57" i="1" s="1"/>
  <c r="AT27" i="14"/>
  <c r="AT56" i="14" s="1" a="1"/>
  <c r="AT56" i="14" s="1"/>
  <c r="AU27" i="14"/>
  <c r="AU56" i="14" s="1" a="1"/>
  <c r="AU56" i="14" s="1"/>
  <c r="AV27" i="14"/>
  <c r="AV56" i="14" s="1" a="1"/>
  <c r="AV56" i="14" s="1"/>
  <c r="AW27" i="14"/>
  <c r="AW56" i="14" s="1" a="1"/>
  <c r="AW56" i="14" s="1"/>
  <c r="AM28" i="14"/>
  <c r="AM57" i="14" s="1" a="1"/>
  <c r="AM57" i="14" s="1"/>
  <c r="AQ58" i="1" s="1"/>
  <c r="AN28" i="14"/>
  <c r="AN57" i="14" s="1" a="1"/>
  <c r="AN57" i="14" s="1"/>
  <c r="AR58" i="1" s="1"/>
  <c r="AO28" i="14"/>
  <c r="AO57" i="14" s="1" a="1"/>
  <c r="AO57" i="14" s="1"/>
  <c r="AS58" i="1" s="1"/>
  <c r="AP28" i="14"/>
  <c r="AP57" i="14" s="1" a="1"/>
  <c r="AP57" i="14" s="1"/>
  <c r="AT58" i="1" s="1"/>
  <c r="AQ28" i="14"/>
  <c r="AQ57" i="14" s="1" a="1"/>
  <c r="AQ57" i="14" s="1"/>
  <c r="AU58" i="1" s="1"/>
  <c r="AR28" i="14"/>
  <c r="AR57" i="14" s="1" a="1"/>
  <c r="AR57" i="14" s="1"/>
  <c r="AV58" i="1" s="1"/>
  <c r="AS28" i="14"/>
  <c r="AS57" i="14" s="1" a="1"/>
  <c r="AS57" i="14" s="1"/>
  <c r="AW58" i="1" s="1"/>
  <c r="AT28" i="14"/>
  <c r="AT57" i="14" s="1" a="1"/>
  <c r="AT57" i="14" s="1"/>
  <c r="AU28" i="14"/>
  <c r="AU57" i="14" s="1" a="1"/>
  <c r="AU57" i="14" s="1"/>
  <c r="AV28" i="14"/>
  <c r="AV57" i="14" s="1" a="1"/>
  <c r="AV57" i="14" s="1"/>
  <c r="AW28" i="14"/>
  <c r="AW57" i="14" s="1" a="1"/>
  <c r="AW57" i="14" s="1"/>
  <c r="AM29" i="14"/>
  <c r="AM58" i="14" s="1" a="1"/>
  <c r="AM58" i="14" s="1"/>
  <c r="AQ59" i="1" s="1"/>
  <c r="AN29" i="14"/>
  <c r="AN58" i="14" s="1" a="1"/>
  <c r="AN58" i="14" s="1"/>
  <c r="AR59" i="1" s="1"/>
  <c r="AO29" i="14"/>
  <c r="AO58" i="14" s="1" a="1"/>
  <c r="AO58" i="14" s="1"/>
  <c r="AS59" i="1" s="1"/>
  <c r="AP29" i="14"/>
  <c r="AP58" i="14" s="1" a="1"/>
  <c r="AP58" i="14" s="1"/>
  <c r="AT59" i="1" s="1"/>
  <c r="AQ29" i="14"/>
  <c r="AQ58" i="14" s="1" a="1"/>
  <c r="AQ58" i="14" s="1"/>
  <c r="AU59" i="1" s="1"/>
  <c r="AR29" i="14"/>
  <c r="AR58" i="14" s="1" a="1"/>
  <c r="AR58" i="14" s="1"/>
  <c r="AV59" i="1" s="1"/>
  <c r="AS29" i="14"/>
  <c r="AS58" i="14" s="1" a="1"/>
  <c r="AS58" i="14" s="1"/>
  <c r="AW59" i="1" s="1"/>
  <c r="AT29" i="14"/>
  <c r="AT58" i="14" s="1" a="1"/>
  <c r="AT58" i="14" s="1"/>
  <c r="AU29" i="14"/>
  <c r="AU58" i="14" s="1" a="1"/>
  <c r="AU58" i="14" s="1"/>
  <c r="AV29" i="14"/>
  <c r="AV58" i="14" s="1" a="1"/>
  <c r="AV58" i="14" s="1"/>
  <c r="AW29" i="14"/>
  <c r="AW58" i="14" s="1" a="1"/>
  <c r="AW58" i="14" s="1"/>
  <c r="AM30" i="14"/>
  <c r="AM59" i="14" s="1" a="1"/>
  <c r="AM59" i="14" s="1"/>
  <c r="AQ60" i="1" s="1"/>
  <c r="AN30" i="14"/>
  <c r="AN59" i="14" s="1" a="1"/>
  <c r="AN59" i="14" s="1"/>
  <c r="AR60" i="1" s="1"/>
  <c r="AO30" i="14"/>
  <c r="AO59" i="14" s="1" a="1"/>
  <c r="AO59" i="14" s="1"/>
  <c r="AS60" i="1" s="1"/>
  <c r="AP30" i="14"/>
  <c r="AP59" i="14" s="1" a="1"/>
  <c r="AP59" i="14" s="1"/>
  <c r="AT60" i="1" s="1"/>
  <c r="AQ30" i="14"/>
  <c r="AQ59" i="14" s="1" a="1"/>
  <c r="AQ59" i="14" s="1"/>
  <c r="AU60" i="1" s="1"/>
  <c r="AR30" i="14"/>
  <c r="AR59" i="14" s="1" a="1"/>
  <c r="AR59" i="14" s="1"/>
  <c r="AV60" i="1" s="1"/>
  <c r="AS30" i="14"/>
  <c r="AS59" i="14" s="1" a="1"/>
  <c r="AS59" i="14" s="1"/>
  <c r="AW60" i="1" s="1"/>
  <c r="AT30" i="14"/>
  <c r="AT59" i="14" s="1" a="1"/>
  <c r="AT59" i="14" s="1"/>
  <c r="AU30" i="14"/>
  <c r="AU59" i="14" s="1" a="1"/>
  <c r="AU59" i="14" s="1"/>
  <c r="AV30" i="14"/>
  <c r="AV59" i="14" s="1" a="1"/>
  <c r="AV59" i="14" s="1"/>
  <c r="AW30" i="14"/>
  <c r="AW59" i="14" s="1" a="1"/>
  <c r="AW59" i="14" s="1"/>
  <c r="AM31" i="14"/>
  <c r="AM60" i="14" s="1" a="1"/>
  <c r="AM60" i="14" s="1"/>
  <c r="AQ61" i="1" s="1"/>
  <c r="AN31" i="14"/>
  <c r="AN60" i="14" s="1" a="1"/>
  <c r="AN60" i="14" s="1"/>
  <c r="AR61" i="1" s="1"/>
  <c r="AO31" i="14"/>
  <c r="AO60" i="14" s="1" a="1"/>
  <c r="AO60" i="14" s="1"/>
  <c r="AS61" i="1" s="1"/>
  <c r="AP31" i="14"/>
  <c r="AP60" i="14" s="1" a="1"/>
  <c r="AP60" i="14" s="1"/>
  <c r="AT61" i="1" s="1"/>
  <c r="AQ31" i="14"/>
  <c r="AQ60" i="14" s="1" a="1"/>
  <c r="AQ60" i="14" s="1"/>
  <c r="AU61" i="1" s="1"/>
  <c r="AR31" i="14"/>
  <c r="AR60" i="14" s="1" a="1"/>
  <c r="AR60" i="14" s="1"/>
  <c r="AV61" i="1" s="1"/>
  <c r="AS31" i="14"/>
  <c r="AS60" i="14" s="1" a="1"/>
  <c r="AS60" i="14" s="1"/>
  <c r="AW61" i="1" s="1"/>
  <c r="AT31" i="14"/>
  <c r="AT60" i="14" s="1" a="1"/>
  <c r="AT60" i="14" s="1"/>
  <c r="AU31" i="14"/>
  <c r="AU60" i="14" s="1" a="1"/>
  <c r="AU60" i="14" s="1"/>
  <c r="AV31" i="14"/>
  <c r="AV60" i="14" s="1" a="1"/>
  <c r="AV60" i="14" s="1"/>
  <c r="AW31" i="14"/>
  <c r="AW60" i="14" s="1" a="1"/>
  <c r="AW60" i="14" s="1"/>
  <c r="AM32" i="14"/>
  <c r="AM61" i="14" s="1" a="1"/>
  <c r="AM61" i="14" s="1"/>
  <c r="AQ62" i="1" s="1"/>
  <c r="AN32" i="14"/>
  <c r="AN61" i="14" s="1" a="1"/>
  <c r="AN61" i="14" s="1"/>
  <c r="AR62" i="1" s="1"/>
  <c r="AO32" i="14"/>
  <c r="AO61" i="14" s="1" a="1"/>
  <c r="AO61" i="14" s="1"/>
  <c r="AS62" i="1" s="1"/>
  <c r="AP32" i="14"/>
  <c r="AP61" i="14" s="1" a="1"/>
  <c r="AP61" i="14" s="1"/>
  <c r="AT62" i="1" s="1"/>
  <c r="AQ32" i="14"/>
  <c r="AQ61" i="14" s="1" a="1"/>
  <c r="AQ61" i="14" s="1"/>
  <c r="AU62" i="1" s="1"/>
  <c r="AR32" i="14"/>
  <c r="AR61" i="14" s="1" a="1"/>
  <c r="AR61" i="14" s="1"/>
  <c r="AV62" i="1" s="1"/>
  <c r="AS32" i="14"/>
  <c r="AS61" i="14" s="1" a="1"/>
  <c r="AS61" i="14" s="1"/>
  <c r="AW62" i="1" s="1"/>
  <c r="AT32" i="14"/>
  <c r="AT61" i="14" s="1" a="1"/>
  <c r="AT61" i="14" s="1"/>
  <c r="AU32" i="14"/>
  <c r="AU61" i="14" s="1" a="1"/>
  <c r="AU61" i="14" s="1"/>
  <c r="AV32" i="14"/>
  <c r="AV61" i="14" s="1" a="1"/>
  <c r="AV61" i="14" s="1"/>
  <c r="AW32" i="14"/>
  <c r="AW61" i="14" s="1" a="1"/>
  <c r="AW61" i="14" s="1"/>
  <c r="AM33" i="14"/>
  <c r="AM62" i="14" s="1" a="1"/>
  <c r="AM62" i="14" s="1"/>
  <c r="AQ63" i="1" s="1"/>
  <c r="AN33" i="14"/>
  <c r="AN62" i="14" s="1" a="1"/>
  <c r="AN62" i="14" s="1"/>
  <c r="AR63" i="1" s="1"/>
  <c r="AO33" i="14"/>
  <c r="AO62" i="14" s="1" a="1"/>
  <c r="AO62" i="14" s="1"/>
  <c r="AS63" i="1" s="1"/>
  <c r="AP33" i="14"/>
  <c r="AP62" i="14" s="1" a="1"/>
  <c r="AP62" i="14" s="1"/>
  <c r="AT63" i="1" s="1"/>
  <c r="AQ33" i="14"/>
  <c r="AQ62" i="14" s="1" a="1"/>
  <c r="AQ62" i="14" s="1"/>
  <c r="AU63" i="1" s="1"/>
  <c r="AR33" i="14"/>
  <c r="AR62" i="14" s="1" a="1"/>
  <c r="AR62" i="14" s="1"/>
  <c r="AV63" i="1" s="1"/>
  <c r="AS33" i="14"/>
  <c r="AS62" i="14" s="1" a="1"/>
  <c r="AS62" i="14" s="1"/>
  <c r="AW63" i="1" s="1"/>
  <c r="AT33" i="14"/>
  <c r="AT62" i="14" s="1" a="1"/>
  <c r="AT62" i="14" s="1"/>
  <c r="AU33" i="14"/>
  <c r="AU62" i="14" s="1" a="1"/>
  <c r="AU62" i="14" s="1"/>
  <c r="AV33" i="14"/>
  <c r="AV62" i="14" s="1" a="1"/>
  <c r="AV62" i="14" s="1"/>
  <c r="AW33" i="14"/>
  <c r="AW62" i="14" s="1" a="1"/>
  <c r="AW62" i="14" s="1"/>
  <c r="AM34" i="14"/>
  <c r="AM63" i="14" s="1" a="1"/>
  <c r="AM63" i="14" s="1"/>
  <c r="AQ64" i="1" s="1"/>
  <c r="AN34" i="14"/>
  <c r="AN63" i="14" s="1" a="1"/>
  <c r="AN63" i="14" s="1"/>
  <c r="AR64" i="1" s="1"/>
  <c r="AO34" i="14"/>
  <c r="AO63" i="14" s="1" a="1"/>
  <c r="AO63" i="14" s="1"/>
  <c r="AS64" i="1" s="1"/>
  <c r="AP34" i="14"/>
  <c r="AP63" i="14" s="1" a="1"/>
  <c r="AP63" i="14" s="1"/>
  <c r="AT64" i="1" s="1"/>
  <c r="AQ34" i="14"/>
  <c r="AQ63" i="14" s="1" a="1"/>
  <c r="AQ63" i="14" s="1"/>
  <c r="AU64" i="1" s="1"/>
  <c r="AR34" i="14"/>
  <c r="AR63" i="14" s="1" a="1"/>
  <c r="AR63" i="14" s="1"/>
  <c r="AV64" i="1" s="1"/>
  <c r="AS34" i="14"/>
  <c r="AS63" i="14" s="1" a="1"/>
  <c r="AS63" i="14" s="1"/>
  <c r="AW64" i="1" s="1"/>
  <c r="AT34" i="14"/>
  <c r="AT63" i="14" s="1" a="1"/>
  <c r="AT63" i="14" s="1"/>
  <c r="AU34" i="14"/>
  <c r="AU63" i="14" s="1" a="1"/>
  <c r="AU63" i="14" s="1"/>
  <c r="AV34" i="14"/>
  <c r="AV63" i="14" s="1" a="1"/>
  <c r="AV63" i="14" s="1"/>
  <c r="AW34" i="14"/>
  <c r="AW63" i="14" s="1" a="1"/>
  <c r="AW63" i="14" s="1"/>
  <c r="AM35" i="14"/>
  <c r="AM64" i="14" s="1" a="1"/>
  <c r="AM64" i="14" s="1"/>
  <c r="AQ65" i="1" s="1"/>
  <c r="AN35" i="14"/>
  <c r="AN64" i="14" s="1" a="1"/>
  <c r="AN64" i="14" s="1"/>
  <c r="AR65" i="1" s="1"/>
  <c r="AO35" i="14"/>
  <c r="AO64" i="14" s="1" a="1"/>
  <c r="AO64" i="14" s="1"/>
  <c r="AS65" i="1" s="1"/>
  <c r="AP35" i="14"/>
  <c r="AP64" i="14" s="1" a="1"/>
  <c r="AP64" i="14" s="1"/>
  <c r="AT65" i="1" s="1"/>
  <c r="AQ35" i="14"/>
  <c r="AQ64" i="14" s="1" a="1"/>
  <c r="AQ64" i="14" s="1"/>
  <c r="AU65" i="1" s="1"/>
  <c r="AR35" i="14"/>
  <c r="AR64" i="14" s="1" a="1"/>
  <c r="AR64" i="14" s="1"/>
  <c r="AV65" i="1" s="1"/>
  <c r="AS35" i="14"/>
  <c r="AS64" i="14" s="1" a="1"/>
  <c r="AS64" i="14" s="1"/>
  <c r="AW65" i="1" s="1"/>
  <c r="AT35" i="14"/>
  <c r="AT64" i="14" s="1" a="1"/>
  <c r="AT64" i="14" s="1"/>
  <c r="AU35" i="14"/>
  <c r="AU64" i="14" s="1" a="1"/>
  <c r="AU64" i="14" s="1"/>
  <c r="AV35" i="14"/>
  <c r="AV64" i="14" s="1" a="1"/>
  <c r="AV64" i="14" s="1"/>
  <c r="AW35" i="14"/>
  <c r="AW64" i="14" s="1" a="1"/>
  <c r="AW64" i="14" s="1"/>
  <c r="AM36" i="14"/>
  <c r="AM65" i="14" s="1" a="1"/>
  <c r="AM65" i="14" s="1"/>
  <c r="AQ66" i="1" s="1"/>
  <c r="AN36" i="14"/>
  <c r="AN65" i="14" s="1" a="1"/>
  <c r="AN65" i="14" s="1"/>
  <c r="AR66" i="1" s="1"/>
  <c r="AO36" i="14"/>
  <c r="AO65" i="14" s="1" a="1"/>
  <c r="AO65" i="14" s="1"/>
  <c r="AS66" i="1" s="1"/>
  <c r="AP36" i="14"/>
  <c r="AP65" i="14" s="1" a="1"/>
  <c r="AP65" i="14" s="1"/>
  <c r="AT66" i="1" s="1"/>
  <c r="AQ36" i="14"/>
  <c r="AQ65" i="14" s="1" a="1"/>
  <c r="AQ65" i="14" s="1"/>
  <c r="AU66" i="1" s="1"/>
  <c r="AR36" i="14"/>
  <c r="AR65" i="14" s="1" a="1"/>
  <c r="AR65" i="14" s="1"/>
  <c r="AV66" i="1" s="1"/>
  <c r="AS36" i="14"/>
  <c r="AS65" i="14" s="1" a="1"/>
  <c r="AS65" i="14" s="1"/>
  <c r="AW66" i="1" s="1"/>
  <c r="AT36" i="14"/>
  <c r="AT65" i="14" s="1" a="1"/>
  <c r="AT65" i="14" s="1"/>
  <c r="AU36" i="14"/>
  <c r="AU65" i="14" s="1" a="1"/>
  <c r="AU65" i="14" s="1"/>
  <c r="AV36" i="14"/>
  <c r="AV65" i="14" s="1" a="1"/>
  <c r="AV65" i="14" s="1"/>
  <c r="AW36" i="14"/>
  <c r="AW65" i="14" s="1" a="1"/>
  <c r="AW65" i="14" s="1"/>
  <c r="AM37" i="14"/>
  <c r="AM66" i="14" s="1" a="1"/>
  <c r="AM66" i="14" s="1"/>
  <c r="AQ67" i="1" s="1"/>
  <c r="AN37" i="14"/>
  <c r="AN66" i="14" s="1" a="1"/>
  <c r="AN66" i="14" s="1"/>
  <c r="AR67" i="1" s="1"/>
  <c r="AO37" i="14"/>
  <c r="AO66" i="14" s="1" a="1"/>
  <c r="AO66" i="14" s="1"/>
  <c r="AS67" i="1" s="1"/>
  <c r="AP37" i="14"/>
  <c r="AP66" i="14" s="1" a="1"/>
  <c r="AP66" i="14" s="1"/>
  <c r="AT67" i="1" s="1"/>
  <c r="AQ37" i="14"/>
  <c r="AQ66" i="14" s="1" a="1"/>
  <c r="AQ66" i="14" s="1"/>
  <c r="AU67" i="1" s="1"/>
  <c r="AR37" i="14"/>
  <c r="AR66" i="14" s="1" a="1"/>
  <c r="AR66" i="14" s="1"/>
  <c r="AV67" i="1" s="1"/>
  <c r="AS37" i="14"/>
  <c r="AS66" i="14" s="1" a="1"/>
  <c r="AS66" i="14" s="1"/>
  <c r="AW67" i="1" s="1"/>
  <c r="AT37" i="14"/>
  <c r="AT66" i="14" s="1" a="1"/>
  <c r="AT66" i="14" s="1"/>
  <c r="AU37" i="14"/>
  <c r="AU66" i="14" s="1" a="1"/>
  <c r="AU66" i="14" s="1"/>
  <c r="AV37" i="14"/>
  <c r="AV66" i="14" s="1" a="1"/>
  <c r="AV66" i="14" s="1"/>
  <c r="AW37" i="14"/>
  <c r="AW66" i="14" s="1" a="1"/>
  <c r="AW66" i="14" s="1"/>
  <c r="AL22" i="14"/>
  <c r="AL51" i="14" s="1" a="1"/>
  <c r="AL51" i="14" s="1"/>
  <c r="AP52" i="1" s="1"/>
  <c r="AL23" i="14"/>
  <c r="AL52" i="14" s="1" a="1"/>
  <c r="AL52" i="14" s="1"/>
  <c r="AP53" i="1" s="1"/>
  <c r="AL24" i="14"/>
  <c r="AL53" i="14" s="1" a="1"/>
  <c r="AL53" i="14" s="1"/>
  <c r="AP54" i="1" s="1"/>
  <c r="AL25" i="14"/>
  <c r="AL54" i="14" s="1" a="1"/>
  <c r="AL54" i="14" s="1"/>
  <c r="AP55" i="1" s="1"/>
  <c r="AL26" i="14"/>
  <c r="AL55" i="14" s="1" a="1"/>
  <c r="AL55" i="14" s="1"/>
  <c r="AP56" i="1" s="1"/>
  <c r="AL27" i="14"/>
  <c r="AL56" i="14" s="1" a="1"/>
  <c r="AL56" i="14" s="1"/>
  <c r="AP57" i="1" s="1"/>
  <c r="AL28" i="14"/>
  <c r="AL57" i="14" s="1" a="1"/>
  <c r="AL57" i="14" s="1"/>
  <c r="AP58" i="1" s="1"/>
  <c r="AL29" i="14"/>
  <c r="AL58" i="14" s="1" a="1"/>
  <c r="AL58" i="14" s="1"/>
  <c r="AP59" i="1" s="1"/>
  <c r="AL30" i="14"/>
  <c r="AL59" i="14" s="1" a="1"/>
  <c r="AL59" i="14" s="1"/>
  <c r="AP60" i="1" s="1"/>
  <c r="AL31" i="14"/>
  <c r="AL60" i="14" s="1" a="1"/>
  <c r="AL60" i="14" s="1"/>
  <c r="AP61" i="1" s="1"/>
  <c r="AL32" i="14"/>
  <c r="AL61" i="14" s="1" a="1"/>
  <c r="AL61" i="14" s="1"/>
  <c r="AP62" i="1" s="1"/>
  <c r="AL33" i="14"/>
  <c r="AL62" i="14" s="1" a="1"/>
  <c r="AL62" i="14" s="1"/>
  <c r="AP63" i="1" s="1"/>
  <c r="AL34" i="14"/>
  <c r="AL63" i="14" s="1" a="1"/>
  <c r="AL63" i="14" s="1"/>
  <c r="AP64" i="1" s="1"/>
  <c r="AL35" i="14"/>
  <c r="AL64" i="14" s="1" a="1"/>
  <c r="AL64" i="14" s="1"/>
  <c r="AP65" i="1" s="1"/>
  <c r="AL36" i="14"/>
  <c r="AL65" i="14" s="1" a="1"/>
  <c r="AL65" i="14" s="1"/>
  <c r="AP66" i="1" s="1"/>
  <c r="AL37" i="14"/>
  <c r="AL66" i="14" s="1" a="1"/>
  <c r="AL66" i="14" s="1"/>
  <c r="AP67" i="1" s="1"/>
  <c r="AK22" i="14"/>
  <c r="AK51" i="14" s="1" a="1"/>
  <c r="AK51" i="14" s="1"/>
  <c r="AO52" i="1" s="1"/>
  <c r="AL21" i="14"/>
  <c r="AL50" i="14" s="1" a="1"/>
  <c r="AL50" i="14" s="1"/>
  <c r="AP51" i="1" s="1"/>
  <c r="AM21" i="14"/>
  <c r="AM50" i="14" s="1" a="1"/>
  <c r="AM50" i="14" s="1"/>
  <c r="AQ51" i="1" s="1"/>
  <c r="AN21" i="14"/>
  <c r="AN50" i="14" s="1" a="1"/>
  <c r="AN50" i="14" s="1"/>
  <c r="AR51" i="1" s="1"/>
  <c r="AO21" i="14"/>
  <c r="AO50" i="14" s="1" a="1"/>
  <c r="AO50" i="14" s="1"/>
  <c r="AS51" i="1" s="1"/>
  <c r="AP21" i="14"/>
  <c r="AP50" i="14" s="1" a="1"/>
  <c r="AP50" i="14" s="1"/>
  <c r="AT51" i="1" s="1"/>
  <c r="AQ21" i="14"/>
  <c r="AQ50" i="14" s="1" a="1"/>
  <c r="AQ50" i="14" s="1"/>
  <c r="AU51" i="1" s="1"/>
  <c r="AR21" i="14"/>
  <c r="AR50" i="14" s="1" a="1"/>
  <c r="AR50" i="14" s="1"/>
  <c r="AV51" i="1" s="1"/>
  <c r="AS21" i="14"/>
  <c r="AS50" i="14" s="1" a="1"/>
  <c r="AS50" i="14" s="1"/>
  <c r="AW51" i="1" s="1"/>
  <c r="AT21" i="14"/>
  <c r="AT50" i="14" s="1" a="1"/>
  <c r="AT50" i="14" s="1"/>
  <c r="AU21" i="14"/>
  <c r="AU50" i="14" s="1" a="1"/>
  <c r="AU50" i="14" s="1"/>
  <c r="AV21" i="14"/>
  <c r="AV50" i="14" s="1" a="1"/>
  <c r="AV50" i="14" s="1"/>
  <c r="AW21" i="14"/>
  <c r="AW50" i="14" s="1" a="1"/>
  <c r="AW50" i="14" s="1"/>
  <c r="AL20" i="14"/>
  <c r="AL49" i="14" s="1" a="1"/>
  <c r="AL49" i="14" s="1"/>
  <c r="AP50" i="1" s="1"/>
  <c r="AM20" i="14"/>
  <c r="AM49" i="14" s="1" a="1"/>
  <c r="AM49" i="14" s="1"/>
  <c r="AQ50" i="1" s="1"/>
  <c r="AN20" i="14"/>
  <c r="AN49" i="14" s="1" a="1"/>
  <c r="AN49" i="14" s="1"/>
  <c r="AR50" i="1" s="1"/>
  <c r="AO20" i="14"/>
  <c r="AO49" i="14" s="1" a="1"/>
  <c r="AO49" i="14" s="1"/>
  <c r="AS50" i="1" s="1"/>
  <c r="AP20" i="14"/>
  <c r="AP49" i="14" s="1" a="1"/>
  <c r="AP49" i="14" s="1"/>
  <c r="AT50" i="1" s="1"/>
  <c r="AQ20" i="14"/>
  <c r="AQ49" i="14" s="1" a="1"/>
  <c r="AQ49" i="14" s="1"/>
  <c r="AU50" i="1" s="1"/>
  <c r="AR20" i="14"/>
  <c r="AR49" i="14" s="1" a="1"/>
  <c r="AR49" i="14" s="1"/>
  <c r="AV50" i="1" s="1"/>
  <c r="AS20" i="14"/>
  <c r="AS49" i="14" s="1" a="1"/>
  <c r="AS49" i="14" s="1"/>
  <c r="AW50" i="1" s="1"/>
  <c r="AT20" i="14"/>
  <c r="AT49" i="14" s="1" a="1"/>
  <c r="AT49" i="14" s="1"/>
  <c r="AU20" i="14"/>
  <c r="AU49" i="14" s="1" a="1"/>
  <c r="AU49" i="14" s="1"/>
  <c r="AV20" i="14"/>
  <c r="AV49" i="14" s="1" a="1"/>
  <c r="AV49" i="14" s="1"/>
  <c r="AW20" i="14"/>
  <c r="AW49" i="14" s="1" a="1"/>
  <c r="AW49" i="14" s="1"/>
  <c r="AL17" i="14"/>
  <c r="AL46" i="14" s="1" a="1"/>
  <c r="AL46" i="14" s="1"/>
  <c r="AP47" i="1" s="1"/>
  <c r="AM17" i="14"/>
  <c r="AM46" i="14" s="1" a="1"/>
  <c r="AM46" i="14" s="1"/>
  <c r="AQ47" i="1" s="1"/>
  <c r="AN17" i="14"/>
  <c r="AN46" i="14" s="1" a="1"/>
  <c r="AN46" i="14" s="1"/>
  <c r="AR47" i="1" s="1"/>
  <c r="AO17" i="14"/>
  <c r="AO46" i="14" s="1" a="1"/>
  <c r="AO46" i="14" s="1"/>
  <c r="AS47" i="1" s="1"/>
  <c r="AP17" i="14"/>
  <c r="AP46" i="14" s="1" a="1"/>
  <c r="AP46" i="14" s="1"/>
  <c r="AT47" i="1" s="1"/>
  <c r="AQ17" i="14"/>
  <c r="AQ46" i="14" s="1" a="1"/>
  <c r="AQ46" i="14" s="1"/>
  <c r="AU47" i="1" s="1"/>
  <c r="AR17" i="14"/>
  <c r="AR46" i="14" s="1" a="1"/>
  <c r="AR46" i="14" s="1"/>
  <c r="AV47" i="1" s="1"/>
  <c r="AS17" i="14"/>
  <c r="AS46" i="14" s="1" a="1"/>
  <c r="AS46" i="14" s="1"/>
  <c r="AW47" i="1" s="1"/>
  <c r="AT17" i="14"/>
  <c r="AT46" i="14" s="1" a="1"/>
  <c r="AT46" i="14" s="1"/>
  <c r="AU17" i="14"/>
  <c r="AU46" i="14" s="1" a="1"/>
  <c r="AU46" i="14" s="1"/>
  <c r="AV17" i="14"/>
  <c r="AV46" i="14" s="1" a="1"/>
  <c r="AV46" i="14" s="1"/>
  <c r="AW17" i="14"/>
  <c r="AW46" i="14" s="1" a="1"/>
  <c r="AW46" i="14" s="1"/>
  <c r="AJ17" i="14"/>
  <c r="AJ46" i="14" s="1" a="1"/>
  <c r="AJ46" i="14" s="1"/>
  <c r="AN47" i="1" s="1"/>
  <c r="AK17" i="14"/>
  <c r="AK46" i="14" s="1" a="1"/>
  <c r="AK46" i="14" s="1"/>
  <c r="AO47" i="1" s="1"/>
  <c r="AK16" i="14"/>
  <c r="AK45" i="14" s="1" a="1"/>
  <c r="AK45" i="14" s="1"/>
  <c r="AO46" i="1" s="1"/>
  <c r="AL16" i="14"/>
  <c r="AL45" i="14" s="1" a="1"/>
  <c r="AL45" i="14" s="1"/>
  <c r="AP46" i="1" s="1"/>
  <c r="AM16" i="14"/>
  <c r="AM45" i="14" s="1" a="1"/>
  <c r="AM45" i="14" s="1"/>
  <c r="AQ46" i="1" s="1"/>
  <c r="AN16" i="14"/>
  <c r="AN45" i="14" s="1" a="1"/>
  <c r="AN45" i="14" s="1"/>
  <c r="AR46" i="1" s="1"/>
  <c r="AO16" i="14"/>
  <c r="AO45" i="14" s="1" a="1"/>
  <c r="AO45" i="14" s="1"/>
  <c r="AS46" i="1" s="1"/>
  <c r="AP16" i="14"/>
  <c r="AP45" i="14" s="1" a="1"/>
  <c r="AP45" i="14" s="1"/>
  <c r="AT46" i="1" s="1"/>
  <c r="AQ16" i="14"/>
  <c r="AQ45" i="14" s="1" a="1"/>
  <c r="AQ45" i="14" s="1"/>
  <c r="AU46" i="1" s="1"/>
  <c r="AR16" i="14"/>
  <c r="AR45" i="14" s="1" a="1"/>
  <c r="AR45" i="14" s="1"/>
  <c r="AV46" i="1" s="1"/>
  <c r="AS16" i="14"/>
  <c r="AS45" i="14" s="1" a="1"/>
  <c r="AS45" i="14" s="1"/>
  <c r="AW46" i="1" s="1"/>
  <c r="AT16" i="14"/>
  <c r="AT45" i="14" s="1" a="1"/>
  <c r="AT45" i="14" s="1"/>
  <c r="AU16" i="14"/>
  <c r="AU45" i="14" s="1" a="1"/>
  <c r="AU45" i="14" s="1"/>
  <c r="AV16" i="14"/>
  <c r="AV45" i="14" s="1" a="1"/>
  <c r="AV45" i="14" s="1"/>
  <c r="AW16" i="14"/>
  <c r="AW45" i="14" s="1" a="1"/>
  <c r="AW45" i="14" s="1"/>
  <c r="AL15" i="14"/>
  <c r="AL44" i="14" s="1" a="1"/>
  <c r="AL44" i="14" s="1"/>
  <c r="AP45" i="1" s="1"/>
  <c r="AM15" i="14"/>
  <c r="AM44" i="14" s="1" a="1"/>
  <c r="AM44" i="14" s="1"/>
  <c r="AQ45" i="1" s="1"/>
  <c r="AN15" i="14"/>
  <c r="AN44" i="14" s="1" a="1"/>
  <c r="AN44" i="14" s="1"/>
  <c r="AR45" i="1" s="1"/>
  <c r="AO15" i="14"/>
  <c r="AO44" i="14" s="1" a="1"/>
  <c r="AO44" i="14" s="1"/>
  <c r="AS45" i="1" s="1"/>
  <c r="AP15" i="14"/>
  <c r="AP44" i="14" s="1" a="1"/>
  <c r="AP44" i="14" s="1"/>
  <c r="AT45" i="1" s="1"/>
  <c r="AQ15" i="14"/>
  <c r="AQ44" i="14" s="1" a="1"/>
  <c r="AQ44" i="14" s="1"/>
  <c r="AU45" i="1" s="1"/>
  <c r="AR15" i="14"/>
  <c r="AR44" i="14" s="1" a="1"/>
  <c r="AR44" i="14" s="1"/>
  <c r="AV45" i="1" s="1"/>
  <c r="AS15" i="14"/>
  <c r="AS44" i="14" s="1" a="1"/>
  <c r="AS44" i="14" s="1"/>
  <c r="AW45" i="1" s="1"/>
  <c r="AT15" i="14"/>
  <c r="AT44" i="14" s="1" a="1"/>
  <c r="AT44" i="14" s="1"/>
  <c r="AU15" i="14"/>
  <c r="AU44" i="14" s="1" a="1"/>
  <c r="AU44" i="14" s="1"/>
  <c r="AV15" i="14"/>
  <c r="AV44" i="14" s="1" a="1"/>
  <c r="AV44" i="14" s="1"/>
  <c r="AW15" i="14"/>
  <c r="AW44" i="14" s="1" a="1"/>
  <c r="AW44" i="14" s="1"/>
  <c r="BG17" i="19"/>
  <c r="BI17" i="19" s="1" a="1"/>
  <c r="BI17" i="19" s="1"/>
  <c r="BG16" i="19"/>
  <c r="BI16" i="19" s="1" a="1"/>
  <c r="BI16" i="19" s="1"/>
  <c r="BI7" i="19" a="1"/>
  <c r="BI7" i="19" s="1"/>
  <c r="BI8" i="19" a="1"/>
  <c r="BI8" i="19" s="1"/>
  <c r="BI9" i="19" a="1"/>
  <c r="BI9" i="19" s="1"/>
  <c r="BI10" i="19" a="1"/>
  <c r="BI10" i="19" s="1"/>
  <c r="BI11" i="19" a="1"/>
  <c r="BI11" i="19" s="1"/>
  <c r="BI12" i="19" a="1"/>
  <c r="BI12" i="19" s="1"/>
  <c r="BI13" i="19" a="1"/>
  <c r="BI13" i="19" s="1"/>
  <c r="BI14" i="19" a="1"/>
  <c r="BI14" i="19" s="1"/>
  <c r="BI15" i="19" a="1"/>
  <c r="BI15" i="19" s="1"/>
  <c r="BI6" i="19" a="1"/>
  <c r="BI6" i="19" s="1"/>
  <c r="BG19" i="19"/>
  <c r="BI19" i="19" s="1" a="1"/>
  <c r="BI19" i="19" s="1"/>
  <c r="BG18" i="19"/>
  <c r="BI18" i="19" s="1" a="1"/>
  <c r="BI18" i="19" s="1"/>
  <c r="BG20" i="19"/>
  <c r="BI20" i="19" s="1" a="1"/>
  <c r="BI20" i="19" s="1"/>
  <c r="AM18" i="14"/>
  <c r="AM47" i="14" s="1" a="1"/>
  <c r="AM47" i="14" s="1"/>
  <c r="AQ48" i="1" s="1"/>
  <c r="AN18" i="14"/>
  <c r="AN47" i="14" s="1" a="1"/>
  <c r="AN47" i="14" s="1"/>
  <c r="AR48" i="1" s="1"/>
  <c r="AO18" i="14"/>
  <c r="AO47" i="14" s="1" a="1"/>
  <c r="AO47" i="14" s="1"/>
  <c r="AS48" i="1" s="1"/>
  <c r="AP18" i="14"/>
  <c r="AP47" i="14" s="1" a="1"/>
  <c r="AP47" i="14" s="1"/>
  <c r="AT48" i="1" s="1"/>
  <c r="AQ18" i="14"/>
  <c r="AQ47" i="14" s="1" a="1"/>
  <c r="AQ47" i="14" s="1"/>
  <c r="AU48" i="1" s="1"/>
  <c r="AR18" i="14"/>
  <c r="AR47" i="14" s="1" a="1"/>
  <c r="AR47" i="14" s="1"/>
  <c r="AV48" i="1" s="1"/>
  <c r="AS18" i="14"/>
  <c r="AS47" i="14" s="1" a="1"/>
  <c r="AS47" i="14" s="1"/>
  <c r="AW48" i="1" s="1"/>
  <c r="AT18" i="14"/>
  <c r="AT47" i="14" s="1" a="1"/>
  <c r="AT47" i="14" s="1"/>
  <c r="AU18" i="14"/>
  <c r="AU47" i="14" s="1" a="1"/>
  <c r="AU47" i="14" s="1"/>
  <c r="AV18" i="14"/>
  <c r="AV47" i="14" s="1" a="1"/>
  <c r="AV47" i="14" s="1"/>
  <c r="AW18" i="14"/>
  <c r="AW47" i="14" s="1" a="1"/>
  <c r="AW47" i="14" s="1"/>
  <c r="AL19" i="14"/>
  <c r="AL48" i="14" s="1" a="1"/>
  <c r="AL48" i="14" s="1"/>
  <c r="AP49" i="1" s="1"/>
  <c r="AM19" i="14"/>
  <c r="AM48" i="14" s="1" a="1"/>
  <c r="AM48" i="14" s="1"/>
  <c r="AQ49" i="1" s="1"/>
  <c r="AN19" i="14"/>
  <c r="AN48" i="14" s="1" a="1"/>
  <c r="AN48" i="14" s="1"/>
  <c r="AR49" i="1" s="1"/>
  <c r="AO19" i="14"/>
  <c r="AO48" i="14" s="1" a="1"/>
  <c r="AO48" i="14" s="1"/>
  <c r="AS49" i="1" s="1"/>
  <c r="AP19" i="14"/>
  <c r="AP48" i="14" s="1" a="1"/>
  <c r="AP48" i="14" s="1"/>
  <c r="AT49" i="1" s="1"/>
  <c r="AQ19" i="14"/>
  <c r="AQ48" i="14" s="1" a="1"/>
  <c r="AQ48" i="14" s="1"/>
  <c r="AU49" i="1" s="1"/>
  <c r="AR19" i="14"/>
  <c r="AR48" i="14" s="1" a="1"/>
  <c r="AR48" i="14" s="1"/>
  <c r="AV49" i="1" s="1"/>
  <c r="AS19" i="14"/>
  <c r="AS48" i="14" s="1" a="1"/>
  <c r="AS48" i="14" s="1"/>
  <c r="AW49" i="1" s="1"/>
  <c r="AT19" i="14"/>
  <c r="AT48" i="14" s="1" a="1"/>
  <c r="AT48" i="14" s="1"/>
  <c r="AU19" i="14"/>
  <c r="AU48" i="14" s="1" a="1"/>
  <c r="AU48" i="14" s="1"/>
  <c r="AV19" i="14"/>
  <c r="AV48" i="14" s="1" a="1"/>
  <c r="AV48" i="14" s="1"/>
  <c r="AW19" i="14"/>
  <c r="AW48" i="14" s="1" a="1"/>
  <c r="AW48" i="14" s="1"/>
  <c r="BD20" i="19"/>
  <c r="BF20" i="19" s="1" a="1"/>
  <c r="BF20" i="19" s="1"/>
  <c r="BD19" i="19"/>
  <c r="BF19" i="19" s="1" a="1"/>
  <c r="BF19" i="19" s="1"/>
  <c r="BD18" i="19"/>
  <c r="BF18" i="19" s="1" a="1"/>
  <c r="BF18" i="19" s="1"/>
  <c r="BD17" i="19"/>
  <c r="BF17" i="19" s="1" a="1"/>
  <c r="BF17" i="19" s="1"/>
  <c r="BD16" i="19"/>
  <c r="BF16" i="19" s="1" a="1"/>
  <c r="BF16" i="19" s="1"/>
  <c r="BD15" i="19"/>
  <c r="BF15" i="19" s="1" a="1"/>
  <c r="BF15" i="19" s="1"/>
  <c r="BD14" i="19"/>
  <c r="BF14" i="19" s="1" a="1"/>
  <c r="BF14" i="19" s="1"/>
  <c r="BD13" i="19"/>
  <c r="BF13" i="19" s="1" a="1"/>
  <c r="BF13" i="19" s="1"/>
  <c r="BD12" i="19"/>
  <c r="BF12" i="19" s="1" a="1"/>
  <c r="BF12" i="19" s="1"/>
  <c r="BD11" i="19"/>
  <c r="BF11" i="19" s="1" a="1"/>
  <c r="BF11" i="19" s="1"/>
  <c r="BD10" i="19"/>
  <c r="BF10" i="19" s="1" a="1"/>
  <c r="BF10" i="19" s="1"/>
  <c r="BD9" i="19"/>
  <c r="BF9" i="19" s="1" a="1"/>
  <c r="BF9" i="19" s="1"/>
  <c r="BD8" i="19"/>
  <c r="BF8" i="19" s="1" a="1"/>
  <c r="BF8" i="19" s="1"/>
  <c r="BD7" i="19"/>
  <c r="BF7" i="19" s="1" a="1"/>
  <c r="BF7" i="19" s="1"/>
  <c r="BD6" i="19"/>
  <c r="BF6" i="19" s="1" a="1"/>
  <c r="BF6" i="19" s="1"/>
  <c r="AX37" i="18"/>
  <c r="AX67" i="18" s="1" a="1"/>
  <c r="AX67" i="18" s="1"/>
  <c r="AW37" i="18"/>
  <c r="AW67" i="18" s="1" a="1"/>
  <c r="AW67" i="18" s="1"/>
  <c r="AV37" i="18"/>
  <c r="AV67" i="18" s="1" a="1"/>
  <c r="AV67" i="18" s="1"/>
  <c r="AU37" i="18"/>
  <c r="AU67" i="18" s="1" a="1"/>
  <c r="AU67" i="18" s="1"/>
  <c r="AT37" i="18"/>
  <c r="AT67" i="18" s="1" a="1"/>
  <c r="AT67" i="18" s="1"/>
  <c r="AW145" i="1" s="1"/>
  <c r="AS37" i="18"/>
  <c r="AS67" i="18" s="1" a="1"/>
  <c r="AS67" i="18" s="1"/>
  <c r="AV145" i="1" s="1"/>
  <c r="AR37" i="18"/>
  <c r="AR67" i="18" s="1" a="1"/>
  <c r="AR67" i="18" s="1"/>
  <c r="AU145" i="1" s="1"/>
  <c r="AQ37" i="18"/>
  <c r="AQ67" i="18" s="1" a="1"/>
  <c r="AQ67" i="18" s="1"/>
  <c r="AT145" i="1" s="1"/>
  <c r="AP37" i="18"/>
  <c r="AP67" i="18" s="1" a="1"/>
  <c r="AP67" i="18" s="1"/>
  <c r="AS145" i="1" s="1"/>
  <c r="AO37" i="18"/>
  <c r="AO67" i="18" s="1" a="1"/>
  <c r="AO67" i="18" s="1"/>
  <c r="AR145" i="1" s="1"/>
  <c r="AN37" i="18"/>
  <c r="AN67" i="18" s="1" a="1"/>
  <c r="AN67" i="18" s="1"/>
  <c r="AQ145" i="1" s="1"/>
  <c r="AM37" i="18"/>
  <c r="AM67" i="18" s="1" a="1"/>
  <c r="AM67" i="18" s="1"/>
  <c r="AP145" i="1" s="1"/>
  <c r="AL37" i="18"/>
  <c r="AL67" i="18" s="1" a="1"/>
  <c r="AL67" i="18" s="1"/>
  <c r="AO145" i="1" s="1"/>
  <c r="AK37" i="18"/>
  <c r="AK67" i="18" s="1" a="1"/>
  <c r="AK67" i="18" s="1"/>
  <c r="AN145" i="1" s="1"/>
  <c r="AJ37" i="18"/>
  <c r="AJ67" i="18" s="1" a="1"/>
  <c r="AJ67" i="18" s="1"/>
  <c r="AM145" i="1" s="1"/>
  <c r="AI37" i="18"/>
  <c r="AI67" i="18" s="1" a="1"/>
  <c r="AI67" i="18" s="1"/>
  <c r="AL145" i="1" s="1"/>
  <c r="AH37" i="18"/>
  <c r="AH67" i="18" s="1" a="1"/>
  <c r="AH67" i="18" s="1"/>
  <c r="AK145" i="1" s="1"/>
  <c r="AG37" i="18"/>
  <c r="AG67" i="18" s="1" a="1"/>
  <c r="AG67" i="18" s="1"/>
  <c r="AJ145" i="1" s="1"/>
  <c r="AF37" i="18"/>
  <c r="AF67" i="18" s="1" a="1"/>
  <c r="AF67" i="18" s="1"/>
  <c r="AI145" i="1" s="1"/>
  <c r="AE37" i="18"/>
  <c r="AE67" i="18" s="1" a="1"/>
  <c r="AE67" i="18" s="1"/>
  <c r="AH145" i="1" s="1"/>
  <c r="AD37" i="18"/>
  <c r="AD67" i="18" s="1" a="1"/>
  <c r="AD67" i="18" s="1"/>
  <c r="AG145" i="1" s="1"/>
  <c r="AC37" i="18"/>
  <c r="AC67" i="18" s="1" a="1"/>
  <c r="AC67" i="18" s="1"/>
  <c r="AF145" i="1" s="1"/>
  <c r="AB37" i="18"/>
  <c r="AB67" i="18" s="1" a="1"/>
  <c r="AB67" i="18" s="1"/>
  <c r="AE145" i="1" s="1"/>
  <c r="AA37" i="18"/>
  <c r="AA67" i="18" s="1" a="1"/>
  <c r="AA67" i="18" s="1"/>
  <c r="AD145" i="1" s="1"/>
  <c r="Z37" i="18"/>
  <c r="Z67" i="18" s="1" a="1"/>
  <c r="Z67" i="18" s="1"/>
  <c r="Y37" i="18"/>
  <c r="Y67" i="18" s="1" a="1"/>
  <c r="Y67" i="18" s="1"/>
  <c r="X37" i="18"/>
  <c r="X67" i="18" s="1" a="1"/>
  <c r="X67" i="18" s="1"/>
  <c r="W37" i="18"/>
  <c r="W67" i="18" s="1" a="1"/>
  <c r="W67" i="18" s="1"/>
  <c r="V37" i="18"/>
  <c r="V67" i="18" s="1" a="1"/>
  <c r="V67" i="18" s="1"/>
  <c r="U37" i="18"/>
  <c r="U67" i="18" s="1" a="1"/>
  <c r="U67" i="18" s="1"/>
  <c r="T37" i="18"/>
  <c r="T67" i="18" s="1" a="1"/>
  <c r="T67" i="18" s="1"/>
  <c r="S37" i="18"/>
  <c r="S67" i="18" s="1" a="1"/>
  <c r="S67" i="18" s="1"/>
  <c r="R37" i="18"/>
  <c r="R67" i="18" s="1" a="1"/>
  <c r="R67" i="18" s="1"/>
  <c r="Q37" i="18"/>
  <c r="Q67" i="18" s="1" a="1"/>
  <c r="Q67" i="18" s="1"/>
  <c r="P37" i="18"/>
  <c r="P67" i="18" s="1" a="1"/>
  <c r="P67" i="18" s="1"/>
  <c r="O37" i="18"/>
  <c r="O67" i="18" s="1" a="1"/>
  <c r="O67" i="18" s="1"/>
  <c r="AX36" i="18"/>
  <c r="AX66" i="18" s="1" a="1"/>
  <c r="AX66" i="18" s="1"/>
  <c r="AW36" i="18"/>
  <c r="AW66" i="18" s="1" a="1"/>
  <c r="AW66" i="18" s="1"/>
  <c r="AV36" i="18"/>
  <c r="AV66" i="18" s="1" a="1"/>
  <c r="AV66" i="18" s="1"/>
  <c r="AU36" i="18"/>
  <c r="AU66" i="18" s="1" a="1"/>
  <c r="AU66" i="18" s="1"/>
  <c r="AT36" i="18"/>
  <c r="AT66" i="18" s="1" a="1"/>
  <c r="AT66" i="18" s="1"/>
  <c r="AW144" i="1" s="1"/>
  <c r="AS36" i="18"/>
  <c r="AS66" i="18" s="1" a="1"/>
  <c r="AS66" i="18" s="1"/>
  <c r="AV144" i="1" s="1"/>
  <c r="AR36" i="18"/>
  <c r="AR66" i="18" s="1" a="1"/>
  <c r="AR66" i="18" s="1"/>
  <c r="AU144" i="1" s="1"/>
  <c r="AQ36" i="18"/>
  <c r="AQ66" i="18" s="1" a="1"/>
  <c r="AQ66" i="18" s="1"/>
  <c r="AT144" i="1" s="1"/>
  <c r="AP36" i="18"/>
  <c r="AP66" i="18" s="1" a="1"/>
  <c r="AP66" i="18" s="1"/>
  <c r="AS144" i="1" s="1"/>
  <c r="AO36" i="18"/>
  <c r="AO66" i="18" s="1" a="1"/>
  <c r="AO66" i="18" s="1"/>
  <c r="AR144" i="1" s="1"/>
  <c r="AN36" i="18"/>
  <c r="AN66" i="18" s="1" a="1"/>
  <c r="AN66" i="18" s="1"/>
  <c r="AQ144" i="1" s="1"/>
  <c r="AM36" i="18"/>
  <c r="AM66" i="18" s="1" a="1"/>
  <c r="AM66" i="18" s="1"/>
  <c r="AP144" i="1" s="1"/>
  <c r="AL36" i="18"/>
  <c r="AL66" i="18" s="1" a="1"/>
  <c r="AL66" i="18" s="1"/>
  <c r="AO144" i="1" s="1"/>
  <c r="AK36" i="18"/>
  <c r="AK66" i="18" s="1" a="1"/>
  <c r="AK66" i="18" s="1"/>
  <c r="AN144" i="1" s="1"/>
  <c r="AJ36" i="18"/>
  <c r="AJ66" i="18" s="1" a="1"/>
  <c r="AJ66" i="18" s="1"/>
  <c r="AM144" i="1" s="1"/>
  <c r="AI36" i="18"/>
  <c r="AI66" i="18" s="1" a="1"/>
  <c r="AI66" i="18" s="1"/>
  <c r="AL144" i="1" s="1"/>
  <c r="AH36" i="18"/>
  <c r="AH66" i="18" s="1" a="1"/>
  <c r="AH66" i="18" s="1"/>
  <c r="AK144" i="1" s="1"/>
  <c r="AG36" i="18"/>
  <c r="AG66" i="18" s="1" a="1"/>
  <c r="AG66" i="18" s="1"/>
  <c r="AJ144" i="1" s="1"/>
  <c r="AF36" i="18"/>
  <c r="AF66" i="18" s="1" a="1"/>
  <c r="AF66" i="18" s="1"/>
  <c r="AI144" i="1" s="1"/>
  <c r="AE36" i="18"/>
  <c r="AE66" i="18" s="1" a="1"/>
  <c r="AE66" i="18" s="1"/>
  <c r="AH144" i="1" s="1"/>
  <c r="AD36" i="18"/>
  <c r="AD66" i="18" s="1" a="1"/>
  <c r="AD66" i="18" s="1"/>
  <c r="AG144" i="1" s="1"/>
  <c r="AC36" i="18"/>
  <c r="AC66" i="18" s="1" a="1"/>
  <c r="AC66" i="18" s="1"/>
  <c r="AF144" i="1" s="1"/>
  <c r="AB36" i="18"/>
  <c r="AB66" i="18" s="1" a="1"/>
  <c r="AB66" i="18" s="1"/>
  <c r="AE144" i="1" s="1"/>
  <c r="AA36" i="18"/>
  <c r="AA66" i="18" s="1" a="1"/>
  <c r="AA66" i="18" s="1"/>
  <c r="AD144" i="1" s="1"/>
  <c r="Z36" i="18"/>
  <c r="Z66" i="18" s="1" a="1"/>
  <c r="Z66" i="18" s="1"/>
  <c r="Y36" i="18"/>
  <c r="Y66" i="18" s="1" a="1"/>
  <c r="Y66" i="18" s="1"/>
  <c r="X36" i="18"/>
  <c r="X66" i="18" s="1" a="1"/>
  <c r="X66" i="18" s="1"/>
  <c r="W36" i="18"/>
  <c r="W66" i="18" s="1" a="1"/>
  <c r="W66" i="18" s="1"/>
  <c r="V36" i="18"/>
  <c r="V66" i="18" s="1" a="1"/>
  <c r="V66" i="18" s="1"/>
  <c r="U36" i="18"/>
  <c r="U66" i="18" s="1" a="1"/>
  <c r="U66" i="18" s="1"/>
  <c r="T36" i="18"/>
  <c r="T66" i="18" s="1" a="1"/>
  <c r="T66" i="18" s="1"/>
  <c r="S36" i="18"/>
  <c r="S66" i="18" s="1" a="1"/>
  <c r="S66" i="18" s="1"/>
  <c r="R36" i="18"/>
  <c r="R66" i="18" s="1" a="1"/>
  <c r="R66" i="18" s="1"/>
  <c r="Q36" i="18"/>
  <c r="Q66" i="18" s="1" a="1"/>
  <c r="Q66" i="18" s="1"/>
  <c r="P36" i="18"/>
  <c r="P66" i="18" s="1" a="1"/>
  <c r="P66" i="18" s="1"/>
  <c r="O36" i="18"/>
  <c r="O66" i="18" s="1" a="1"/>
  <c r="O66" i="18" s="1"/>
  <c r="AX35" i="18"/>
  <c r="AX65" i="18" s="1" a="1"/>
  <c r="AX65" i="18" s="1"/>
  <c r="AW35" i="18"/>
  <c r="AW65" i="18" s="1" a="1"/>
  <c r="AW65" i="18" s="1"/>
  <c r="AV35" i="18"/>
  <c r="AV65" i="18" s="1" a="1"/>
  <c r="AV65" i="18" s="1"/>
  <c r="AU35" i="18"/>
  <c r="AU65" i="18" s="1" a="1"/>
  <c r="AU65" i="18" s="1"/>
  <c r="AT35" i="18"/>
  <c r="AT65" i="18" s="1" a="1"/>
  <c r="AT65" i="18" s="1"/>
  <c r="AW143" i="1" s="1"/>
  <c r="AS35" i="18"/>
  <c r="AS65" i="18" s="1" a="1"/>
  <c r="AS65" i="18" s="1"/>
  <c r="AV143" i="1" s="1"/>
  <c r="AR35" i="18"/>
  <c r="AR65" i="18" s="1" a="1"/>
  <c r="AR65" i="18" s="1"/>
  <c r="AU143" i="1" s="1"/>
  <c r="AQ35" i="18"/>
  <c r="AQ65" i="18" s="1" a="1"/>
  <c r="AQ65" i="18" s="1"/>
  <c r="AT143" i="1" s="1"/>
  <c r="AP35" i="18"/>
  <c r="AP65" i="18" s="1" a="1"/>
  <c r="AP65" i="18" s="1"/>
  <c r="AS143" i="1" s="1"/>
  <c r="AO35" i="18"/>
  <c r="AO65" i="18" s="1" a="1"/>
  <c r="AO65" i="18" s="1"/>
  <c r="AR143" i="1" s="1"/>
  <c r="AN35" i="18"/>
  <c r="AN65" i="18" s="1" a="1"/>
  <c r="AN65" i="18" s="1"/>
  <c r="AQ143" i="1" s="1"/>
  <c r="AM35" i="18"/>
  <c r="AM65" i="18" s="1" a="1"/>
  <c r="AM65" i="18" s="1"/>
  <c r="AP143" i="1" s="1"/>
  <c r="AL35" i="18"/>
  <c r="AL65" i="18" s="1" a="1"/>
  <c r="AL65" i="18" s="1"/>
  <c r="AO143" i="1" s="1"/>
  <c r="AK35" i="18"/>
  <c r="AK65" i="18" s="1" a="1"/>
  <c r="AK65" i="18" s="1"/>
  <c r="AN143" i="1" s="1"/>
  <c r="AJ35" i="18"/>
  <c r="AJ65" i="18" s="1" a="1"/>
  <c r="AJ65" i="18" s="1"/>
  <c r="AM143" i="1" s="1"/>
  <c r="AI35" i="18"/>
  <c r="AI65" i="18" s="1" a="1"/>
  <c r="AI65" i="18" s="1"/>
  <c r="AL143" i="1" s="1"/>
  <c r="AH35" i="18"/>
  <c r="AH65" i="18" s="1" a="1"/>
  <c r="AH65" i="18" s="1"/>
  <c r="AK143" i="1" s="1"/>
  <c r="AG35" i="18"/>
  <c r="AG65" i="18" s="1" a="1"/>
  <c r="AG65" i="18" s="1"/>
  <c r="AJ143" i="1" s="1"/>
  <c r="AF35" i="18"/>
  <c r="AF65" i="18" s="1" a="1"/>
  <c r="AF65" i="18" s="1"/>
  <c r="AI143" i="1" s="1"/>
  <c r="AE35" i="18"/>
  <c r="AE65" i="18" s="1" a="1"/>
  <c r="AE65" i="18" s="1"/>
  <c r="AH143" i="1" s="1"/>
  <c r="AD35" i="18"/>
  <c r="AD65" i="18" s="1" a="1"/>
  <c r="AD65" i="18" s="1"/>
  <c r="AG143" i="1" s="1"/>
  <c r="AC35" i="18"/>
  <c r="AC65" i="18" s="1" a="1"/>
  <c r="AC65" i="18" s="1"/>
  <c r="AF143" i="1" s="1"/>
  <c r="AB35" i="18"/>
  <c r="AB65" i="18" s="1" a="1"/>
  <c r="AB65" i="18" s="1"/>
  <c r="AE143" i="1" s="1"/>
  <c r="AA35" i="18"/>
  <c r="AA65" i="18" s="1" a="1"/>
  <c r="AA65" i="18" s="1"/>
  <c r="AD143" i="1" s="1"/>
  <c r="Z35" i="18"/>
  <c r="Z65" i="18" s="1" a="1"/>
  <c r="Z65" i="18" s="1"/>
  <c r="Y35" i="18"/>
  <c r="Y65" i="18" s="1" a="1"/>
  <c r="Y65" i="18" s="1"/>
  <c r="X35" i="18"/>
  <c r="X65" i="18" s="1" a="1"/>
  <c r="X65" i="18" s="1"/>
  <c r="W35" i="18"/>
  <c r="W65" i="18" s="1" a="1"/>
  <c r="W65" i="18" s="1"/>
  <c r="V35" i="18"/>
  <c r="V65" i="18" s="1" a="1"/>
  <c r="V65" i="18" s="1"/>
  <c r="U35" i="18"/>
  <c r="U65" i="18" s="1" a="1"/>
  <c r="U65" i="18" s="1"/>
  <c r="T35" i="18"/>
  <c r="T65" i="18" s="1" a="1"/>
  <c r="T65" i="18" s="1"/>
  <c r="S35" i="18"/>
  <c r="S65" i="18" s="1" a="1"/>
  <c r="S65" i="18" s="1"/>
  <c r="R35" i="18"/>
  <c r="R65" i="18" s="1" a="1"/>
  <c r="R65" i="18" s="1"/>
  <c r="Q35" i="18"/>
  <c r="Q65" i="18" s="1" a="1"/>
  <c r="Q65" i="18" s="1"/>
  <c r="P35" i="18"/>
  <c r="P65" i="18" s="1" a="1"/>
  <c r="P65" i="18" s="1"/>
  <c r="O35" i="18"/>
  <c r="O65" i="18" s="1" a="1"/>
  <c r="O65" i="18" s="1"/>
  <c r="AX34" i="18"/>
  <c r="AX64" i="18" s="1" a="1"/>
  <c r="AX64" i="18" s="1"/>
  <c r="AW34" i="18"/>
  <c r="AW64" i="18" s="1" a="1"/>
  <c r="AW64" i="18" s="1"/>
  <c r="AV34" i="18"/>
  <c r="AV64" i="18" s="1" a="1"/>
  <c r="AV64" i="18" s="1"/>
  <c r="AU34" i="18"/>
  <c r="AU64" i="18" s="1" a="1"/>
  <c r="AU64" i="18" s="1"/>
  <c r="AT34" i="18"/>
  <c r="AT64" i="18" s="1" a="1"/>
  <c r="AT64" i="18" s="1"/>
  <c r="AW142" i="1" s="1"/>
  <c r="AS34" i="18"/>
  <c r="AS64" i="18" s="1" a="1"/>
  <c r="AS64" i="18" s="1"/>
  <c r="AV142" i="1" s="1"/>
  <c r="AR34" i="18"/>
  <c r="AR64" i="18" s="1" a="1"/>
  <c r="AR64" i="18" s="1"/>
  <c r="AU142" i="1" s="1"/>
  <c r="AQ34" i="18"/>
  <c r="AQ64" i="18" s="1" a="1"/>
  <c r="AQ64" i="18" s="1"/>
  <c r="AT142" i="1" s="1"/>
  <c r="AP34" i="18"/>
  <c r="AP64" i="18" s="1" a="1"/>
  <c r="AP64" i="18" s="1"/>
  <c r="AS142" i="1" s="1"/>
  <c r="AO34" i="18"/>
  <c r="AO64" i="18" s="1" a="1"/>
  <c r="AO64" i="18" s="1"/>
  <c r="AR142" i="1" s="1"/>
  <c r="AN34" i="18"/>
  <c r="AN64" i="18" s="1" a="1"/>
  <c r="AN64" i="18" s="1"/>
  <c r="AQ142" i="1" s="1"/>
  <c r="AM34" i="18"/>
  <c r="AM64" i="18" s="1" a="1"/>
  <c r="AM64" i="18" s="1"/>
  <c r="AP142" i="1" s="1"/>
  <c r="AL34" i="18"/>
  <c r="AL64" i="18" s="1" a="1"/>
  <c r="AL64" i="18" s="1"/>
  <c r="AO142" i="1" s="1"/>
  <c r="AK34" i="18"/>
  <c r="AK64" i="18" s="1" a="1"/>
  <c r="AK64" i="18" s="1"/>
  <c r="AN142" i="1" s="1"/>
  <c r="AJ34" i="18"/>
  <c r="AJ64" i="18" s="1" a="1"/>
  <c r="AJ64" i="18" s="1"/>
  <c r="AM142" i="1" s="1"/>
  <c r="AI34" i="18"/>
  <c r="AI64" i="18" s="1" a="1"/>
  <c r="AI64" i="18" s="1"/>
  <c r="AL142" i="1" s="1"/>
  <c r="AH34" i="18"/>
  <c r="AH64" i="18" s="1" a="1"/>
  <c r="AH64" i="18" s="1"/>
  <c r="AK142" i="1" s="1"/>
  <c r="AG34" i="18"/>
  <c r="AG64" i="18" s="1" a="1"/>
  <c r="AG64" i="18" s="1"/>
  <c r="AJ142" i="1" s="1"/>
  <c r="AF34" i="18"/>
  <c r="AF64" i="18" s="1" a="1"/>
  <c r="AF64" i="18" s="1"/>
  <c r="AI142" i="1" s="1"/>
  <c r="AE34" i="18"/>
  <c r="AE64" i="18" s="1" a="1"/>
  <c r="AE64" i="18" s="1"/>
  <c r="AH142" i="1" s="1"/>
  <c r="AD34" i="18"/>
  <c r="AD64" i="18" s="1" a="1"/>
  <c r="AD64" i="18" s="1"/>
  <c r="AG142" i="1" s="1"/>
  <c r="AC34" i="18"/>
  <c r="AC64" i="18" s="1" a="1"/>
  <c r="AC64" i="18" s="1"/>
  <c r="AF142" i="1" s="1"/>
  <c r="AB34" i="18"/>
  <c r="AB64" i="18" s="1" a="1"/>
  <c r="AB64" i="18" s="1"/>
  <c r="AE142" i="1" s="1"/>
  <c r="AA34" i="18"/>
  <c r="AA64" i="18" s="1" a="1"/>
  <c r="AA64" i="18" s="1"/>
  <c r="AD142" i="1" s="1"/>
  <c r="Z34" i="18"/>
  <c r="Z64" i="18" s="1" a="1"/>
  <c r="Z64" i="18" s="1"/>
  <c r="Y34" i="18"/>
  <c r="Y64" i="18" s="1" a="1"/>
  <c r="Y64" i="18" s="1"/>
  <c r="X34" i="18"/>
  <c r="X64" i="18" s="1" a="1"/>
  <c r="X64" i="18" s="1"/>
  <c r="W34" i="18"/>
  <c r="W64" i="18" s="1" a="1"/>
  <c r="W64" i="18" s="1"/>
  <c r="V34" i="18"/>
  <c r="V64" i="18" s="1" a="1"/>
  <c r="V64" i="18" s="1"/>
  <c r="U34" i="18"/>
  <c r="U64" i="18" s="1" a="1"/>
  <c r="U64" i="18" s="1"/>
  <c r="T34" i="18"/>
  <c r="T64" i="18" s="1" a="1"/>
  <c r="T64" i="18" s="1"/>
  <c r="S34" i="18"/>
  <c r="S64" i="18" s="1" a="1"/>
  <c r="S64" i="18" s="1"/>
  <c r="R34" i="18"/>
  <c r="R64" i="18" s="1" a="1"/>
  <c r="R64" i="18" s="1"/>
  <c r="Q34" i="18"/>
  <c r="Q64" i="18" s="1" a="1"/>
  <c r="Q64" i="18" s="1"/>
  <c r="P34" i="18"/>
  <c r="P64" i="18" s="1" a="1"/>
  <c r="P64" i="18" s="1"/>
  <c r="O34" i="18"/>
  <c r="O64" i="18" s="1" a="1"/>
  <c r="O64" i="18" s="1"/>
  <c r="AX33" i="18"/>
  <c r="AX63" i="18" s="1" a="1"/>
  <c r="AX63" i="18" s="1"/>
  <c r="AW33" i="18"/>
  <c r="AW63" i="18" s="1" a="1"/>
  <c r="AW63" i="18" s="1"/>
  <c r="AV33" i="18"/>
  <c r="AV63" i="18" s="1" a="1"/>
  <c r="AV63" i="18" s="1"/>
  <c r="AU33" i="18"/>
  <c r="AU63" i="18" s="1" a="1"/>
  <c r="AU63" i="18" s="1"/>
  <c r="AT33" i="18"/>
  <c r="AT63" i="18" s="1" a="1"/>
  <c r="AT63" i="18" s="1"/>
  <c r="AW141" i="1" s="1"/>
  <c r="AS33" i="18"/>
  <c r="AS63" i="18" s="1" a="1"/>
  <c r="AS63" i="18" s="1"/>
  <c r="AV141" i="1" s="1"/>
  <c r="AR33" i="18"/>
  <c r="AR63" i="18" s="1" a="1"/>
  <c r="AR63" i="18" s="1"/>
  <c r="AU141" i="1" s="1"/>
  <c r="AQ33" i="18"/>
  <c r="AQ63" i="18" s="1" a="1"/>
  <c r="AQ63" i="18" s="1"/>
  <c r="AT141" i="1" s="1"/>
  <c r="AP33" i="18"/>
  <c r="AP63" i="18" s="1" a="1"/>
  <c r="AP63" i="18" s="1"/>
  <c r="AS141" i="1" s="1"/>
  <c r="AO33" i="18"/>
  <c r="AO63" i="18" s="1" a="1"/>
  <c r="AO63" i="18" s="1"/>
  <c r="AR141" i="1" s="1"/>
  <c r="AN33" i="18"/>
  <c r="AN63" i="18" s="1" a="1"/>
  <c r="AN63" i="18" s="1"/>
  <c r="AQ141" i="1" s="1"/>
  <c r="AM33" i="18"/>
  <c r="AM63" i="18" s="1" a="1"/>
  <c r="AM63" i="18" s="1"/>
  <c r="AP141" i="1" s="1"/>
  <c r="AL33" i="18"/>
  <c r="AL63" i="18" s="1" a="1"/>
  <c r="AL63" i="18" s="1"/>
  <c r="AO141" i="1" s="1"/>
  <c r="AK33" i="18"/>
  <c r="AK63" i="18" s="1" a="1"/>
  <c r="AK63" i="18" s="1"/>
  <c r="AN141" i="1" s="1"/>
  <c r="AJ33" i="18"/>
  <c r="AJ63" i="18" s="1" a="1"/>
  <c r="AJ63" i="18" s="1"/>
  <c r="AM141" i="1" s="1"/>
  <c r="AI33" i="18"/>
  <c r="AI63" i="18" s="1" a="1"/>
  <c r="AI63" i="18" s="1"/>
  <c r="AL141" i="1" s="1"/>
  <c r="AH33" i="18"/>
  <c r="AH63" i="18" s="1" a="1"/>
  <c r="AH63" i="18" s="1"/>
  <c r="AK141" i="1" s="1"/>
  <c r="AG33" i="18"/>
  <c r="AG63" i="18" s="1" a="1"/>
  <c r="AG63" i="18" s="1"/>
  <c r="AJ141" i="1" s="1"/>
  <c r="AF33" i="18"/>
  <c r="AF63" i="18" s="1" a="1"/>
  <c r="AF63" i="18" s="1"/>
  <c r="AI141" i="1" s="1"/>
  <c r="AE33" i="18"/>
  <c r="AE63" i="18" s="1" a="1"/>
  <c r="AE63" i="18" s="1"/>
  <c r="AH141" i="1" s="1"/>
  <c r="AD33" i="18"/>
  <c r="AD63" i="18" s="1" a="1"/>
  <c r="AD63" i="18" s="1"/>
  <c r="AG141" i="1" s="1"/>
  <c r="AC33" i="18"/>
  <c r="AC63" i="18" s="1" a="1"/>
  <c r="AC63" i="18" s="1"/>
  <c r="AF141" i="1" s="1"/>
  <c r="AB33" i="18"/>
  <c r="AB63" i="18" s="1" a="1"/>
  <c r="AB63" i="18" s="1"/>
  <c r="AE141" i="1" s="1"/>
  <c r="AA33" i="18"/>
  <c r="AA63" i="18" s="1" a="1"/>
  <c r="AA63" i="18" s="1"/>
  <c r="AD141" i="1" s="1"/>
  <c r="Z33" i="18"/>
  <c r="Z63" i="18" s="1" a="1"/>
  <c r="Z63" i="18" s="1"/>
  <c r="Y33" i="18"/>
  <c r="Y63" i="18" s="1" a="1"/>
  <c r="Y63" i="18" s="1"/>
  <c r="X33" i="18"/>
  <c r="X63" i="18" s="1" a="1"/>
  <c r="X63" i="18" s="1"/>
  <c r="W33" i="18"/>
  <c r="W63" i="18" s="1" a="1"/>
  <c r="W63" i="18" s="1"/>
  <c r="V33" i="18"/>
  <c r="V63" i="18" s="1" a="1"/>
  <c r="V63" i="18" s="1"/>
  <c r="U33" i="18"/>
  <c r="U63" i="18" s="1" a="1"/>
  <c r="U63" i="18" s="1"/>
  <c r="T33" i="18"/>
  <c r="T63" i="18" s="1" a="1"/>
  <c r="T63" i="18" s="1"/>
  <c r="S33" i="18"/>
  <c r="S63" i="18" s="1" a="1"/>
  <c r="S63" i="18" s="1"/>
  <c r="R33" i="18"/>
  <c r="R63" i="18" s="1" a="1"/>
  <c r="R63" i="18" s="1"/>
  <c r="Q33" i="18"/>
  <c r="Q63" i="18" s="1" a="1"/>
  <c r="Q63" i="18" s="1"/>
  <c r="P33" i="18"/>
  <c r="P63" i="18" s="1" a="1"/>
  <c r="P63" i="18" s="1"/>
  <c r="O33" i="18"/>
  <c r="O63" i="18" s="1" a="1"/>
  <c r="O63" i="18" s="1"/>
  <c r="AX32" i="18"/>
  <c r="AX62" i="18" s="1" a="1"/>
  <c r="AX62" i="18" s="1"/>
  <c r="AW32" i="18"/>
  <c r="AW62" i="18" s="1" a="1"/>
  <c r="AW62" i="18" s="1"/>
  <c r="AV32" i="18"/>
  <c r="AV62" i="18" s="1" a="1"/>
  <c r="AV62" i="18" s="1"/>
  <c r="AU32" i="18"/>
  <c r="AU62" i="18" s="1" a="1"/>
  <c r="AU62" i="18" s="1"/>
  <c r="AT32" i="18"/>
  <c r="AT62" i="18" s="1" a="1"/>
  <c r="AT62" i="18" s="1"/>
  <c r="AW140" i="1" s="1"/>
  <c r="AS32" i="18"/>
  <c r="AS62" i="18" s="1" a="1"/>
  <c r="AS62" i="18" s="1"/>
  <c r="AV140" i="1" s="1"/>
  <c r="AR32" i="18"/>
  <c r="AR62" i="18" s="1" a="1"/>
  <c r="AR62" i="18" s="1"/>
  <c r="AU140" i="1" s="1"/>
  <c r="AQ32" i="18"/>
  <c r="AQ62" i="18" s="1" a="1"/>
  <c r="AQ62" i="18" s="1"/>
  <c r="AT140" i="1" s="1"/>
  <c r="AP32" i="18"/>
  <c r="AP62" i="18" s="1" a="1"/>
  <c r="AP62" i="18" s="1"/>
  <c r="AS140" i="1" s="1"/>
  <c r="AO32" i="18"/>
  <c r="AO62" i="18" s="1" a="1"/>
  <c r="AO62" i="18" s="1"/>
  <c r="AR140" i="1" s="1"/>
  <c r="AN32" i="18"/>
  <c r="AN62" i="18" s="1" a="1"/>
  <c r="AN62" i="18" s="1"/>
  <c r="AQ140" i="1" s="1"/>
  <c r="AM32" i="18"/>
  <c r="AM62" i="18" s="1" a="1"/>
  <c r="AM62" i="18" s="1"/>
  <c r="AP140" i="1" s="1"/>
  <c r="AL32" i="18"/>
  <c r="AL62" i="18" s="1" a="1"/>
  <c r="AL62" i="18" s="1"/>
  <c r="AO140" i="1" s="1"/>
  <c r="AK32" i="18"/>
  <c r="AK62" i="18" s="1" a="1"/>
  <c r="AK62" i="18" s="1"/>
  <c r="AN140" i="1" s="1"/>
  <c r="AJ32" i="18"/>
  <c r="AJ62" i="18" s="1" a="1"/>
  <c r="AJ62" i="18" s="1"/>
  <c r="AM140" i="1" s="1"/>
  <c r="AI32" i="18"/>
  <c r="AI62" i="18" s="1" a="1"/>
  <c r="AI62" i="18" s="1"/>
  <c r="AL140" i="1" s="1"/>
  <c r="AH32" i="18"/>
  <c r="AH62" i="18" s="1" a="1"/>
  <c r="AH62" i="18" s="1"/>
  <c r="AK140" i="1" s="1"/>
  <c r="AG32" i="18"/>
  <c r="AG62" i="18" s="1" a="1"/>
  <c r="AG62" i="18" s="1"/>
  <c r="AJ140" i="1" s="1"/>
  <c r="AF32" i="18"/>
  <c r="AF62" i="18" s="1" a="1"/>
  <c r="AF62" i="18" s="1"/>
  <c r="AI140" i="1" s="1"/>
  <c r="AE32" i="18"/>
  <c r="AE62" i="18" s="1" a="1"/>
  <c r="AE62" i="18" s="1"/>
  <c r="AH140" i="1" s="1"/>
  <c r="AD32" i="18"/>
  <c r="AD62" i="18" s="1" a="1"/>
  <c r="AD62" i="18" s="1"/>
  <c r="AG140" i="1" s="1"/>
  <c r="AC32" i="18"/>
  <c r="AC62" i="18" s="1" a="1"/>
  <c r="AC62" i="18" s="1"/>
  <c r="AF140" i="1" s="1"/>
  <c r="AB32" i="18"/>
  <c r="AB62" i="18" s="1" a="1"/>
  <c r="AB62" i="18" s="1"/>
  <c r="AE140" i="1" s="1"/>
  <c r="AA32" i="18"/>
  <c r="AA62" i="18" s="1" a="1"/>
  <c r="AA62" i="18" s="1"/>
  <c r="AD140" i="1" s="1"/>
  <c r="Z32" i="18"/>
  <c r="Z62" i="18" s="1" a="1"/>
  <c r="Z62" i="18" s="1"/>
  <c r="Y32" i="18"/>
  <c r="Y62" i="18" s="1" a="1"/>
  <c r="Y62" i="18" s="1"/>
  <c r="X32" i="18"/>
  <c r="X62" i="18" s="1" a="1"/>
  <c r="X62" i="18" s="1"/>
  <c r="W32" i="18"/>
  <c r="W62" i="18" s="1" a="1"/>
  <c r="W62" i="18" s="1"/>
  <c r="V32" i="18"/>
  <c r="V62" i="18" s="1" a="1"/>
  <c r="V62" i="18" s="1"/>
  <c r="U32" i="18"/>
  <c r="U62" i="18" s="1" a="1"/>
  <c r="U62" i="18" s="1"/>
  <c r="T32" i="18"/>
  <c r="T62" i="18" s="1" a="1"/>
  <c r="T62" i="18" s="1"/>
  <c r="S32" i="18"/>
  <c r="S62" i="18" s="1" a="1"/>
  <c r="S62" i="18" s="1"/>
  <c r="R32" i="18"/>
  <c r="R62" i="18" s="1" a="1"/>
  <c r="R62" i="18" s="1"/>
  <c r="Q32" i="18"/>
  <c r="Q62" i="18" s="1" a="1"/>
  <c r="Q62" i="18" s="1"/>
  <c r="P32" i="18"/>
  <c r="P62" i="18" s="1" a="1"/>
  <c r="P62" i="18" s="1"/>
  <c r="O32" i="18"/>
  <c r="O62" i="18" s="1" a="1"/>
  <c r="O62" i="18" s="1"/>
  <c r="AX31" i="18"/>
  <c r="AX61" i="18" s="1" a="1"/>
  <c r="AX61" i="18" s="1"/>
  <c r="AW31" i="18"/>
  <c r="AW61" i="18" s="1" a="1"/>
  <c r="AW61" i="18" s="1"/>
  <c r="AV31" i="18"/>
  <c r="AV61" i="18" s="1" a="1"/>
  <c r="AV61" i="18" s="1"/>
  <c r="AU31" i="18"/>
  <c r="AU61" i="18" s="1" a="1"/>
  <c r="AU61" i="18" s="1"/>
  <c r="AT31" i="18"/>
  <c r="AT61" i="18" s="1" a="1"/>
  <c r="AT61" i="18" s="1"/>
  <c r="AW139" i="1" s="1"/>
  <c r="AS31" i="18"/>
  <c r="AS61" i="18" s="1" a="1"/>
  <c r="AS61" i="18" s="1"/>
  <c r="AV139" i="1" s="1"/>
  <c r="AR31" i="18"/>
  <c r="AR61" i="18" s="1" a="1"/>
  <c r="AR61" i="18" s="1"/>
  <c r="AU139" i="1" s="1"/>
  <c r="AQ31" i="18"/>
  <c r="AQ61" i="18" s="1" a="1"/>
  <c r="AQ61" i="18" s="1"/>
  <c r="AT139" i="1" s="1"/>
  <c r="AP31" i="18"/>
  <c r="AP61" i="18" s="1" a="1"/>
  <c r="AP61" i="18" s="1"/>
  <c r="AS139" i="1" s="1"/>
  <c r="AO31" i="18"/>
  <c r="AO61" i="18" s="1" a="1"/>
  <c r="AO61" i="18" s="1"/>
  <c r="AR139" i="1" s="1"/>
  <c r="AN31" i="18"/>
  <c r="AN61" i="18" s="1" a="1"/>
  <c r="AN61" i="18" s="1"/>
  <c r="AQ139" i="1" s="1"/>
  <c r="AM31" i="18"/>
  <c r="AM61" i="18" s="1" a="1"/>
  <c r="AM61" i="18" s="1"/>
  <c r="AP139" i="1" s="1"/>
  <c r="AL31" i="18"/>
  <c r="AL61" i="18" s="1" a="1"/>
  <c r="AL61" i="18" s="1"/>
  <c r="AO139" i="1" s="1"/>
  <c r="AK31" i="18"/>
  <c r="AK61" i="18" s="1" a="1"/>
  <c r="AK61" i="18" s="1"/>
  <c r="AN139" i="1" s="1"/>
  <c r="AJ31" i="18"/>
  <c r="AJ61" i="18" s="1" a="1"/>
  <c r="AJ61" i="18" s="1"/>
  <c r="AM139" i="1" s="1"/>
  <c r="AI31" i="18"/>
  <c r="AI61" i="18" s="1" a="1"/>
  <c r="AI61" i="18" s="1"/>
  <c r="AL139" i="1" s="1"/>
  <c r="AH31" i="18"/>
  <c r="AH61" i="18" s="1" a="1"/>
  <c r="AH61" i="18" s="1"/>
  <c r="AK139" i="1" s="1"/>
  <c r="AG31" i="18"/>
  <c r="AG61" i="18" s="1" a="1"/>
  <c r="AG61" i="18" s="1"/>
  <c r="AJ139" i="1" s="1"/>
  <c r="AF31" i="18"/>
  <c r="AF61" i="18" s="1" a="1"/>
  <c r="AF61" i="18" s="1"/>
  <c r="AI139" i="1" s="1"/>
  <c r="AE31" i="18"/>
  <c r="AE61" i="18" s="1" a="1"/>
  <c r="AE61" i="18" s="1"/>
  <c r="AH139" i="1" s="1"/>
  <c r="AD31" i="18"/>
  <c r="AD61" i="18" s="1" a="1"/>
  <c r="AD61" i="18" s="1"/>
  <c r="AG139" i="1" s="1"/>
  <c r="AC31" i="18"/>
  <c r="AC61" i="18" s="1" a="1"/>
  <c r="AC61" i="18" s="1"/>
  <c r="AF139" i="1" s="1"/>
  <c r="AB31" i="18"/>
  <c r="AB61" i="18" s="1" a="1"/>
  <c r="AB61" i="18" s="1"/>
  <c r="AE139" i="1" s="1"/>
  <c r="AA31" i="18"/>
  <c r="AA61" i="18" s="1" a="1"/>
  <c r="AA61" i="18" s="1"/>
  <c r="AD139" i="1" s="1"/>
  <c r="Z31" i="18"/>
  <c r="Z61" i="18" s="1" a="1"/>
  <c r="Z61" i="18" s="1"/>
  <c r="Y31" i="18"/>
  <c r="Y61" i="18" s="1" a="1"/>
  <c r="Y61" i="18" s="1"/>
  <c r="X31" i="18"/>
  <c r="X61" i="18" s="1" a="1"/>
  <c r="X61" i="18" s="1"/>
  <c r="W31" i="18"/>
  <c r="W61" i="18" s="1" a="1"/>
  <c r="W61" i="18" s="1"/>
  <c r="V31" i="18"/>
  <c r="V61" i="18" s="1" a="1"/>
  <c r="V61" i="18" s="1"/>
  <c r="U31" i="18"/>
  <c r="U61" i="18" s="1" a="1"/>
  <c r="U61" i="18" s="1"/>
  <c r="T31" i="18"/>
  <c r="T61" i="18" s="1" a="1"/>
  <c r="T61" i="18" s="1"/>
  <c r="S31" i="18"/>
  <c r="S61" i="18" s="1" a="1"/>
  <c r="S61" i="18" s="1"/>
  <c r="R31" i="18"/>
  <c r="R61" i="18" s="1" a="1"/>
  <c r="R61" i="18" s="1"/>
  <c r="Q31" i="18"/>
  <c r="Q61" i="18" s="1" a="1"/>
  <c r="Q61" i="18" s="1"/>
  <c r="P31" i="18"/>
  <c r="P61" i="18" s="1" a="1"/>
  <c r="P61" i="18" s="1"/>
  <c r="O31" i="18"/>
  <c r="O61" i="18" s="1" a="1"/>
  <c r="O61" i="18" s="1"/>
  <c r="AX30" i="18"/>
  <c r="AX60" i="18" s="1" a="1"/>
  <c r="AX60" i="18" s="1"/>
  <c r="AW30" i="18"/>
  <c r="AW60" i="18" s="1" a="1"/>
  <c r="AW60" i="18" s="1"/>
  <c r="AV30" i="18"/>
  <c r="AV60" i="18" s="1" a="1"/>
  <c r="AV60" i="18" s="1"/>
  <c r="AU30" i="18"/>
  <c r="AU60" i="18" s="1" a="1"/>
  <c r="AU60" i="18" s="1"/>
  <c r="AT30" i="18"/>
  <c r="AT60" i="18" s="1" a="1"/>
  <c r="AT60" i="18" s="1"/>
  <c r="AW138" i="1" s="1"/>
  <c r="AS30" i="18"/>
  <c r="AS60" i="18" s="1" a="1"/>
  <c r="AS60" i="18" s="1"/>
  <c r="AV138" i="1" s="1"/>
  <c r="AR30" i="18"/>
  <c r="AR60" i="18" s="1" a="1"/>
  <c r="AR60" i="18" s="1"/>
  <c r="AU138" i="1" s="1"/>
  <c r="AQ30" i="18"/>
  <c r="AQ60" i="18" s="1" a="1"/>
  <c r="AQ60" i="18" s="1"/>
  <c r="AT138" i="1" s="1"/>
  <c r="AP30" i="18"/>
  <c r="AP60" i="18" s="1" a="1"/>
  <c r="AP60" i="18" s="1"/>
  <c r="AS138" i="1" s="1"/>
  <c r="AO30" i="18"/>
  <c r="AO60" i="18" s="1" a="1"/>
  <c r="AO60" i="18" s="1"/>
  <c r="AR138" i="1" s="1"/>
  <c r="AN30" i="18"/>
  <c r="AN60" i="18" s="1" a="1"/>
  <c r="AN60" i="18" s="1"/>
  <c r="AQ138" i="1" s="1"/>
  <c r="AM30" i="18"/>
  <c r="AM60" i="18" s="1" a="1"/>
  <c r="AM60" i="18" s="1"/>
  <c r="AP138" i="1" s="1"/>
  <c r="AL30" i="18"/>
  <c r="AL60" i="18" s="1" a="1"/>
  <c r="AL60" i="18" s="1"/>
  <c r="AO138" i="1" s="1"/>
  <c r="AK30" i="18"/>
  <c r="AK60" i="18" s="1" a="1"/>
  <c r="AK60" i="18" s="1"/>
  <c r="AN138" i="1" s="1"/>
  <c r="AJ30" i="18"/>
  <c r="AJ60" i="18" s="1" a="1"/>
  <c r="AJ60" i="18" s="1"/>
  <c r="AM138" i="1" s="1"/>
  <c r="AI30" i="18"/>
  <c r="AI60" i="18" s="1" a="1"/>
  <c r="AI60" i="18" s="1"/>
  <c r="AL138" i="1" s="1"/>
  <c r="AH30" i="18"/>
  <c r="AH60" i="18" s="1" a="1"/>
  <c r="AH60" i="18" s="1"/>
  <c r="AK138" i="1" s="1"/>
  <c r="AG30" i="18"/>
  <c r="AG60" i="18" s="1" a="1"/>
  <c r="AG60" i="18" s="1"/>
  <c r="AJ138" i="1" s="1"/>
  <c r="AF30" i="18"/>
  <c r="AF60" i="18" s="1" a="1"/>
  <c r="AF60" i="18" s="1"/>
  <c r="AI138" i="1" s="1"/>
  <c r="AE30" i="18"/>
  <c r="AE60" i="18" s="1" a="1"/>
  <c r="AE60" i="18" s="1"/>
  <c r="AH138" i="1" s="1"/>
  <c r="AD30" i="18"/>
  <c r="AD60" i="18" s="1" a="1"/>
  <c r="AD60" i="18" s="1"/>
  <c r="AG138" i="1" s="1"/>
  <c r="AC30" i="18"/>
  <c r="AC60" i="18" s="1" a="1"/>
  <c r="AC60" i="18" s="1"/>
  <c r="AF138" i="1" s="1"/>
  <c r="AB30" i="18"/>
  <c r="AB60" i="18" s="1" a="1"/>
  <c r="AB60" i="18" s="1"/>
  <c r="AE138" i="1" s="1"/>
  <c r="AA30" i="18"/>
  <c r="AA60" i="18" s="1" a="1"/>
  <c r="AA60" i="18" s="1"/>
  <c r="AD138" i="1" s="1"/>
  <c r="Z30" i="18"/>
  <c r="Z60" i="18" s="1" a="1"/>
  <c r="Z60" i="18" s="1"/>
  <c r="Y30" i="18"/>
  <c r="Y60" i="18" s="1" a="1"/>
  <c r="Y60" i="18" s="1"/>
  <c r="X30" i="18"/>
  <c r="X60" i="18" s="1" a="1"/>
  <c r="X60" i="18" s="1"/>
  <c r="W30" i="18"/>
  <c r="W60" i="18" s="1" a="1"/>
  <c r="W60" i="18" s="1"/>
  <c r="V30" i="18"/>
  <c r="V60" i="18" s="1" a="1"/>
  <c r="V60" i="18" s="1"/>
  <c r="U30" i="18"/>
  <c r="U60" i="18" s="1" a="1"/>
  <c r="U60" i="18" s="1"/>
  <c r="T30" i="18"/>
  <c r="T60" i="18" s="1" a="1"/>
  <c r="T60" i="18" s="1"/>
  <c r="S30" i="18"/>
  <c r="S60" i="18" s="1" a="1"/>
  <c r="S60" i="18" s="1"/>
  <c r="R30" i="18"/>
  <c r="R60" i="18" s="1" a="1"/>
  <c r="R60" i="18" s="1"/>
  <c r="Q30" i="18"/>
  <c r="Q60" i="18" s="1" a="1"/>
  <c r="Q60" i="18" s="1"/>
  <c r="P30" i="18"/>
  <c r="P60" i="18" s="1" a="1"/>
  <c r="P60" i="18" s="1"/>
  <c r="O30" i="18"/>
  <c r="O60" i="18" s="1" a="1"/>
  <c r="O60" i="18" s="1"/>
  <c r="AX29" i="18"/>
  <c r="AX59" i="18" s="1" a="1"/>
  <c r="AX59" i="18" s="1"/>
  <c r="AW29" i="18"/>
  <c r="AW59" i="18" s="1" a="1"/>
  <c r="AW59" i="18" s="1"/>
  <c r="AV29" i="18"/>
  <c r="AV59" i="18" s="1" a="1"/>
  <c r="AV59" i="18" s="1"/>
  <c r="AU29" i="18"/>
  <c r="AU59" i="18" s="1" a="1"/>
  <c r="AU59" i="18" s="1"/>
  <c r="AT29" i="18"/>
  <c r="AT59" i="18" s="1" a="1"/>
  <c r="AT59" i="18" s="1"/>
  <c r="AW137" i="1" s="1"/>
  <c r="AS29" i="18"/>
  <c r="AS59" i="18" s="1" a="1"/>
  <c r="AS59" i="18" s="1"/>
  <c r="AV137" i="1" s="1"/>
  <c r="AR29" i="18"/>
  <c r="AR59" i="18" s="1" a="1"/>
  <c r="AR59" i="18" s="1"/>
  <c r="AU137" i="1" s="1"/>
  <c r="AQ29" i="18"/>
  <c r="AQ59" i="18" s="1" a="1"/>
  <c r="AQ59" i="18" s="1"/>
  <c r="AT137" i="1" s="1"/>
  <c r="AP29" i="18"/>
  <c r="AP59" i="18" s="1" a="1"/>
  <c r="AP59" i="18" s="1"/>
  <c r="AS137" i="1" s="1"/>
  <c r="AO29" i="18"/>
  <c r="AO59" i="18" s="1" a="1"/>
  <c r="AO59" i="18" s="1"/>
  <c r="AR137" i="1" s="1"/>
  <c r="AN29" i="18"/>
  <c r="AN59" i="18" s="1" a="1"/>
  <c r="AN59" i="18" s="1"/>
  <c r="AQ137" i="1" s="1"/>
  <c r="AM29" i="18"/>
  <c r="AM59" i="18" s="1" a="1"/>
  <c r="AM59" i="18" s="1"/>
  <c r="AP137" i="1" s="1"/>
  <c r="AL29" i="18"/>
  <c r="AL59" i="18" s="1" a="1"/>
  <c r="AL59" i="18" s="1"/>
  <c r="AO137" i="1" s="1"/>
  <c r="AK29" i="18"/>
  <c r="AK59" i="18" s="1" a="1"/>
  <c r="AK59" i="18" s="1"/>
  <c r="AN137" i="1" s="1"/>
  <c r="AJ29" i="18"/>
  <c r="AJ59" i="18" s="1" a="1"/>
  <c r="AJ59" i="18" s="1"/>
  <c r="AM137" i="1" s="1"/>
  <c r="AI29" i="18"/>
  <c r="AI59" i="18" s="1" a="1"/>
  <c r="AI59" i="18" s="1"/>
  <c r="AL137" i="1" s="1"/>
  <c r="AH29" i="18"/>
  <c r="AH59" i="18" s="1" a="1"/>
  <c r="AH59" i="18" s="1"/>
  <c r="AK137" i="1" s="1"/>
  <c r="AG29" i="18"/>
  <c r="AG59" i="18" s="1" a="1"/>
  <c r="AG59" i="18" s="1"/>
  <c r="AJ137" i="1" s="1"/>
  <c r="AF29" i="18"/>
  <c r="AF59" i="18" s="1" a="1"/>
  <c r="AF59" i="18" s="1"/>
  <c r="AI137" i="1" s="1"/>
  <c r="AE29" i="18"/>
  <c r="AE59" i="18" s="1" a="1"/>
  <c r="AE59" i="18" s="1"/>
  <c r="AH137" i="1" s="1"/>
  <c r="AD29" i="18"/>
  <c r="AD59" i="18" s="1" a="1"/>
  <c r="AD59" i="18" s="1"/>
  <c r="AG137" i="1" s="1"/>
  <c r="AC29" i="18"/>
  <c r="AC59" i="18" s="1" a="1"/>
  <c r="AC59" i="18" s="1"/>
  <c r="AF137" i="1" s="1"/>
  <c r="AB29" i="18"/>
  <c r="AB59" i="18" s="1" a="1"/>
  <c r="AB59" i="18" s="1"/>
  <c r="AE137" i="1" s="1"/>
  <c r="AA29" i="18"/>
  <c r="AA59" i="18" s="1" a="1"/>
  <c r="AA59" i="18" s="1"/>
  <c r="AD137" i="1" s="1"/>
  <c r="Z29" i="18"/>
  <c r="Z59" i="18" s="1" a="1"/>
  <c r="Z59" i="18" s="1"/>
  <c r="Y29" i="18"/>
  <c r="Y59" i="18" s="1" a="1"/>
  <c r="Y59" i="18" s="1"/>
  <c r="X29" i="18"/>
  <c r="X59" i="18" s="1" a="1"/>
  <c r="X59" i="18" s="1"/>
  <c r="W29" i="18"/>
  <c r="W59" i="18" s="1" a="1"/>
  <c r="W59" i="18" s="1"/>
  <c r="V29" i="18"/>
  <c r="V59" i="18" s="1" a="1"/>
  <c r="V59" i="18" s="1"/>
  <c r="U29" i="18"/>
  <c r="U59" i="18" s="1" a="1"/>
  <c r="U59" i="18" s="1"/>
  <c r="T29" i="18"/>
  <c r="T59" i="18" s="1" a="1"/>
  <c r="T59" i="18" s="1"/>
  <c r="S29" i="18"/>
  <c r="S59" i="18" s="1" a="1"/>
  <c r="S59" i="18" s="1"/>
  <c r="R29" i="18"/>
  <c r="R59" i="18" s="1" a="1"/>
  <c r="R59" i="18" s="1"/>
  <c r="Q29" i="18"/>
  <c r="Q59" i="18" s="1" a="1"/>
  <c r="Q59" i="18" s="1"/>
  <c r="P29" i="18"/>
  <c r="P59" i="18" s="1" a="1"/>
  <c r="P59" i="18" s="1"/>
  <c r="O29" i="18"/>
  <c r="O59" i="18" s="1" a="1"/>
  <c r="O59" i="18" s="1"/>
  <c r="AX28" i="18"/>
  <c r="AX58" i="18" s="1" a="1"/>
  <c r="AX58" i="18" s="1"/>
  <c r="AW28" i="18"/>
  <c r="AW58" i="18" s="1" a="1"/>
  <c r="AW58" i="18" s="1"/>
  <c r="AV28" i="18"/>
  <c r="AV58" i="18" s="1" a="1"/>
  <c r="AV58" i="18" s="1"/>
  <c r="AU28" i="18"/>
  <c r="AU58" i="18" s="1" a="1"/>
  <c r="AU58" i="18" s="1"/>
  <c r="AT28" i="18"/>
  <c r="AT58" i="18" s="1" a="1"/>
  <c r="AT58" i="18" s="1"/>
  <c r="AW136" i="1" s="1"/>
  <c r="AS28" i="18"/>
  <c r="AS58" i="18" s="1" a="1"/>
  <c r="AS58" i="18" s="1"/>
  <c r="AV136" i="1" s="1"/>
  <c r="AR28" i="18"/>
  <c r="AR58" i="18" s="1" a="1"/>
  <c r="AR58" i="18" s="1"/>
  <c r="AU136" i="1" s="1"/>
  <c r="AQ28" i="18"/>
  <c r="AQ58" i="18" s="1" a="1"/>
  <c r="AQ58" i="18" s="1"/>
  <c r="AT136" i="1" s="1"/>
  <c r="AP28" i="18"/>
  <c r="AP58" i="18" s="1" a="1"/>
  <c r="AP58" i="18" s="1"/>
  <c r="AS136" i="1" s="1"/>
  <c r="AO28" i="18"/>
  <c r="AO58" i="18" s="1" a="1"/>
  <c r="AO58" i="18" s="1"/>
  <c r="AR136" i="1" s="1"/>
  <c r="AN28" i="18"/>
  <c r="AN58" i="18" s="1" a="1"/>
  <c r="AN58" i="18" s="1"/>
  <c r="AQ136" i="1" s="1"/>
  <c r="AM28" i="18"/>
  <c r="AM58" i="18" s="1" a="1"/>
  <c r="AM58" i="18" s="1"/>
  <c r="AP136" i="1" s="1"/>
  <c r="AL28" i="18"/>
  <c r="AL58" i="18" s="1" a="1"/>
  <c r="AL58" i="18" s="1"/>
  <c r="AO136" i="1" s="1"/>
  <c r="AK28" i="18"/>
  <c r="AK58" i="18" s="1" a="1"/>
  <c r="AK58" i="18" s="1"/>
  <c r="AN136" i="1" s="1"/>
  <c r="AJ28" i="18"/>
  <c r="AJ58" i="18" s="1" a="1"/>
  <c r="AJ58" i="18" s="1"/>
  <c r="AM136" i="1" s="1"/>
  <c r="AI28" i="18"/>
  <c r="AI58" i="18" s="1" a="1"/>
  <c r="AI58" i="18" s="1"/>
  <c r="AL136" i="1" s="1"/>
  <c r="AH28" i="18"/>
  <c r="AH58" i="18" s="1" a="1"/>
  <c r="AH58" i="18" s="1"/>
  <c r="AK136" i="1" s="1"/>
  <c r="AG28" i="18"/>
  <c r="AG58" i="18" s="1" a="1"/>
  <c r="AG58" i="18" s="1"/>
  <c r="AJ136" i="1" s="1"/>
  <c r="AF28" i="18"/>
  <c r="AF58" i="18" s="1" a="1"/>
  <c r="AF58" i="18" s="1"/>
  <c r="AI136" i="1" s="1"/>
  <c r="AE28" i="18"/>
  <c r="AE58" i="18" s="1" a="1"/>
  <c r="AE58" i="18" s="1"/>
  <c r="AH136" i="1" s="1"/>
  <c r="AD28" i="18"/>
  <c r="AD58" i="18" s="1" a="1"/>
  <c r="AD58" i="18" s="1"/>
  <c r="AG136" i="1" s="1"/>
  <c r="AC28" i="18"/>
  <c r="AC58" i="18" s="1" a="1"/>
  <c r="AC58" i="18" s="1"/>
  <c r="AF136" i="1" s="1"/>
  <c r="AB28" i="18"/>
  <c r="AB58" i="18" s="1" a="1"/>
  <c r="AB58" i="18" s="1"/>
  <c r="AE136" i="1" s="1"/>
  <c r="AA28" i="18"/>
  <c r="AA58" i="18" s="1" a="1"/>
  <c r="AA58" i="18" s="1"/>
  <c r="AD136" i="1" s="1"/>
  <c r="Z28" i="18"/>
  <c r="Z58" i="18" s="1" a="1"/>
  <c r="Z58" i="18" s="1"/>
  <c r="Y28" i="18"/>
  <c r="Y58" i="18" s="1" a="1"/>
  <c r="Y58" i="18" s="1"/>
  <c r="X28" i="18"/>
  <c r="X58" i="18" s="1" a="1"/>
  <c r="X58" i="18" s="1"/>
  <c r="W28" i="18"/>
  <c r="W58" i="18" s="1" a="1"/>
  <c r="W58" i="18" s="1"/>
  <c r="V28" i="18"/>
  <c r="V58" i="18" s="1" a="1"/>
  <c r="V58" i="18" s="1"/>
  <c r="U28" i="18"/>
  <c r="U58" i="18" s="1" a="1"/>
  <c r="U58" i="18" s="1"/>
  <c r="T28" i="18"/>
  <c r="T58" i="18" s="1" a="1"/>
  <c r="T58" i="18" s="1"/>
  <c r="S28" i="18"/>
  <c r="S58" i="18" s="1" a="1"/>
  <c r="S58" i="18" s="1"/>
  <c r="R28" i="18"/>
  <c r="R58" i="18" s="1" a="1"/>
  <c r="R58" i="18" s="1"/>
  <c r="Q28" i="18"/>
  <c r="Q58" i="18" s="1" a="1"/>
  <c r="Q58" i="18" s="1"/>
  <c r="P28" i="18"/>
  <c r="P58" i="18" s="1" a="1"/>
  <c r="P58" i="18" s="1"/>
  <c r="O28" i="18"/>
  <c r="O58" i="18" s="1" a="1"/>
  <c r="O58" i="18" s="1"/>
  <c r="AX27" i="18"/>
  <c r="AX57" i="18" s="1" a="1"/>
  <c r="AX57" i="18" s="1"/>
  <c r="AW27" i="18"/>
  <c r="AW57" i="18" s="1" a="1"/>
  <c r="AW57" i="18" s="1"/>
  <c r="AV27" i="18"/>
  <c r="AV57" i="18" s="1" a="1"/>
  <c r="AV57" i="18" s="1"/>
  <c r="AU27" i="18"/>
  <c r="AU57" i="18" s="1" a="1"/>
  <c r="AU57" i="18" s="1"/>
  <c r="AT27" i="18"/>
  <c r="AT57" i="18" s="1" a="1"/>
  <c r="AT57" i="18" s="1"/>
  <c r="AW135" i="1" s="1"/>
  <c r="AS27" i="18"/>
  <c r="AS57" i="18" s="1" a="1"/>
  <c r="AS57" i="18" s="1"/>
  <c r="AV135" i="1" s="1"/>
  <c r="AR27" i="18"/>
  <c r="AR57" i="18" s="1" a="1"/>
  <c r="AR57" i="18" s="1"/>
  <c r="AU135" i="1" s="1"/>
  <c r="AQ27" i="18"/>
  <c r="AQ57" i="18" s="1" a="1"/>
  <c r="AQ57" i="18" s="1"/>
  <c r="AT135" i="1" s="1"/>
  <c r="AP27" i="18"/>
  <c r="AP57" i="18" s="1" a="1"/>
  <c r="AP57" i="18" s="1"/>
  <c r="AS135" i="1" s="1"/>
  <c r="AO27" i="18"/>
  <c r="AO57" i="18" s="1" a="1"/>
  <c r="AO57" i="18" s="1"/>
  <c r="AR135" i="1" s="1"/>
  <c r="AN27" i="18"/>
  <c r="AN57" i="18" s="1" a="1"/>
  <c r="AN57" i="18" s="1"/>
  <c r="AQ135" i="1" s="1"/>
  <c r="AM27" i="18"/>
  <c r="AM57" i="18" s="1" a="1"/>
  <c r="AM57" i="18" s="1"/>
  <c r="AP135" i="1" s="1"/>
  <c r="AL27" i="18"/>
  <c r="AL57" i="18" s="1" a="1"/>
  <c r="AL57" i="18" s="1"/>
  <c r="AO135" i="1" s="1"/>
  <c r="AK27" i="18"/>
  <c r="AK57" i="18" s="1" a="1"/>
  <c r="AK57" i="18" s="1"/>
  <c r="AN135" i="1" s="1"/>
  <c r="AJ27" i="18"/>
  <c r="AJ57" i="18" s="1" a="1"/>
  <c r="AJ57" i="18" s="1"/>
  <c r="AM135" i="1" s="1"/>
  <c r="AI27" i="18"/>
  <c r="AI57" i="18" s="1" a="1"/>
  <c r="AI57" i="18" s="1"/>
  <c r="AL135" i="1" s="1"/>
  <c r="AH27" i="18"/>
  <c r="AH57" i="18" s="1" a="1"/>
  <c r="AH57" i="18" s="1"/>
  <c r="AK135" i="1" s="1"/>
  <c r="AG27" i="18"/>
  <c r="AG57" i="18" s="1" a="1"/>
  <c r="AG57" i="18" s="1"/>
  <c r="AJ135" i="1" s="1"/>
  <c r="AF27" i="18"/>
  <c r="AF57" i="18" s="1" a="1"/>
  <c r="AF57" i="18" s="1"/>
  <c r="AI135" i="1" s="1"/>
  <c r="AE27" i="18"/>
  <c r="AE57" i="18" s="1" a="1"/>
  <c r="AE57" i="18" s="1"/>
  <c r="AH135" i="1" s="1"/>
  <c r="AD27" i="18"/>
  <c r="AD57" i="18" s="1" a="1"/>
  <c r="AD57" i="18" s="1"/>
  <c r="AG135" i="1" s="1"/>
  <c r="AC27" i="18"/>
  <c r="AC57" i="18" s="1" a="1"/>
  <c r="AC57" i="18" s="1"/>
  <c r="AF135" i="1" s="1"/>
  <c r="AB27" i="18"/>
  <c r="AB57" i="18" s="1" a="1"/>
  <c r="AB57" i="18" s="1"/>
  <c r="AE135" i="1" s="1"/>
  <c r="AA27" i="18"/>
  <c r="AA57" i="18" s="1" a="1"/>
  <c r="AA57" i="18" s="1"/>
  <c r="AD135" i="1" s="1"/>
  <c r="Z27" i="18"/>
  <c r="Z57" i="18" s="1" a="1"/>
  <c r="Z57" i="18" s="1"/>
  <c r="Y27" i="18"/>
  <c r="Y57" i="18" s="1" a="1"/>
  <c r="Y57" i="18" s="1"/>
  <c r="X27" i="18"/>
  <c r="X57" i="18" s="1" a="1"/>
  <c r="X57" i="18" s="1"/>
  <c r="W27" i="18"/>
  <c r="W57" i="18" s="1" a="1"/>
  <c r="W57" i="18" s="1"/>
  <c r="V27" i="18"/>
  <c r="V57" i="18" s="1" a="1"/>
  <c r="V57" i="18" s="1"/>
  <c r="U27" i="18"/>
  <c r="U57" i="18" s="1" a="1"/>
  <c r="U57" i="18" s="1"/>
  <c r="T27" i="18"/>
  <c r="T57" i="18" s="1" a="1"/>
  <c r="T57" i="18" s="1"/>
  <c r="S27" i="18"/>
  <c r="S57" i="18" s="1" a="1"/>
  <c r="S57" i="18" s="1"/>
  <c r="R27" i="18"/>
  <c r="R57" i="18" s="1" a="1"/>
  <c r="R57" i="18" s="1"/>
  <c r="Q27" i="18"/>
  <c r="Q57" i="18" s="1" a="1"/>
  <c r="Q57" i="18" s="1"/>
  <c r="P27" i="18"/>
  <c r="P57" i="18" s="1" a="1"/>
  <c r="P57" i="18" s="1"/>
  <c r="O27" i="18"/>
  <c r="O57" i="18" s="1" a="1"/>
  <c r="O57" i="18" s="1"/>
  <c r="AX26" i="18"/>
  <c r="AX56" i="18" s="1" a="1"/>
  <c r="AX56" i="18" s="1"/>
  <c r="AW26" i="18"/>
  <c r="AW56" i="18" s="1" a="1"/>
  <c r="AW56" i="18" s="1"/>
  <c r="AV26" i="18"/>
  <c r="AV56" i="18" s="1" a="1"/>
  <c r="AV56" i="18" s="1"/>
  <c r="AU26" i="18"/>
  <c r="AU56" i="18" s="1" a="1"/>
  <c r="AU56" i="18" s="1"/>
  <c r="AT26" i="18"/>
  <c r="AT56" i="18" s="1" a="1"/>
  <c r="AT56" i="18" s="1"/>
  <c r="AW134" i="1" s="1"/>
  <c r="AS26" i="18"/>
  <c r="AS56" i="18" s="1" a="1"/>
  <c r="AS56" i="18" s="1"/>
  <c r="AV134" i="1" s="1"/>
  <c r="AR26" i="18"/>
  <c r="AR56" i="18" s="1" a="1"/>
  <c r="AR56" i="18" s="1"/>
  <c r="AU134" i="1" s="1"/>
  <c r="AQ26" i="18"/>
  <c r="AQ56" i="18" s="1" a="1"/>
  <c r="AQ56" i="18" s="1"/>
  <c r="AT134" i="1" s="1"/>
  <c r="AP26" i="18"/>
  <c r="AP56" i="18" s="1" a="1"/>
  <c r="AP56" i="18" s="1"/>
  <c r="AS134" i="1" s="1"/>
  <c r="AO26" i="18"/>
  <c r="AO56" i="18" s="1" a="1"/>
  <c r="AO56" i="18" s="1"/>
  <c r="AR134" i="1" s="1"/>
  <c r="AN26" i="18"/>
  <c r="AN56" i="18" s="1" a="1"/>
  <c r="AN56" i="18" s="1"/>
  <c r="AQ134" i="1" s="1"/>
  <c r="AM26" i="18"/>
  <c r="AM56" i="18" s="1" a="1"/>
  <c r="AM56" i="18" s="1"/>
  <c r="AP134" i="1" s="1"/>
  <c r="AL26" i="18"/>
  <c r="AL56" i="18" s="1" a="1"/>
  <c r="AL56" i="18" s="1"/>
  <c r="AO134" i="1" s="1"/>
  <c r="AK26" i="18"/>
  <c r="AK56" i="18" s="1" a="1"/>
  <c r="AK56" i="18" s="1"/>
  <c r="AN134" i="1" s="1"/>
  <c r="AJ26" i="18"/>
  <c r="AJ56" i="18" s="1" a="1"/>
  <c r="AJ56" i="18" s="1"/>
  <c r="AM134" i="1" s="1"/>
  <c r="AI26" i="18"/>
  <c r="AI56" i="18" s="1" a="1"/>
  <c r="AI56" i="18" s="1"/>
  <c r="AL134" i="1" s="1"/>
  <c r="AH26" i="18"/>
  <c r="AH56" i="18" s="1" a="1"/>
  <c r="AH56" i="18" s="1"/>
  <c r="AK134" i="1" s="1"/>
  <c r="AG26" i="18"/>
  <c r="AG56" i="18" s="1" a="1"/>
  <c r="AG56" i="18" s="1"/>
  <c r="AJ134" i="1" s="1"/>
  <c r="AF26" i="18"/>
  <c r="AF56" i="18" s="1" a="1"/>
  <c r="AF56" i="18" s="1"/>
  <c r="AI134" i="1" s="1"/>
  <c r="AE26" i="18"/>
  <c r="AE56" i="18" s="1" a="1"/>
  <c r="AE56" i="18" s="1"/>
  <c r="AH134" i="1" s="1"/>
  <c r="AD26" i="18"/>
  <c r="AD56" i="18" s="1" a="1"/>
  <c r="AD56" i="18" s="1"/>
  <c r="AG134" i="1" s="1"/>
  <c r="AC26" i="18"/>
  <c r="AC56" i="18" s="1" a="1"/>
  <c r="AC56" i="18" s="1"/>
  <c r="AF134" i="1" s="1"/>
  <c r="AB26" i="18"/>
  <c r="AB56" i="18" s="1" a="1"/>
  <c r="AB56" i="18" s="1"/>
  <c r="AE134" i="1" s="1"/>
  <c r="AA26" i="18"/>
  <c r="AA56" i="18" s="1" a="1"/>
  <c r="AA56" i="18" s="1"/>
  <c r="AD134" i="1" s="1"/>
  <c r="Z26" i="18"/>
  <c r="Z56" i="18" s="1" a="1"/>
  <c r="Z56" i="18" s="1"/>
  <c r="Y26" i="18"/>
  <c r="Y56" i="18" s="1" a="1"/>
  <c r="Y56" i="18" s="1"/>
  <c r="X26" i="18"/>
  <c r="X56" i="18" s="1" a="1"/>
  <c r="X56" i="18" s="1"/>
  <c r="W26" i="18"/>
  <c r="W56" i="18" s="1" a="1"/>
  <c r="W56" i="18" s="1"/>
  <c r="V26" i="18"/>
  <c r="V56" i="18" s="1" a="1"/>
  <c r="V56" i="18" s="1"/>
  <c r="U26" i="18"/>
  <c r="U56" i="18" s="1" a="1"/>
  <c r="U56" i="18" s="1"/>
  <c r="T26" i="18"/>
  <c r="T56" i="18" s="1" a="1"/>
  <c r="T56" i="18" s="1"/>
  <c r="S26" i="18"/>
  <c r="S56" i="18" s="1" a="1"/>
  <c r="S56" i="18" s="1"/>
  <c r="R26" i="18"/>
  <c r="R56" i="18" s="1" a="1"/>
  <c r="R56" i="18" s="1"/>
  <c r="Q26" i="18"/>
  <c r="Q56" i="18" s="1" a="1"/>
  <c r="Q56" i="18" s="1"/>
  <c r="P26" i="18"/>
  <c r="P56" i="18" s="1" a="1"/>
  <c r="P56" i="18" s="1"/>
  <c r="O26" i="18"/>
  <c r="O56" i="18" s="1" a="1"/>
  <c r="O56" i="18" s="1"/>
  <c r="AX25" i="18"/>
  <c r="AX55" i="18" s="1" a="1"/>
  <c r="AX55" i="18" s="1"/>
  <c r="AW25" i="18"/>
  <c r="AW55" i="18" s="1" a="1"/>
  <c r="AW55" i="18" s="1"/>
  <c r="AV25" i="18"/>
  <c r="AV55" i="18" s="1" a="1"/>
  <c r="AV55" i="18" s="1"/>
  <c r="AU25" i="18"/>
  <c r="AU55" i="18" s="1" a="1"/>
  <c r="AU55" i="18" s="1"/>
  <c r="AT25" i="18"/>
  <c r="AT55" i="18" s="1" a="1"/>
  <c r="AT55" i="18" s="1"/>
  <c r="AW133" i="1" s="1"/>
  <c r="AS25" i="18"/>
  <c r="AS55" i="18" s="1" a="1"/>
  <c r="AS55" i="18" s="1"/>
  <c r="AV133" i="1" s="1"/>
  <c r="AR25" i="18"/>
  <c r="AR55" i="18" s="1" a="1"/>
  <c r="AR55" i="18" s="1"/>
  <c r="AU133" i="1" s="1"/>
  <c r="AQ25" i="18"/>
  <c r="AQ55" i="18" s="1" a="1"/>
  <c r="AQ55" i="18" s="1"/>
  <c r="AT133" i="1" s="1"/>
  <c r="AP25" i="18"/>
  <c r="AP55" i="18" s="1" a="1"/>
  <c r="AP55" i="18" s="1"/>
  <c r="AS133" i="1" s="1"/>
  <c r="AO25" i="18"/>
  <c r="AO55" i="18" s="1" a="1"/>
  <c r="AO55" i="18" s="1"/>
  <c r="AR133" i="1" s="1"/>
  <c r="AN25" i="18"/>
  <c r="AN55" i="18" s="1" a="1"/>
  <c r="AN55" i="18" s="1"/>
  <c r="AQ133" i="1" s="1"/>
  <c r="AM25" i="18"/>
  <c r="AM55" i="18" s="1" a="1"/>
  <c r="AM55" i="18" s="1"/>
  <c r="AP133" i="1" s="1"/>
  <c r="AL25" i="18"/>
  <c r="AL55" i="18" s="1" a="1"/>
  <c r="AL55" i="18" s="1"/>
  <c r="AO133" i="1" s="1"/>
  <c r="AK25" i="18"/>
  <c r="AK55" i="18" s="1" a="1"/>
  <c r="AK55" i="18" s="1"/>
  <c r="AN133" i="1" s="1"/>
  <c r="AJ25" i="18"/>
  <c r="AJ55" i="18" s="1" a="1"/>
  <c r="AJ55" i="18" s="1"/>
  <c r="AM133" i="1" s="1"/>
  <c r="AI25" i="18"/>
  <c r="AI55" i="18" s="1" a="1"/>
  <c r="AI55" i="18" s="1"/>
  <c r="AL133" i="1" s="1"/>
  <c r="AH25" i="18"/>
  <c r="AH55" i="18" s="1" a="1"/>
  <c r="AH55" i="18" s="1"/>
  <c r="AK133" i="1" s="1"/>
  <c r="AG25" i="18"/>
  <c r="AG55" i="18" s="1" a="1"/>
  <c r="AG55" i="18" s="1"/>
  <c r="AJ133" i="1" s="1"/>
  <c r="AF25" i="18"/>
  <c r="AF55" i="18" s="1" a="1"/>
  <c r="AF55" i="18" s="1"/>
  <c r="AI133" i="1" s="1"/>
  <c r="AE25" i="18"/>
  <c r="AE55" i="18" s="1" a="1"/>
  <c r="AE55" i="18" s="1"/>
  <c r="AH133" i="1" s="1"/>
  <c r="AD25" i="18"/>
  <c r="AD55" i="18" s="1" a="1"/>
  <c r="AD55" i="18" s="1"/>
  <c r="AG133" i="1" s="1"/>
  <c r="AC25" i="18"/>
  <c r="AC55" i="18" s="1" a="1"/>
  <c r="AC55" i="18" s="1"/>
  <c r="AF133" i="1" s="1"/>
  <c r="AB25" i="18"/>
  <c r="AB55" i="18" s="1" a="1"/>
  <c r="AB55" i="18" s="1"/>
  <c r="AE133" i="1" s="1"/>
  <c r="AA25" i="18"/>
  <c r="AA55" i="18" s="1" a="1"/>
  <c r="AA55" i="18" s="1"/>
  <c r="AD133" i="1" s="1"/>
  <c r="Z25" i="18"/>
  <c r="Z55" i="18" s="1" a="1"/>
  <c r="Z55" i="18" s="1"/>
  <c r="Y25" i="18"/>
  <c r="Y55" i="18" s="1" a="1"/>
  <c r="Y55" i="18" s="1"/>
  <c r="X25" i="18"/>
  <c r="X55" i="18" s="1" a="1"/>
  <c r="X55" i="18" s="1"/>
  <c r="W25" i="18"/>
  <c r="W55" i="18" s="1" a="1"/>
  <c r="W55" i="18" s="1"/>
  <c r="V25" i="18"/>
  <c r="V55" i="18" s="1" a="1"/>
  <c r="V55" i="18" s="1"/>
  <c r="U25" i="18"/>
  <c r="U55" i="18" s="1" a="1"/>
  <c r="U55" i="18" s="1"/>
  <c r="T25" i="18"/>
  <c r="T55" i="18" s="1" a="1"/>
  <c r="T55" i="18" s="1"/>
  <c r="S25" i="18"/>
  <c r="S55" i="18" s="1" a="1"/>
  <c r="S55" i="18" s="1"/>
  <c r="R25" i="18"/>
  <c r="R55" i="18" s="1" a="1"/>
  <c r="R55" i="18" s="1"/>
  <c r="Q25" i="18"/>
  <c r="Q55" i="18" s="1" a="1"/>
  <c r="Q55" i="18" s="1"/>
  <c r="P25" i="18"/>
  <c r="P55" i="18" s="1" a="1"/>
  <c r="P55" i="18" s="1"/>
  <c r="O25" i="18"/>
  <c r="O55" i="18" s="1" a="1"/>
  <c r="O55" i="18" s="1"/>
  <c r="AX24" i="18"/>
  <c r="AX54" i="18" s="1" a="1"/>
  <c r="AX54" i="18" s="1"/>
  <c r="AW24" i="18"/>
  <c r="AW54" i="18" s="1" a="1"/>
  <c r="AW54" i="18" s="1"/>
  <c r="AV24" i="18"/>
  <c r="AV54" i="18" s="1" a="1"/>
  <c r="AV54" i="18" s="1"/>
  <c r="AU24" i="18"/>
  <c r="AU54" i="18" s="1" a="1"/>
  <c r="AU54" i="18" s="1"/>
  <c r="AT24" i="18"/>
  <c r="AT54" i="18" s="1" a="1"/>
  <c r="AT54" i="18" s="1"/>
  <c r="AW132" i="1" s="1"/>
  <c r="AS24" i="18"/>
  <c r="AS54" i="18" s="1" a="1"/>
  <c r="AS54" i="18" s="1"/>
  <c r="AV132" i="1" s="1"/>
  <c r="AR24" i="18"/>
  <c r="AR54" i="18" s="1" a="1"/>
  <c r="AR54" i="18" s="1"/>
  <c r="AU132" i="1" s="1"/>
  <c r="AQ24" i="18"/>
  <c r="AQ54" i="18" s="1" a="1"/>
  <c r="AQ54" i="18" s="1"/>
  <c r="AT132" i="1" s="1"/>
  <c r="AP24" i="18"/>
  <c r="AP54" i="18" s="1" a="1"/>
  <c r="AP54" i="18" s="1"/>
  <c r="AS132" i="1" s="1"/>
  <c r="AO24" i="18"/>
  <c r="AO54" i="18" s="1" a="1"/>
  <c r="AO54" i="18" s="1"/>
  <c r="AR132" i="1" s="1"/>
  <c r="AN24" i="18"/>
  <c r="AN54" i="18" s="1" a="1"/>
  <c r="AN54" i="18" s="1"/>
  <c r="AQ132" i="1" s="1"/>
  <c r="AM24" i="18"/>
  <c r="AM54" i="18" s="1" a="1"/>
  <c r="AM54" i="18" s="1"/>
  <c r="AP132" i="1" s="1"/>
  <c r="AL24" i="18"/>
  <c r="AL54" i="18" s="1" a="1"/>
  <c r="AL54" i="18" s="1"/>
  <c r="AO132" i="1" s="1"/>
  <c r="AK24" i="18"/>
  <c r="AK54" i="18" s="1" a="1"/>
  <c r="AK54" i="18" s="1"/>
  <c r="AN132" i="1" s="1"/>
  <c r="AJ24" i="18"/>
  <c r="AJ54" i="18" s="1" a="1"/>
  <c r="AJ54" i="18" s="1"/>
  <c r="AM132" i="1" s="1"/>
  <c r="AI24" i="18"/>
  <c r="AI54" i="18" s="1" a="1"/>
  <c r="AI54" i="18" s="1"/>
  <c r="AL132" i="1" s="1"/>
  <c r="AH24" i="18"/>
  <c r="AH54" i="18" s="1" a="1"/>
  <c r="AH54" i="18" s="1"/>
  <c r="AK132" i="1" s="1"/>
  <c r="AG24" i="18"/>
  <c r="AG54" i="18" s="1" a="1"/>
  <c r="AG54" i="18" s="1"/>
  <c r="AJ132" i="1" s="1"/>
  <c r="AF24" i="18"/>
  <c r="AF54" i="18" s="1" a="1"/>
  <c r="AF54" i="18" s="1"/>
  <c r="AI132" i="1" s="1"/>
  <c r="AE24" i="18"/>
  <c r="AE54" i="18" s="1" a="1"/>
  <c r="AE54" i="18" s="1"/>
  <c r="AH132" i="1" s="1"/>
  <c r="AD24" i="18"/>
  <c r="AD54" i="18" s="1" a="1"/>
  <c r="AD54" i="18" s="1"/>
  <c r="AG132" i="1" s="1"/>
  <c r="AC24" i="18"/>
  <c r="AC54" i="18" s="1" a="1"/>
  <c r="AC54" i="18" s="1"/>
  <c r="AF132" i="1" s="1"/>
  <c r="AB24" i="18"/>
  <c r="AB54" i="18" s="1" a="1"/>
  <c r="AB54" i="18" s="1"/>
  <c r="AE132" i="1" s="1"/>
  <c r="AA24" i="18"/>
  <c r="AA54" i="18" s="1" a="1"/>
  <c r="AA54" i="18" s="1"/>
  <c r="AD132" i="1" s="1"/>
  <c r="Z24" i="18"/>
  <c r="Z54" i="18" s="1" a="1"/>
  <c r="Z54" i="18" s="1"/>
  <c r="Y24" i="18"/>
  <c r="Y54" i="18" s="1" a="1"/>
  <c r="Y54" i="18" s="1"/>
  <c r="X24" i="18"/>
  <c r="X54" i="18" s="1" a="1"/>
  <c r="X54" i="18" s="1"/>
  <c r="W24" i="18"/>
  <c r="W54" i="18" s="1" a="1"/>
  <c r="W54" i="18" s="1"/>
  <c r="V24" i="18"/>
  <c r="V54" i="18" s="1" a="1"/>
  <c r="V54" i="18" s="1"/>
  <c r="U24" i="18"/>
  <c r="U54" i="18" s="1" a="1"/>
  <c r="U54" i="18" s="1"/>
  <c r="T24" i="18"/>
  <c r="T54" i="18" s="1" a="1"/>
  <c r="T54" i="18" s="1"/>
  <c r="S24" i="18"/>
  <c r="S54" i="18" s="1" a="1"/>
  <c r="S54" i="18" s="1"/>
  <c r="R24" i="18"/>
  <c r="R54" i="18" s="1" a="1"/>
  <c r="R54" i="18" s="1"/>
  <c r="Q24" i="18"/>
  <c r="Q54" i="18" s="1" a="1"/>
  <c r="Q54" i="18" s="1"/>
  <c r="P24" i="18"/>
  <c r="P54" i="18" s="1" a="1"/>
  <c r="P54" i="18" s="1"/>
  <c r="O24" i="18"/>
  <c r="O54" i="18" s="1" a="1"/>
  <c r="O54" i="18" s="1"/>
  <c r="AX23" i="18"/>
  <c r="AX53" i="18" s="1" a="1"/>
  <c r="AX53" i="18" s="1"/>
  <c r="AW23" i="18"/>
  <c r="AW53" i="18" s="1" a="1"/>
  <c r="AW53" i="18" s="1"/>
  <c r="AV23" i="18"/>
  <c r="AV53" i="18" s="1" a="1"/>
  <c r="AV53" i="18" s="1"/>
  <c r="AU23" i="18"/>
  <c r="AU53" i="18" s="1" a="1"/>
  <c r="AU53" i="18" s="1"/>
  <c r="AT23" i="18"/>
  <c r="AT53" i="18" s="1" a="1"/>
  <c r="AT53" i="18" s="1"/>
  <c r="AW131" i="1" s="1"/>
  <c r="AS23" i="18"/>
  <c r="AS53" i="18" s="1" a="1"/>
  <c r="AS53" i="18" s="1"/>
  <c r="AV131" i="1" s="1"/>
  <c r="AR23" i="18"/>
  <c r="AR53" i="18" s="1" a="1"/>
  <c r="AR53" i="18" s="1"/>
  <c r="AU131" i="1" s="1"/>
  <c r="AQ23" i="18"/>
  <c r="AQ53" i="18" s="1" a="1"/>
  <c r="AQ53" i="18" s="1"/>
  <c r="AT131" i="1" s="1"/>
  <c r="AP23" i="18"/>
  <c r="AP53" i="18" s="1" a="1"/>
  <c r="AP53" i="18" s="1"/>
  <c r="AS131" i="1" s="1"/>
  <c r="AO23" i="18"/>
  <c r="AO53" i="18" s="1" a="1"/>
  <c r="AO53" i="18" s="1"/>
  <c r="AR131" i="1" s="1"/>
  <c r="AN23" i="18"/>
  <c r="AN53" i="18" s="1" a="1"/>
  <c r="AN53" i="18" s="1"/>
  <c r="AQ131" i="1" s="1"/>
  <c r="AM23" i="18"/>
  <c r="AM53" i="18" s="1" a="1"/>
  <c r="AM53" i="18" s="1"/>
  <c r="AP131" i="1" s="1"/>
  <c r="AL23" i="18"/>
  <c r="AL53" i="18" s="1" a="1"/>
  <c r="AL53" i="18" s="1"/>
  <c r="AO131" i="1" s="1"/>
  <c r="AK23" i="18"/>
  <c r="AK53" i="18" s="1" a="1"/>
  <c r="AK53" i="18" s="1"/>
  <c r="AN131" i="1" s="1"/>
  <c r="AJ23" i="18"/>
  <c r="AJ53" i="18" s="1" a="1"/>
  <c r="AJ53" i="18" s="1"/>
  <c r="AM131" i="1" s="1"/>
  <c r="AI23" i="18"/>
  <c r="AI53" i="18" s="1" a="1"/>
  <c r="AI53" i="18" s="1"/>
  <c r="AL131" i="1" s="1"/>
  <c r="AH23" i="18"/>
  <c r="AH53" i="18" s="1" a="1"/>
  <c r="AH53" i="18" s="1"/>
  <c r="AK131" i="1" s="1"/>
  <c r="AG23" i="18"/>
  <c r="AG53" i="18" s="1" a="1"/>
  <c r="AG53" i="18" s="1"/>
  <c r="AJ131" i="1" s="1"/>
  <c r="AF23" i="18"/>
  <c r="AF53" i="18" s="1" a="1"/>
  <c r="AF53" i="18" s="1"/>
  <c r="AI131" i="1" s="1"/>
  <c r="AE23" i="18"/>
  <c r="AE53" i="18" s="1" a="1"/>
  <c r="AE53" i="18" s="1"/>
  <c r="AH131" i="1" s="1"/>
  <c r="AD23" i="18"/>
  <c r="AD53" i="18" s="1" a="1"/>
  <c r="AD53" i="18" s="1"/>
  <c r="AG131" i="1" s="1"/>
  <c r="AC23" i="18"/>
  <c r="AC53" i="18" s="1" a="1"/>
  <c r="AC53" i="18" s="1"/>
  <c r="AF131" i="1" s="1"/>
  <c r="AB23" i="18"/>
  <c r="AB53" i="18" s="1" a="1"/>
  <c r="AB53" i="18" s="1"/>
  <c r="AE131" i="1" s="1"/>
  <c r="AA23" i="18"/>
  <c r="AA53" i="18" s="1" a="1"/>
  <c r="AA53" i="18" s="1"/>
  <c r="AD131" i="1" s="1"/>
  <c r="Z23" i="18"/>
  <c r="Z53" i="18" s="1" a="1"/>
  <c r="Z53" i="18" s="1"/>
  <c r="Y23" i="18"/>
  <c r="Y53" i="18" s="1" a="1"/>
  <c r="Y53" i="18" s="1"/>
  <c r="X23" i="18"/>
  <c r="X53" i="18" s="1" a="1"/>
  <c r="X53" i="18" s="1"/>
  <c r="W23" i="18"/>
  <c r="W53" i="18" s="1" a="1"/>
  <c r="W53" i="18" s="1"/>
  <c r="V23" i="18"/>
  <c r="V53" i="18" s="1" a="1"/>
  <c r="V53" i="18" s="1"/>
  <c r="U23" i="18"/>
  <c r="U53" i="18" s="1" a="1"/>
  <c r="U53" i="18" s="1"/>
  <c r="T23" i="18"/>
  <c r="T53" i="18" s="1" a="1"/>
  <c r="T53" i="18" s="1"/>
  <c r="S23" i="18"/>
  <c r="S53" i="18" s="1" a="1"/>
  <c r="S53" i="18" s="1"/>
  <c r="R23" i="18"/>
  <c r="R53" i="18" s="1" a="1"/>
  <c r="R53" i="18" s="1"/>
  <c r="Q23" i="18"/>
  <c r="Q53" i="18" s="1" a="1"/>
  <c r="Q53" i="18" s="1"/>
  <c r="P23" i="18"/>
  <c r="P53" i="18" s="1" a="1"/>
  <c r="P53" i="18" s="1"/>
  <c r="O23" i="18"/>
  <c r="O53" i="18" s="1" a="1"/>
  <c r="O53" i="18" s="1"/>
  <c r="AX22" i="18"/>
  <c r="AX52" i="18" s="1" a="1"/>
  <c r="AX52" i="18" s="1"/>
  <c r="AW22" i="18"/>
  <c r="AW52" i="18" s="1" a="1"/>
  <c r="AW52" i="18" s="1"/>
  <c r="AV22" i="18"/>
  <c r="AV52" i="18" s="1" a="1"/>
  <c r="AV52" i="18" s="1"/>
  <c r="AU22" i="18"/>
  <c r="AU52" i="18" s="1" a="1"/>
  <c r="AU52" i="18" s="1"/>
  <c r="AT22" i="18"/>
  <c r="AT52" i="18" s="1" a="1"/>
  <c r="AT52" i="18" s="1"/>
  <c r="AW130" i="1" s="1"/>
  <c r="AS22" i="18"/>
  <c r="AS52" i="18" s="1" a="1"/>
  <c r="AS52" i="18" s="1"/>
  <c r="AV130" i="1" s="1"/>
  <c r="AR22" i="18"/>
  <c r="AR52" i="18" s="1" a="1"/>
  <c r="AR52" i="18" s="1"/>
  <c r="AU130" i="1" s="1"/>
  <c r="AQ22" i="18"/>
  <c r="AQ52" i="18" s="1" a="1"/>
  <c r="AQ52" i="18" s="1"/>
  <c r="AT130" i="1" s="1"/>
  <c r="AP22" i="18"/>
  <c r="AP52" i="18" s="1" a="1"/>
  <c r="AP52" i="18" s="1"/>
  <c r="AS130" i="1" s="1"/>
  <c r="AO22" i="18"/>
  <c r="AO52" i="18" s="1" a="1"/>
  <c r="AO52" i="18" s="1"/>
  <c r="AR130" i="1" s="1"/>
  <c r="AN22" i="18"/>
  <c r="AN52" i="18" s="1" a="1"/>
  <c r="AN52" i="18" s="1"/>
  <c r="AQ130" i="1" s="1"/>
  <c r="AM22" i="18"/>
  <c r="AM52" i="18" s="1" a="1"/>
  <c r="AM52" i="18" s="1"/>
  <c r="AP130" i="1" s="1"/>
  <c r="AL22" i="18"/>
  <c r="AL52" i="18" s="1" a="1"/>
  <c r="AL52" i="18" s="1"/>
  <c r="AO130" i="1" s="1"/>
  <c r="AK22" i="18"/>
  <c r="AK52" i="18" s="1" a="1"/>
  <c r="AK52" i="18" s="1"/>
  <c r="AN130" i="1" s="1"/>
  <c r="AJ22" i="18"/>
  <c r="AJ52" i="18" s="1" a="1"/>
  <c r="AJ52" i="18" s="1"/>
  <c r="AM130" i="1" s="1"/>
  <c r="AI22" i="18"/>
  <c r="AI52" i="18" s="1" a="1"/>
  <c r="AI52" i="18" s="1"/>
  <c r="AL130" i="1" s="1"/>
  <c r="AH22" i="18"/>
  <c r="AH52" i="18" s="1" a="1"/>
  <c r="AH52" i="18" s="1"/>
  <c r="AK130" i="1" s="1"/>
  <c r="AG22" i="18"/>
  <c r="AG52" i="18" s="1" a="1"/>
  <c r="AG52" i="18" s="1"/>
  <c r="AJ130" i="1" s="1"/>
  <c r="AF22" i="18"/>
  <c r="AF52" i="18" s="1" a="1"/>
  <c r="AF52" i="18" s="1"/>
  <c r="AI130" i="1" s="1"/>
  <c r="AE22" i="18"/>
  <c r="AE52" i="18" s="1" a="1"/>
  <c r="AE52" i="18" s="1"/>
  <c r="AH130" i="1" s="1"/>
  <c r="AD22" i="18"/>
  <c r="AD52" i="18" s="1" a="1"/>
  <c r="AD52" i="18" s="1"/>
  <c r="AG130" i="1" s="1"/>
  <c r="AC22" i="18"/>
  <c r="AC52" i="18" s="1" a="1"/>
  <c r="AC52" i="18" s="1"/>
  <c r="AF130" i="1" s="1"/>
  <c r="AB22" i="18"/>
  <c r="AB52" i="18" s="1" a="1"/>
  <c r="AB52" i="18" s="1"/>
  <c r="AE130" i="1" s="1"/>
  <c r="AA22" i="18"/>
  <c r="AA52" i="18" s="1" a="1"/>
  <c r="AA52" i="18" s="1"/>
  <c r="AD130" i="1" s="1"/>
  <c r="Z22" i="18"/>
  <c r="Z52" i="18" s="1" a="1"/>
  <c r="Z52" i="18" s="1"/>
  <c r="Y22" i="18"/>
  <c r="Y52" i="18" s="1" a="1"/>
  <c r="Y52" i="18" s="1"/>
  <c r="X22" i="18"/>
  <c r="X52" i="18" s="1" a="1"/>
  <c r="X52" i="18" s="1"/>
  <c r="W22" i="18"/>
  <c r="W52" i="18" s="1" a="1"/>
  <c r="W52" i="18" s="1"/>
  <c r="V22" i="18"/>
  <c r="V52" i="18" s="1" a="1"/>
  <c r="V52" i="18" s="1"/>
  <c r="U22" i="18"/>
  <c r="U52" i="18" s="1" a="1"/>
  <c r="U52" i="18" s="1"/>
  <c r="T22" i="18"/>
  <c r="T52" i="18" s="1" a="1"/>
  <c r="T52" i="18" s="1"/>
  <c r="S22" i="18"/>
  <c r="S52" i="18" s="1" a="1"/>
  <c r="S52" i="18" s="1"/>
  <c r="R22" i="18"/>
  <c r="R52" i="18" s="1" a="1"/>
  <c r="R52" i="18" s="1"/>
  <c r="Q22" i="18"/>
  <c r="Q52" i="18" s="1" a="1"/>
  <c r="Q52" i="18" s="1"/>
  <c r="P22" i="18"/>
  <c r="P52" i="18" s="1" a="1"/>
  <c r="P52" i="18" s="1"/>
  <c r="O22" i="18"/>
  <c r="O52" i="18" s="1" a="1"/>
  <c r="O52" i="18" s="1"/>
  <c r="AX21" i="18"/>
  <c r="AX51" i="18" s="1" a="1"/>
  <c r="AX51" i="18" s="1"/>
  <c r="AW21" i="18"/>
  <c r="AW51" i="18" s="1" a="1"/>
  <c r="AW51" i="18" s="1"/>
  <c r="AV21" i="18"/>
  <c r="AV51" i="18" s="1" a="1"/>
  <c r="AV51" i="18" s="1"/>
  <c r="AU21" i="18"/>
  <c r="AU51" i="18" s="1" a="1"/>
  <c r="AU51" i="18" s="1"/>
  <c r="AT21" i="18"/>
  <c r="AT51" i="18" s="1" a="1"/>
  <c r="AT51" i="18" s="1"/>
  <c r="AW129" i="1" s="1"/>
  <c r="AS21" i="18"/>
  <c r="AS51" i="18" s="1" a="1"/>
  <c r="AS51" i="18" s="1"/>
  <c r="AV129" i="1" s="1"/>
  <c r="AR21" i="18"/>
  <c r="AR51" i="18" s="1" a="1"/>
  <c r="AR51" i="18" s="1"/>
  <c r="AU129" i="1" s="1"/>
  <c r="AQ21" i="18"/>
  <c r="AQ51" i="18" s="1" a="1"/>
  <c r="AQ51" i="18" s="1"/>
  <c r="AT129" i="1" s="1"/>
  <c r="AP21" i="18"/>
  <c r="AP51" i="18" s="1" a="1"/>
  <c r="AP51" i="18" s="1"/>
  <c r="AS129" i="1" s="1"/>
  <c r="AO21" i="18"/>
  <c r="AO51" i="18" s="1" a="1"/>
  <c r="AO51" i="18" s="1"/>
  <c r="AR129" i="1" s="1"/>
  <c r="AN21" i="18"/>
  <c r="AN51" i="18" s="1" a="1"/>
  <c r="AN51" i="18" s="1"/>
  <c r="AQ129" i="1" s="1"/>
  <c r="AM21" i="18"/>
  <c r="AM51" i="18" s="1" a="1"/>
  <c r="AM51" i="18" s="1"/>
  <c r="AP129" i="1" s="1"/>
  <c r="AL21" i="18"/>
  <c r="AL51" i="18" s="1" a="1"/>
  <c r="AL51" i="18" s="1"/>
  <c r="AO129" i="1" s="1"/>
  <c r="AK21" i="18"/>
  <c r="AK51" i="18" s="1" a="1"/>
  <c r="AK51" i="18" s="1"/>
  <c r="AN129" i="1" s="1"/>
  <c r="AJ21" i="18"/>
  <c r="AJ51" i="18" s="1" a="1"/>
  <c r="AJ51" i="18" s="1"/>
  <c r="AM129" i="1" s="1"/>
  <c r="AI21" i="18"/>
  <c r="AI51" i="18" s="1" a="1"/>
  <c r="AI51" i="18" s="1"/>
  <c r="AL129" i="1" s="1"/>
  <c r="AH21" i="18"/>
  <c r="AH51" i="18" s="1" a="1"/>
  <c r="AH51" i="18" s="1"/>
  <c r="AK129" i="1" s="1"/>
  <c r="AG21" i="18"/>
  <c r="AG51" i="18" s="1" a="1"/>
  <c r="AG51" i="18" s="1"/>
  <c r="AJ129" i="1" s="1"/>
  <c r="AF21" i="18"/>
  <c r="AF51" i="18" s="1" a="1"/>
  <c r="AF51" i="18" s="1"/>
  <c r="AI129" i="1" s="1"/>
  <c r="AE21" i="18"/>
  <c r="AE51" i="18" s="1" a="1"/>
  <c r="AE51" i="18" s="1"/>
  <c r="AH129" i="1" s="1"/>
  <c r="AD21" i="18"/>
  <c r="AD51" i="18" s="1" a="1"/>
  <c r="AD51" i="18" s="1"/>
  <c r="AG129" i="1" s="1"/>
  <c r="AC21" i="18"/>
  <c r="AC51" i="18" s="1" a="1"/>
  <c r="AC51" i="18" s="1"/>
  <c r="AF129" i="1" s="1"/>
  <c r="AB21" i="18"/>
  <c r="AB51" i="18" s="1" a="1"/>
  <c r="AB51" i="18" s="1"/>
  <c r="AE129" i="1" s="1"/>
  <c r="AA21" i="18"/>
  <c r="AA51" i="18" s="1" a="1"/>
  <c r="AA51" i="18" s="1"/>
  <c r="AD129" i="1" s="1"/>
  <c r="Z21" i="18"/>
  <c r="Z51" i="18" s="1" a="1"/>
  <c r="Z51" i="18" s="1"/>
  <c r="Y21" i="18"/>
  <c r="Y51" i="18" s="1" a="1"/>
  <c r="Y51" i="18" s="1"/>
  <c r="X21" i="18"/>
  <c r="X51" i="18" s="1" a="1"/>
  <c r="X51" i="18" s="1"/>
  <c r="W21" i="18"/>
  <c r="W51" i="18" s="1" a="1"/>
  <c r="W51" i="18" s="1"/>
  <c r="V21" i="18"/>
  <c r="V51" i="18" s="1" a="1"/>
  <c r="V51" i="18" s="1"/>
  <c r="U21" i="18"/>
  <c r="U51" i="18" s="1" a="1"/>
  <c r="U51" i="18" s="1"/>
  <c r="T21" i="18"/>
  <c r="T51" i="18" s="1" a="1"/>
  <c r="T51" i="18" s="1"/>
  <c r="S21" i="18"/>
  <c r="S51" i="18" s="1" a="1"/>
  <c r="S51" i="18" s="1"/>
  <c r="R21" i="18"/>
  <c r="R51" i="18" s="1" a="1"/>
  <c r="R51" i="18" s="1"/>
  <c r="Q21" i="18"/>
  <c r="Q51" i="18" s="1" a="1"/>
  <c r="Q51" i="18" s="1"/>
  <c r="P21" i="18"/>
  <c r="P51" i="18" s="1" a="1"/>
  <c r="P51" i="18" s="1"/>
  <c r="O21" i="18"/>
  <c r="O51" i="18" s="1" a="1"/>
  <c r="O51" i="18" s="1"/>
  <c r="AX20" i="18"/>
  <c r="AX50" i="18" s="1" a="1"/>
  <c r="AX50" i="18" s="1"/>
  <c r="AW20" i="18"/>
  <c r="AW50" i="18" s="1" a="1"/>
  <c r="AW50" i="18" s="1"/>
  <c r="AV20" i="18"/>
  <c r="AV50" i="18" s="1" a="1"/>
  <c r="AV50" i="18" s="1"/>
  <c r="AU20" i="18"/>
  <c r="AU50" i="18" s="1" a="1"/>
  <c r="AU50" i="18" s="1"/>
  <c r="AT20" i="18"/>
  <c r="AT50" i="18" s="1" a="1"/>
  <c r="AT50" i="18" s="1"/>
  <c r="AW128" i="1" s="1"/>
  <c r="AS20" i="18"/>
  <c r="AS50" i="18" s="1" a="1"/>
  <c r="AS50" i="18" s="1"/>
  <c r="AV128" i="1" s="1"/>
  <c r="AR20" i="18"/>
  <c r="AR50" i="18" s="1" a="1"/>
  <c r="AR50" i="18" s="1"/>
  <c r="AU128" i="1" s="1"/>
  <c r="AQ20" i="18"/>
  <c r="AQ50" i="18" s="1" a="1"/>
  <c r="AQ50" i="18" s="1"/>
  <c r="AT128" i="1" s="1"/>
  <c r="AP20" i="18"/>
  <c r="AP50" i="18" s="1" a="1"/>
  <c r="AP50" i="18" s="1"/>
  <c r="AS128" i="1" s="1"/>
  <c r="AO20" i="18"/>
  <c r="AO50" i="18" s="1" a="1"/>
  <c r="AO50" i="18" s="1"/>
  <c r="AR128" i="1" s="1"/>
  <c r="AN20" i="18"/>
  <c r="AN50" i="18" s="1" a="1"/>
  <c r="AN50" i="18" s="1"/>
  <c r="AQ128" i="1" s="1"/>
  <c r="AM20" i="18"/>
  <c r="AM50" i="18" s="1" a="1"/>
  <c r="AM50" i="18" s="1"/>
  <c r="AP128" i="1" s="1"/>
  <c r="AL20" i="18"/>
  <c r="AL50" i="18" s="1" a="1"/>
  <c r="AL50" i="18" s="1"/>
  <c r="AO128" i="1" s="1"/>
  <c r="AK20" i="18"/>
  <c r="AK50" i="18" s="1" a="1"/>
  <c r="AK50" i="18" s="1"/>
  <c r="AN128" i="1" s="1"/>
  <c r="AJ20" i="18"/>
  <c r="AJ50" i="18" s="1" a="1"/>
  <c r="AJ50" i="18" s="1"/>
  <c r="AM128" i="1" s="1"/>
  <c r="AI20" i="18"/>
  <c r="AI50" i="18" s="1" a="1"/>
  <c r="AI50" i="18" s="1"/>
  <c r="AL128" i="1" s="1"/>
  <c r="AH20" i="18"/>
  <c r="AH50" i="18" s="1" a="1"/>
  <c r="AH50" i="18" s="1"/>
  <c r="AK128" i="1" s="1"/>
  <c r="AG20" i="18"/>
  <c r="AG50" i="18" s="1" a="1"/>
  <c r="AG50" i="18" s="1"/>
  <c r="AJ128" i="1" s="1"/>
  <c r="AF20" i="18"/>
  <c r="AF50" i="18" s="1" a="1"/>
  <c r="AF50" i="18" s="1"/>
  <c r="AI128" i="1" s="1"/>
  <c r="AE20" i="18"/>
  <c r="AE50" i="18" s="1" a="1"/>
  <c r="AE50" i="18" s="1"/>
  <c r="AH128" i="1" s="1"/>
  <c r="AD20" i="18"/>
  <c r="AD50" i="18" s="1" a="1"/>
  <c r="AD50" i="18" s="1"/>
  <c r="AG128" i="1" s="1"/>
  <c r="AC20" i="18"/>
  <c r="AC50" i="18" s="1" a="1"/>
  <c r="AC50" i="18" s="1"/>
  <c r="AF128" i="1" s="1"/>
  <c r="AB20" i="18"/>
  <c r="AB50" i="18" s="1" a="1"/>
  <c r="AB50" i="18" s="1"/>
  <c r="AE128" i="1" s="1"/>
  <c r="AA20" i="18"/>
  <c r="AA50" i="18" s="1" a="1"/>
  <c r="AA50" i="18" s="1"/>
  <c r="AD128" i="1" s="1"/>
  <c r="Z20" i="18"/>
  <c r="Z50" i="18" s="1" a="1"/>
  <c r="Z50" i="18" s="1"/>
  <c r="Y20" i="18"/>
  <c r="Y50" i="18" s="1" a="1"/>
  <c r="Y50" i="18" s="1"/>
  <c r="X20" i="18"/>
  <c r="X50" i="18" s="1" a="1"/>
  <c r="X50" i="18" s="1"/>
  <c r="W20" i="18"/>
  <c r="W50" i="18" s="1" a="1"/>
  <c r="W50" i="18" s="1"/>
  <c r="V20" i="18"/>
  <c r="V50" i="18" s="1" a="1"/>
  <c r="V50" i="18" s="1"/>
  <c r="U20" i="18"/>
  <c r="U50" i="18" s="1" a="1"/>
  <c r="U50" i="18" s="1"/>
  <c r="T20" i="18"/>
  <c r="T50" i="18" s="1" a="1"/>
  <c r="T50" i="18" s="1"/>
  <c r="S20" i="18"/>
  <c r="S50" i="18" s="1" a="1"/>
  <c r="S50" i="18" s="1"/>
  <c r="R20" i="18"/>
  <c r="R50" i="18" s="1" a="1"/>
  <c r="R50" i="18" s="1"/>
  <c r="Q20" i="18"/>
  <c r="Q50" i="18" s="1" a="1"/>
  <c r="Q50" i="18" s="1"/>
  <c r="P20" i="18"/>
  <c r="P50" i="18" s="1" a="1"/>
  <c r="P50" i="18" s="1"/>
  <c r="O20" i="18"/>
  <c r="O50" i="18" s="1" a="1"/>
  <c r="O50" i="18" s="1"/>
  <c r="AX19" i="18"/>
  <c r="AX49" i="18" s="1" a="1"/>
  <c r="AX49" i="18" s="1"/>
  <c r="AW19" i="18"/>
  <c r="AW49" i="18" s="1" a="1"/>
  <c r="AW49" i="18" s="1"/>
  <c r="AV19" i="18"/>
  <c r="AV49" i="18" s="1" a="1"/>
  <c r="AV49" i="18" s="1"/>
  <c r="AU19" i="18"/>
  <c r="AU49" i="18" s="1" a="1"/>
  <c r="AU49" i="18" s="1"/>
  <c r="AT19" i="18"/>
  <c r="AT49" i="18" s="1" a="1"/>
  <c r="AT49" i="18" s="1"/>
  <c r="AW127" i="1" s="1"/>
  <c r="AS19" i="18"/>
  <c r="AS49" i="18" s="1" a="1"/>
  <c r="AS49" i="18" s="1"/>
  <c r="AV127" i="1" s="1"/>
  <c r="AR19" i="18"/>
  <c r="AR49" i="18" s="1" a="1"/>
  <c r="AR49" i="18" s="1"/>
  <c r="AU127" i="1" s="1"/>
  <c r="AQ19" i="18"/>
  <c r="AQ49" i="18" s="1" a="1"/>
  <c r="AQ49" i="18" s="1"/>
  <c r="AT127" i="1" s="1"/>
  <c r="AP19" i="18"/>
  <c r="AP49" i="18" s="1" a="1"/>
  <c r="AP49" i="18" s="1"/>
  <c r="AS127" i="1" s="1"/>
  <c r="AO19" i="18"/>
  <c r="AO49" i="18" s="1" a="1"/>
  <c r="AO49" i="18" s="1"/>
  <c r="AR127" i="1" s="1"/>
  <c r="AN19" i="18"/>
  <c r="AN49" i="18" s="1" a="1"/>
  <c r="AN49" i="18" s="1"/>
  <c r="AQ127" i="1" s="1"/>
  <c r="AM19" i="18"/>
  <c r="AM49" i="18" s="1" a="1"/>
  <c r="AM49" i="18" s="1"/>
  <c r="AP127" i="1" s="1"/>
  <c r="AL19" i="18"/>
  <c r="AL49" i="18" s="1" a="1"/>
  <c r="AL49" i="18" s="1"/>
  <c r="AO127" i="1" s="1"/>
  <c r="AK19" i="18"/>
  <c r="AK49" i="18" s="1" a="1"/>
  <c r="AK49" i="18" s="1"/>
  <c r="AN127" i="1" s="1"/>
  <c r="AJ19" i="18"/>
  <c r="AJ49" i="18" s="1" a="1"/>
  <c r="AJ49" i="18" s="1"/>
  <c r="AM127" i="1" s="1"/>
  <c r="AI19" i="18"/>
  <c r="AI49" i="18" s="1" a="1"/>
  <c r="AI49" i="18" s="1"/>
  <c r="AL127" i="1" s="1"/>
  <c r="AH19" i="18"/>
  <c r="AH49" i="18" s="1" a="1"/>
  <c r="AH49" i="18" s="1"/>
  <c r="AK127" i="1" s="1"/>
  <c r="AG19" i="18"/>
  <c r="AG49" i="18" s="1" a="1"/>
  <c r="AG49" i="18" s="1"/>
  <c r="AJ127" i="1" s="1"/>
  <c r="AF19" i="18"/>
  <c r="AF49" i="18" s="1" a="1"/>
  <c r="AF49" i="18" s="1"/>
  <c r="AI127" i="1" s="1"/>
  <c r="AE19" i="18"/>
  <c r="AE49" i="18" s="1" a="1"/>
  <c r="AE49" i="18" s="1"/>
  <c r="AH127" i="1" s="1"/>
  <c r="AD19" i="18"/>
  <c r="AD49" i="18" s="1" a="1"/>
  <c r="AD49" i="18" s="1"/>
  <c r="AG127" i="1" s="1"/>
  <c r="AC19" i="18"/>
  <c r="AC49" i="18" s="1" a="1"/>
  <c r="AC49" i="18" s="1"/>
  <c r="AF127" i="1" s="1"/>
  <c r="AB19" i="18"/>
  <c r="AB49" i="18" s="1" a="1"/>
  <c r="AB49" i="18" s="1"/>
  <c r="AE127" i="1" s="1"/>
  <c r="AA19" i="18"/>
  <c r="AA49" i="18" s="1" a="1"/>
  <c r="AA49" i="18" s="1"/>
  <c r="AD127" i="1" s="1"/>
  <c r="Z19" i="18"/>
  <c r="Z49" i="18" s="1" a="1"/>
  <c r="Z49" i="18" s="1"/>
  <c r="Y19" i="18"/>
  <c r="Y49" i="18" s="1" a="1"/>
  <c r="Y49" i="18" s="1"/>
  <c r="X19" i="18"/>
  <c r="X49" i="18" s="1" a="1"/>
  <c r="X49" i="18" s="1"/>
  <c r="W19" i="18"/>
  <c r="W49" i="18" s="1" a="1"/>
  <c r="W49" i="18" s="1"/>
  <c r="V19" i="18"/>
  <c r="V49" i="18" s="1" a="1"/>
  <c r="V49" i="18" s="1"/>
  <c r="U19" i="18"/>
  <c r="U49" i="18" s="1" a="1"/>
  <c r="U49" i="18" s="1"/>
  <c r="T19" i="18"/>
  <c r="T49" i="18" s="1" a="1"/>
  <c r="T49" i="18" s="1"/>
  <c r="S19" i="18"/>
  <c r="S49" i="18" s="1" a="1"/>
  <c r="S49" i="18" s="1"/>
  <c r="R19" i="18"/>
  <c r="R49" i="18" s="1" a="1"/>
  <c r="R49" i="18" s="1"/>
  <c r="Q19" i="18"/>
  <c r="Q49" i="18" s="1" a="1"/>
  <c r="Q49" i="18" s="1"/>
  <c r="P19" i="18"/>
  <c r="P49" i="18" s="1" a="1"/>
  <c r="P49" i="18" s="1"/>
  <c r="O19" i="18"/>
  <c r="O49" i="18" s="1" a="1"/>
  <c r="O49" i="18" s="1"/>
  <c r="AX18" i="18"/>
  <c r="AX48" i="18" s="1" a="1"/>
  <c r="AX48" i="18" s="1"/>
  <c r="AW18" i="18"/>
  <c r="AW48" i="18" s="1" a="1"/>
  <c r="AW48" i="18" s="1"/>
  <c r="AV18" i="18"/>
  <c r="AV48" i="18" s="1" a="1"/>
  <c r="AV48" i="18" s="1"/>
  <c r="AU18" i="18"/>
  <c r="AU48" i="18" s="1" a="1"/>
  <c r="AU48" i="18" s="1"/>
  <c r="AT18" i="18"/>
  <c r="AT48" i="18" s="1" a="1"/>
  <c r="AT48" i="18" s="1"/>
  <c r="AW126" i="1" s="1"/>
  <c r="AS18" i="18"/>
  <c r="AS48" i="18" s="1" a="1"/>
  <c r="AS48" i="18" s="1"/>
  <c r="AV126" i="1" s="1"/>
  <c r="AR18" i="18"/>
  <c r="AR48" i="18" s="1" a="1"/>
  <c r="AR48" i="18" s="1"/>
  <c r="AU126" i="1" s="1"/>
  <c r="AQ18" i="18"/>
  <c r="AQ48" i="18" s="1" a="1"/>
  <c r="AQ48" i="18" s="1"/>
  <c r="AT126" i="1" s="1"/>
  <c r="AP18" i="18"/>
  <c r="AP48" i="18" s="1" a="1"/>
  <c r="AP48" i="18" s="1"/>
  <c r="AS126" i="1" s="1"/>
  <c r="AO18" i="18"/>
  <c r="AO48" i="18" s="1" a="1"/>
  <c r="AO48" i="18" s="1"/>
  <c r="AR126" i="1" s="1"/>
  <c r="AN18" i="18"/>
  <c r="AN48" i="18" s="1" a="1"/>
  <c r="AN48" i="18" s="1"/>
  <c r="AQ126" i="1" s="1"/>
  <c r="AM18" i="18"/>
  <c r="AM48" i="18" s="1" a="1"/>
  <c r="AM48" i="18" s="1"/>
  <c r="AP126" i="1" s="1"/>
  <c r="AL18" i="18"/>
  <c r="AL48" i="18" s="1" a="1"/>
  <c r="AL48" i="18" s="1"/>
  <c r="AO126" i="1" s="1"/>
  <c r="AK18" i="18"/>
  <c r="AK48" i="18" s="1" a="1"/>
  <c r="AK48" i="18" s="1"/>
  <c r="AN126" i="1" s="1"/>
  <c r="AJ18" i="18"/>
  <c r="AJ48" i="18" s="1" a="1"/>
  <c r="AJ48" i="18" s="1"/>
  <c r="AM126" i="1" s="1"/>
  <c r="AI18" i="18"/>
  <c r="AI48" i="18" s="1" a="1"/>
  <c r="AI48" i="18" s="1"/>
  <c r="AL126" i="1" s="1"/>
  <c r="AH18" i="18"/>
  <c r="AH48" i="18" s="1" a="1"/>
  <c r="AH48" i="18" s="1"/>
  <c r="AK126" i="1" s="1"/>
  <c r="AG18" i="18"/>
  <c r="AG48" i="18" s="1" a="1"/>
  <c r="AG48" i="18" s="1"/>
  <c r="AJ126" i="1" s="1"/>
  <c r="AF18" i="18"/>
  <c r="AF48" i="18" s="1" a="1"/>
  <c r="AF48" i="18" s="1"/>
  <c r="AI126" i="1" s="1"/>
  <c r="AE18" i="18"/>
  <c r="AE48" i="18" s="1" a="1"/>
  <c r="AE48" i="18" s="1"/>
  <c r="AH126" i="1" s="1"/>
  <c r="AD18" i="18"/>
  <c r="AD48" i="18" s="1" a="1"/>
  <c r="AD48" i="18" s="1"/>
  <c r="AG126" i="1" s="1"/>
  <c r="AC18" i="18"/>
  <c r="AC48" i="18" s="1" a="1"/>
  <c r="AC48" i="18" s="1"/>
  <c r="AF126" i="1" s="1"/>
  <c r="AB18" i="18"/>
  <c r="AB48" i="18" s="1" a="1"/>
  <c r="AB48" i="18" s="1"/>
  <c r="AE126" i="1" s="1"/>
  <c r="AA18" i="18"/>
  <c r="AA48" i="18" s="1" a="1"/>
  <c r="AA48" i="18" s="1"/>
  <c r="AD126" i="1" s="1"/>
  <c r="Z18" i="18"/>
  <c r="Z48" i="18" s="1" a="1"/>
  <c r="Z48" i="18" s="1"/>
  <c r="Y18" i="18"/>
  <c r="Y48" i="18" s="1" a="1"/>
  <c r="Y48" i="18" s="1"/>
  <c r="X18" i="18"/>
  <c r="X48" i="18" s="1" a="1"/>
  <c r="X48" i="18" s="1"/>
  <c r="W18" i="18"/>
  <c r="W48" i="18" s="1" a="1"/>
  <c r="W48" i="18" s="1"/>
  <c r="V18" i="18"/>
  <c r="V48" i="18" s="1" a="1"/>
  <c r="V48" i="18" s="1"/>
  <c r="U18" i="18"/>
  <c r="U48" i="18" s="1" a="1"/>
  <c r="U48" i="18" s="1"/>
  <c r="T18" i="18"/>
  <c r="T48" i="18" s="1" a="1"/>
  <c r="T48" i="18" s="1"/>
  <c r="S18" i="18"/>
  <c r="S48" i="18" s="1" a="1"/>
  <c r="S48" i="18" s="1"/>
  <c r="R18" i="18"/>
  <c r="R48" i="18" s="1" a="1"/>
  <c r="R48" i="18" s="1"/>
  <c r="Q18" i="18"/>
  <c r="Q48" i="18" s="1" a="1"/>
  <c r="Q48" i="18" s="1"/>
  <c r="P18" i="18"/>
  <c r="P48" i="18" s="1" a="1"/>
  <c r="P48" i="18" s="1"/>
  <c r="O18" i="18"/>
  <c r="O48" i="18" s="1" a="1"/>
  <c r="O48" i="18" s="1"/>
  <c r="AX17" i="18"/>
  <c r="AX47" i="18" s="1" a="1"/>
  <c r="AX47" i="18" s="1"/>
  <c r="AW17" i="18"/>
  <c r="AW47" i="18" s="1" a="1"/>
  <c r="AW47" i="18" s="1"/>
  <c r="AV17" i="18"/>
  <c r="AV47" i="18" s="1" a="1"/>
  <c r="AV47" i="18" s="1"/>
  <c r="AU17" i="18"/>
  <c r="AU47" i="18" s="1" a="1"/>
  <c r="AU47" i="18" s="1"/>
  <c r="AT17" i="18"/>
  <c r="AT47" i="18" s="1" a="1"/>
  <c r="AT47" i="18" s="1"/>
  <c r="AW125" i="1" s="1"/>
  <c r="AS17" i="18"/>
  <c r="AS47" i="18" s="1" a="1"/>
  <c r="AS47" i="18" s="1"/>
  <c r="AV125" i="1" s="1"/>
  <c r="AR17" i="18"/>
  <c r="AR47" i="18" s="1" a="1"/>
  <c r="AR47" i="18" s="1"/>
  <c r="AU125" i="1" s="1"/>
  <c r="AQ17" i="18"/>
  <c r="AQ47" i="18" s="1" a="1"/>
  <c r="AQ47" i="18" s="1"/>
  <c r="AT125" i="1" s="1"/>
  <c r="AP17" i="18"/>
  <c r="AP47" i="18" s="1" a="1"/>
  <c r="AP47" i="18" s="1"/>
  <c r="AS125" i="1" s="1"/>
  <c r="AO17" i="18"/>
  <c r="AO47" i="18" s="1" a="1"/>
  <c r="AO47" i="18" s="1"/>
  <c r="AR125" i="1" s="1"/>
  <c r="AN17" i="18"/>
  <c r="AN47" i="18" s="1" a="1"/>
  <c r="AN47" i="18" s="1"/>
  <c r="AQ125" i="1" s="1"/>
  <c r="AM17" i="18"/>
  <c r="AM47" i="18" s="1" a="1"/>
  <c r="AM47" i="18" s="1"/>
  <c r="AP125" i="1" s="1"/>
  <c r="AL17" i="18"/>
  <c r="AL47" i="18" s="1" a="1"/>
  <c r="AL47" i="18" s="1"/>
  <c r="AO125" i="1" s="1"/>
  <c r="AK17" i="18"/>
  <c r="AK47" i="18" s="1" a="1"/>
  <c r="AK47" i="18" s="1"/>
  <c r="AN125" i="1" s="1"/>
  <c r="AJ17" i="18"/>
  <c r="AJ47" i="18" s="1" a="1"/>
  <c r="AJ47" i="18" s="1"/>
  <c r="AM125" i="1" s="1"/>
  <c r="AI17" i="18"/>
  <c r="AI47" i="18" s="1" a="1"/>
  <c r="AI47" i="18" s="1"/>
  <c r="AL125" i="1" s="1"/>
  <c r="AH17" i="18"/>
  <c r="AH47" i="18" s="1" a="1"/>
  <c r="AH47" i="18" s="1"/>
  <c r="AK125" i="1" s="1"/>
  <c r="AG17" i="18"/>
  <c r="AG47" i="18" s="1" a="1"/>
  <c r="AG47" i="18" s="1"/>
  <c r="AJ125" i="1" s="1"/>
  <c r="AF17" i="18"/>
  <c r="AF47" i="18" s="1" a="1"/>
  <c r="AF47" i="18" s="1"/>
  <c r="AI125" i="1" s="1"/>
  <c r="AE17" i="18"/>
  <c r="AE47" i="18" s="1" a="1"/>
  <c r="AE47" i="18" s="1"/>
  <c r="AH125" i="1" s="1"/>
  <c r="AD17" i="18"/>
  <c r="AD47" i="18" s="1" a="1"/>
  <c r="AD47" i="18" s="1"/>
  <c r="AG125" i="1" s="1"/>
  <c r="AC17" i="18"/>
  <c r="AC47" i="18" s="1" a="1"/>
  <c r="AC47" i="18" s="1"/>
  <c r="AF125" i="1" s="1"/>
  <c r="AB17" i="18"/>
  <c r="AB47" i="18" s="1" a="1"/>
  <c r="AB47" i="18" s="1"/>
  <c r="AE125" i="1" s="1"/>
  <c r="AA17" i="18"/>
  <c r="AA47" i="18" s="1" a="1"/>
  <c r="AA47" i="18" s="1"/>
  <c r="AD125" i="1" s="1"/>
  <c r="Z17" i="18"/>
  <c r="Z47" i="18" s="1" a="1"/>
  <c r="Z47" i="18" s="1"/>
  <c r="Y17" i="18"/>
  <c r="Y47" i="18" s="1" a="1"/>
  <c r="Y47" i="18" s="1"/>
  <c r="X17" i="18"/>
  <c r="X47" i="18" s="1" a="1"/>
  <c r="X47" i="18" s="1"/>
  <c r="W17" i="18"/>
  <c r="W47" i="18" s="1" a="1"/>
  <c r="W47" i="18" s="1"/>
  <c r="V17" i="18"/>
  <c r="V47" i="18" s="1" a="1"/>
  <c r="V47" i="18" s="1"/>
  <c r="U17" i="18"/>
  <c r="U47" i="18" s="1" a="1"/>
  <c r="U47" i="18" s="1"/>
  <c r="T17" i="18"/>
  <c r="T47" i="18" s="1" a="1"/>
  <c r="T47" i="18" s="1"/>
  <c r="S17" i="18"/>
  <c r="S47" i="18" s="1" a="1"/>
  <c r="S47" i="18" s="1"/>
  <c r="R17" i="18"/>
  <c r="R47" i="18" s="1" a="1"/>
  <c r="R47" i="18" s="1"/>
  <c r="Q17" i="18"/>
  <c r="Q47" i="18" s="1" a="1"/>
  <c r="Q47" i="18" s="1"/>
  <c r="P17" i="18"/>
  <c r="P47" i="18" s="1" a="1"/>
  <c r="P47" i="18" s="1"/>
  <c r="O17" i="18"/>
  <c r="O47" i="18" s="1" a="1"/>
  <c r="O47" i="18" s="1"/>
  <c r="AX16" i="18"/>
  <c r="AX46" i="18" s="1" a="1"/>
  <c r="AX46" i="18" s="1"/>
  <c r="AW16" i="18"/>
  <c r="AW46" i="18" s="1" a="1"/>
  <c r="AW46" i="18" s="1"/>
  <c r="AV16" i="18"/>
  <c r="AV46" i="18" s="1" a="1"/>
  <c r="AV46" i="18" s="1"/>
  <c r="AU16" i="18"/>
  <c r="AU46" i="18" s="1" a="1"/>
  <c r="AU46" i="18" s="1"/>
  <c r="AT16" i="18"/>
  <c r="AT46" i="18" s="1" a="1"/>
  <c r="AT46" i="18" s="1"/>
  <c r="AW124" i="1" s="1"/>
  <c r="AS16" i="18"/>
  <c r="AS46" i="18" s="1" a="1"/>
  <c r="AS46" i="18" s="1"/>
  <c r="AV124" i="1" s="1"/>
  <c r="AR16" i="18"/>
  <c r="AR46" i="18" s="1" a="1"/>
  <c r="AR46" i="18" s="1"/>
  <c r="AU124" i="1" s="1"/>
  <c r="AQ16" i="18"/>
  <c r="AQ46" i="18" s="1" a="1"/>
  <c r="AQ46" i="18" s="1"/>
  <c r="AT124" i="1" s="1"/>
  <c r="AP16" i="18"/>
  <c r="AP46" i="18" s="1" a="1"/>
  <c r="AP46" i="18" s="1"/>
  <c r="AS124" i="1" s="1"/>
  <c r="AO16" i="18"/>
  <c r="AO46" i="18" s="1" a="1"/>
  <c r="AO46" i="18" s="1"/>
  <c r="AR124" i="1" s="1"/>
  <c r="AN16" i="18"/>
  <c r="AN46" i="18" s="1" a="1"/>
  <c r="AN46" i="18" s="1"/>
  <c r="AQ124" i="1" s="1"/>
  <c r="AM16" i="18"/>
  <c r="AM46" i="18" s="1" a="1"/>
  <c r="AM46" i="18" s="1"/>
  <c r="AP124" i="1" s="1"/>
  <c r="AL16" i="18"/>
  <c r="AL46" i="18" s="1" a="1"/>
  <c r="AL46" i="18" s="1"/>
  <c r="AO124" i="1" s="1"/>
  <c r="AK16" i="18"/>
  <c r="AK46" i="18" s="1" a="1"/>
  <c r="AK46" i="18" s="1"/>
  <c r="AN124" i="1" s="1"/>
  <c r="AJ16" i="18"/>
  <c r="AJ46" i="18" s="1" a="1"/>
  <c r="AJ46" i="18" s="1"/>
  <c r="AM124" i="1" s="1"/>
  <c r="AI16" i="18"/>
  <c r="AI46" i="18" s="1" a="1"/>
  <c r="AI46" i="18" s="1"/>
  <c r="AL124" i="1" s="1"/>
  <c r="AH16" i="18"/>
  <c r="AH46" i="18" s="1" a="1"/>
  <c r="AH46" i="18" s="1"/>
  <c r="AK124" i="1" s="1"/>
  <c r="AG16" i="18"/>
  <c r="AG46" i="18" s="1" a="1"/>
  <c r="AG46" i="18" s="1"/>
  <c r="AJ124" i="1" s="1"/>
  <c r="AF16" i="18"/>
  <c r="AF46" i="18" s="1" a="1"/>
  <c r="AF46" i="18" s="1"/>
  <c r="AI124" i="1" s="1"/>
  <c r="AE16" i="18"/>
  <c r="AE46" i="18" s="1" a="1"/>
  <c r="AE46" i="18" s="1"/>
  <c r="AH124" i="1" s="1"/>
  <c r="AD16" i="18"/>
  <c r="AD46" i="18" s="1" a="1"/>
  <c r="AD46" i="18" s="1"/>
  <c r="AG124" i="1" s="1"/>
  <c r="AC16" i="18"/>
  <c r="AC46" i="18" s="1" a="1"/>
  <c r="AC46" i="18" s="1"/>
  <c r="AF124" i="1" s="1"/>
  <c r="AB16" i="18"/>
  <c r="AB46" i="18" s="1" a="1"/>
  <c r="AB46" i="18" s="1"/>
  <c r="AE124" i="1" s="1"/>
  <c r="AA16" i="18"/>
  <c r="AA46" i="18" s="1" a="1"/>
  <c r="AA46" i="18" s="1"/>
  <c r="AD124" i="1" s="1"/>
  <c r="Z16" i="18"/>
  <c r="Z46" i="18" s="1" a="1"/>
  <c r="Z46" i="18" s="1"/>
  <c r="Y16" i="18"/>
  <c r="Y46" i="18" s="1" a="1"/>
  <c r="Y46" i="18" s="1"/>
  <c r="X16" i="18"/>
  <c r="X46" i="18" s="1" a="1"/>
  <c r="X46" i="18" s="1"/>
  <c r="W16" i="18"/>
  <c r="W46" i="18" s="1" a="1"/>
  <c r="W46" i="18" s="1"/>
  <c r="V16" i="18"/>
  <c r="V46" i="18" s="1" a="1"/>
  <c r="V46" i="18" s="1"/>
  <c r="U16" i="18"/>
  <c r="U46" i="18" s="1" a="1"/>
  <c r="U46" i="18" s="1"/>
  <c r="T16" i="18"/>
  <c r="T46" i="18" s="1" a="1"/>
  <c r="T46" i="18" s="1"/>
  <c r="S16" i="18"/>
  <c r="S46" i="18" s="1" a="1"/>
  <c r="S46" i="18" s="1"/>
  <c r="R16" i="18"/>
  <c r="R46" i="18" s="1" a="1"/>
  <c r="R46" i="18" s="1"/>
  <c r="Q16" i="18"/>
  <c r="Q46" i="18" s="1" a="1"/>
  <c r="Q46" i="18" s="1"/>
  <c r="P16" i="18"/>
  <c r="P46" i="18" s="1" a="1"/>
  <c r="P46" i="18" s="1"/>
  <c r="O16" i="18"/>
  <c r="O46" i="18" s="1" a="1"/>
  <c r="O46" i="18" s="1"/>
  <c r="AX15" i="18"/>
  <c r="AX45" i="18" s="1" a="1"/>
  <c r="AX45" i="18" s="1"/>
  <c r="AW15" i="18"/>
  <c r="AW45" i="18" s="1" a="1"/>
  <c r="AW45" i="18" s="1"/>
  <c r="AV15" i="18"/>
  <c r="AV45" i="18" s="1" a="1"/>
  <c r="AV45" i="18" s="1"/>
  <c r="AU15" i="18"/>
  <c r="AU45" i="18" s="1" a="1"/>
  <c r="AU45" i="18" s="1"/>
  <c r="AT15" i="18"/>
  <c r="AT45" i="18" s="1" a="1"/>
  <c r="AT45" i="18" s="1"/>
  <c r="AW123" i="1" s="1"/>
  <c r="AS15" i="18"/>
  <c r="AS45" i="18" s="1" a="1"/>
  <c r="AS45" i="18" s="1"/>
  <c r="AV123" i="1" s="1"/>
  <c r="AR15" i="18"/>
  <c r="AR45" i="18" s="1" a="1"/>
  <c r="AR45" i="18" s="1"/>
  <c r="AU123" i="1" s="1"/>
  <c r="AQ15" i="18"/>
  <c r="AQ45" i="18" s="1" a="1"/>
  <c r="AQ45" i="18" s="1"/>
  <c r="AT123" i="1" s="1"/>
  <c r="AP15" i="18"/>
  <c r="AP45" i="18" s="1" a="1"/>
  <c r="AP45" i="18" s="1"/>
  <c r="AS123" i="1" s="1"/>
  <c r="AO15" i="18"/>
  <c r="AO45" i="18" s="1" a="1"/>
  <c r="AO45" i="18" s="1"/>
  <c r="AR123" i="1" s="1"/>
  <c r="AN15" i="18"/>
  <c r="AN45" i="18" s="1" a="1"/>
  <c r="AN45" i="18" s="1"/>
  <c r="AQ123" i="1" s="1"/>
  <c r="AM15" i="18"/>
  <c r="AM45" i="18" s="1" a="1"/>
  <c r="AM45" i="18" s="1"/>
  <c r="AP123" i="1" s="1"/>
  <c r="AL15" i="18"/>
  <c r="AL45" i="18" s="1" a="1"/>
  <c r="AL45" i="18" s="1"/>
  <c r="AO123" i="1" s="1"/>
  <c r="AK15" i="18"/>
  <c r="AK45" i="18" s="1" a="1"/>
  <c r="AK45" i="18" s="1"/>
  <c r="AN123" i="1" s="1"/>
  <c r="AJ15" i="18"/>
  <c r="AJ45" i="18" s="1" a="1"/>
  <c r="AJ45" i="18" s="1"/>
  <c r="AM123" i="1" s="1"/>
  <c r="AI15" i="18"/>
  <c r="AI45" i="18" s="1" a="1"/>
  <c r="AI45" i="18" s="1"/>
  <c r="AL123" i="1" s="1"/>
  <c r="AH15" i="18"/>
  <c r="AH45" i="18" s="1" a="1"/>
  <c r="AH45" i="18" s="1"/>
  <c r="AK123" i="1" s="1"/>
  <c r="AG15" i="18"/>
  <c r="AG45" i="18" s="1" a="1"/>
  <c r="AG45" i="18" s="1"/>
  <c r="AJ123" i="1" s="1"/>
  <c r="AF15" i="18"/>
  <c r="AF45" i="18" s="1" a="1"/>
  <c r="AF45" i="18" s="1"/>
  <c r="AI123" i="1" s="1"/>
  <c r="AE15" i="18"/>
  <c r="AE45" i="18" s="1" a="1"/>
  <c r="AE45" i="18" s="1"/>
  <c r="AH123" i="1" s="1"/>
  <c r="AD15" i="18"/>
  <c r="AD45" i="18" s="1" a="1"/>
  <c r="AD45" i="18" s="1"/>
  <c r="AG123" i="1" s="1"/>
  <c r="AC15" i="18"/>
  <c r="AC45" i="18" s="1" a="1"/>
  <c r="AC45" i="18" s="1"/>
  <c r="AF123" i="1" s="1"/>
  <c r="AB15" i="18"/>
  <c r="AB45" i="18" s="1" a="1"/>
  <c r="AB45" i="18" s="1"/>
  <c r="AE123" i="1" s="1"/>
  <c r="AA15" i="18"/>
  <c r="AA45" i="18" s="1" a="1"/>
  <c r="AA45" i="18" s="1"/>
  <c r="AD123" i="1" s="1"/>
  <c r="Z15" i="18"/>
  <c r="Z45" i="18" s="1" a="1"/>
  <c r="Z45" i="18" s="1"/>
  <c r="Y15" i="18"/>
  <c r="Y45" i="18" s="1" a="1"/>
  <c r="Y45" i="18" s="1"/>
  <c r="X15" i="18"/>
  <c r="X45" i="18" s="1" a="1"/>
  <c r="X45" i="18" s="1"/>
  <c r="W15" i="18"/>
  <c r="W45" i="18" s="1" a="1"/>
  <c r="W45" i="18" s="1"/>
  <c r="V15" i="18"/>
  <c r="V45" i="18" s="1" a="1"/>
  <c r="V45" i="18" s="1"/>
  <c r="U15" i="18"/>
  <c r="U45" i="18" s="1" a="1"/>
  <c r="U45" i="18" s="1"/>
  <c r="T15" i="18"/>
  <c r="T45" i="18" s="1" a="1"/>
  <c r="T45" i="18" s="1"/>
  <c r="S15" i="18"/>
  <c r="S45" i="18" s="1" a="1"/>
  <c r="S45" i="18" s="1"/>
  <c r="R15" i="18"/>
  <c r="R45" i="18" s="1" a="1"/>
  <c r="R45" i="18" s="1"/>
  <c r="Q15" i="18"/>
  <c r="Q45" i="18" s="1" a="1"/>
  <c r="Q45" i="18" s="1"/>
  <c r="P15" i="18"/>
  <c r="P45" i="18" s="1" a="1"/>
  <c r="P45" i="18" s="1"/>
  <c r="O15" i="18"/>
  <c r="O45" i="18" s="1" a="1"/>
  <c r="O45" i="18" s="1"/>
  <c r="AW37" i="17"/>
  <c r="AW66" i="17" s="1" a="1"/>
  <c r="AW66" i="17" s="1"/>
  <c r="AV37" i="17"/>
  <c r="AV66" i="17" s="1" a="1"/>
  <c r="AV66" i="17" s="1"/>
  <c r="AU37" i="17"/>
  <c r="AU66" i="17" s="1" a="1"/>
  <c r="AU66" i="17" s="1"/>
  <c r="AT37" i="17"/>
  <c r="AT66" i="17" s="1" a="1"/>
  <c r="AT66" i="17" s="1"/>
  <c r="AS37" i="17"/>
  <c r="AS66" i="17" s="1" a="1"/>
  <c r="AS66" i="17" s="1"/>
  <c r="AW94" i="1" s="1"/>
  <c r="AR37" i="17"/>
  <c r="AR66" i="17" s="1" a="1"/>
  <c r="AR66" i="17" s="1"/>
  <c r="AV94" i="1" s="1"/>
  <c r="AQ37" i="17"/>
  <c r="AQ66" i="17" s="1" a="1"/>
  <c r="AQ66" i="17" s="1"/>
  <c r="AU94" i="1" s="1"/>
  <c r="AP37" i="17"/>
  <c r="AP66" i="17" s="1" a="1"/>
  <c r="AP66" i="17" s="1"/>
  <c r="AT94" i="1" s="1"/>
  <c r="AO37" i="17"/>
  <c r="AO66" i="17" s="1" a="1"/>
  <c r="AO66" i="17" s="1"/>
  <c r="AS94" i="1" s="1"/>
  <c r="AN37" i="17"/>
  <c r="AN66" i="17" s="1" a="1"/>
  <c r="AN66" i="17" s="1"/>
  <c r="AR94" i="1" s="1"/>
  <c r="AM37" i="17"/>
  <c r="AL37" i="17"/>
  <c r="AK37" i="17"/>
  <c r="AJ37" i="17"/>
  <c r="AI37" i="17"/>
  <c r="AH37" i="17"/>
  <c r="AG37" i="17"/>
  <c r="AF37" i="17"/>
  <c r="AE37" i="17"/>
  <c r="AD37" i="17"/>
  <c r="AC37" i="17"/>
  <c r="AB37" i="17"/>
  <c r="AA37" i="17"/>
  <c r="Z37" i="17"/>
  <c r="Y37" i="17"/>
  <c r="X37" i="17"/>
  <c r="W37" i="17"/>
  <c r="V37" i="17"/>
  <c r="U37" i="17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C37" i="17"/>
  <c r="B37" i="17"/>
  <c r="AW36" i="17"/>
  <c r="AW65" i="17" s="1" a="1"/>
  <c r="AW65" i="17" s="1"/>
  <c r="AV36" i="17"/>
  <c r="AV65" i="17" s="1" a="1"/>
  <c r="AV65" i="17" s="1"/>
  <c r="AU36" i="17"/>
  <c r="AU65" i="17" s="1" a="1"/>
  <c r="AU65" i="17" s="1"/>
  <c r="AT36" i="17"/>
  <c r="AT65" i="17" s="1" a="1"/>
  <c r="AT65" i="17" s="1"/>
  <c r="AS36" i="17"/>
  <c r="AS65" i="17" s="1" a="1"/>
  <c r="AS65" i="17" s="1"/>
  <c r="AW93" i="1" s="1"/>
  <c r="AR36" i="17"/>
  <c r="AR65" i="17" s="1" a="1"/>
  <c r="AR65" i="17" s="1"/>
  <c r="AV93" i="1" s="1"/>
  <c r="AQ36" i="17"/>
  <c r="AQ65" i="17" s="1" a="1"/>
  <c r="AQ65" i="17" s="1"/>
  <c r="AU93" i="1" s="1"/>
  <c r="AP36" i="17"/>
  <c r="AP65" i="17" s="1" a="1"/>
  <c r="AP65" i="17" s="1"/>
  <c r="AT93" i="1" s="1"/>
  <c r="AO36" i="17"/>
  <c r="AO65" i="17" s="1" a="1"/>
  <c r="AO65" i="17" s="1"/>
  <c r="AS93" i="1" s="1"/>
  <c r="AN36" i="17"/>
  <c r="AN65" i="17" s="1" a="1"/>
  <c r="AN65" i="17" s="1"/>
  <c r="AR93" i="1" s="1"/>
  <c r="AM36" i="17"/>
  <c r="AM65" i="17" s="1" a="1"/>
  <c r="AM65" i="17" s="1"/>
  <c r="AQ93" i="1" s="1"/>
  <c r="AL36" i="17"/>
  <c r="BC28" i="17" s="1"/>
  <c r="BE28" i="17" s="1" a="1"/>
  <c r="BE28" i="17" s="1"/>
  <c r="BH28" i="17" s="1"/>
  <c r="AK36" i="17"/>
  <c r="AJ36" i="17"/>
  <c r="AI36" i="17"/>
  <c r="AH36" i="17"/>
  <c r="AG36" i="17"/>
  <c r="AF36" i="17"/>
  <c r="AE36" i="17"/>
  <c r="AD36" i="17"/>
  <c r="AC36" i="17"/>
  <c r="AW35" i="17"/>
  <c r="AW64" i="17" s="1" a="1"/>
  <c r="AW64" i="17" s="1"/>
  <c r="AV35" i="17"/>
  <c r="AV64" i="17" s="1" a="1"/>
  <c r="AV64" i="17" s="1"/>
  <c r="AU35" i="17"/>
  <c r="AU64" i="17" s="1" a="1"/>
  <c r="AU64" i="17" s="1"/>
  <c r="AT35" i="17"/>
  <c r="AT64" i="17" s="1" a="1"/>
  <c r="AT64" i="17" s="1"/>
  <c r="AS35" i="17"/>
  <c r="AS64" i="17" s="1" a="1"/>
  <c r="AS64" i="17" s="1"/>
  <c r="AW92" i="1" s="1"/>
  <c r="AR35" i="17"/>
  <c r="AR64" i="17" s="1" a="1"/>
  <c r="AR64" i="17" s="1"/>
  <c r="AV92" i="1" s="1"/>
  <c r="AQ35" i="17"/>
  <c r="AQ64" i="17" s="1" a="1"/>
  <c r="AQ64" i="17" s="1"/>
  <c r="AU92" i="1" s="1"/>
  <c r="AP35" i="17"/>
  <c r="AP64" i="17" s="1" a="1"/>
  <c r="AP64" i="17" s="1"/>
  <c r="AT92" i="1" s="1"/>
  <c r="AO35" i="17"/>
  <c r="AO64" i="17" s="1" a="1"/>
  <c r="AO64" i="17" s="1"/>
  <c r="AS92" i="1" s="1"/>
  <c r="AN35" i="17"/>
  <c r="AN64" i="17" s="1" a="1"/>
  <c r="AN64" i="17" s="1"/>
  <c r="AR92" i="1" s="1"/>
  <c r="AM35" i="17"/>
  <c r="AM64" i="17" s="1" a="1"/>
  <c r="AM64" i="17" s="1"/>
  <c r="AQ92" i="1" s="1"/>
  <c r="AL35" i="17"/>
  <c r="BC27" i="17" s="1"/>
  <c r="BE27" i="17" s="1" a="1"/>
  <c r="BE27" i="17" s="1"/>
  <c r="BH27" i="17" s="1"/>
  <c r="AK35" i="17"/>
  <c r="AJ35" i="17"/>
  <c r="AI35" i="17"/>
  <c r="AH35" i="17"/>
  <c r="AG35" i="17"/>
  <c r="AF35" i="17"/>
  <c r="AE35" i="17"/>
  <c r="AD35" i="17"/>
  <c r="AC35" i="17"/>
  <c r="AW34" i="17"/>
  <c r="AW63" i="17" s="1" a="1"/>
  <c r="AW63" i="17" s="1"/>
  <c r="AV34" i="17"/>
  <c r="AV63" i="17" s="1" a="1"/>
  <c r="AV63" i="17" s="1"/>
  <c r="AU34" i="17"/>
  <c r="AU63" i="17" s="1" a="1"/>
  <c r="AU63" i="17" s="1"/>
  <c r="AT34" i="17"/>
  <c r="AT63" i="17" s="1" a="1"/>
  <c r="AT63" i="17" s="1"/>
  <c r="AS34" i="17"/>
  <c r="AS63" i="17" s="1" a="1"/>
  <c r="AS63" i="17" s="1"/>
  <c r="AW91" i="1" s="1"/>
  <c r="AR34" i="17"/>
  <c r="AR63" i="17" s="1" a="1"/>
  <c r="AR63" i="17" s="1"/>
  <c r="AV91" i="1" s="1"/>
  <c r="AQ34" i="17"/>
  <c r="AQ63" i="17" s="1" a="1"/>
  <c r="AQ63" i="17" s="1"/>
  <c r="AU91" i="1" s="1"/>
  <c r="AP34" i="17"/>
  <c r="AP63" i="17" s="1" a="1"/>
  <c r="AP63" i="17" s="1"/>
  <c r="AT91" i="1" s="1"/>
  <c r="AO34" i="17"/>
  <c r="AO63" i="17" s="1" a="1"/>
  <c r="AO63" i="17" s="1"/>
  <c r="AS91" i="1" s="1"/>
  <c r="AN34" i="17"/>
  <c r="AN63" i="17" s="1" a="1"/>
  <c r="AN63" i="17" s="1"/>
  <c r="AR91" i="1" s="1"/>
  <c r="AM34" i="17"/>
  <c r="AL34" i="17"/>
  <c r="BC26" i="17" s="1"/>
  <c r="BE26" i="17" s="1" a="1"/>
  <c r="BE26" i="17" s="1"/>
  <c r="BH26" i="17" s="1"/>
  <c r="AK34" i="17"/>
  <c r="AJ34" i="17"/>
  <c r="AI34" i="17"/>
  <c r="AH34" i="17"/>
  <c r="AG34" i="17"/>
  <c r="AF34" i="17"/>
  <c r="AE34" i="17"/>
  <c r="AD34" i="17"/>
  <c r="AC34" i="17"/>
  <c r="AW33" i="17"/>
  <c r="AW62" i="17" s="1" a="1"/>
  <c r="AW62" i="17" s="1"/>
  <c r="AV33" i="17"/>
  <c r="AV62" i="17" s="1" a="1"/>
  <c r="AV62" i="17" s="1"/>
  <c r="AU33" i="17"/>
  <c r="AU62" i="17" s="1" a="1"/>
  <c r="AU62" i="17" s="1"/>
  <c r="AT33" i="17"/>
  <c r="AT62" i="17" s="1" a="1"/>
  <c r="AT62" i="17" s="1"/>
  <c r="AS33" i="17"/>
  <c r="AS62" i="17" s="1" a="1"/>
  <c r="AS62" i="17" s="1"/>
  <c r="AW90" i="1" s="1"/>
  <c r="AR33" i="17"/>
  <c r="AR62" i="17" s="1" a="1"/>
  <c r="AR62" i="17" s="1"/>
  <c r="AV90" i="1" s="1"/>
  <c r="AQ33" i="17"/>
  <c r="AQ62" i="17" s="1" a="1"/>
  <c r="AQ62" i="17" s="1"/>
  <c r="AU90" i="1" s="1"/>
  <c r="AP33" i="17"/>
  <c r="AP62" i="17" s="1" a="1"/>
  <c r="AP62" i="17" s="1"/>
  <c r="AT90" i="1" s="1"/>
  <c r="AO33" i="17"/>
  <c r="AO62" i="17" s="1" a="1"/>
  <c r="AO62" i="17" s="1"/>
  <c r="AS90" i="1" s="1"/>
  <c r="AN33" i="17"/>
  <c r="AN62" i="17" s="1" a="1"/>
  <c r="AN62" i="17" s="1"/>
  <c r="AR90" i="1" s="1"/>
  <c r="AM33" i="17"/>
  <c r="AL33" i="17"/>
  <c r="BC25" i="17" s="1"/>
  <c r="BE25" i="17" s="1" a="1"/>
  <c r="BE25" i="17" s="1"/>
  <c r="BH25" i="17" s="1"/>
  <c r="AK33" i="17"/>
  <c r="AJ33" i="17"/>
  <c r="AI33" i="17"/>
  <c r="AH33" i="17"/>
  <c r="AG33" i="17"/>
  <c r="AF33" i="17"/>
  <c r="AE33" i="17"/>
  <c r="AD33" i="17"/>
  <c r="AC33" i="17"/>
  <c r="AW32" i="17"/>
  <c r="AW61" i="17" s="1" a="1"/>
  <c r="AW61" i="17" s="1"/>
  <c r="AV32" i="17"/>
  <c r="AV61" i="17" s="1" a="1"/>
  <c r="AV61" i="17" s="1"/>
  <c r="AU32" i="17"/>
  <c r="AU61" i="17" s="1" a="1"/>
  <c r="AU61" i="17" s="1"/>
  <c r="AT32" i="17"/>
  <c r="AT61" i="17" s="1" a="1"/>
  <c r="AT61" i="17" s="1"/>
  <c r="AS32" i="17"/>
  <c r="AS61" i="17" s="1" a="1"/>
  <c r="AS61" i="17" s="1"/>
  <c r="AW89" i="1" s="1"/>
  <c r="AR32" i="17"/>
  <c r="AR61" i="17" s="1" a="1"/>
  <c r="AR61" i="17" s="1"/>
  <c r="AV89" i="1" s="1"/>
  <c r="AQ32" i="17"/>
  <c r="AQ61" i="17" s="1" a="1"/>
  <c r="AQ61" i="17" s="1"/>
  <c r="AU89" i="1" s="1"/>
  <c r="AP32" i="17"/>
  <c r="AP61" i="17" s="1" a="1"/>
  <c r="AP61" i="17" s="1"/>
  <c r="AT89" i="1" s="1"/>
  <c r="AO32" i="17"/>
  <c r="AO61" i="17" s="1" a="1"/>
  <c r="AO61" i="17" s="1"/>
  <c r="AS89" i="1" s="1"/>
  <c r="AN32" i="17"/>
  <c r="AN61" i="17" s="1" a="1"/>
  <c r="AN61" i="17" s="1"/>
  <c r="AR89" i="1" s="1"/>
  <c r="AM32" i="17"/>
  <c r="AL32" i="17"/>
  <c r="BC24" i="17" s="1"/>
  <c r="BE24" i="17" s="1" a="1"/>
  <c r="BE24" i="17" s="1"/>
  <c r="BH24" i="17" s="1"/>
  <c r="AK32" i="17"/>
  <c r="AJ32" i="17"/>
  <c r="AI32" i="17"/>
  <c r="AH32" i="17"/>
  <c r="AG32" i="17"/>
  <c r="AF32" i="17"/>
  <c r="AE32" i="17"/>
  <c r="AD32" i="17"/>
  <c r="AC32" i="17"/>
  <c r="BE31" i="17" a="1"/>
  <c r="BE31" i="17" s="1"/>
  <c r="BH31" i="17" s="1"/>
  <c r="AW31" i="17"/>
  <c r="AW60" i="17" s="1" a="1"/>
  <c r="AW60" i="17" s="1"/>
  <c r="AV31" i="17"/>
  <c r="AV60" i="17" s="1" a="1"/>
  <c r="AV60" i="17" s="1"/>
  <c r="AU31" i="17"/>
  <c r="AU60" i="17" s="1" a="1"/>
  <c r="AU60" i="17" s="1"/>
  <c r="AT31" i="17"/>
  <c r="AT60" i="17" s="1" a="1"/>
  <c r="AT60" i="17" s="1"/>
  <c r="AS31" i="17"/>
  <c r="AS60" i="17" s="1" a="1"/>
  <c r="AS60" i="17" s="1"/>
  <c r="AW88" i="1" s="1"/>
  <c r="AR31" i="17"/>
  <c r="AR60" i="17" s="1" a="1"/>
  <c r="AR60" i="17" s="1"/>
  <c r="AV88" i="1" s="1"/>
  <c r="AQ31" i="17"/>
  <c r="AQ60" i="17" s="1" a="1"/>
  <c r="AQ60" i="17" s="1"/>
  <c r="AU88" i="1" s="1"/>
  <c r="AP31" i="17"/>
  <c r="AP60" i="17" s="1" a="1"/>
  <c r="AP60" i="17" s="1"/>
  <c r="AT88" i="1" s="1"/>
  <c r="AO31" i="17"/>
  <c r="AO60" i="17" s="1" a="1"/>
  <c r="AO60" i="17" s="1"/>
  <c r="AS88" i="1" s="1"/>
  <c r="AN31" i="17"/>
  <c r="AM31" i="17"/>
  <c r="AL31" i="17"/>
  <c r="BC23" i="17" s="1"/>
  <c r="BE23" i="17" s="1" a="1"/>
  <c r="BE23" i="17" s="1"/>
  <c r="BH23" i="17" s="1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E30" i="17" a="1"/>
  <c r="BE30" i="17" s="1"/>
  <c r="BH30" i="17" s="1"/>
  <c r="AW30" i="17"/>
  <c r="AW59" i="17" s="1" a="1"/>
  <c r="AW59" i="17" s="1"/>
  <c r="AV30" i="17"/>
  <c r="AV59" i="17" s="1" a="1"/>
  <c r="AV59" i="17" s="1"/>
  <c r="AU30" i="17"/>
  <c r="AU59" i="17" s="1" a="1"/>
  <c r="AU59" i="17" s="1"/>
  <c r="AT30" i="17"/>
  <c r="AT59" i="17" s="1" a="1"/>
  <c r="AT59" i="17" s="1"/>
  <c r="AS30" i="17"/>
  <c r="AS59" i="17" s="1" a="1"/>
  <c r="AS59" i="17" s="1"/>
  <c r="AW87" i="1" s="1"/>
  <c r="AR30" i="17"/>
  <c r="AR59" i="17" s="1" a="1"/>
  <c r="AR59" i="17" s="1"/>
  <c r="AV87" i="1" s="1"/>
  <c r="AQ30" i="17"/>
  <c r="AQ59" i="17" s="1" a="1"/>
  <c r="AQ59" i="17" s="1"/>
  <c r="AU87" i="1" s="1"/>
  <c r="AP30" i="17"/>
  <c r="AP59" i="17" s="1" a="1"/>
  <c r="AP59" i="17" s="1"/>
  <c r="AT87" i="1" s="1"/>
  <c r="AO30" i="17"/>
  <c r="AO59" i="17" s="1" a="1"/>
  <c r="AO59" i="17" s="1"/>
  <c r="AS87" i="1" s="1"/>
  <c r="AN30" i="17"/>
  <c r="AN59" i="17" s="1" a="1"/>
  <c r="AN59" i="17" s="1"/>
  <c r="AR87" i="1" s="1"/>
  <c r="AM30" i="17"/>
  <c r="AM59" i="17" s="1" a="1"/>
  <c r="AM59" i="17" s="1"/>
  <c r="AQ87" i="1" s="1"/>
  <c r="AL30" i="17"/>
  <c r="BC22" i="17" s="1"/>
  <c r="BE22" i="17" s="1" a="1"/>
  <c r="BE22" i="17" s="1"/>
  <c r="BH22" i="17" s="1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C29" i="17"/>
  <c r="BE29" i="17" s="1" a="1"/>
  <c r="BE29" i="17" s="1"/>
  <c r="BH29" i="17" s="1"/>
  <c r="AW29" i="17"/>
  <c r="AW58" i="17" s="1" a="1"/>
  <c r="AW58" i="17" s="1"/>
  <c r="AV29" i="17"/>
  <c r="AV58" i="17" s="1" a="1"/>
  <c r="AV58" i="17" s="1"/>
  <c r="AU29" i="17"/>
  <c r="AU58" i="17" s="1" a="1"/>
  <c r="AU58" i="17" s="1"/>
  <c r="AT29" i="17"/>
  <c r="AT58" i="17" s="1" a="1"/>
  <c r="AT58" i="17" s="1"/>
  <c r="AS29" i="17"/>
  <c r="AS58" i="17" s="1" a="1"/>
  <c r="AS58" i="17" s="1"/>
  <c r="AW86" i="1" s="1"/>
  <c r="AR29" i="17"/>
  <c r="AR58" i="17" s="1" a="1"/>
  <c r="AR58" i="17" s="1"/>
  <c r="AV86" i="1" s="1"/>
  <c r="AQ29" i="17"/>
  <c r="AQ58" i="17" s="1" a="1"/>
  <c r="AQ58" i="17" s="1"/>
  <c r="AU86" i="1" s="1"/>
  <c r="AP29" i="17"/>
  <c r="AP58" i="17" s="1" a="1"/>
  <c r="AP58" i="17" s="1"/>
  <c r="AT86" i="1" s="1"/>
  <c r="AO29" i="17"/>
  <c r="AO58" i="17" s="1" a="1"/>
  <c r="AO58" i="17" s="1"/>
  <c r="AS86" i="1" s="1"/>
  <c r="AN29" i="17"/>
  <c r="AN58" i="17" s="1" a="1"/>
  <c r="AN58" i="17" s="1"/>
  <c r="AR86" i="1" s="1"/>
  <c r="AM29" i="17"/>
  <c r="AM58" i="17" s="1" a="1"/>
  <c r="AM58" i="17" s="1"/>
  <c r="AQ86" i="1" s="1"/>
  <c r="AL29" i="17"/>
  <c r="BC21" i="17" s="1"/>
  <c r="BE21" i="17" s="1" a="1"/>
  <c r="BE21" i="17" s="1"/>
  <c r="BH21" i="17" s="1"/>
  <c r="AK29" i="17"/>
  <c r="AJ29" i="17"/>
  <c r="AI29" i="17"/>
  <c r="AH29" i="17"/>
  <c r="AG29" i="17"/>
  <c r="AF29" i="17"/>
  <c r="AE29" i="17"/>
  <c r="AD29" i="17"/>
  <c r="AC29" i="17"/>
  <c r="AB29" i="17"/>
  <c r="AB58" i="17" s="1" a="1"/>
  <c r="AB58" i="17" s="1"/>
  <c r="AF86" i="1" s="1"/>
  <c r="AA29" i="17"/>
  <c r="Z29" i="17"/>
  <c r="Z58" i="17" s="1" a="1"/>
  <c r="Z58" i="17" s="1"/>
  <c r="AD86" i="1" s="1"/>
  <c r="Y29" i="17"/>
  <c r="Y58" i="17" s="1" a="1"/>
  <c r="Y58" i="17" s="1"/>
  <c r="X29" i="17"/>
  <c r="X58" i="17" s="1" a="1"/>
  <c r="X58" i="17" s="1"/>
  <c r="W29" i="17"/>
  <c r="W58" i="17" s="1" a="1"/>
  <c r="W58" i="17" s="1"/>
  <c r="V29" i="17"/>
  <c r="V58" i="17" s="1" a="1"/>
  <c r="V58" i="17" s="1"/>
  <c r="U29" i="17"/>
  <c r="U58" i="17" s="1" a="1"/>
  <c r="U58" i="17" s="1"/>
  <c r="T29" i="17"/>
  <c r="T58" i="17" s="1" a="1"/>
  <c r="T58" i="17" s="1"/>
  <c r="S29" i="17"/>
  <c r="S58" i="17" s="1" a="1"/>
  <c r="S58" i="17" s="1"/>
  <c r="R29" i="17"/>
  <c r="R58" i="17" s="1" a="1"/>
  <c r="R58" i="17" s="1"/>
  <c r="Q29" i="17"/>
  <c r="Q58" i="17" s="1" a="1"/>
  <c r="Q58" i="17" s="1"/>
  <c r="P29" i="17"/>
  <c r="P58" i="17" s="1" a="1"/>
  <c r="P58" i="17" s="1"/>
  <c r="O29" i="17"/>
  <c r="N29" i="17"/>
  <c r="N58" i="17" s="1" a="1"/>
  <c r="N58" i="17" s="1"/>
  <c r="M29" i="17"/>
  <c r="L29" i="17"/>
  <c r="K29" i="17"/>
  <c r="K58" i="17" s="1" a="1"/>
  <c r="K58" i="17" s="1"/>
  <c r="J29" i="17"/>
  <c r="J58" i="17" s="1" a="1"/>
  <c r="J58" i="17" s="1"/>
  <c r="I29" i="17"/>
  <c r="H29" i="17"/>
  <c r="H58" i="17" s="1" a="1"/>
  <c r="H58" i="17" s="1"/>
  <c r="G29" i="17"/>
  <c r="G58" i="17" s="1" a="1"/>
  <c r="G58" i="17" s="1"/>
  <c r="F29" i="17"/>
  <c r="F58" i="17" s="1" a="1"/>
  <c r="F58" i="17" s="1"/>
  <c r="E29" i="17"/>
  <c r="E58" i="17" s="1" a="1"/>
  <c r="E58" i="17" s="1"/>
  <c r="D29" i="17"/>
  <c r="D58" i="17" s="1" a="1"/>
  <c r="D58" i="17" s="1"/>
  <c r="C29" i="17"/>
  <c r="C58" i="17" s="1" a="1"/>
  <c r="C58" i="17" s="1"/>
  <c r="B29" i="17"/>
  <c r="B58" i="17" s="1" a="1"/>
  <c r="B58" i="17" s="1"/>
  <c r="AW28" i="17"/>
  <c r="AW57" i="17" s="1" a="1"/>
  <c r="AW57" i="17" s="1"/>
  <c r="AV28" i="17"/>
  <c r="AV57" i="17" s="1" a="1"/>
  <c r="AV57" i="17" s="1"/>
  <c r="AU28" i="17"/>
  <c r="AU57" i="17" s="1" a="1"/>
  <c r="AU57" i="17" s="1"/>
  <c r="AT28" i="17"/>
  <c r="AT57" i="17" s="1" a="1"/>
  <c r="AT57" i="17" s="1"/>
  <c r="AS28" i="17"/>
  <c r="AS57" i="17" s="1" a="1"/>
  <c r="AS57" i="17" s="1"/>
  <c r="AW85" i="1" s="1"/>
  <c r="AR28" i="17"/>
  <c r="AR57" i="17" s="1" a="1"/>
  <c r="AR57" i="17" s="1"/>
  <c r="AV85" i="1" s="1"/>
  <c r="AQ28" i="17"/>
  <c r="AQ57" i="17" s="1" a="1"/>
  <c r="AQ57" i="17" s="1"/>
  <c r="AU85" i="1" s="1"/>
  <c r="AP28" i="17"/>
  <c r="AP57" i="17" s="1" a="1"/>
  <c r="AP57" i="17" s="1"/>
  <c r="AT85" i="1" s="1"/>
  <c r="AO28" i="17"/>
  <c r="AO57" i="17" s="1" a="1"/>
  <c r="AO57" i="17" s="1"/>
  <c r="AS85" i="1" s="1"/>
  <c r="AN28" i="17"/>
  <c r="AN57" i="17" s="1" a="1"/>
  <c r="AN57" i="17" s="1"/>
  <c r="AR85" i="1" s="1"/>
  <c r="AM28" i="17"/>
  <c r="AM57" i="17" s="1" a="1"/>
  <c r="AM57" i="17" s="1"/>
  <c r="AQ85" i="1" s="1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AW27" i="17"/>
  <c r="AW56" i="17" s="1" a="1"/>
  <c r="AW56" i="17" s="1"/>
  <c r="AV27" i="17"/>
  <c r="AV56" i="17" s="1" a="1"/>
  <c r="AV56" i="17" s="1"/>
  <c r="AU27" i="17"/>
  <c r="AU56" i="17" s="1" a="1"/>
  <c r="AU56" i="17" s="1"/>
  <c r="AT27" i="17"/>
  <c r="AT56" i="17" s="1" a="1"/>
  <c r="AT56" i="17" s="1"/>
  <c r="AS27" i="17"/>
  <c r="AS56" i="17" s="1" a="1"/>
  <c r="AS56" i="17" s="1"/>
  <c r="AW84" i="1" s="1"/>
  <c r="AR27" i="17"/>
  <c r="AR56" i="17" s="1" a="1"/>
  <c r="AR56" i="17" s="1"/>
  <c r="AV84" i="1" s="1"/>
  <c r="AQ27" i="17"/>
  <c r="AQ56" i="17" s="1" a="1"/>
  <c r="AQ56" i="17" s="1"/>
  <c r="AU84" i="1" s="1"/>
  <c r="AP27" i="17"/>
  <c r="AP56" i="17" s="1" a="1"/>
  <c r="AP56" i="17" s="1"/>
  <c r="AT84" i="1" s="1"/>
  <c r="AO27" i="17"/>
  <c r="AO56" i="17" s="1" a="1"/>
  <c r="AO56" i="17" s="1"/>
  <c r="AS84" i="1" s="1"/>
  <c r="AN27" i="17"/>
  <c r="AN56" i="17" s="1" a="1"/>
  <c r="AN56" i="17" s="1"/>
  <c r="AR84" i="1" s="1"/>
  <c r="AM27" i="17"/>
  <c r="AM56" i="17" s="1" a="1"/>
  <c r="AM56" i="17" s="1"/>
  <c r="AQ84" i="1" s="1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AW26" i="17"/>
  <c r="AW55" i="17" s="1" a="1"/>
  <c r="AW55" i="17" s="1"/>
  <c r="AV26" i="17"/>
  <c r="AV55" i="17" s="1" a="1"/>
  <c r="AV55" i="17" s="1"/>
  <c r="AU26" i="17"/>
  <c r="AU55" i="17" s="1" a="1"/>
  <c r="AU55" i="17" s="1"/>
  <c r="AT26" i="17"/>
  <c r="AT55" i="17" s="1" a="1"/>
  <c r="AT55" i="17" s="1"/>
  <c r="AS26" i="17"/>
  <c r="AS55" i="17" s="1" a="1"/>
  <c r="AS55" i="17" s="1"/>
  <c r="AW83" i="1" s="1"/>
  <c r="AR26" i="17"/>
  <c r="AR55" i="17" s="1" a="1"/>
  <c r="AR55" i="17" s="1"/>
  <c r="AV83" i="1" s="1"/>
  <c r="AQ26" i="17"/>
  <c r="AQ55" i="17" s="1" a="1"/>
  <c r="AQ55" i="17" s="1"/>
  <c r="AU83" i="1" s="1"/>
  <c r="AP26" i="17"/>
  <c r="AP55" i="17" s="1" a="1"/>
  <c r="AP55" i="17" s="1"/>
  <c r="AT83" i="1" s="1"/>
  <c r="AO26" i="17"/>
  <c r="AO55" i="17" s="1" a="1"/>
  <c r="AO55" i="17" s="1"/>
  <c r="AS83" i="1" s="1"/>
  <c r="AN26" i="17"/>
  <c r="AN55" i="17" s="1" a="1"/>
  <c r="AN55" i="17" s="1"/>
  <c r="AR83" i="1" s="1"/>
  <c r="AM26" i="17"/>
  <c r="AM55" i="17" s="1" a="1"/>
  <c r="AM55" i="17" s="1"/>
  <c r="AQ83" i="1" s="1"/>
  <c r="AL26" i="17"/>
  <c r="AK26" i="17"/>
  <c r="AJ26" i="17"/>
  <c r="AI26" i="17"/>
  <c r="AH26" i="17"/>
  <c r="AG26" i="17"/>
  <c r="AF26" i="17"/>
  <c r="AE26" i="17"/>
  <c r="AD26" i="17"/>
  <c r="AC26" i="17"/>
  <c r="AB26" i="17"/>
  <c r="AA26" i="17"/>
  <c r="Z26" i="17"/>
  <c r="Y26" i="17"/>
  <c r="X26" i="17"/>
  <c r="W26" i="17"/>
  <c r="V26" i="17"/>
  <c r="U26" i="17"/>
  <c r="T26" i="17"/>
  <c r="S26" i="17"/>
  <c r="R26" i="17"/>
  <c r="Q26" i="17"/>
  <c r="P26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C26" i="17"/>
  <c r="B26" i="17"/>
  <c r="AW25" i="17"/>
  <c r="AW54" i="17" s="1" a="1"/>
  <c r="AW54" i="17" s="1"/>
  <c r="AV25" i="17"/>
  <c r="AV54" i="17" s="1" a="1"/>
  <c r="AV54" i="17" s="1"/>
  <c r="AU25" i="17"/>
  <c r="AU54" i="17" s="1" a="1"/>
  <c r="AU54" i="17" s="1"/>
  <c r="AT25" i="17"/>
  <c r="AT54" i="17" s="1" a="1"/>
  <c r="AT54" i="17" s="1"/>
  <c r="AS25" i="17"/>
  <c r="AS54" i="17" s="1" a="1"/>
  <c r="AS54" i="17" s="1"/>
  <c r="AW82" i="1" s="1"/>
  <c r="AR25" i="17"/>
  <c r="AR54" i="17" s="1" a="1"/>
  <c r="AR54" i="17" s="1"/>
  <c r="AV82" i="1" s="1"/>
  <c r="AQ25" i="17"/>
  <c r="AQ54" i="17" s="1" a="1"/>
  <c r="AQ54" i="17" s="1"/>
  <c r="AU82" i="1" s="1"/>
  <c r="AP25" i="17"/>
  <c r="AP54" i="17" s="1" a="1"/>
  <c r="AP54" i="17" s="1"/>
  <c r="AT82" i="1" s="1"/>
  <c r="AO25" i="17"/>
  <c r="AO54" i="17" s="1" a="1"/>
  <c r="AO54" i="17" s="1"/>
  <c r="AS82" i="1" s="1"/>
  <c r="AN25" i="17"/>
  <c r="AN54" i="17" s="1" a="1"/>
  <c r="AN54" i="17" s="1"/>
  <c r="AR82" i="1" s="1"/>
  <c r="AM25" i="17"/>
  <c r="AM54" i="17" s="1" a="1"/>
  <c r="AM54" i="17" s="1"/>
  <c r="AQ82" i="1" s="1"/>
  <c r="AL25" i="17"/>
  <c r="AK25" i="17"/>
  <c r="AJ25" i="17"/>
  <c r="AI25" i="17"/>
  <c r="AH25" i="17"/>
  <c r="AG25" i="17"/>
  <c r="AF25" i="17"/>
  <c r="AE25" i="17"/>
  <c r="AD25" i="17"/>
  <c r="AC25" i="17"/>
  <c r="AB25" i="17"/>
  <c r="AA25" i="17"/>
  <c r="Z25" i="17"/>
  <c r="Y25" i="17"/>
  <c r="X25" i="17"/>
  <c r="W25" i="17"/>
  <c r="V25" i="17"/>
  <c r="U25" i="17"/>
  <c r="T25" i="17"/>
  <c r="S25" i="17"/>
  <c r="R25" i="17"/>
  <c r="Q25" i="17"/>
  <c r="P25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C25" i="17"/>
  <c r="B25" i="17"/>
  <c r="AW24" i="17"/>
  <c r="AW53" i="17" s="1" a="1"/>
  <c r="AW53" i="17" s="1"/>
  <c r="AV24" i="17"/>
  <c r="AV53" i="17" s="1" a="1"/>
  <c r="AV53" i="17" s="1"/>
  <c r="AU24" i="17"/>
  <c r="AU53" i="17" s="1" a="1"/>
  <c r="AU53" i="17" s="1"/>
  <c r="AT24" i="17"/>
  <c r="AT53" i="17" s="1" a="1"/>
  <c r="AT53" i="17" s="1"/>
  <c r="AS24" i="17"/>
  <c r="AS53" i="17" s="1" a="1"/>
  <c r="AS53" i="17" s="1"/>
  <c r="AW81" i="1" s="1"/>
  <c r="AR24" i="17"/>
  <c r="AR53" i="17" s="1" a="1"/>
  <c r="AR53" i="17" s="1"/>
  <c r="AV81" i="1" s="1"/>
  <c r="AQ24" i="17"/>
  <c r="AQ53" i="17" s="1" a="1"/>
  <c r="AQ53" i="17" s="1"/>
  <c r="AU81" i="1" s="1"/>
  <c r="AP24" i="17"/>
  <c r="AP53" i="17" s="1" a="1"/>
  <c r="AP53" i="17" s="1"/>
  <c r="AT81" i="1" s="1"/>
  <c r="AO24" i="17"/>
  <c r="AO53" i="17" s="1" a="1"/>
  <c r="AO53" i="17" s="1"/>
  <c r="AS81" i="1" s="1"/>
  <c r="AN24" i="17"/>
  <c r="AN53" i="17" s="1" a="1"/>
  <c r="AN53" i="17" s="1"/>
  <c r="AR81" i="1" s="1"/>
  <c r="AM24" i="17"/>
  <c r="AM53" i="17" s="1" a="1"/>
  <c r="AM53" i="17" s="1"/>
  <c r="AQ81" i="1" s="1"/>
  <c r="AL24" i="17"/>
  <c r="BC16" i="17" s="1"/>
  <c r="BE16" i="17" s="1" a="1"/>
  <c r="BE16" i="17" s="1"/>
  <c r="BH16" i="17" s="1"/>
  <c r="AK24" i="17"/>
  <c r="AJ24" i="17"/>
  <c r="AI24" i="17"/>
  <c r="AH24" i="17"/>
  <c r="AG24" i="17"/>
  <c r="AF24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C24" i="17"/>
  <c r="B24" i="17"/>
  <c r="AW23" i="17"/>
  <c r="AW52" i="17" s="1" a="1"/>
  <c r="AW52" i="17" s="1"/>
  <c r="AV23" i="17"/>
  <c r="AV52" i="17" s="1" a="1"/>
  <c r="AV52" i="17" s="1"/>
  <c r="AU23" i="17"/>
  <c r="AU52" i="17" s="1" a="1"/>
  <c r="AU52" i="17" s="1"/>
  <c r="AT23" i="17"/>
  <c r="AT52" i="17" s="1" a="1"/>
  <c r="AT52" i="17" s="1"/>
  <c r="AS23" i="17"/>
  <c r="AS52" i="17" s="1" a="1"/>
  <c r="AS52" i="17" s="1"/>
  <c r="AW80" i="1" s="1"/>
  <c r="AR23" i="17"/>
  <c r="AR52" i="17" s="1" a="1"/>
  <c r="AR52" i="17" s="1"/>
  <c r="AV80" i="1" s="1"/>
  <c r="AQ23" i="17"/>
  <c r="AQ52" i="17" s="1" a="1"/>
  <c r="AQ52" i="17" s="1"/>
  <c r="AU80" i="1" s="1"/>
  <c r="AP23" i="17"/>
  <c r="AP52" i="17" s="1" a="1"/>
  <c r="AP52" i="17" s="1"/>
  <c r="AT80" i="1" s="1"/>
  <c r="AO23" i="17"/>
  <c r="AO52" i="17" s="1" a="1"/>
  <c r="AO52" i="17" s="1"/>
  <c r="AS80" i="1" s="1"/>
  <c r="AN23" i="17"/>
  <c r="AN52" i="17" s="1" a="1"/>
  <c r="AN52" i="17" s="1"/>
  <c r="AR80" i="1" s="1"/>
  <c r="AM23" i="17"/>
  <c r="AM52" i="17" s="1" a="1"/>
  <c r="AM52" i="17" s="1"/>
  <c r="AQ80" i="1" s="1"/>
  <c r="AL23" i="17"/>
  <c r="AK23" i="17"/>
  <c r="AJ23" i="17"/>
  <c r="AI23" i="17"/>
  <c r="AH23" i="17"/>
  <c r="AG23" i="17"/>
  <c r="AF23" i="17"/>
  <c r="AE23" i="17"/>
  <c r="AD23" i="17"/>
  <c r="AC23" i="17"/>
  <c r="AW22" i="17"/>
  <c r="AW51" i="17" s="1" a="1"/>
  <c r="AW51" i="17" s="1"/>
  <c r="AV22" i="17"/>
  <c r="AV51" i="17" s="1" a="1"/>
  <c r="AV51" i="17" s="1"/>
  <c r="AU22" i="17"/>
  <c r="AU51" i="17" s="1" a="1"/>
  <c r="AU51" i="17" s="1"/>
  <c r="AT22" i="17"/>
  <c r="AT51" i="17" s="1" a="1"/>
  <c r="AT51" i="17" s="1"/>
  <c r="AS22" i="17"/>
  <c r="AS51" i="17" s="1" a="1"/>
  <c r="AS51" i="17" s="1"/>
  <c r="AW79" i="1" s="1"/>
  <c r="AR22" i="17"/>
  <c r="AR51" i="17" s="1" a="1"/>
  <c r="AR51" i="17" s="1"/>
  <c r="AV79" i="1" s="1"/>
  <c r="AQ22" i="17"/>
  <c r="AQ51" i="17" s="1" a="1"/>
  <c r="AQ51" i="17" s="1"/>
  <c r="AU79" i="1" s="1"/>
  <c r="AP22" i="17"/>
  <c r="AP51" i="17" s="1" a="1"/>
  <c r="AP51" i="17" s="1"/>
  <c r="AT79" i="1" s="1"/>
  <c r="AO22" i="17"/>
  <c r="AO51" i="17" s="1" a="1"/>
  <c r="AO51" i="17" s="1"/>
  <c r="AS79" i="1" s="1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AW21" i="17"/>
  <c r="AW50" i="17" s="1" a="1"/>
  <c r="AW50" i="17" s="1"/>
  <c r="AV21" i="17"/>
  <c r="AV50" i="17" s="1" a="1"/>
  <c r="AV50" i="17" s="1"/>
  <c r="AU21" i="17"/>
  <c r="AU50" i="17" s="1" a="1"/>
  <c r="AU50" i="17" s="1"/>
  <c r="AT21" i="17"/>
  <c r="AT50" i="17" s="1" a="1"/>
  <c r="AT50" i="17" s="1"/>
  <c r="AS21" i="17"/>
  <c r="AS50" i="17" s="1" a="1"/>
  <c r="AS50" i="17" s="1"/>
  <c r="AW78" i="1" s="1"/>
  <c r="AR21" i="17"/>
  <c r="AR50" i="17" s="1" a="1"/>
  <c r="AR50" i="17" s="1"/>
  <c r="AV78" i="1" s="1"/>
  <c r="AQ21" i="17"/>
  <c r="AQ50" i="17" s="1" a="1"/>
  <c r="AQ50" i="17" s="1"/>
  <c r="AU78" i="1" s="1"/>
  <c r="AP21" i="17"/>
  <c r="AP50" i="17" s="1" a="1"/>
  <c r="AP50" i="17" s="1"/>
  <c r="AT78" i="1" s="1"/>
  <c r="AO21" i="17"/>
  <c r="AO50" i="17" s="1" a="1"/>
  <c r="AO50" i="17" s="1"/>
  <c r="AS78" i="1" s="1"/>
  <c r="AN21" i="17"/>
  <c r="AN50" i="17" s="1" a="1"/>
  <c r="AN50" i="17" s="1"/>
  <c r="AR78" i="1" s="1"/>
  <c r="AM21" i="17"/>
  <c r="AM50" i="17" s="1" a="1"/>
  <c r="AM50" i="17" s="1"/>
  <c r="AQ78" i="1" s="1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C20" i="17"/>
  <c r="BE20" i="17" s="1" a="1"/>
  <c r="BE20" i="17" s="1"/>
  <c r="BH20" i="17" s="1"/>
  <c r="AW20" i="17"/>
  <c r="AW49" i="17" s="1" a="1"/>
  <c r="AW49" i="17" s="1"/>
  <c r="AV20" i="17"/>
  <c r="AV49" i="17" s="1" a="1"/>
  <c r="AV49" i="17" s="1"/>
  <c r="AU20" i="17"/>
  <c r="AU49" i="17" s="1" a="1"/>
  <c r="AU49" i="17" s="1"/>
  <c r="AT20" i="17"/>
  <c r="AT49" i="17" s="1" a="1"/>
  <c r="AT49" i="17" s="1"/>
  <c r="AS20" i="17"/>
  <c r="AS49" i="17" s="1" a="1"/>
  <c r="AS49" i="17" s="1"/>
  <c r="AW77" i="1" s="1"/>
  <c r="AR20" i="17"/>
  <c r="AR49" i="17" s="1" a="1"/>
  <c r="AR49" i="17" s="1"/>
  <c r="AV77" i="1" s="1"/>
  <c r="AQ20" i="17"/>
  <c r="AQ49" i="17" s="1" a="1"/>
  <c r="AQ49" i="17" s="1"/>
  <c r="AU77" i="1" s="1"/>
  <c r="AP20" i="17"/>
  <c r="AP49" i="17" s="1" a="1"/>
  <c r="AP49" i="17" s="1"/>
  <c r="AT77" i="1" s="1"/>
  <c r="AO20" i="17"/>
  <c r="AO49" i="17" s="1" a="1"/>
  <c r="AO49" i="17" s="1"/>
  <c r="AS77" i="1" s="1"/>
  <c r="AN20" i="17"/>
  <c r="AN49" i="17" s="1" a="1"/>
  <c r="AN49" i="17" s="1"/>
  <c r="AR77" i="1" s="1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C19" i="17"/>
  <c r="BE19" i="17" s="1" a="1"/>
  <c r="BE19" i="17" s="1"/>
  <c r="BH19" i="17" s="1"/>
  <c r="AW19" i="17"/>
  <c r="AW48" i="17" s="1" a="1"/>
  <c r="AW48" i="17" s="1"/>
  <c r="AV19" i="17"/>
  <c r="AV48" i="17" s="1" a="1"/>
  <c r="AV48" i="17" s="1"/>
  <c r="AU19" i="17"/>
  <c r="AU48" i="17" s="1" a="1"/>
  <c r="AU48" i="17" s="1"/>
  <c r="AT19" i="17"/>
  <c r="AT48" i="17" s="1" a="1"/>
  <c r="AT48" i="17" s="1"/>
  <c r="AS19" i="17"/>
  <c r="AS48" i="17" s="1" a="1"/>
  <c r="AS48" i="17" s="1"/>
  <c r="AW76" i="1" s="1"/>
  <c r="AR19" i="17"/>
  <c r="AR48" i="17" s="1" a="1"/>
  <c r="AR48" i="17" s="1"/>
  <c r="AV76" i="1" s="1"/>
  <c r="AQ19" i="17"/>
  <c r="AQ48" i="17" s="1" a="1"/>
  <c r="AQ48" i="17" s="1"/>
  <c r="AU76" i="1" s="1"/>
  <c r="AP19" i="17"/>
  <c r="AP48" i="17" s="1" a="1"/>
  <c r="AP48" i="17" s="1"/>
  <c r="AT76" i="1" s="1"/>
  <c r="AO19" i="17"/>
  <c r="AO48" i="17" s="1" a="1"/>
  <c r="AO48" i="17" s="1"/>
  <c r="AS76" i="1" s="1"/>
  <c r="AN19" i="17"/>
  <c r="AN48" i="17" s="1" a="1"/>
  <c r="AN48" i="17" s="1"/>
  <c r="AR76" i="1" s="1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C18" i="17"/>
  <c r="BE18" i="17" s="1" a="1"/>
  <c r="BE18" i="17" s="1"/>
  <c r="BH18" i="17" s="1"/>
  <c r="AW18" i="17"/>
  <c r="AW47" i="17" s="1" a="1"/>
  <c r="AW47" i="17" s="1"/>
  <c r="AV18" i="17"/>
  <c r="AV47" i="17" s="1" a="1"/>
  <c r="AV47" i="17" s="1"/>
  <c r="AU18" i="17"/>
  <c r="AU47" i="17" s="1" a="1"/>
  <c r="AU47" i="17" s="1"/>
  <c r="AT18" i="17"/>
  <c r="AT47" i="17" s="1" a="1"/>
  <c r="AT47" i="17" s="1"/>
  <c r="AS18" i="17"/>
  <c r="AS47" i="17" s="1" a="1"/>
  <c r="AS47" i="17" s="1"/>
  <c r="AW75" i="1" s="1"/>
  <c r="AR18" i="17"/>
  <c r="AR47" i="17" s="1" a="1"/>
  <c r="AR47" i="17" s="1"/>
  <c r="AV75" i="1" s="1"/>
  <c r="AQ18" i="17"/>
  <c r="AQ47" i="17" s="1" a="1"/>
  <c r="AQ47" i="17" s="1"/>
  <c r="AU75" i="1" s="1"/>
  <c r="AP18" i="17"/>
  <c r="AP47" i="17" s="1" a="1"/>
  <c r="AP47" i="17" s="1"/>
  <c r="AT75" i="1" s="1"/>
  <c r="AO18" i="17"/>
  <c r="AO47" i="17" s="1" a="1"/>
  <c r="AO47" i="17" s="1"/>
  <c r="AS75" i="1" s="1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C17" i="17"/>
  <c r="BE17" i="17" s="1" a="1"/>
  <c r="BE17" i="17" s="1"/>
  <c r="BH17" i="17" s="1"/>
  <c r="AW17" i="17"/>
  <c r="AW46" i="17" s="1" a="1"/>
  <c r="AW46" i="17" s="1"/>
  <c r="AV17" i="17"/>
  <c r="AV46" i="17" s="1" a="1"/>
  <c r="AV46" i="17" s="1"/>
  <c r="AU17" i="17"/>
  <c r="AU46" i="17" s="1" a="1"/>
  <c r="AU46" i="17" s="1"/>
  <c r="AT17" i="17"/>
  <c r="AT46" i="17" s="1" a="1"/>
  <c r="AT46" i="17" s="1"/>
  <c r="AS17" i="17"/>
  <c r="AS46" i="17" s="1" a="1"/>
  <c r="AS46" i="17" s="1"/>
  <c r="AW74" i="1" s="1"/>
  <c r="AR17" i="17"/>
  <c r="AR46" i="17" s="1" a="1"/>
  <c r="AR46" i="17" s="1"/>
  <c r="AV74" i="1" s="1"/>
  <c r="AQ17" i="17"/>
  <c r="AQ46" i="17" s="1" a="1"/>
  <c r="AQ46" i="17" s="1"/>
  <c r="AU74" i="1" s="1"/>
  <c r="AP17" i="17"/>
  <c r="AP46" i="17" s="1" a="1"/>
  <c r="AP46" i="17" s="1"/>
  <c r="AT74" i="1" s="1"/>
  <c r="AO17" i="17"/>
  <c r="AO46" i="17" s="1" a="1"/>
  <c r="AO46" i="17" s="1"/>
  <c r="AS74" i="1" s="1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AW16" i="17"/>
  <c r="AW45" i="17" s="1" a="1"/>
  <c r="AW45" i="17" s="1"/>
  <c r="AV16" i="17"/>
  <c r="AV45" i="17" s="1" a="1"/>
  <c r="AV45" i="17" s="1"/>
  <c r="AU16" i="17"/>
  <c r="AU45" i="17" s="1" a="1"/>
  <c r="AU45" i="17" s="1"/>
  <c r="AT16" i="17"/>
  <c r="AT45" i="17" s="1" a="1"/>
  <c r="AT45" i="17" s="1"/>
  <c r="AS16" i="17"/>
  <c r="AS45" i="17" s="1" a="1"/>
  <c r="AS45" i="17" s="1"/>
  <c r="AW73" i="1" s="1"/>
  <c r="AR16" i="17"/>
  <c r="AR45" i="17" s="1" a="1"/>
  <c r="AR45" i="17" s="1"/>
  <c r="AV73" i="1" s="1"/>
  <c r="AQ16" i="17"/>
  <c r="AQ45" i="17" s="1" a="1"/>
  <c r="AQ45" i="17" s="1"/>
  <c r="AU73" i="1" s="1"/>
  <c r="AP16" i="17"/>
  <c r="AP45" i="17" s="1" a="1"/>
  <c r="AP45" i="17" s="1"/>
  <c r="AT73" i="1" s="1"/>
  <c r="AO16" i="17"/>
  <c r="AO45" i="17" s="1" a="1"/>
  <c r="AO45" i="17" s="1"/>
  <c r="AS73" i="1" s="1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C15" i="17"/>
  <c r="BE15" i="17" s="1" a="1"/>
  <c r="BE15" i="17" s="1"/>
  <c r="BH15" i="17" s="1"/>
  <c r="AW15" i="17"/>
  <c r="AW44" i="17" s="1" a="1"/>
  <c r="AW44" i="17" s="1"/>
  <c r="AV15" i="17"/>
  <c r="AV44" i="17" s="1" a="1"/>
  <c r="AV44" i="17" s="1"/>
  <c r="AU15" i="17"/>
  <c r="AU44" i="17" s="1" a="1"/>
  <c r="AU44" i="17" s="1"/>
  <c r="AT15" i="17"/>
  <c r="AT44" i="17" s="1" a="1"/>
  <c r="AT44" i="17" s="1"/>
  <c r="AS15" i="17"/>
  <c r="AS44" i="17" s="1" a="1"/>
  <c r="AS44" i="17" s="1"/>
  <c r="AW72" i="1" s="1"/>
  <c r="AR15" i="17"/>
  <c r="AR44" i="17" s="1" a="1"/>
  <c r="AR44" i="17" s="1"/>
  <c r="AV72" i="1" s="1"/>
  <c r="AQ15" i="17"/>
  <c r="AQ44" i="17" s="1" a="1"/>
  <c r="AQ44" i="17" s="1"/>
  <c r="AU72" i="1" s="1"/>
  <c r="AP15" i="17"/>
  <c r="AP44" i="17" s="1" a="1"/>
  <c r="AP44" i="17" s="1"/>
  <c r="AT72" i="1" s="1"/>
  <c r="AO15" i="17"/>
  <c r="AO44" i="17" s="1" a="1"/>
  <c r="AO44" i="17" s="1"/>
  <c r="AS72" i="1" s="1"/>
  <c r="AN15" i="17"/>
  <c r="AM15" i="17"/>
  <c r="AL15" i="17"/>
  <c r="AK15" i="17"/>
  <c r="AJ15" i="17"/>
  <c r="AI15" i="17"/>
  <c r="AH15" i="17"/>
  <c r="AG15" i="17"/>
  <c r="AF15" i="17"/>
  <c r="AE15" i="17"/>
  <c r="AD15" i="17"/>
  <c r="AC15" i="17"/>
  <c r="AB15" i="17"/>
  <c r="AA15" i="17"/>
  <c r="Z15" i="17"/>
  <c r="Y15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B15" i="17"/>
  <c r="BC14" i="17"/>
  <c r="BE14" i="17" s="1" a="1"/>
  <c r="BE14" i="17" s="1"/>
  <c r="BH14" i="17" s="1"/>
  <c r="BC13" i="17"/>
  <c r="BE13" i="17" s="1" a="1"/>
  <c r="BE13" i="17" s="1"/>
  <c r="BH13" i="17" s="1"/>
  <c r="BC12" i="17"/>
  <c r="BE12" i="17" s="1" a="1"/>
  <c r="BE12" i="17" s="1"/>
  <c r="BH12" i="17" s="1"/>
  <c r="BC11" i="17"/>
  <c r="BE11" i="17" s="1" a="1"/>
  <c r="BE11" i="17" s="1"/>
  <c r="BH11" i="17" s="1"/>
  <c r="BC10" i="17"/>
  <c r="BE10" i="17" s="1" a="1"/>
  <c r="BE10" i="17" s="1"/>
  <c r="BH10" i="17" s="1"/>
  <c r="BC9" i="17"/>
  <c r="BE9" i="17" s="1" a="1"/>
  <c r="BE9" i="17" s="1"/>
  <c r="BH9" i="17" s="1"/>
  <c r="BC8" i="17"/>
  <c r="BE8" i="17" s="1" a="1"/>
  <c r="BE8" i="17" s="1"/>
  <c r="BH8" i="17" s="1"/>
  <c r="BC7" i="17"/>
  <c r="BE7" i="17" s="1" a="1"/>
  <c r="BE7" i="17" s="1"/>
  <c r="BH7" i="17" s="1"/>
  <c r="D45" i="16"/>
  <c r="D44" i="16"/>
  <c r="D43" i="16"/>
  <c r="D42" i="16"/>
  <c r="D41" i="16"/>
  <c r="D40" i="16"/>
  <c r="AX21" i="15"/>
  <c r="BM21" i="15" s="1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W32" i="15" s="1"/>
  <c r="AK21" i="15"/>
  <c r="AV32" i="15" s="1"/>
  <c r="AJ21" i="15"/>
  <c r="AU32" i="15" s="1"/>
  <c r="AI21" i="15"/>
  <c r="AT32" i="15" s="1"/>
  <c r="AH21" i="15"/>
  <c r="AS32" i="15" s="1"/>
  <c r="AG21" i="15"/>
  <c r="AR32" i="15" s="1"/>
  <c r="AF21" i="15"/>
  <c r="AQ32" i="15" s="1"/>
  <c r="AE21" i="15"/>
  <c r="AP32" i="15" s="1"/>
  <c r="AD21" i="15"/>
  <c r="AO32" i="15" s="1"/>
  <c r="AC21" i="15"/>
  <c r="AN32" i="15" s="1"/>
  <c r="AB21" i="15"/>
  <c r="AM32" i="15" s="1"/>
  <c r="AA21" i="15"/>
  <c r="AL32" i="15" s="1"/>
  <c r="Z21" i="15"/>
  <c r="AK32" i="15" s="1"/>
  <c r="Y21" i="15"/>
  <c r="AJ32" i="15" s="1"/>
  <c r="X21" i="15"/>
  <c r="AI32" i="15" s="1"/>
  <c r="W21" i="15"/>
  <c r="AH32" i="15" s="1"/>
  <c r="V21" i="15"/>
  <c r="AG32" i="15" s="1"/>
  <c r="U21" i="15"/>
  <c r="AF32" i="15" s="1"/>
  <c r="T21" i="15"/>
  <c r="AE32" i="15" s="1"/>
  <c r="S21" i="15"/>
  <c r="AD32" i="15" s="1"/>
  <c r="R21" i="15"/>
  <c r="AC32" i="15" s="1"/>
  <c r="Q21" i="15"/>
  <c r="AB32" i="15" s="1"/>
  <c r="P21" i="15"/>
  <c r="AA32" i="15" s="1"/>
  <c r="O21" i="15"/>
  <c r="Z32" i="15" s="1"/>
  <c r="N21" i="15"/>
  <c r="Y32" i="15" s="1"/>
  <c r="M21" i="15"/>
  <c r="X32" i="15" s="1"/>
  <c r="L21" i="15"/>
  <c r="W32" i="15" s="1"/>
  <c r="K21" i="15"/>
  <c r="V32" i="15" s="1"/>
  <c r="J21" i="15"/>
  <c r="U32" i="15" s="1"/>
  <c r="I21" i="15"/>
  <c r="T32" i="15" s="1"/>
  <c r="H21" i="15"/>
  <c r="S32" i="15" s="1"/>
  <c r="G21" i="15"/>
  <c r="R32" i="15" s="1"/>
  <c r="F21" i="15"/>
  <c r="Q32" i="15" s="1"/>
  <c r="E21" i="15"/>
  <c r="P32" i="15" s="1"/>
  <c r="D21" i="15"/>
  <c r="O32" i="15" s="1"/>
  <c r="C21" i="15"/>
  <c r="N32" i="15" s="1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X31" i="15" s="1"/>
  <c r="AL20" i="15"/>
  <c r="AW31" i="15" s="1"/>
  <c r="AK20" i="15"/>
  <c r="AV31" i="15" s="1"/>
  <c r="AJ20" i="15"/>
  <c r="AU31" i="15" s="1"/>
  <c r="AI20" i="15"/>
  <c r="AT31" i="15" s="1"/>
  <c r="AH20" i="15"/>
  <c r="AS31" i="15" s="1"/>
  <c r="AG20" i="15"/>
  <c r="AR31" i="15" s="1"/>
  <c r="AF20" i="15"/>
  <c r="AQ31" i="15" s="1"/>
  <c r="AE20" i="15"/>
  <c r="AP31" i="15" s="1"/>
  <c r="AD20" i="15"/>
  <c r="AO31" i="15" s="1"/>
  <c r="AC20" i="15"/>
  <c r="AN31" i="15" s="1"/>
  <c r="AB20" i="15"/>
  <c r="AM31" i="15" s="1"/>
  <c r="AA20" i="15"/>
  <c r="AL31" i="15" s="1"/>
  <c r="Z20" i="15"/>
  <c r="AK31" i="15" s="1"/>
  <c r="Y20" i="15"/>
  <c r="AJ31" i="15" s="1"/>
  <c r="X20" i="15"/>
  <c r="AI31" i="15" s="1"/>
  <c r="W20" i="15"/>
  <c r="AH31" i="15" s="1"/>
  <c r="V20" i="15"/>
  <c r="AG31" i="15" s="1"/>
  <c r="U20" i="15"/>
  <c r="AF31" i="15" s="1"/>
  <c r="T20" i="15"/>
  <c r="AE31" i="15" s="1"/>
  <c r="S20" i="15"/>
  <c r="AD31" i="15" s="1"/>
  <c r="R20" i="15"/>
  <c r="AC31" i="15" s="1"/>
  <c r="Q20" i="15"/>
  <c r="AB31" i="15" s="1"/>
  <c r="P20" i="15"/>
  <c r="AA31" i="15" s="1"/>
  <c r="O20" i="15"/>
  <c r="Z31" i="15" s="1"/>
  <c r="N20" i="15"/>
  <c r="Y31" i="15" s="1"/>
  <c r="M20" i="15"/>
  <c r="X31" i="15" s="1"/>
  <c r="L20" i="15"/>
  <c r="W31" i="15" s="1"/>
  <c r="K20" i="15"/>
  <c r="V31" i="15" s="1"/>
  <c r="J20" i="15"/>
  <c r="U31" i="15" s="1"/>
  <c r="I20" i="15"/>
  <c r="T31" i="15" s="1"/>
  <c r="H20" i="15"/>
  <c r="S31" i="15" s="1"/>
  <c r="G20" i="15"/>
  <c r="R31" i="15" s="1"/>
  <c r="F20" i="15"/>
  <c r="Q31" i="15" s="1"/>
  <c r="E20" i="15"/>
  <c r="P31" i="15" s="1"/>
  <c r="D20" i="15"/>
  <c r="O31" i="15" s="1"/>
  <c r="C20" i="15"/>
  <c r="N31" i="15" s="1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X30" i="15" s="1"/>
  <c r="AL19" i="15"/>
  <c r="AW30" i="15" s="1"/>
  <c r="AK19" i="15"/>
  <c r="AV30" i="15" s="1"/>
  <c r="AJ19" i="15"/>
  <c r="AU30" i="15" s="1"/>
  <c r="AI19" i="15"/>
  <c r="AT30" i="15" s="1"/>
  <c r="AH19" i="15"/>
  <c r="AS30" i="15" s="1"/>
  <c r="AG19" i="15"/>
  <c r="AR30" i="15" s="1"/>
  <c r="AF19" i="15"/>
  <c r="AQ30" i="15" s="1"/>
  <c r="AE19" i="15"/>
  <c r="AP30" i="15" s="1"/>
  <c r="AD19" i="15"/>
  <c r="AO30" i="15" s="1"/>
  <c r="AC19" i="15"/>
  <c r="AN30" i="15" s="1"/>
  <c r="AB19" i="15"/>
  <c r="AM30" i="15" s="1"/>
  <c r="AA19" i="15"/>
  <c r="AL30" i="15" s="1"/>
  <c r="Z19" i="15"/>
  <c r="AK30" i="15" s="1"/>
  <c r="Y19" i="15"/>
  <c r="AJ30" i="15" s="1"/>
  <c r="X19" i="15"/>
  <c r="AI30" i="15" s="1"/>
  <c r="W19" i="15"/>
  <c r="AH30" i="15" s="1"/>
  <c r="V19" i="15"/>
  <c r="AG30" i="15" s="1"/>
  <c r="U19" i="15"/>
  <c r="AF30" i="15" s="1"/>
  <c r="T19" i="15"/>
  <c r="AE30" i="15" s="1"/>
  <c r="S19" i="15"/>
  <c r="AD30" i="15" s="1"/>
  <c r="R19" i="15"/>
  <c r="AC30" i="15" s="1"/>
  <c r="Q19" i="15"/>
  <c r="AB30" i="15" s="1"/>
  <c r="P19" i="15"/>
  <c r="AA30" i="15" s="1"/>
  <c r="O19" i="15"/>
  <c r="Z30" i="15" s="1"/>
  <c r="N19" i="15"/>
  <c r="Y30" i="15" s="1"/>
  <c r="M19" i="15"/>
  <c r="X30" i="15" s="1"/>
  <c r="L19" i="15"/>
  <c r="W30" i="15" s="1"/>
  <c r="K19" i="15"/>
  <c r="V30" i="15" s="1"/>
  <c r="J19" i="15"/>
  <c r="U30" i="15" s="1"/>
  <c r="I19" i="15"/>
  <c r="T30" i="15" s="1"/>
  <c r="H19" i="15"/>
  <c r="S30" i="15" s="1"/>
  <c r="G19" i="15"/>
  <c r="R30" i="15" s="1"/>
  <c r="F19" i="15"/>
  <c r="Q30" i="15" s="1"/>
  <c r="E19" i="15"/>
  <c r="P30" i="15" s="1"/>
  <c r="D19" i="15"/>
  <c r="O30" i="15" s="1"/>
  <c r="C19" i="15"/>
  <c r="N30" i="15" s="1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X29" i="15" s="1"/>
  <c r="AL18" i="15"/>
  <c r="AW29" i="15" s="1"/>
  <c r="AK18" i="15"/>
  <c r="AV29" i="15" s="1"/>
  <c r="AJ18" i="15"/>
  <c r="AU29" i="15" s="1"/>
  <c r="AI18" i="15"/>
  <c r="AT29" i="15" s="1"/>
  <c r="AH18" i="15"/>
  <c r="AS29" i="15" s="1"/>
  <c r="AG18" i="15"/>
  <c r="AR29" i="15" s="1"/>
  <c r="AF18" i="15"/>
  <c r="AQ29" i="15" s="1"/>
  <c r="AE18" i="15"/>
  <c r="AP29" i="15" s="1"/>
  <c r="AD18" i="15"/>
  <c r="AO29" i="15" s="1"/>
  <c r="AC18" i="15"/>
  <c r="AN29" i="15" s="1"/>
  <c r="AB18" i="15"/>
  <c r="AM29" i="15" s="1"/>
  <c r="AA18" i="15"/>
  <c r="AL29" i="15" s="1"/>
  <c r="Z18" i="15"/>
  <c r="AK29" i="15" s="1"/>
  <c r="Y18" i="15"/>
  <c r="AJ29" i="15" s="1"/>
  <c r="X18" i="15"/>
  <c r="AI29" i="15" s="1"/>
  <c r="W18" i="15"/>
  <c r="AH29" i="15" s="1"/>
  <c r="V18" i="15"/>
  <c r="AG29" i="15" s="1"/>
  <c r="U18" i="15"/>
  <c r="AF29" i="15" s="1"/>
  <c r="T18" i="15"/>
  <c r="AE29" i="15" s="1"/>
  <c r="S18" i="15"/>
  <c r="AD29" i="15" s="1"/>
  <c r="R18" i="15"/>
  <c r="AC29" i="15" s="1"/>
  <c r="Q18" i="15"/>
  <c r="AB29" i="15" s="1"/>
  <c r="P18" i="15"/>
  <c r="AA29" i="15" s="1"/>
  <c r="O18" i="15"/>
  <c r="Z29" i="15" s="1"/>
  <c r="N18" i="15"/>
  <c r="Y29" i="15" s="1"/>
  <c r="M18" i="15"/>
  <c r="X29" i="15" s="1"/>
  <c r="L18" i="15"/>
  <c r="W29" i="15" s="1"/>
  <c r="K18" i="15"/>
  <c r="V29" i="15" s="1"/>
  <c r="J18" i="15"/>
  <c r="U29" i="15" s="1"/>
  <c r="I18" i="15"/>
  <c r="T29" i="15" s="1"/>
  <c r="H18" i="15"/>
  <c r="S29" i="15" s="1"/>
  <c r="G18" i="15"/>
  <c r="R29" i="15" s="1"/>
  <c r="F18" i="15"/>
  <c r="Q29" i="15" s="1"/>
  <c r="E18" i="15"/>
  <c r="P29" i="15" s="1"/>
  <c r="D18" i="15"/>
  <c r="O29" i="15" s="1"/>
  <c r="C18" i="15"/>
  <c r="N29" i="15" s="1"/>
  <c r="AW17" i="15"/>
  <c r="AV17" i="15"/>
  <c r="AU17" i="15"/>
  <c r="AT17" i="15"/>
  <c r="AS17" i="15"/>
  <c r="AR17" i="15"/>
  <c r="AQ17" i="15"/>
  <c r="AP17" i="15"/>
  <c r="AO17" i="15"/>
  <c r="AN17" i="15"/>
  <c r="AM17" i="15"/>
  <c r="AX28" i="15" s="1"/>
  <c r="AL17" i="15"/>
  <c r="AW28" i="15" s="1"/>
  <c r="AK17" i="15"/>
  <c r="AV28" i="15" s="1"/>
  <c r="AJ17" i="15"/>
  <c r="AU28" i="15" s="1"/>
  <c r="AI17" i="15"/>
  <c r="AT28" i="15" s="1"/>
  <c r="AH17" i="15"/>
  <c r="AS28" i="15" s="1"/>
  <c r="AG17" i="15"/>
  <c r="AR28" i="15" s="1"/>
  <c r="AF17" i="15"/>
  <c r="AQ28" i="15" s="1"/>
  <c r="AE17" i="15"/>
  <c r="AP28" i="15" s="1"/>
  <c r="AD17" i="15"/>
  <c r="AO28" i="15" s="1"/>
  <c r="AC17" i="15"/>
  <c r="AN28" i="15" s="1"/>
  <c r="AB17" i="15"/>
  <c r="AM28" i="15" s="1"/>
  <c r="AA17" i="15"/>
  <c r="AL28" i="15" s="1"/>
  <c r="Z17" i="15"/>
  <c r="AK28" i="15" s="1"/>
  <c r="Y17" i="15"/>
  <c r="AJ28" i="15" s="1"/>
  <c r="X17" i="15"/>
  <c r="AI28" i="15" s="1"/>
  <c r="W17" i="15"/>
  <c r="AH28" i="15" s="1"/>
  <c r="V17" i="15"/>
  <c r="AG28" i="15" s="1"/>
  <c r="U17" i="15"/>
  <c r="AF28" i="15" s="1"/>
  <c r="T17" i="15"/>
  <c r="AE28" i="15" s="1"/>
  <c r="S17" i="15"/>
  <c r="AD28" i="15" s="1"/>
  <c r="R17" i="15"/>
  <c r="AC28" i="15" s="1"/>
  <c r="Q17" i="15"/>
  <c r="AB28" i="15" s="1"/>
  <c r="P17" i="15"/>
  <c r="AA28" i="15" s="1"/>
  <c r="O17" i="15"/>
  <c r="Z28" i="15" s="1"/>
  <c r="N17" i="15"/>
  <c r="Y28" i="15" s="1"/>
  <c r="M17" i="15"/>
  <c r="X28" i="15" s="1"/>
  <c r="L17" i="15"/>
  <c r="W28" i="15" s="1"/>
  <c r="K17" i="15"/>
  <c r="V28" i="15" s="1"/>
  <c r="J17" i="15"/>
  <c r="U28" i="15" s="1"/>
  <c r="I17" i="15"/>
  <c r="T28" i="15" s="1"/>
  <c r="H17" i="15"/>
  <c r="S28" i="15" s="1"/>
  <c r="G17" i="15"/>
  <c r="R28" i="15" s="1"/>
  <c r="F17" i="15"/>
  <c r="Q28" i="15" s="1"/>
  <c r="E17" i="15"/>
  <c r="P28" i="15" s="1"/>
  <c r="D17" i="15"/>
  <c r="O28" i="15" s="1"/>
  <c r="C17" i="15"/>
  <c r="N28" i="15" s="1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X27" i="15" s="1"/>
  <c r="AL16" i="15"/>
  <c r="AW27" i="15" s="1"/>
  <c r="AK16" i="15"/>
  <c r="AV27" i="15" s="1"/>
  <c r="AJ16" i="15"/>
  <c r="AU27" i="15" s="1"/>
  <c r="AI16" i="15"/>
  <c r="AT27" i="15" s="1"/>
  <c r="AH16" i="15"/>
  <c r="AS27" i="15" s="1"/>
  <c r="AG16" i="15"/>
  <c r="AR27" i="15" s="1"/>
  <c r="AF16" i="15"/>
  <c r="AQ27" i="15" s="1"/>
  <c r="AE16" i="15"/>
  <c r="AP27" i="15" s="1"/>
  <c r="AD16" i="15"/>
  <c r="AO27" i="15" s="1"/>
  <c r="AC16" i="15"/>
  <c r="AN27" i="15" s="1"/>
  <c r="AB16" i="15"/>
  <c r="AM27" i="15" s="1"/>
  <c r="AA16" i="15"/>
  <c r="AL27" i="15" s="1"/>
  <c r="Z16" i="15"/>
  <c r="AK27" i="15" s="1"/>
  <c r="Y16" i="15"/>
  <c r="AJ27" i="15" s="1"/>
  <c r="X16" i="15"/>
  <c r="AI27" i="15" s="1"/>
  <c r="W16" i="15"/>
  <c r="AH27" i="15" s="1"/>
  <c r="V16" i="15"/>
  <c r="AG27" i="15" s="1"/>
  <c r="U16" i="15"/>
  <c r="AF27" i="15" s="1"/>
  <c r="T16" i="15"/>
  <c r="AE27" i="15" s="1"/>
  <c r="S16" i="15"/>
  <c r="AD27" i="15" s="1"/>
  <c r="R16" i="15"/>
  <c r="AC27" i="15" s="1"/>
  <c r="Q16" i="15"/>
  <c r="AB27" i="15" s="1"/>
  <c r="P16" i="15"/>
  <c r="AA27" i="15" s="1"/>
  <c r="O16" i="15"/>
  <c r="Z27" i="15" s="1"/>
  <c r="N16" i="15"/>
  <c r="Y27" i="15" s="1"/>
  <c r="M16" i="15"/>
  <c r="X27" i="15" s="1"/>
  <c r="L16" i="15"/>
  <c r="W27" i="15" s="1"/>
  <c r="K16" i="15"/>
  <c r="V27" i="15" s="1"/>
  <c r="J16" i="15"/>
  <c r="U27" i="15" s="1"/>
  <c r="I16" i="15"/>
  <c r="T27" i="15" s="1"/>
  <c r="H16" i="15"/>
  <c r="S27" i="15" s="1"/>
  <c r="G16" i="15"/>
  <c r="R27" i="15" s="1"/>
  <c r="F16" i="15"/>
  <c r="Q27" i="15" s="1"/>
  <c r="E16" i="15"/>
  <c r="P27" i="15" s="1"/>
  <c r="D16" i="15"/>
  <c r="O27" i="15" s="1"/>
  <c r="C16" i="15"/>
  <c r="N27" i="15" s="1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X26" i="15" s="1"/>
  <c r="AX59" i="15" s="1"/>
  <c r="AL15" i="15"/>
  <c r="AW26" i="15" s="1"/>
  <c r="AW59" i="15" s="1"/>
  <c r="AK15" i="15"/>
  <c r="AV26" i="15" s="1"/>
  <c r="AV59" i="15" s="1"/>
  <c r="AJ15" i="15"/>
  <c r="AU26" i="15" s="1"/>
  <c r="AU59" i="15" s="1"/>
  <c r="AI15" i="15"/>
  <c r="AT26" i="15" s="1"/>
  <c r="AT59" i="15" s="1"/>
  <c r="AH15" i="15"/>
  <c r="AS26" i="15" s="1"/>
  <c r="AS59" i="15" s="1"/>
  <c r="AG15" i="15"/>
  <c r="AR26" i="15" s="1"/>
  <c r="AR59" i="15" s="1"/>
  <c r="AF15" i="15"/>
  <c r="AQ26" i="15" s="1"/>
  <c r="AQ59" i="15" s="1"/>
  <c r="AE15" i="15"/>
  <c r="AP26" i="15" s="1"/>
  <c r="AP59" i="15" s="1"/>
  <c r="AD15" i="15"/>
  <c r="AO26" i="15" s="1"/>
  <c r="AO59" i="15" s="1"/>
  <c r="AC15" i="15"/>
  <c r="AN26" i="15" s="1"/>
  <c r="AN59" i="15" s="1"/>
  <c r="AB15" i="15"/>
  <c r="AM26" i="15" s="1"/>
  <c r="AM59" i="15" s="1"/>
  <c r="AA15" i="15"/>
  <c r="AL26" i="15" s="1"/>
  <c r="AL59" i="15" s="1"/>
  <c r="Z15" i="15"/>
  <c r="AK26" i="15" s="1"/>
  <c r="AK59" i="15" s="1"/>
  <c r="Y15" i="15"/>
  <c r="AJ26" i="15" s="1"/>
  <c r="AJ59" i="15" s="1"/>
  <c r="X15" i="15"/>
  <c r="AI26" i="15" s="1"/>
  <c r="AI59" i="15" s="1"/>
  <c r="W15" i="15"/>
  <c r="AH26" i="15" s="1"/>
  <c r="AH59" i="15" s="1"/>
  <c r="V15" i="15"/>
  <c r="AG26" i="15" s="1"/>
  <c r="AG59" i="15" s="1"/>
  <c r="U15" i="15"/>
  <c r="AF26" i="15" s="1"/>
  <c r="AF59" i="15" s="1"/>
  <c r="T15" i="15"/>
  <c r="AE26" i="15" s="1"/>
  <c r="AE59" i="15" s="1"/>
  <c r="S15" i="15"/>
  <c r="AD26" i="15" s="1"/>
  <c r="AD59" i="15" s="1"/>
  <c r="R15" i="15"/>
  <c r="AC26" i="15" s="1"/>
  <c r="AC59" i="15" s="1"/>
  <c r="Q15" i="15"/>
  <c r="AB26" i="15" s="1"/>
  <c r="AB59" i="15" s="1"/>
  <c r="P15" i="15"/>
  <c r="AA26" i="15" s="1"/>
  <c r="AA59" i="15" s="1"/>
  <c r="O15" i="15"/>
  <c r="Z26" i="15" s="1"/>
  <c r="Z59" i="15" s="1"/>
  <c r="N15" i="15"/>
  <c r="Y26" i="15" s="1"/>
  <c r="Y59" i="15" s="1"/>
  <c r="M15" i="15"/>
  <c r="X26" i="15" s="1"/>
  <c r="X59" i="15" s="1"/>
  <c r="L15" i="15"/>
  <c r="W26" i="15" s="1"/>
  <c r="W59" i="15" s="1"/>
  <c r="K15" i="15"/>
  <c r="V26" i="15" s="1"/>
  <c r="V59" i="15" s="1"/>
  <c r="J15" i="15"/>
  <c r="U26" i="15" s="1"/>
  <c r="U59" i="15" s="1"/>
  <c r="I15" i="15"/>
  <c r="T26" i="15" s="1"/>
  <c r="T59" i="15" s="1"/>
  <c r="H15" i="15"/>
  <c r="S26" i="15" s="1"/>
  <c r="S59" i="15" s="1"/>
  <c r="G15" i="15"/>
  <c r="R26" i="15" s="1"/>
  <c r="R59" i="15" s="1"/>
  <c r="F15" i="15"/>
  <c r="Q26" i="15" s="1"/>
  <c r="Q59" i="15" s="1"/>
  <c r="E15" i="15"/>
  <c r="P26" i="15" s="1"/>
  <c r="P59" i="15" s="1"/>
  <c r="D15" i="15"/>
  <c r="O26" i="15" s="1"/>
  <c r="O59" i="15" s="1"/>
  <c r="C15" i="15"/>
  <c r="N26" i="15" s="1"/>
  <c r="N59" i="15" s="1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X25" i="15" s="1"/>
  <c r="AL14" i="15"/>
  <c r="AW25" i="15" s="1"/>
  <c r="AK14" i="15"/>
  <c r="AV25" i="15" s="1"/>
  <c r="AJ14" i="15"/>
  <c r="AU25" i="15" s="1"/>
  <c r="AI14" i="15"/>
  <c r="AT25" i="15" s="1"/>
  <c r="AH14" i="15"/>
  <c r="AS25" i="15" s="1"/>
  <c r="AG14" i="15"/>
  <c r="AR25" i="15" s="1"/>
  <c r="AF14" i="15"/>
  <c r="AQ25" i="15" s="1"/>
  <c r="AE14" i="15"/>
  <c r="AP25" i="15" s="1"/>
  <c r="AD14" i="15"/>
  <c r="AO25" i="15" s="1"/>
  <c r="AC14" i="15"/>
  <c r="AN25" i="15" s="1"/>
  <c r="AB14" i="15"/>
  <c r="AM25" i="15" s="1"/>
  <c r="AA14" i="15"/>
  <c r="AL25" i="15" s="1"/>
  <c r="Z14" i="15"/>
  <c r="AK25" i="15" s="1"/>
  <c r="Y14" i="15"/>
  <c r="AJ25" i="15" s="1"/>
  <c r="X14" i="15"/>
  <c r="AI25" i="15" s="1"/>
  <c r="W14" i="15"/>
  <c r="AH25" i="15" s="1"/>
  <c r="V14" i="15"/>
  <c r="AG25" i="15" s="1"/>
  <c r="U14" i="15"/>
  <c r="AF25" i="15" s="1"/>
  <c r="T14" i="15"/>
  <c r="AE25" i="15" s="1"/>
  <c r="S14" i="15"/>
  <c r="AD25" i="15" s="1"/>
  <c r="R14" i="15"/>
  <c r="AC25" i="15" s="1"/>
  <c r="Q14" i="15"/>
  <c r="AB25" i="15" s="1"/>
  <c r="P14" i="15"/>
  <c r="AA25" i="15" s="1"/>
  <c r="O14" i="15"/>
  <c r="Z25" i="15" s="1"/>
  <c r="N14" i="15"/>
  <c r="Y25" i="15" s="1"/>
  <c r="M14" i="15"/>
  <c r="X25" i="15" s="1"/>
  <c r="L14" i="15"/>
  <c r="W25" i="15" s="1"/>
  <c r="K14" i="15"/>
  <c r="V25" i="15" s="1"/>
  <c r="J14" i="15"/>
  <c r="U25" i="15" s="1"/>
  <c r="I14" i="15"/>
  <c r="T25" i="15" s="1"/>
  <c r="H14" i="15"/>
  <c r="S25" i="15" s="1"/>
  <c r="G14" i="15"/>
  <c r="R25" i="15" s="1"/>
  <c r="F14" i="15"/>
  <c r="Q25" i="15" s="1"/>
  <c r="E14" i="15"/>
  <c r="P25" i="15" s="1"/>
  <c r="D14" i="15"/>
  <c r="O25" i="15" s="1"/>
  <c r="C14" i="15"/>
  <c r="N25" i="15" s="1"/>
  <c r="AK37" i="14"/>
  <c r="AK66" i="14" s="1" a="1"/>
  <c r="AK66" i="14" s="1"/>
  <c r="AO67" i="1" s="1"/>
  <c r="AJ37" i="14"/>
  <c r="AJ66" i="14" s="1" a="1"/>
  <c r="AJ66" i="14" s="1"/>
  <c r="AN67" i="1" s="1"/>
  <c r="AI37" i="14"/>
  <c r="AI66" i="14" s="1" a="1"/>
  <c r="AI66" i="14" s="1"/>
  <c r="AM67" i="1" s="1"/>
  <c r="AH37" i="14"/>
  <c r="AH66" i="14" s="1" a="1"/>
  <c r="AH66" i="14" s="1"/>
  <c r="AL67" i="1" s="1"/>
  <c r="AG37" i="14"/>
  <c r="AG66" i="14" s="1" a="1"/>
  <c r="AG66" i="14" s="1"/>
  <c r="AK67" i="1" s="1"/>
  <c r="AF37" i="14"/>
  <c r="AF66" i="14" s="1" a="1"/>
  <c r="AF66" i="14" s="1"/>
  <c r="AJ67" i="1" s="1"/>
  <c r="AE37" i="14"/>
  <c r="AE66" i="14" s="1" a="1"/>
  <c r="AE66" i="14" s="1"/>
  <c r="AI67" i="1" s="1"/>
  <c r="AD37" i="14"/>
  <c r="AD66" i="14" s="1" a="1"/>
  <c r="AD66" i="14" s="1"/>
  <c r="AH67" i="1" s="1"/>
  <c r="AC37" i="14"/>
  <c r="AC66" i="14" s="1" a="1"/>
  <c r="AC66" i="14" s="1"/>
  <c r="AG67" i="1" s="1"/>
  <c r="AB37" i="14"/>
  <c r="AB66" i="14" s="1" a="1"/>
  <c r="AB66" i="14" s="1"/>
  <c r="AF67" i="1" s="1"/>
  <c r="AA37" i="14"/>
  <c r="AA66" i="14" s="1" a="1"/>
  <c r="AA66" i="14" s="1"/>
  <c r="AE67" i="1" s="1"/>
  <c r="Z37" i="14"/>
  <c r="Z66" i="14" s="1" a="1"/>
  <c r="Z66" i="14" s="1"/>
  <c r="AD67" i="1" s="1"/>
  <c r="Y37" i="14"/>
  <c r="Y66" i="14" s="1" a="1"/>
  <c r="Y66" i="14" s="1"/>
  <c r="AC67" i="1" s="1"/>
  <c r="X37" i="14"/>
  <c r="X66" i="14" s="1" a="1"/>
  <c r="X66" i="14" s="1"/>
  <c r="AB67" i="1" s="1"/>
  <c r="W37" i="14"/>
  <c r="W66" i="14" s="1" a="1"/>
  <c r="W66" i="14" s="1"/>
  <c r="AA67" i="1" s="1"/>
  <c r="V37" i="14"/>
  <c r="V66" i="14" s="1" a="1"/>
  <c r="V66" i="14" s="1"/>
  <c r="Z67" i="1" s="1"/>
  <c r="U37" i="14"/>
  <c r="U66" i="14" s="1" a="1"/>
  <c r="U66" i="14" s="1"/>
  <c r="Y67" i="1" s="1"/>
  <c r="T37" i="14"/>
  <c r="T66" i="14" s="1" a="1"/>
  <c r="T66" i="14" s="1"/>
  <c r="X67" i="1" s="1"/>
  <c r="S37" i="14"/>
  <c r="S66" i="14" s="1" a="1"/>
  <c r="S66" i="14" s="1"/>
  <c r="W67" i="1" s="1"/>
  <c r="R37" i="14"/>
  <c r="R66" i="14" s="1" a="1"/>
  <c r="R66" i="14" s="1"/>
  <c r="V67" i="1" s="1"/>
  <c r="Q37" i="14"/>
  <c r="Q66" i="14" s="1" a="1"/>
  <c r="Q66" i="14" s="1"/>
  <c r="U67" i="1" s="1"/>
  <c r="P37" i="14"/>
  <c r="P66" i="14" s="1" a="1"/>
  <c r="P66" i="14" s="1"/>
  <c r="T67" i="1" s="1"/>
  <c r="O37" i="14"/>
  <c r="O66" i="14" s="1" a="1"/>
  <c r="O66" i="14" s="1"/>
  <c r="S67" i="1" s="1"/>
  <c r="N37" i="14"/>
  <c r="N66" i="14" s="1" a="1"/>
  <c r="N66" i="14" s="1"/>
  <c r="R67" i="1" s="1"/>
  <c r="M37" i="14"/>
  <c r="M66" i="14" s="1" a="1"/>
  <c r="M66" i="14" s="1"/>
  <c r="Q67" i="1" s="1"/>
  <c r="L37" i="14"/>
  <c r="L66" i="14" s="1" a="1"/>
  <c r="L66" i="14" s="1"/>
  <c r="P67" i="1" s="1"/>
  <c r="K37" i="14"/>
  <c r="K66" i="14" s="1" a="1"/>
  <c r="K66" i="14" s="1"/>
  <c r="O67" i="1" s="1"/>
  <c r="J37" i="14"/>
  <c r="J66" i="14" s="1" a="1"/>
  <c r="J66" i="14" s="1"/>
  <c r="N67" i="1" s="1"/>
  <c r="I37" i="14"/>
  <c r="I66" i="14" s="1" a="1"/>
  <c r="I66" i="14" s="1"/>
  <c r="M67" i="1" s="1"/>
  <c r="H37" i="14"/>
  <c r="H66" i="14" s="1" a="1"/>
  <c r="H66" i="14" s="1"/>
  <c r="L67" i="1" s="1"/>
  <c r="G37" i="14"/>
  <c r="G66" i="14" s="1" a="1"/>
  <c r="G66" i="14" s="1"/>
  <c r="K67" i="1" s="1"/>
  <c r="F37" i="14"/>
  <c r="F66" i="14" s="1" a="1"/>
  <c r="F66" i="14" s="1"/>
  <c r="J67" i="1" s="1"/>
  <c r="E37" i="14"/>
  <c r="E66" i="14" s="1" a="1"/>
  <c r="E66" i="14" s="1"/>
  <c r="I67" i="1" s="1"/>
  <c r="D37" i="14"/>
  <c r="D66" i="14" s="1" a="1"/>
  <c r="D66" i="14" s="1"/>
  <c r="H67" i="1" s="1"/>
  <c r="C37" i="14"/>
  <c r="C66" i="14" s="1" a="1"/>
  <c r="C66" i="14" s="1"/>
  <c r="G67" i="1" s="1"/>
  <c r="B37" i="14"/>
  <c r="B66" i="14" s="1" a="1"/>
  <c r="B66" i="14" s="1"/>
  <c r="F67" i="1" s="1"/>
  <c r="AK36" i="14"/>
  <c r="AK65" i="14" s="1" a="1"/>
  <c r="AK65" i="14" s="1"/>
  <c r="AO66" i="1" s="1"/>
  <c r="AJ36" i="14"/>
  <c r="AJ65" i="14" s="1" a="1"/>
  <c r="AJ65" i="14" s="1"/>
  <c r="AN66" i="1" s="1"/>
  <c r="AI36" i="14"/>
  <c r="AI65" i="14" s="1" a="1"/>
  <c r="AI65" i="14" s="1"/>
  <c r="AM66" i="1" s="1"/>
  <c r="AH36" i="14"/>
  <c r="AH65" i="14" s="1" a="1"/>
  <c r="AH65" i="14" s="1"/>
  <c r="AL66" i="1" s="1"/>
  <c r="AG36" i="14"/>
  <c r="AG65" i="14" s="1" a="1"/>
  <c r="AG65" i="14" s="1"/>
  <c r="AK66" i="1" s="1"/>
  <c r="AF36" i="14"/>
  <c r="AF65" i="14" s="1" a="1"/>
  <c r="AF65" i="14" s="1"/>
  <c r="AJ66" i="1" s="1"/>
  <c r="AE36" i="14"/>
  <c r="AE65" i="14" s="1" a="1"/>
  <c r="AE65" i="14" s="1"/>
  <c r="AI66" i="1" s="1"/>
  <c r="AD36" i="14"/>
  <c r="AD65" i="14" s="1" a="1"/>
  <c r="AD65" i="14" s="1"/>
  <c r="AH66" i="1" s="1"/>
  <c r="AC36" i="14"/>
  <c r="AC65" i="14" s="1" a="1"/>
  <c r="AC65" i="14" s="1"/>
  <c r="AG66" i="1" s="1"/>
  <c r="AB36" i="14"/>
  <c r="AB65" i="14" s="1" a="1"/>
  <c r="AB65" i="14" s="1"/>
  <c r="AF66" i="1" s="1"/>
  <c r="AA36" i="14"/>
  <c r="AA65" i="14" s="1" a="1"/>
  <c r="AA65" i="14" s="1"/>
  <c r="AE66" i="1" s="1"/>
  <c r="Z36" i="14"/>
  <c r="Z65" i="14" s="1" a="1"/>
  <c r="Z65" i="14" s="1"/>
  <c r="AD66" i="1" s="1"/>
  <c r="Y36" i="14"/>
  <c r="Y65" i="14" s="1" a="1"/>
  <c r="Y65" i="14" s="1"/>
  <c r="AC66" i="1" s="1"/>
  <c r="X36" i="14"/>
  <c r="X65" i="14" s="1" a="1"/>
  <c r="X65" i="14" s="1"/>
  <c r="AB66" i="1" s="1"/>
  <c r="W36" i="14"/>
  <c r="W65" i="14" s="1" a="1"/>
  <c r="W65" i="14" s="1"/>
  <c r="AA66" i="1" s="1"/>
  <c r="V36" i="14"/>
  <c r="V65" i="14" s="1" a="1"/>
  <c r="V65" i="14" s="1"/>
  <c r="Z66" i="1" s="1"/>
  <c r="U36" i="14"/>
  <c r="U65" i="14" s="1" a="1"/>
  <c r="U65" i="14" s="1"/>
  <c r="Y66" i="1" s="1"/>
  <c r="T36" i="14"/>
  <c r="T65" i="14" s="1" a="1"/>
  <c r="T65" i="14" s="1"/>
  <c r="X66" i="1" s="1"/>
  <c r="S36" i="14"/>
  <c r="S65" i="14" s="1" a="1"/>
  <c r="S65" i="14" s="1"/>
  <c r="W66" i="1" s="1"/>
  <c r="R36" i="14"/>
  <c r="R65" i="14" s="1" a="1"/>
  <c r="R65" i="14" s="1"/>
  <c r="V66" i="1" s="1"/>
  <c r="Q36" i="14"/>
  <c r="Q65" i="14" s="1" a="1"/>
  <c r="Q65" i="14" s="1"/>
  <c r="U66" i="1" s="1"/>
  <c r="P36" i="14"/>
  <c r="P65" i="14" s="1" a="1"/>
  <c r="P65" i="14" s="1"/>
  <c r="T66" i="1" s="1"/>
  <c r="O36" i="14"/>
  <c r="O65" i="14" s="1" a="1"/>
  <c r="O65" i="14" s="1"/>
  <c r="S66" i="1" s="1"/>
  <c r="N36" i="14"/>
  <c r="N65" i="14" s="1" a="1"/>
  <c r="N65" i="14" s="1"/>
  <c r="R66" i="1" s="1"/>
  <c r="M36" i="14"/>
  <c r="M65" i="14" s="1" a="1"/>
  <c r="M65" i="14" s="1"/>
  <c r="Q66" i="1" s="1"/>
  <c r="L36" i="14"/>
  <c r="L65" i="14" s="1" a="1"/>
  <c r="L65" i="14" s="1"/>
  <c r="P66" i="1" s="1"/>
  <c r="K36" i="14"/>
  <c r="K65" i="14" s="1" a="1"/>
  <c r="K65" i="14" s="1"/>
  <c r="O66" i="1" s="1"/>
  <c r="J36" i="14"/>
  <c r="J65" i="14" s="1" a="1"/>
  <c r="J65" i="14" s="1"/>
  <c r="N66" i="1" s="1"/>
  <c r="I36" i="14"/>
  <c r="I65" i="14" s="1" a="1"/>
  <c r="I65" i="14" s="1"/>
  <c r="M66" i="1" s="1"/>
  <c r="H36" i="14"/>
  <c r="H65" i="14" s="1" a="1"/>
  <c r="H65" i="14" s="1"/>
  <c r="L66" i="1" s="1"/>
  <c r="G36" i="14"/>
  <c r="G65" i="14" s="1" a="1"/>
  <c r="G65" i="14" s="1"/>
  <c r="K66" i="1" s="1"/>
  <c r="F36" i="14"/>
  <c r="F65" i="14" s="1" a="1"/>
  <c r="F65" i="14" s="1"/>
  <c r="J66" i="1" s="1"/>
  <c r="E36" i="14"/>
  <c r="E65" i="14" s="1" a="1"/>
  <c r="E65" i="14" s="1"/>
  <c r="I66" i="1" s="1"/>
  <c r="D36" i="14"/>
  <c r="D65" i="14" s="1" a="1"/>
  <c r="D65" i="14" s="1"/>
  <c r="H66" i="1" s="1"/>
  <c r="C36" i="14"/>
  <c r="C65" i="14" s="1" a="1"/>
  <c r="C65" i="14" s="1"/>
  <c r="G66" i="1" s="1"/>
  <c r="B36" i="14"/>
  <c r="B65" i="14" s="1" a="1"/>
  <c r="B65" i="14" s="1"/>
  <c r="F66" i="1" s="1"/>
  <c r="AK35" i="14"/>
  <c r="AK64" i="14" s="1" a="1"/>
  <c r="AK64" i="14" s="1"/>
  <c r="AO65" i="1" s="1"/>
  <c r="AJ35" i="14"/>
  <c r="AJ64" i="14" s="1" a="1"/>
  <c r="AJ64" i="14" s="1"/>
  <c r="AN65" i="1" s="1"/>
  <c r="AI35" i="14"/>
  <c r="AI64" i="14" s="1" a="1"/>
  <c r="AI64" i="14" s="1"/>
  <c r="AM65" i="1" s="1"/>
  <c r="AH35" i="14"/>
  <c r="AH64" i="14" s="1" a="1"/>
  <c r="AH64" i="14" s="1"/>
  <c r="AL65" i="1" s="1"/>
  <c r="AG35" i="14"/>
  <c r="AG64" i="14" s="1" a="1"/>
  <c r="AG64" i="14" s="1"/>
  <c r="AK65" i="1" s="1"/>
  <c r="AF35" i="14"/>
  <c r="AF64" i="14" s="1" a="1"/>
  <c r="AF64" i="14" s="1"/>
  <c r="AJ65" i="1" s="1"/>
  <c r="AE35" i="14"/>
  <c r="AE64" i="14" s="1" a="1"/>
  <c r="AE64" i="14" s="1"/>
  <c r="AI65" i="1" s="1"/>
  <c r="AD35" i="14"/>
  <c r="AD64" i="14" s="1" a="1"/>
  <c r="AD64" i="14" s="1"/>
  <c r="AH65" i="1" s="1"/>
  <c r="AC35" i="14"/>
  <c r="AC64" i="14" s="1" a="1"/>
  <c r="AC64" i="14" s="1"/>
  <c r="AG65" i="1" s="1"/>
  <c r="AB35" i="14"/>
  <c r="AB64" i="14" s="1" a="1"/>
  <c r="AB64" i="14" s="1"/>
  <c r="AF65" i="1" s="1"/>
  <c r="AA35" i="14"/>
  <c r="AA64" i="14" s="1" a="1"/>
  <c r="AA64" i="14" s="1"/>
  <c r="AE65" i="1" s="1"/>
  <c r="Z35" i="14"/>
  <c r="Z64" i="14" s="1" a="1"/>
  <c r="Z64" i="14" s="1"/>
  <c r="AD65" i="1" s="1"/>
  <c r="Y35" i="14"/>
  <c r="Y64" i="14" s="1" a="1"/>
  <c r="Y64" i="14" s="1"/>
  <c r="AC65" i="1" s="1"/>
  <c r="X35" i="14"/>
  <c r="X64" i="14" s="1" a="1"/>
  <c r="X64" i="14" s="1"/>
  <c r="AB65" i="1" s="1"/>
  <c r="W35" i="14"/>
  <c r="W64" i="14" s="1" a="1"/>
  <c r="W64" i="14" s="1"/>
  <c r="AA65" i="1" s="1"/>
  <c r="V35" i="14"/>
  <c r="V64" i="14" s="1" a="1"/>
  <c r="V64" i="14" s="1"/>
  <c r="Z65" i="1" s="1"/>
  <c r="U35" i="14"/>
  <c r="U64" i="14" s="1" a="1"/>
  <c r="U64" i="14" s="1"/>
  <c r="Y65" i="1" s="1"/>
  <c r="T35" i="14"/>
  <c r="T64" i="14" s="1" a="1"/>
  <c r="T64" i="14" s="1"/>
  <c r="X65" i="1" s="1"/>
  <c r="S35" i="14"/>
  <c r="S64" i="14" s="1" a="1"/>
  <c r="S64" i="14" s="1"/>
  <c r="W65" i="1" s="1"/>
  <c r="R35" i="14"/>
  <c r="R64" i="14" s="1" a="1"/>
  <c r="R64" i="14" s="1"/>
  <c r="V65" i="1" s="1"/>
  <c r="Q35" i="14"/>
  <c r="Q64" i="14" s="1" a="1"/>
  <c r="Q64" i="14" s="1"/>
  <c r="U65" i="1" s="1"/>
  <c r="P35" i="14"/>
  <c r="P64" i="14" s="1" a="1"/>
  <c r="P64" i="14" s="1"/>
  <c r="T65" i="1" s="1"/>
  <c r="O35" i="14"/>
  <c r="O64" i="14" s="1" a="1"/>
  <c r="O64" i="14" s="1"/>
  <c r="S65" i="1" s="1"/>
  <c r="N35" i="14"/>
  <c r="N64" i="14" s="1" a="1"/>
  <c r="N64" i="14" s="1"/>
  <c r="R65" i="1" s="1"/>
  <c r="M35" i="14"/>
  <c r="M64" i="14" s="1" a="1"/>
  <c r="M64" i="14" s="1"/>
  <c r="Q65" i="1" s="1"/>
  <c r="L35" i="14"/>
  <c r="L64" i="14" s="1" a="1"/>
  <c r="L64" i="14" s="1"/>
  <c r="P65" i="1" s="1"/>
  <c r="K35" i="14"/>
  <c r="K64" i="14" s="1" a="1"/>
  <c r="K64" i="14" s="1"/>
  <c r="O65" i="1" s="1"/>
  <c r="J35" i="14"/>
  <c r="J64" i="14" s="1" a="1"/>
  <c r="J64" i="14" s="1"/>
  <c r="N65" i="1" s="1"/>
  <c r="I35" i="14"/>
  <c r="I64" i="14" s="1" a="1"/>
  <c r="I64" i="14" s="1"/>
  <c r="M65" i="1" s="1"/>
  <c r="H35" i="14"/>
  <c r="H64" i="14" s="1" a="1"/>
  <c r="H64" i="14" s="1"/>
  <c r="L65" i="1" s="1"/>
  <c r="G35" i="14"/>
  <c r="G64" i="14" s="1" a="1"/>
  <c r="G64" i="14" s="1"/>
  <c r="K65" i="1" s="1"/>
  <c r="F35" i="14"/>
  <c r="F64" i="14" s="1" a="1"/>
  <c r="F64" i="14" s="1"/>
  <c r="J65" i="1" s="1"/>
  <c r="E35" i="14"/>
  <c r="E64" i="14" s="1" a="1"/>
  <c r="E64" i="14" s="1"/>
  <c r="I65" i="1" s="1"/>
  <c r="D35" i="14"/>
  <c r="D64" i="14" s="1" a="1"/>
  <c r="D64" i="14" s="1"/>
  <c r="H65" i="1" s="1"/>
  <c r="C35" i="14"/>
  <c r="C64" i="14" s="1" a="1"/>
  <c r="C64" i="14" s="1"/>
  <c r="G65" i="1" s="1"/>
  <c r="B35" i="14"/>
  <c r="B64" i="14" s="1" a="1"/>
  <c r="B64" i="14" s="1"/>
  <c r="F65" i="1" s="1"/>
  <c r="AK34" i="14"/>
  <c r="AK63" i="14" s="1" a="1"/>
  <c r="AK63" i="14" s="1"/>
  <c r="AO64" i="1" s="1"/>
  <c r="AJ34" i="14"/>
  <c r="AJ63" i="14" s="1" a="1"/>
  <c r="AJ63" i="14" s="1"/>
  <c r="AN64" i="1" s="1"/>
  <c r="AI34" i="14"/>
  <c r="AI63" i="14" s="1" a="1"/>
  <c r="AI63" i="14" s="1"/>
  <c r="AM64" i="1" s="1"/>
  <c r="AH34" i="14"/>
  <c r="AH63" i="14" s="1" a="1"/>
  <c r="AH63" i="14" s="1"/>
  <c r="AL64" i="1" s="1"/>
  <c r="AG34" i="14"/>
  <c r="AG63" i="14" s="1" a="1"/>
  <c r="AG63" i="14" s="1"/>
  <c r="AK64" i="1" s="1"/>
  <c r="AF34" i="14"/>
  <c r="AF63" i="14" s="1" a="1"/>
  <c r="AF63" i="14" s="1"/>
  <c r="AJ64" i="1" s="1"/>
  <c r="AE34" i="14"/>
  <c r="AE63" i="14" s="1" a="1"/>
  <c r="AE63" i="14" s="1"/>
  <c r="AI64" i="1" s="1"/>
  <c r="AD34" i="14"/>
  <c r="AD63" i="14" s="1" a="1"/>
  <c r="AD63" i="14" s="1"/>
  <c r="AH64" i="1" s="1"/>
  <c r="AC34" i="14"/>
  <c r="AC63" i="14" s="1" a="1"/>
  <c r="AC63" i="14" s="1"/>
  <c r="AG64" i="1" s="1"/>
  <c r="AB34" i="14"/>
  <c r="AB63" i="14" s="1" a="1"/>
  <c r="AB63" i="14" s="1"/>
  <c r="AF64" i="1" s="1"/>
  <c r="AA34" i="14"/>
  <c r="AA63" i="14" s="1" a="1"/>
  <c r="AA63" i="14" s="1"/>
  <c r="AE64" i="1" s="1"/>
  <c r="Z34" i="14"/>
  <c r="Z63" i="14" s="1" a="1"/>
  <c r="Z63" i="14" s="1"/>
  <c r="AD64" i="1" s="1"/>
  <c r="Y34" i="14"/>
  <c r="Y63" i="14" s="1" a="1"/>
  <c r="Y63" i="14" s="1"/>
  <c r="AC64" i="1" s="1"/>
  <c r="X34" i="14"/>
  <c r="X63" i="14" s="1" a="1"/>
  <c r="X63" i="14" s="1"/>
  <c r="AB64" i="1" s="1"/>
  <c r="W34" i="14"/>
  <c r="W63" i="14" s="1" a="1"/>
  <c r="W63" i="14" s="1"/>
  <c r="AA64" i="1" s="1"/>
  <c r="V34" i="14"/>
  <c r="V63" i="14" s="1" a="1"/>
  <c r="V63" i="14" s="1"/>
  <c r="Z64" i="1" s="1"/>
  <c r="U34" i="14"/>
  <c r="U63" i="14" s="1" a="1"/>
  <c r="U63" i="14" s="1"/>
  <c r="Y64" i="1" s="1"/>
  <c r="T34" i="14"/>
  <c r="T63" i="14" s="1" a="1"/>
  <c r="T63" i="14" s="1"/>
  <c r="X64" i="1" s="1"/>
  <c r="S34" i="14"/>
  <c r="S63" i="14" s="1" a="1"/>
  <c r="S63" i="14" s="1"/>
  <c r="W64" i="1" s="1"/>
  <c r="R34" i="14"/>
  <c r="R63" i="14" s="1" a="1"/>
  <c r="R63" i="14" s="1"/>
  <c r="V64" i="1" s="1"/>
  <c r="Q34" i="14"/>
  <c r="Q63" i="14" s="1" a="1"/>
  <c r="Q63" i="14" s="1"/>
  <c r="U64" i="1" s="1"/>
  <c r="P34" i="14"/>
  <c r="P63" i="14" s="1" a="1"/>
  <c r="P63" i="14" s="1"/>
  <c r="T64" i="1" s="1"/>
  <c r="O34" i="14"/>
  <c r="O63" i="14" s="1" a="1"/>
  <c r="O63" i="14" s="1"/>
  <c r="S64" i="1" s="1"/>
  <c r="N34" i="14"/>
  <c r="N63" i="14" s="1" a="1"/>
  <c r="N63" i="14" s="1"/>
  <c r="R64" i="1" s="1"/>
  <c r="M34" i="14"/>
  <c r="M63" i="14" s="1" a="1"/>
  <c r="M63" i="14" s="1"/>
  <c r="Q64" i="1" s="1"/>
  <c r="L34" i="14"/>
  <c r="L63" i="14" s="1" a="1"/>
  <c r="L63" i="14" s="1"/>
  <c r="P64" i="1" s="1"/>
  <c r="K34" i="14"/>
  <c r="K63" i="14" s="1" a="1"/>
  <c r="K63" i="14" s="1"/>
  <c r="O64" i="1" s="1"/>
  <c r="J34" i="14"/>
  <c r="J63" i="14" s="1" a="1"/>
  <c r="J63" i="14" s="1"/>
  <c r="N64" i="1" s="1"/>
  <c r="I34" i="14"/>
  <c r="I63" i="14" s="1" a="1"/>
  <c r="I63" i="14" s="1"/>
  <c r="M64" i="1" s="1"/>
  <c r="H34" i="14"/>
  <c r="H63" i="14" s="1" a="1"/>
  <c r="H63" i="14" s="1"/>
  <c r="L64" i="1" s="1"/>
  <c r="G34" i="14"/>
  <c r="G63" i="14" s="1" a="1"/>
  <c r="G63" i="14" s="1"/>
  <c r="K64" i="1" s="1"/>
  <c r="F34" i="14"/>
  <c r="F63" i="14" s="1" a="1"/>
  <c r="F63" i="14" s="1"/>
  <c r="J64" i="1" s="1"/>
  <c r="E34" i="14"/>
  <c r="E63" i="14" s="1" a="1"/>
  <c r="E63" i="14" s="1"/>
  <c r="I64" i="1" s="1"/>
  <c r="D34" i="14"/>
  <c r="D63" i="14" s="1" a="1"/>
  <c r="D63" i="14" s="1"/>
  <c r="H64" i="1" s="1"/>
  <c r="C34" i="14"/>
  <c r="C63" i="14" s="1" a="1"/>
  <c r="C63" i="14" s="1"/>
  <c r="G64" i="1" s="1"/>
  <c r="B34" i="14"/>
  <c r="B63" i="14" s="1" a="1"/>
  <c r="B63" i="14" s="1"/>
  <c r="F64" i="1" s="1"/>
  <c r="AK33" i="14"/>
  <c r="AK62" i="14" s="1" a="1"/>
  <c r="AK62" i="14" s="1"/>
  <c r="AO63" i="1" s="1"/>
  <c r="AJ33" i="14"/>
  <c r="AJ62" i="14" s="1" a="1"/>
  <c r="AJ62" i="14" s="1"/>
  <c r="AN63" i="1" s="1"/>
  <c r="AI33" i="14"/>
  <c r="AI62" i="14" s="1" a="1"/>
  <c r="AI62" i="14" s="1"/>
  <c r="AM63" i="1" s="1"/>
  <c r="AH33" i="14"/>
  <c r="AH62" i="14" s="1" a="1"/>
  <c r="AH62" i="14" s="1"/>
  <c r="AL63" i="1" s="1"/>
  <c r="AG33" i="14"/>
  <c r="AG62" i="14" s="1" a="1"/>
  <c r="AG62" i="14" s="1"/>
  <c r="AK63" i="1" s="1"/>
  <c r="AF33" i="14"/>
  <c r="AF62" i="14" s="1" a="1"/>
  <c r="AF62" i="14" s="1"/>
  <c r="AJ63" i="1" s="1"/>
  <c r="AE33" i="14"/>
  <c r="AE62" i="14" s="1" a="1"/>
  <c r="AE62" i="14" s="1"/>
  <c r="AI63" i="1" s="1"/>
  <c r="AD33" i="14"/>
  <c r="AD62" i="14" s="1" a="1"/>
  <c r="AD62" i="14" s="1"/>
  <c r="AH63" i="1" s="1"/>
  <c r="AC33" i="14"/>
  <c r="AC62" i="14" s="1" a="1"/>
  <c r="AC62" i="14" s="1"/>
  <c r="AG63" i="1" s="1"/>
  <c r="AB33" i="14"/>
  <c r="AB62" i="14" s="1" a="1"/>
  <c r="AB62" i="14" s="1"/>
  <c r="AF63" i="1" s="1"/>
  <c r="AA33" i="14"/>
  <c r="AA62" i="14" s="1" a="1"/>
  <c r="AA62" i="14" s="1"/>
  <c r="AE63" i="1" s="1"/>
  <c r="Z33" i="14"/>
  <c r="Z62" i="14" s="1" a="1"/>
  <c r="Z62" i="14" s="1"/>
  <c r="AD63" i="1" s="1"/>
  <c r="Y33" i="14"/>
  <c r="Y62" i="14" s="1" a="1"/>
  <c r="Y62" i="14" s="1"/>
  <c r="AC63" i="1" s="1"/>
  <c r="X33" i="14"/>
  <c r="X62" i="14" s="1" a="1"/>
  <c r="X62" i="14" s="1"/>
  <c r="AB63" i="1" s="1"/>
  <c r="W33" i="14"/>
  <c r="W62" i="14" s="1" a="1"/>
  <c r="W62" i="14" s="1"/>
  <c r="AA63" i="1" s="1"/>
  <c r="V33" i="14"/>
  <c r="V62" i="14" s="1" a="1"/>
  <c r="V62" i="14" s="1"/>
  <c r="Z63" i="1" s="1"/>
  <c r="U33" i="14"/>
  <c r="U62" i="14" s="1" a="1"/>
  <c r="U62" i="14" s="1"/>
  <c r="Y63" i="1" s="1"/>
  <c r="T33" i="14"/>
  <c r="T62" i="14" s="1" a="1"/>
  <c r="T62" i="14" s="1"/>
  <c r="X63" i="1" s="1"/>
  <c r="S33" i="14"/>
  <c r="S62" i="14" s="1" a="1"/>
  <c r="S62" i="14" s="1"/>
  <c r="W63" i="1" s="1"/>
  <c r="R33" i="14"/>
  <c r="R62" i="14" s="1" a="1"/>
  <c r="R62" i="14" s="1"/>
  <c r="V63" i="1" s="1"/>
  <c r="Q33" i="14"/>
  <c r="Q62" i="14" s="1" a="1"/>
  <c r="Q62" i="14" s="1"/>
  <c r="U63" i="1" s="1"/>
  <c r="P33" i="14"/>
  <c r="P62" i="14" s="1" a="1"/>
  <c r="P62" i="14" s="1"/>
  <c r="T63" i="1" s="1"/>
  <c r="O33" i="14"/>
  <c r="O62" i="14" s="1" a="1"/>
  <c r="O62" i="14" s="1"/>
  <c r="S63" i="1" s="1"/>
  <c r="N33" i="14"/>
  <c r="N62" i="14" s="1" a="1"/>
  <c r="N62" i="14" s="1"/>
  <c r="R63" i="1" s="1"/>
  <c r="M33" i="14"/>
  <c r="M62" i="14" s="1" a="1"/>
  <c r="M62" i="14" s="1"/>
  <c r="Q63" i="1" s="1"/>
  <c r="L33" i="14"/>
  <c r="L62" i="14" s="1" a="1"/>
  <c r="L62" i="14" s="1"/>
  <c r="P63" i="1" s="1"/>
  <c r="K33" i="14"/>
  <c r="K62" i="14" s="1" a="1"/>
  <c r="K62" i="14" s="1"/>
  <c r="O63" i="1" s="1"/>
  <c r="J33" i="14"/>
  <c r="J62" i="14" s="1" a="1"/>
  <c r="J62" i="14" s="1"/>
  <c r="N63" i="1" s="1"/>
  <c r="I33" i="14"/>
  <c r="I62" i="14" s="1" a="1"/>
  <c r="I62" i="14" s="1"/>
  <c r="M63" i="1" s="1"/>
  <c r="H33" i="14"/>
  <c r="H62" i="14" s="1" a="1"/>
  <c r="H62" i="14" s="1"/>
  <c r="L63" i="1" s="1"/>
  <c r="G33" i="14"/>
  <c r="G62" i="14" s="1" a="1"/>
  <c r="G62" i="14" s="1"/>
  <c r="K63" i="1" s="1"/>
  <c r="F33" i="14"/>
  <c r="F62" i="14" s="1" a="1"/>
  <c r="F62" i="14" s="1"/>
  <c r="J63" i="1" s="1"/>
  <c r="E33" i="14"/>
  <c r="E62" i="14" s="1" a="1"/>
  <c r="E62" i="14" s="1"/>
  <c r="I63" i="1" s="1"/>
  <c r="D33" i="14"/>
  <c r="D62" i="14" s="1" a="1"/>
  <c r="D62" i="14" s="1"/>
  <c r="H63" i="1" s="1"/>
  <c r="C33" i="14"/>
  <c r="C62" i="14" s="1" a="1"/>
  <c r="C62" i="14" s="1"/>
  <c r="G63" i="1" s="1"/>
  <c r="B33" i="14"/>
  <c r="B62" i="14" s="1" a="1"/>
  <c r="B62" i="14" s="1"/>
  <c r="F63" i="1" s="1"/>
  <c r="AK32" i="14"/>
  <c r="AK61" i="14" s="1" a="1"/>
  <c r="AK61" i="14" s="1"/>
  <c r="AO62" i="1" s="1"/>
  <c r="AJ32" i="14"/>
  <c r="AJ61" i="14" s="1" a="1"/>
  <c r="AJ61" i="14" s="1"/>
  <c r="AN62" i="1" s="1"/>
  <c r="AI32" i="14"/>
  <c r="AI61" i="14" s="1" a="1"/>
  <c r="AI61" i="14" s="1"/>
  <c r="AM62" i="1" s="1"/>
  <c r="AH32" i="14"/>
  <c r="AH61" i="14" s="1" a="1"/>
  <c r="AH61" i="14" s="1"/>
  <c r="AL62" i="1" s="1"/>
  <c r="AG32" i="14"/>
  <c r="AG61" i="14" s="1" a="1"/>
  <c r="AG61" i="14" s="1"/>
  <c r="AK62" i="1" s="1"/>
  <c r="AF32" i="14"/>
  <c r="AF61" i="14" s="1" a="1"/>
  <c r="AF61" i="14" s="1"/>
  <c r="AJ62" i="1" s="1"/>
  <c r="AE32" i="14"/>
  <c r="AE61" i="14" s="1" a="1"/>
  <c r="AE61" i="14" s="1"/>
  <c r="AI62" i="1" s="1"/>
  <c r="AD32" i="14"/>
  <c r="AD61" i="14" s="1" a="1"/>
  <c r="AD61" i="14" s="1"/>
  <c r="AH62" i="1" s="1"/>
  <c r="AC32" i="14"/>
  <c r="AC61" i="14" s="1" a="1"/>
  <c r="AC61" i="14" s="1"/>
  <c r="AG62" i="1" s="1"/>
  <c r="AB32" i="14"/>
  <c r="AB61" i="14" s="1" a="1"/>
  <c r="AB61" i="14" s="1"/>
  <c r="AF62" i="1" s="1"/>
  <c r="AA32" i="14"/>
  <c r="AA61" i="14" s="1" a="1"/>
  <c r="AA61" i="14" s="1"/>
  <c r="AE62" i="1" s="1"/>
  <c r="Z32" i="14"/>
  <c r="Z61" i="14" s="1" a="1"/>
  <c r="Z61" i="14" s="1"/>
  <c r="AD62" i="1" s="1"/>
  <c r="Y32" i="14"/>
  <c r="Y61" i="14" s="1" a="1"/>
  <c r="Y61" i="14" s="1"/>
  <c r="AC62" i="1" s="1"/>
  <c r="X32" i="14"/>
  <c r="X61" i="14" s="1" a="1"/>
  <c r="X61" i="14" s="1"/>
  <c r="AB62" i="1" s="1"/>
  <c r="W32" i="14"/>
  <c r="W61" i="14" s="1" a="1"/>
  <c r="W61" i="14" s="1"/>
  <c r="AA62" i="1" s="1"/>
  <c r="V32" i="14"/>
  <c r="V61" i="14" s="1" a="1"/>
  <c r="V61" i="14" s="1"/>
  <c r="Z62" i="1" s="1"/>
  <c r="U32" i="14"/>
  <c r="U61" i="14" s="1" a="1"/>
  <c r="U61" i="14" s="1"/>
  <c r="Y62" i="1" s="1"/>
  <c r="T32" i="14"/>
  <c r="T61" i="14" s="1" a="1"/>
  <c r="T61" i="14" s="1"/>
  <c r="X62" i="1" s="1"/>
  <c r="S32" i="14"/>
  <c r="S61" i="14" s="1" a="1"/>
  <c r="S61" i="14" s="1"/>
  <c r="W62" i="1" s="1"/>
  <c r="R32" i="14"/>
  <c r="R61" i="14" s="1" a="1"/>
  <c r="R61" i="14" s="1"/>
  <c r="V62" i="1" s="1"/>
  <c r="Q32" i="14"/>
  <c r="Q61" i="14" s="1" a="1"/>
  <c r="Q61" i="14" s="1"/>
  <c r="U62" i="1" s="1"/>
  <c r="P32" i="14"/>
  <c r="P61" i="14" s="1" a="1"/>
  <c r="P61" i="14" s="1"/>
  <c r="T62" i="1" s="1"/>
  <c r="O32" i="14"/>
  <c r="O61" i="14" s="1" a="1"/>
  <c r="O61" i="14" s="1"/>
  <c r="S62" i="1" s="1"/>
  <c r="N32" i="14"/>
  <c r="N61" i="14" s="1" a="1"/>
  <c r="N61" i="14" s="1"/>
  <c r="R62" i="1" s="1"/>
  <c r="M32" i="14"/>
  <c r="M61" i="14" s="1" a="1"/>
  <c r="M61" i="14" s="1"/>
  <c r="Q62" i="1" s="1"/>
  <c r="L32" i="14"/>
  <c r="L61" i="14" s="1" a="1"/>
  <c r="L61" i="14" s="1"/>
  <c r="P62" i="1" s="1"/>
  <c r="K32" i="14"/>
  <c r="K61" i="14" s="1" a="1"/>
  <c r="K61" i="14" s="1"/>
  <c r="O62" i="1" s="1"/>
  <c r="J32" i="14"/>
  <c r="J61" i="14" s="1" a="1"/>
  <c r="J61" i="14" s="1"/>
  <c r="N62" i="1" s="1"/>
  <c r="I32" i="14"/>
  <c r="I61" i="14" s="1" a="1"/>
  <c r="I61" i="14" s="1"/>
  <c r="M62" i="1" s="1"/>
  <c r="H32" i="14"/>
  <c r="H61" i="14" s="1" a="1"/>
  <c r="H61" i="14" s="1"/>
  <c r="L62" i="1" s="1"/>
  <c r="G32" i="14"/>
  <c r="G61" i="14" s="1" a="1"/>
  <c r="G61" i="14" s="1"/>
  <c r="K62" i="1" s="1"/>
  <c r="F32" i="14"/>
  <c r="F61" i="14" s="1" a="1"/>
  <c r="F61" i="14" s="1"/>
  <c r="J62" i="1" s="1"/>
  <c r="E32" i="14"/>
  <c r="E61" i="14" s="1" a="1"/>
  <c r="E61" i="14" s="1"/>
  <c r="I62" i="1" s="1"/>
  <c r="D32" i="14"/>
  <c r="D61" i="14" s="1" a="1"/>
  <c r="D61" i="14" s="1"/>
  <c r="H62" i="1" s="1"/>
  <c r="C32" i="14"/>
  <c r="C61" i="14" s="1" a="1"/>
  <c r="C61" i="14" s="1"/>
  <c r="G62" i="1" s="1"/>
  <c r="B32" i="14"/>
  <c r="B61" i="14" s="1" a="1"/>
  <c r="B61" i="14" s="1"/>
  <c r="F62" i="1" s="1"/>
  <c r="AK31" i="14"/>
  <c r="AK60" i="14" s="1" a="1"/>
  <c r="AK60" i="14" s="1"/>
  <c r="AO61" i="1" s="1"/>
  <c r="AJ31" i="14"/>
  <c r="AJ60" i="14" s="1" a="1"/>
  <c r="AJ60" i="14" s="1"/>
  <c r="AN61" i="1" s="1"/>
  <c r="AI31" i="14"/>
  <c r="AI60" i="14" s="1" a="1"/>
  <c r="AI60" i="14" s="1"/>
  <c r="AM61" i="1" s="1"/>
  <c r="AH31" i="14"/>
  <c r="AH60" i="14" s="1" a="1"/>
  <c r="AH60" i="14" s="1"/>
  <c r="AL61" i="1" s="1"/>
  <c r="AG31" i="14"/>
  <c r="AG60" i="14" s="1" a="1"/>
  <c r="AG60" i="14" s="1"/>
  <c r="AK61" i="1" s="1"/>
  <c r="AF31" i="14"/>
  <c r="AF60" i="14" s="1" a="1"/>
  <c r="AF60" i="14" s="1"/>
  <c r="AJ61" i="1" s="1"/>
  <c r="AE31" i="14"/>
  <c r="AE60" i="14" s="1" a="1"/>
  <c r="AE60" i="14" s="1"/>
  <c r="AI61" i="1" s="1"/>
  <c r="AD31" i="14"/>
  <c r="AD60" i="14" s="1" a="1"/>
  <c r="AD60" i="14" s="1"/>
  <c r="AH61" i="1" s="1"/>
  <c r="AC31" i="14"/>
  <c r="AC60" i="14" s="1" a="1"/>
  <c r="AC60" i="14" s="1"/>
  <c r="AG61" i="1" s="1"/>
  <c r="AB31" i="14"/>
  <c r="AB60" i="14" s="1" a="1"/>
  <c r="AB60" i="14" s="1"/>
  <c r="AF61" i="1" s="1"/>
  <c r="AA31" i="14"/>
  <c r="AA60" i="14" s="1" a="1"/>
  <c r="AA60" i="14" s="1"/>
  <c r="AE61" i="1" s="1"/>
  <c r="Z31" i="14"/>
  <c r="Z60" i="14" s="1" a="1"/>
  <c r="Z60" i="14" s="1"/>
  <c r="AD61" i="1" s="1"/>
  <c r="Y31" i="14"/>
  <c r="Y60" i="14" s="1" a="1"/>
  <c r="Y60" i="14" s="1"/>
  <c r="AC61" i="1" s="1"/>
  <c r="X31" i="14"/>
  <c r="X60" i="14" s="1" a="1"/>
  <c r="X60" i="14" s="1"/>
  <c r="AB61" i="1" s="1"/>
  <c r="W31" i="14"/>
  <c r="W60" i="14" s="1" a="1"/>
  <c r="W60" i="14" s="1"/>
  <c r="AA61" i="1" s="1"/>
  <c r="V31" i="14"/>
  <c r="V60" i="14" s="1" a="1"/>
  <c r="V60" i="14" s="1"/>
  <c r="Z61" i="1" s="1"/>
  <c r="U31" i="14"/>
  <c r="U60" i="14" s="1" a="1"/>
  <c r="U60" i="14" s="1"/>
  <c r="Y61" i="1" s="1"/>
  <c r="T31" i="14"/>
  <c r="T60" i="14" s="1" a="1"/>
  <c r="T60" i="14" s="1"/>
  <c r="X61" i="1" s="1"/>
  <c r="S31" i="14"/>
  <c r="S60" i="14" s="1" a="1"/>
  <c r="S60" i="14" s="1"/>
  <c r="W61" i="1" s="1"/>
  <c r="R31" i="14"/>
  <c r="R60" i="14" s="1" a="1"/>
  <c r="R60" i="14" s="1"/>
  <c r="V61" i="1" s="1"/>
  <c r="Q31" i="14"/>
  <c r="Q60" i="14" s="1" a="1"/>
  <c r="Q60" i="14" s="1"/>
  <c r="U61" i="1" s="1"/>
  <c r="P31" i="14"/>
  <c r="P60" i="14" s="1" a="1"/>
  <c r="P60" i="14" s="1"/>
  <c r="T61" i="1" s="1"/>
  <c r="O31" i="14"/>
  <c r="O60" i="14" s="1" a="1"/>
  <c r="O60" i="14" s="1"/>
  <c r="S61" i="1" s="1"/>
  <c r="N31" i="14"/>
  <c r="N60" i="14" s="1" a="1"/>
  <c r="N60" i="14" s="1"/>
  <c r="R61" i="1" s="1"/>
  <c r="M31" i="14"/>
  <c r="M60" i="14" s="1" a="1"/>
  <c r="M60" i="14" s="1"/>
  <c r="Q61" i="1" s="1"/>
  <c r="L31" i="14"/>
  <c r="L60" i="14" s="1" a="1"/>
  <c r="L60" i="14" s="1"/>
  <c r="P61" i="1" s="1"/>
  <c r="K31" i="14"/>
  <c r="K60" i="14" s="1" a="1"/>
  <c r="K60" i="14" s="1"/>
  <c r="O61" i="1" s="1"/>
  <c r="J31" i="14"/>
  <c r="J60" i="14" s="1" a="1"/>
  <c r="J60" i="14" s="1"/>
  <c r="N61" i="1" s="1"/>
  <c r="I31" i="14"/>
  <c r="I60" i="14" s="1" a="1"/>
  <c r="I60" i="14" s="1"/>
  <c r="M61" i="1" s="1"/>
  <c r="H31" i="14"/>
  <c r="H60" i="14" s="1" a="1"/>
  <c r="H60" i="14" s="1"/>
  <c r="L61" i="1" s="1"/>
  <c r="G31" i="14"/>
  <c r="G60" i="14" s="1" a="1"/>
  <c r="G60" i="14" s="1"/>
  <c r="K61" i="1" s="1"/>
  <c r="F31" i="14"/>
  <c r="F60" i="14" s="1" a="1"/>
  <c r="F60" i="14" s="1"/>
  <c r="J61" i="1" s="1"/>
  <c r="E31" i="14"/>
  <c r="E60" i="14" s="1" a="1"/>
  <c r="E60" i="14" s="1"/>
  <c r="I61" i="1" s="1"/>
  <c r="D31" i="14"/>
  <c r="D60" i="14" s="1" a="1"/>
  <c r="D60" i="14" s="1"/>
  <c r="H61" i="1" s="1"/>
  <c r="C31" i="14"/>
  <c r="C60" i="14" s="1" a="1"/>
  <c r="C60" i="14" s="1"/>
  <c r="G61" i="1" s="1"/>
  <c r="B31" i="14"/>
  <c r="B60" i="14" s="1" a="1"/>
  <c r="B60" i="14" s="1"/>
  <c r="F61" i="1" s="1"/>
  <c r="AK30" i="14"/>
  <c r="AK59" i="14" s="1" a="1"/>
  <c r="AK59" i="14" s="1"/>
  <c r="AO60" i="1" s="1"/>
  <c r="AJ30" i="14"/>
  <c r="AJ59" i="14" s="1" a="1"/>
  <c r="AJ59" i="14" s="1"/>
  <c r="AN60" i="1" s="1"/>
  <c r="AI30" i="14"/>
  <c r="AI59" i="14" s="1" a="1"/>
  <c r="AI59" i="14" s="1"/>
  <c r="AM60" i="1" s="1"/>
  <c r="AH30" i="14"/>
  <c r="AH59" i="14" s="1" a="1"/>
  <c r="AH59" i="14" s="1"/>
  <c r="AL60" i="1" s="1"/>
  <c r="AG30" i="14"/>
  <c r="AG59" i="14" s="1" a="1"/>
  <c r="AG59" i="14" s="1"/>
  <c r="AK60" i="1" s="1"/>
  <c r="AF30" i="14"/>
  <c r="AF59" i="14" s="1" a="1"/>
  <c r="AF59" i="14" s="1"/>
  <c r="AJ60" i="1" s="1"/>
  <c r="AE30" i="14"/>
  <c r="AE59" i="14" s="1" a="1"/>
  <c r="AE59" i="14" s="1"/>
  <c r="AI60" i="1" s="1"/>
  <c r="AD30" i="14"/>
  <c r="AD59" i="14" s="1" a="1"/>
  <c r="AD59" i="14" s="1"/>
  <c r="AH60" i="1" s="1"/>
  <c r="AC30" i="14"/>
  <c r="AC59" i="14" s="1" a="1"/>
  <c r="AC59" i="14" s="1"/>
  <c r="AG60" i="1" s="1"/>
  <c r="AB30" i="14"/>
  <c r="AB59" i="14" s="1" a="1"/>
  <c r="AB59" i="14" s="1"/>
  <c r="AF60" i="1" s="1"/>
  <c r="AA30" i="14"/>
  <c r="AA59" i="14" s="1" a="1"/>
  <c r="AA59" i="14" s="1"/>
  <c r="AE60" i="1" s="1"/>
  <c r="Z30" i="14"/>
  <c r="Z59" i="14" s="1" a="1"/>
  <c r="Z59" i="14" s="1"/>
  <c r="AD60" i="1" s="1"/>
  <c r="Y30" i="14"/>
  <c r="Y59" i="14" s="1" a="1"/>
  <c r="Y59" i="14" s="1"/>
  <c r="AC60" i="1" s="1"/>
  <c r="X30" i="14"/>
  <c r="X59" i="14" s="1" a="1"/>
  <c r="X59" i="14" s="1"/>
  <c r="AB60" i="1" s="1"/>
  <c r="W30" i="14"/>
  <c r="W59" i="14" s="1" a="1"/>
  <c r="W59" i="14" s="1"/>
  <c r="AA60" i="1" s="1"/>
  <c r="V30" i="14"/>
  <c r="V59" i="14" s="1" a="1"/>
  <c r="V59" i="14" s="1"/>
  <c r="Z60" i="1" s="1"/>
  <c r="U30" i="14"/>
  <c r="U59" i="14" s="1" a="1"/>
  <c r="U59" i="14" s="1"/>
  <c r="Y60" i="1" s="1"/>
  <c r="T30" i="14"/>
  <c r="T59" i="14" s="1" a="1"/>
  <c r="T59" i="14" s="1"/>
  <c r="X60" i="1" s="1"/>
  <c r="S30" i="14"/>
  <c r="S59" i="14" s="1" a="1"/>
  <c r="S59" i="14" s="1"/>
  <c r="W60" i="1" s="1"/>
  <c r="R30" i="14"/>
  <c r="R59" i="14" s="1" a="1"/>
  <c r="R59" i="14" s="1"/>
  <c r="V60" i="1" s="1"/>
  <c r="Q30" i="14"/>
  <c r="Q59" i="14" s="1" a="1"/>
  <c r="Q59" i="14" s="1"/>
  <c r="U60" i="1" s="1"/>
  <c r="P30" i="14"/>
  <c r="P59" i="14" s="1" a="1"/>
  <c r="P59" i="14" s="1"/>
  <c r="T60" i="1" s="1"/>
  <c r="O30" i="14"/>
  <c r="O59" i="14" s="1" a="1"/>
  <c r="O59" i="14" s="1"/>
  <c r="S60" i="1" s="1"/>
  <c r="N30" i="14"/>
  <c r="N59" i="14" s="1" a="1"/>
  <c r="N59" i="14" s="1"/>
  <c r="R60" i="1" s="1"/>
  <c r="M30" i="14"/>
  <c r="M59" i="14" s="1" a="1"/>
  <c r="M59" i="14" s="1"/>
  <c r="Q60" i="1" s="1"/>
  <c r="L30" i="14"/>
  <c r="L59" i="14" s="1" a="1"/>
  <c r="L59" i="14" s="1"/>
  <c r="P60" i="1" s="1"/>
  <c r="K30" i="14"/>
  <c r="K59" i="14" s="1" a="1"/>
  <c r="K59" i="14" s="1"/>
  <c r="O60" i="1" s="1"/>
  <c r="J30" i="14"/>
  <c r="J59" i="14" s="1" a="1"/>
  <c r="J59" i="14" s="1"/>
  <c r="N60" i="1" s="1"/>
  <c r="I30" i="14"/>
  <c r="I59" i="14" s="1" a="1"/>
  <c r="I59" i="14" s="1"/>
  <c r="M60" i="1" s="1"/>
  <c r="H30" i="14"/>
  <c r="H59" i="14" s="1" a="1"/>
  <c r="H59" i="14" s="1"/>
  <c r="L60" i="1" s="1"/>
  <c r="G30" i="14"/>
  <c r="G59" i="14" s="1" a="1"/>
  <c r="G59" i="14" s="1"/>
  <c r="K60" i="1" s="1"/>
  <c r="F30" i="14"/>
  <c r="F59" i="14" s="1" a="1"/>
  <c r="F59" i="14" s="1"/>
  <c r="J60" i="1" s="1"/>
  <c r="E30" i="14"/>
  <c r="E59" i="14" s="1" a="1"/>
  <c r="E59" i="14" s="1"/>
  <c r="I60" i="1" s="1"/>
  <c r="D30" i="14"/>
  <c r="D59" i="14" s="1" a="1"/>
  <c r="D59" i="14" s="1"/>
  <c r="H60" i="1" s="1"/>
  <c r="C30" i="14"/>
  <c r="C59" i="14" s="1" a="1"/>
  <c r="C59" i="14" s="1"/>
  <c r="G60" i="1" s="1"/>
  <c r="B30" i="14"/>
  <c r="B59" i="14" s="1" a="1"/>
  <c r="B59" i="14" s="1"/>
  <c r="F60" i="1" s="1"/>
  <c r="AK29" i="14"/>
  <c r="AK58" i="14" s="1" a="1"/>
  <c r="AK58" i="14" s="1"/>
  <c r="AO59" i="1" s="1"/>
  <c r="AJ29" i="14"/>
  <c r="AJ58" i="14" s="1" a="1"/>
  <c r="AJ58" i="14" s="1"/>
  <c r="AN59" i="1" s="1"/>
  <c r="AI29" i="14"/>
  <c r="AI58" i="14" s="1" a="1"/>
  <c r="AI58" i="14" s="1"/>
  <c r="AM59" i="1" s="1"/>
  <c r="AH29" i="14"/>
  <c r="AH58" i="14" s="1" a="1"/>
  <c r="AH58" i="14" s="1"/>
  <c r="AL59" i="1" s="1"/>
  <c r="AG29" i="14"/>
  <c r="AG58" i="14" s="1" a="1"/>
  <c r="AG58" i="14" s="1"/>
  <c r="AK59" i="1" s="1"/>
  <c r="AF29" i="14"/>
  <c r="AF58" i="14" s="1" a="1"/>
  <c r="AF58" i="14" s="1"/>
  <c r="AJ59" i="1" s="1"/>
  <c r="AE29" i="14"/>
  <c r="AE58" i="14" s="1" a="1"/>
  <c r="AE58" i="14" s="1"/>
  <c r="AI59" i="1" s="1"/>
  <c r="AD29" i="14"/>
  <c r="AD58" i="14" s="1" a="1"/>
  <c r="AD58" i="14" s="1"/>
  <c r="AH59" i="1" s="1"/>
  <c r="AC29" i="14"/>
  <c r="AC58" i="14" s="1" a="1"/>
  <c r="AC58" i="14" s="1"/>
  <c r="AG59" i="1" s="1"/>
  <c r="AB58" i="14" a="1"/>
  <c r="AB58" i="14" s="1"/>
  <c r="AF59" i="1" s="1"/>
  <c r="AA29" i="14"/>
  <c r="AA58" i="14" s="1" a="1"/>
  <c r="AA58" i="14" s="1"/>
  <c r="AE59" i="1" s="1"/>
  <c r="Z29" i="14"/>
  <c r="Z58" i="14" s="1" a="1"/>
  <c r="Z58" i="14" s="1"/>
  <c r="AD59" i="1" s="1"/>
  <c r="Y29" i="14"/>
  <c r="Y58" i="14" s="1" a="1"/>
  <c r="Y58" i="14" s="1"/>
  <c r="AC59" i="1" s="1"/>
  <c r="X29" i="14"/>
  <c r="X58" i="14" s="1" a="1"/>
  <c r="X58" i="14" s="1"/>
  <c r="AB59" i="1" s="1"/>
  <c r="W29" i="14"/>
  <c r="W58" i="14" s="1" a="1"/>
  <c r="W58" i="14" s="1"/>
  <c r="AA59" i="1" s="1"/>
  <c r="V29" i="14"/>
  <c r="V58" i="14" s="1" a="1"/>
  <c r="V58" i="14" s="1"/>
  <c r="Z59" i="1" s="1"/>
  <c r="U29" i="14"/>
  <c r="U58" i="14" s="1" a="1"/>
  <c r="U58" i="14" s="1"/>
  <c r="Y59" i="1" s="1"/>
  <c r="T29" i="14"/>
  <c r="T58" i="14" s="1" a="1"/>
  <c r="T58" i="14" s="1"/>
  <c r="X59" i="1" s="1"/>
  <c r="S29" i="14"/>
  <c r="S58" i="14" s="1" a="1"/>
  <c r="S58" i="14" s="1"/>
  <c r="W59" i="1" s="1"/>
  <c r="R29" i="14"/>
  <c r="R58" i="14" s="1" a="1"/>
  <c r="R58" i="14" s="1"/>
  <c r="V59" i="1" s="1"/>
  <c r="Q29" i="14"/>
  <c r="Q58" i="14" s="1" a="1"/>
  <c r="Q58" i="14" s="1"/>
  <c r="U59" i="1" s="1"/>
  <c r="P29" i="14"/>
  <c r="P58" i="14" s="1" a="1"/>
  <c r="P58" i="14" s="1"/>
  <c r="T59" i="1" s="1"/>
  <c r="O29" i="14"/>
  <c r="O58" i="14" s="1" a="1"/>
  <c r="O58" i="14" s="1"/>
  <c r="S59" i="1" s="1"/>
  <c r="N29" i="14"/>
  <c r="N58" i="14" s="1" a="1"/>
  <c r="N58" i="14" s="1"/>
  <c r="R59" i="1" s="1"/>
  <c r="M29" i="14"/>
  <c r="M58" i="14" s="1" a="1"/>
  <c r="M58" i="14" s="1"/>
  <c r="Q59" i="1" s="1"/>
  <c r="L29" i="14"/>
  <c r="L58" i="14" s="1" a="1"/>
  <c r="L58" i="14" s="1"/>
  <c r="P59" i="1" s="1"/>
  <c r="K29" i="14"/>
  <c r="K58" i="14" s="1" a="1"/>
  <c r="K58" i="14" s="1"/>
  <c r="O59" i="1" s="1"/>
  <c r="J29" i="14"/>
  <c r="J58" i="14" s="1" a="1"/>
  <c r="J58" i="14" s="1"/>
  <c r="N59" i="1" s="1"/>
  <c r="I29" i="14"/>
  <c r="I58" i="14" s="1" a="1"/>
  <c r="I58" i="14" s="1"/>
  <c r="M59" i="1" s="1"/>
  <c r="H29" i="14"/>
  <c r="H58" i="14" s="1" a="1"/>
  <c r="H58" i="14" s="1"/>
  <c r="L59" i="1" s="1"/>
  <c r="G29" i="14"/>
  <c r="G58" i="14" s="1" a="1"/>
  <c r="G58" i="14" s="1"/>
  <c r="K59" i="1" s="1"/>
  <c r="F29" i="14"/>
  <c r="F58" i="14" s="1" a="1"/>
  <c r="F58" i="14" s="1"/>
  <c r="J59" i="1" s="1"/>
  <c r="E29" i="14"/>
  <c r="E58" i="14" s="1" a="1"/>
  <c r="E58" i="14" s="1"/>
  <c r="I59" i="1" s="1"/>
  <c r="D29" i="14"/>
  <c r="D58" i="14" s="1" a="1"/>
  <c r="D58" i="14" s="1"/>
  <c r="H59" i="1" s="1"/>
  <c r="C29" i="14"/>
  <c r="C58" i="14" s="1" a="1"/>
  <c r="C58" i="14" s="1"/>
  <c r="G59" i="1" s="1"/>
  <c r="B29" i="14"/>
  <c r="B58" i="14" s="1" a="1"/>
  <c r="B58" i="14" s="1"/>
  <c r="F59" i="1" s="1"/>
  <c r="AK28" i="14"/>
  <c r="AK57" i="14" s="1" a="1"/>
  <c r="AK57" i="14" s="1"/>
  <c r="AO58" i="1" s="1"/>
  <c r="AJ28" i="14"/>
  <c r="AJ57" i="14" s="1" a="1"/>
  <c r="AJ57" i="14" s="1"/>
  <c r="AN58" i="1" s="1"/>
  <c r="AI28" i="14"/>
  <c r="AI57" i="14" s="1" a="1"/>
  <c r="AI57" i="14" s="1"/>
  <c r="AM58" i="1" s="1"/>
  <c r="AH28" i="14"/>
  <c r="AH57" i="14" s="1" a="1"/>
  <c r="AH57" i="14" s="1"/>
  <c r="AL58" i="1" s="1"/>
  <c r="AG28" i="14"/>
  <c r="AG57" i="14" s="1" a="1"/>
  <c r="AG57" i="14" s="1"/>
  <c r="AK58" i="1" s="1"/>
  <c r="AF28" i="14"/>
  <c r="AF57" i="14" s="1" a="1"/>
  <c r="AF57" i="14" s="1"/>
  <c r="AJ58" i="1" s="1"/>
  <c r="AE28" i="14"/>
  <c r="AE57" i="14" s="1" a="1"/>
  <c r="AE57" i="14" s="1"/>
  <c r="AI58" i="1" s="1"/>
  <c r="AD28" i="14"/>
  <c r="AD57" i="14" s="1" a="1"/>
  <c r="AD57" i="14" s="1"/>
  <c r="AH58" i="1" s="1"/>
  <c r="AC28" i="14"/>
  <c r="AC57" i="14" s="1" a="1"/>
  <c r="AC57" i="14" s="1"/>
  <c r="AG58" i="1" s="1"/>
  <c r="AB28" i="14"/>
  <c r="AB57" i="14" s="1" a="1"/>
  <c r="AB57" i="14" s="1"/>
  <c r="AF58" i="1" s="1"/>
  <c r="AA28" i="14"/>
  <c r="AA57" i="14" s="1" a="1"/>
  <c r="AA57" i="14" s="1"/>
  <c r="AE58" i="1" s="1"/>
  <c r="Z28" i="14"/>
  <c r="Z57" i="14" s="1" a="1"/>
  <c r="Z57" i="14" s="1"/>
  <c r="AD58" i="1" s="1"/>
  <c r="Y28" i="14"/>
  <c r="Y57" i="14" s="1" a="1"/>
  <c r="Y57" i="14" s="1"/>
  <c r="AC58" i="1" s="1"/>
  <c r="X28" i="14"/>
  <c r="X57" i="14" s="1" a="1"/>
  <c r="X57" i="14" s="1"/>
  <c r="AB58" i="1" s="1"/>
  <c r="W28" i="14"/>
  <c r="W57" i="14" s="1" a="1"/>
  <c r="W57" i="14" s="1"/>
  <c r="AA58" i="1" s="1"/>
  <c r="V28" i="14"/>
  <c r="V57" i="14" s="1" a="1"/>
  <c r="V57" i="14" s="1"/>
  <c r="Z58" i="1" s="1"/>
  <c r="U28" i="14"/>
  <c r="U57" i="14" s="1" a="1"/>
  <c r="U57" i="14" s="1"/>
  <c r="Y58" i="1" s="1"/>
  <c r="T28" i="14"/>
  <c r="T57" i="14" s="1" a="1"/>
  <c r="T57" i="14" s="1"/>
  <c r="X58" i="1" s="1"/>
  <c r="S28" i="14"/>
  <c r="S57" i="14" s="1" a="1"/>
  <c r="S57" i="14" s="1"/>
  <c r="W58" i="1" s="1"/>
  <c r="R28" i="14"/>
  <c r="R57" i="14" s="1" a="1"/>
  <c r="R57" i="14" s="1"/>
  <c r="V58" i="1" s="1"/>
  <c r="Q28" i="14"/>
  <c r="Q57" i="14" s="1" a="1"/>
  <c r="Q57" i="14" s="1"/>
  <c r="U58" i="1" s="1"/>
  <c r="P28" i="14"/>
  <c r="P57" i="14" s="1" a="1"/>
  <c r="P57" i="14" s="1"/>
  <c r="T58" i="1" s="1"/>
  <c r="O28" i="14"/>
  <c r="O57" i="14" s="1" a="1"/>
  <c r="O57" i="14" s="1"/>
  <c r="S58" i="1" s="1"/>
  <c r="N28" i="14"/>
  <c r="N57" i="14" s="1" a="1"/>
  <c r="N57" i="14" s="1"/>
  <c r="R58" i="1" s="1"/>
  <c r="M28" i="14"/>
  <c r="M57" i="14" s="1" a="1"/>
  <c r="M57" i="14" s="1"/>
  <c r="Q58" i="1" s="1"/>
  <c r="L28" i="14"/>
  <c r="L57" i="14" s="1" a="1"/>
  <c r="L57" i="14" s="1"/>
  <c r="P58" i="1" s="1"/>
  <c r="K28" i="14"/>
  <c r="K57" i="14" s="1" a="1"/>
  <c r="K57" i="14" s="1"/>
  <c r="O58" i="1" s="1"/>
  <c r="J28" i="14"/>
  <c r="J57" i="14" s="1" a="1"/>
  <c r="J57" i="14" s="1"/>
  <c r="N58" i="1" s="1"/>
  <c r="I28" i="14"/>
  <c r="I57" i="14" s="1" a="1"/>
  <c r="I57" i="14" s="1"/>
  <c r="M58" i="1" s="1"/>
  <c r="H28" i="14"/>
  <c r="H57" i="14" s="1" a="1"/>
  <c r="H57" i="14" s="1"/>
  <c r="L58" i="1" s="1"/>
  <c r="G28" i="14"/>
  <c r="G57" i="14" s="1" a="1"/>
  <c r="G57" i="14" s="1"/>
  <c r="K58" i="1" s="1"/>
  <c r="F28" i="14"/>
  <c r="F57" i="14" s="1" a="1"/>
  <c r="F57" i="14" s="1"/>
  <c r="J58" i="1" s="1"/>
  <c r="E28" i="14"/>
  <c r="E57" i="14" s="1" a="1"/>
  <c r="E57" i="14" s="1"/>
  <c r="I58" i="1" s="1"/>
  <c r="D28" i="14"/>
  <c r="D57" i="14" s="1" a="1"/>
  <c r="D57" i="14" s="1"/>
  <c r="H58" i="1" s="1"/>
  <c r="C28" i="14"/>
  <c r="C57" i="14" s="1" a="1"/>
  <c r="C57" i="14" s="1"/>
  <c r="G58" i="1" s="1"/>
  <c r="B28" i="14"/>
  <c r="B57" i="14" s="1" a="1"/>
  <c r="B57" i="14" s="1"/>
  <c r="F58" i="1" s="1"/>
  <c r="AK27" i="14"/>
  <c r="AK56" i="14" s="1" a="1"/>
  <c r="AK56" i="14" s="1"/>
  <c r="AO57" i="1" s="1"/>
  <c r="AJ27" i="14"/>
  <c r="AJ56" i="14" s="1" a="1"/>
  <c r="AJ56" i="14" s="1"/>
  <c r="AN57" i="1" s="1"/>
  <c r="AI27" i="14"/>
  <c r="AI56" i="14" s="1" a="1"/>
  <c r="AI56" i="14" s="1"/>
  <c r="AM57" i="1" s="1"/>
  <c r="AH27" i="14"/>
  <c r="AH56" i="14" s="1" a="1"/>
  <c r="AH56" i="14" s="1"/>
  <c r="AL57" i="1" s="1"/>
  <c r="AG27" i="14"/>
  <c r="AG56" i="14" s="1" a="1"/>
  <c r="AG56" i="14" s="1"/>
  <c r="AK57" i="1" s="1"/>
  <c r="AF27" i="14"/>
  <c r="AF56" i="14" s="1" a="1"/>
  <c r="AF56" i="14" s="1"/>
  <c r="AJ57" i="1" s="1"/>
  <c r="AE27" i="14"/>
  <c r="AE56" i="14" s="1" a="1"/>
  <c r="AE56" i="14" s="1"/>
  <c r="AI57" i="1" s="1"/>
  <c r="AD27" i="14"/>
  <c r="AD56" i="14" s="1" a="1"/>
  <c r="AD56" i="14" s="1"/>
  <c r="AH57" i="1" s="1"/>
  <c r="AC27" i="14"/>
  <c r="AC56" i="14" s="1" a="1"/>
  <c r="AC56" i="14" s="1"/>
  <c r="AG57" i="1" s="1"/>
  <c r="AB27" i="14"/>
  <c r="AB56" i="14" s="1" a="1"/>
  <c r="AB56" i="14" s="1"/>
  <c r="AF57" i="1" s="1"/>
  <c r="AA27" i="14"/>
  <c r="AA56" i="14" s="1" a="1"/>
  <c r="AA56" i="14" s="1"/>
  <c r="AE57" i="1" s="1"/>
  <c r="Z27" i="14"/>
  <c r="Z56" i="14" s="1" a="1"/>
  <c r="Z56" i="14" s="1"/>
  <c r="AD57" i="1" s="1"/>
  <c r="Y27" i="14"/>
  <c r="Y56" i="14" s="1" a="1"/>
  <c r="Y56" i="14" s="1"/>
  <c r="AC57" i="1" s="1"/>
  <c r="X27" i="14"/>
  <c r="X56" i="14" s="1" a="1"/>
  <c r="X56" i="14" s="1"/>
  <c r="AB57" i="1" s="1"/>
  <c r="W27" i="14"/>
  <c r="W56" i="14" s="1" a="1"/>
  <c r="W56" i="14" s="1"/>
  <c r="AA57" i="1" s="1"/>
  <c r="V27" i="14"/>
  <c r="V56" i="14" s="1" a="1"/>
  <c r="V56" i="14" s="1"/>
  <c r="Z57" i="1" s="1"/>
  <c r="U27" i="14"/>
  <c r="U56" i="14" s="1" a="1"/>
  <c r="U56" i="14" s="1"/>
  <c r="Y57" i="1" s="1"/>
  <c r="T27" i="14"/>
  <c r="T56" i="14" s="1" a="1"/>
  <c r="T56" i="14" s="1"/>
  <c r="X57" i="1" s="1"/>
  <c r="S27" i="14"/>
  <c r="S56" i="14" s="1" a="1"/>
  <c r="S56" i="14" s="1"/>
  <c r="W57" i="1" s="1"/>
  <c r="R27" i="14"/>
  <c r="R56" i="14" s="1" a="1"/>
  <c r="R56" i="14" s="1"/>
  <c r="V57" i="1" s="1"/>
  <c r="Q27" i="14"/>
  <c r="Q56" i="14" s="1" a="1"/>
  <c r="Q56" i="14" s="1"/>
  <c r="U57" i="1" s="1"/>
  <c r="P27" i="14"/>
  <c r="P56" i="14" s="1" a="1"/>
  <c r="P56" i="14" s="1"/>
  <c r="T57" i="1" s="1"/>
  <c r="O27" i="14"/>
  <c r="O56" i="14" s="1" a="1"/>
  <c r="O56" i="14" s="1"/>
  <c r="S57" i="1" s="1"/>
  <c r="N27" i="14"/>
  <c r="N56" i="14" s="1" a="1"/>
  <c r="N56" i="14" s="1"/>
  <c r="R57" i="1" s="1"/>
  <c r="M27" i="14"/>
  <c r="M56" i="14" s="1" a="1"/>
  <c r="M56" i="14" s="1"/>
  <c r="Q57" i="1" s="1"/>
  <c r="L27" i="14"/>
  <c r="L56" i="14" s="1" a="1"/>
  <c r="L56" i="14" s="1"/>
  <c r="P57" i="1" s="1"/>
  <c r="K27" i="14"/>
  <c r="K56" i="14" s="1" a="1"/>
  <c r="K56" i="14" s="1"/>
  <c r="O57" i="1" s="1"/>
  <c r="J27" i="14"/>
  <c r="J56" i="14" s="1" a="1"/>
  <c r="J56" i="14" s="1"/>
  <c r="N57" i="1" s="1"/>
  <c r="I27" i="14"/>
  <c r="I56" i="14" s="1" a="1"/>
  <c r="I56" i="14" s="1"/>
  <c r="M57" i="1" s="1"/>
  <c r="H27" i="14"/>
  <c r="H56" i="14" s="1" a="1"/>
  <c r="H56" i="14" s="1"/>
  <c r="L57" i="1" s="1"/>
  <c r="G27" i="14"/>
  <c r="G56" i="14" s="1" a="1"/>
  <c r="G56" i="14" s="1"/>
  <c r="K57" i="1" s="1"/>
  <c r="F27" i="14"/>
  <c r="F56" i="14" s="1" a="1"/>
  <c r="F56" i="14" s="1"/>
  <c r="J57" i="1" s="1"/>
  <c r="E27" i="14"/>
  <c r="E56" i="14" s="1" a="1"/>
  <c r="E56" i="14" s="1"/>
  <c r="I57" i="1" s="1"/>
  <c r="D27" i="14"/>
  <c r="D56" i="14" s="1" a="1"/>
  <c r="D56" i="14" s="1"/>
  <c r="H57" i="1" s="1"/>
  <c r="C27" i="14"/>
  <c r="C56" i="14" s="1" a="1"/>
  <c r="C56" i="14" s="1"/>
  <c r="G57" i="1" s="1"/>
  <c r="B27" i="14"/>
  <c r="B56" i="14" s="1" a="1"/>
  <c r="B56" i="14" s="1"/>
  <c r="F57" i="1" s="1"/>
  <c r="AK26" i="14"/>
  <c r="AK55" i="14" s="1" a="1"/>
  <c r="AK55" i="14" s="1"/>
  <c r="AO56" i="1" s="1"/>
  <c r="AJ26" i="14"/>
  <c r="AJ55" i="14" s="1" a="1"/>
  <c r="AJ55" i="14" s="1"/>
  <c r="AN56" i="1" s="1"/>
  <c r="AI26" i="14"/>
  <c r="AI55" i="14" s="1" a="1"/>
  <c r="AI55" i="14" s="1"/>
  <c r="AM56" i="1" s="1"/>
  <c r="AH26" i="14"/>
  <c r="AH55" i="14" s="1" a="1"/>
  <c r="AH55" i="14" s="1"/>
  <c r="AL56" i="1" s="1"/>
  <c r="AG26" i="14"/>
  <c r="AG55" i="14" s="1" a="1"/>
  <c r="AG55" i="14" s="1"/>
  <c r="AK56" i="1" s="1"/>
  <c r="AF26" i="14"/>
  <c r="AF55" i="14" s="1" a="1"/>
  <c r="AF55" i="14" s="1"/>
  <c r="AJ56" i="1" s="1"/>
  <c r="AE26" i="14"/>
  <c r="AE55" i="14" s="1" a="1"/>
  <c r="AE55" i="14" s="1"/>
  <c r="AI56" i="1" s="1"/>
  <c r="AD26" i="14"/>
  <c r="AD55" i="14" s="1" a="1"/>
  <c r="AD55" i="14" s="1"/>
  <c r="AH56" i="1" s="1"/>
  <c r="AC26" i="14"/>
  <c r="AC55" i="14" s="1" a="1"/>
  <c r="AC55" i="14" s="1"/>
  <c r="AG56" i="1" s="1"/>
  <c r="AB26" i="14"/>
  <c r="AB55" i="14" s="1" a="1"/>
  <c r="AB55" i="14" s="1"/>
  <c r="AF56" i="1" s="1"/>
  <c r="AA26" i="14"/>
  <c r="AA55" i="14" s="1" a="1"/>
  <c r="AA55" i="14" s="1"/>
  <c r="AE56" i="1" s="1"/>
  <c r="Z26" i="14"/>
  <c r="Z55" i="14" s="1" a="1"/>
  <c r="Z55" i="14" s="1"/>
  <c r="AD56" i="1" s="1"/>
  <c r="Y26" i="14"/>
  <c r="Y55" i="14" s="1" a="1"/>
  <c r="Y55" i="14" s="1"/>
  <c r="AC56" i="1" s="1"/>
  <c r="X26" i="14"/>
  <c r="X55" i="14" s="1" a="1"/>
  <c r="X55" i="14" s="1"/>
  <c r="AB56" i="1" s="1"/>
  <c r="W26" i="14"/>
  <c r="W55" i="14" s="1" a="1"/>
  <c r="W55" i="14" s="1"/>
  <c r="AA56" i="1" s="1"/>
  <c r="V26" i="14"/>
  <c r="V55" i="14" s="1" a="1"/>
  <c r="V55" i="14" s="1"/>
  <c r="Z56" i="1" s="1"/>
  <c r="U26" i="14"/>
  <c r="U55" i="14" s="1" a="1"/>
  <c r="U55" i="14" s="1"/>
  <c r="Y56" i="1" s="1"/>
  <c r="T26" i="14"/>
  <c r="T55" i="14" s="1" a="1"/>
  <c r="T55" i="14" s="1"/>
  <c r="X56" i="1" s="1"/>
  <c r="S26" i="14"/>
  <c r="S55" i="14" s="1" a="1"/>
  <c r="S55" i="14" s="1"/>
  <c r="W56" i="1" s="1"/>
  <c r="R26" i="14"/>
  <c r="R55" i="14" s="1" a="1"/>
  <c r="R55" i="14" s="1"/>
  <c r="V56" i="1" s="1"/>
  <c r="Q26" i="14"/>
  <c r="Q55" i="14" s="1" a="1"/>
  <c r="Q55" i="14" s="1"/>
  <c r="U56" i="1" s="1"/>
  <c r="P26" i="14"/>
  <c r="P55" i="14" s="1" a="1"/>
  <c r="P55" i="14" s="1"/>
  <c r="T56" i="1" s="1"/>
  <c r="O26" i="14"/>
  <c r="O55" i="14" s="1" a="1"/>
  <c r="O55" i="14" s="1"/>
  <c r="S56" i="1" s="1"/>
  <c r="N26" i="14"/>
  <c r="N55" i="14" s="1" a="1"/>
  <c r="N55" i="14" s="1"/>
  <c r="R56" i="1" s="1"/>
  <c r="M26" i="14"/>
  <c r="M55" i="14" s="1" a="1"/>
  <c r="M55" i="14" s="1"/>
  <c r="Q56" i="1" s="1"/>
  <c r="L26" i="14"/>
  <c r="L55" i="14" s="1" a="1"/>
  <c r="L55" i="14" s="1"/>
  <c r="P56" i="1" s="1"/>
  <c r="K26" i="14"/>
  <c r="K55" i="14" s="1" a="1"/>
  <c r="K55" i="14" s="1"/>
  <c r="O56" i="1" s="1"/>
  <c r="J26" i="14"/>
  <c r="J55" i="14" s="1" a="1"/>
  <c r="J55" i="14" s="1"/>
  <c r="N56" i="1" s="1"/>
  <c r="I26" i="14"/>
  <c r="I55" i="14" s="1" a="1"/>
  <c r="I55" i="14" s="1"/>
  <c r="M56" i="1" s="1"/>
  <c r="H26" i="14"/>
  <c r="H55" i="14" s="1" a="1"/>
  <c r="H55" i="14" s="1"/>
  <c r="L56" i="1" s="1"/>
  <c r="G26" i="14"/>
  <c r="G55" i="14" s="1" a="1"/>
  <c r="G55" i="14" s="1"/>
  <c r="K56" i="1" s="1"/>
  <c r="F26" i="14"/>
  <c r="F55" i="14" s="1" a="1"/>
  <c r="F55" i="14" s="1"/>
  <c r="J56" i="1" s="1"/>
  <c r="E26" i="14"/>
  <c r="E55" i="14" s="1" a="1"/>
  <c r="E55" i="14" s="1"/>
  <c r="I56" i="1" s="1"/>
  <c r="D26" i="14"/>
  <c r="D55" i="14" s="1" a="1"/>
  <c r="D55" i="14" s="1"/>
  <c r="H56" i="1" s="1"/>
  <c r="C26" i="14"/>
  <c r="C55" i="14" s="1" a="1"/>
  <c r="C55" i="14" s="1"/>
  <c r="G56" i="1" s="1"/>
  <c r="B26" i="14"/>
  <c r="B55" i="14" s="1" a="1"/>
  <c r="B55" i="14" s="1"/>
  <c r="F56" i="1" s="1"/>
  <c r="AK25" i="14"/>
  <c r="AK54" i="14" s="1" a="1"/>
  <c r="AK54" i="14" s="1"/>
  <c r="AO55" i="1" s="1"/>
  <c r="AJ25" i="14"/>
  <c r="AJ54" i="14" s="1" a="1"/>
  <c r="AJ54" i="14" s="1"/>
  <c r="AN55" i="1" s="1"/>
  <c r="AI25" i="14"/>
  <c r="AI54" i="14" s="1" a="1"/>
  <c r="AI54" i="14" s="1"/>
  <c r="AM55" i="1" s="1"/>
  <c r="AH25" i="14"/>
  <c r="AH54" i="14" s="1" a="1"/>
  <c r="AH54" i="14" s="1"/>
  <c r="AL55" i="1" s="1"/>
  <c r="AG25" i="14"/>
  <c r="AG54" i="14" s="1" a="1"/>
  <c r="AG54" i="14" s="1"/>
  <c r="AK55" i="1" s="1"/>
  <c r="AF25" i="14"/>
  <c r="AF54" i="14" s="1" a="1"/>
  <c r="AF54" i="14" s="1"/>
  <c r="AJ55" i="1" s="1"/>
  <c r="AE25" i="14"/>
  <c r="AE54" i="14" s="1" a="1"/>
  <c r="AE54" i="14" s="1"/>
  <c r="AI55" i="1" s="1"/>
  <c r="AD25" i="14"/>
  <c r="AD54" i="14" s="1" a="1"/>
  <c r="AD54" i="14" s="1"/>
  <c r="AH55" i="1" s="1"/>
  <c r="AC25" i="14"/>
  <c r="AC54" i="14" s="1" a="1"/>
  <c r="AC54" i="14" s="1"/>
  <c r="AG55" i="1" s="1"/>
  <c r="AB25" i="14"/>
  <c r="AB54" i="14" s="1" a="1"/>
  <c r="AB54" i="14" s="1"/>
  <c r="AF55" i="1" s="1"/>
  <c r="AA25" i="14"/>
  <c r="AA54" i="14" s="1" a="1"/>
  <c r="AA54" i="14" s="1"/>
  <c r="AE55" i="1" s="1"/>
  <c r="Z25" i="14"/>
  <c r="Z54" i="14" s="1" a="1"/>
  <c r="Z54" i="14" s="1"/>
  <c r="AD55" i="1" s="1"/>
  <c r="Y25" i="14"/>
  <c r="Y54" i="14" s="1" a="1"/>
  <c r="Y54" i="14" s="1"/>
  <c r="AC55" i="1" s="1"/>
  <c r="X25" i="14"/>
  <c r="X54" i="14" s="1" a="1"/>
  <c r="X54" i="14" s="1"/>
  <c r="AB55" i="1" s="1"/>
  <c r="W25" i="14"/>
  <c r="W54" i="14" s="1" a="1"/>
  <c r="W54" i="14" s="1"/>
  <c r="AA55" i="1" s="1"/>
  <c r="V25" i="14"/>
  <c r="V54" i="14" s="1" a="1"/>
  <c r="V54" i="14" s="1"/>
  <c r="Z55" i="1" s="1"/>
  <c r="U25" i="14"/>
  <c r="U54" i="14" s="1" a="1"/>
  <c r="U54" i="14" s="1"/>
  <c r="Y55" i="1" s="1"/>
  <c r="T25" i="14"/>
  <c r="T54" i="14" s="1" a="1"/>
  <c r="T54" i="14" s="1"/>
  <c r="X55" i="1" s="1"/>
  <c r="S25" i="14"/>
  <c r="S54" i="14" s="1" a="1"/>
  <c r="S54" i="14" s="1"/>
  <c r="W55" i="1" s="1"/>
  <c r="R25" i="14"/>
  <c r="R54" i="14" s="1" a="1"/>
  <c r="R54" i="14" s="1"/>
  <c r="V55" i="1" s="1"/>
  <c r="Q25" i="14"/>
  <c r="Q54" i="14" s="1" a="1"/>
  <c r="Q54" i="14" s="1"/>
  <c r="U55" i="1" s="1"/>
  <c r="P25" i="14"/>
  <c r="P54" i="14" s="1" a="1"/>
  <c r="P54" i="14" s="1"/>
  <c r="T55" i="1" s="1"/>
  <c r="O25" i="14"/>
  <c r="O54" i="14" s="1" a="1"/>
  <c r="O54" i="14" s="1"/>
  <c r="S55" i="1" s="1"/>
  <c r="N25" i="14"/>
  <c r="N54" i="14" s="1" a="1"/>
  <c r="N54" i="14" s="1"/>
  <c r="R55" i="1" s="1"/>
  <c r="M25" i="14"/>
  <c r="M54" i="14" s="1" a="1"/>
  <c r="M54" i="14" s="1"/>
  <c r="Q55" i="1" s="1"/>
  <c r="L25" i="14"/>
  <c r="L54" i="14" s="1" a="1"/>
  <c r="L54" i="14" s="1"/>
  <c r="P55" i="1" s="1"/>
  <c r="K25" i="14"/>
  <c r="K54" i="14" s="1" a="1"/>
  <c r="K54" i="14" s="1"/>
  <c r="O55" i="1" s="1"/>
  <c r="J25" i="14"/>
  <c r="J54" i="14" s="1" a="1"/>
  <c r="J54" i="14" s="1"/>
  <c r="N55" i="1" s="1"/>
  <c r="I25" i="14"/>
  <c r="I54" i="14" s="1" a="1"/>
  <c r="I54" i="14" s="1"/>
  <c r="M55" i="1" s="1"/>
  <c r="H25" i="14"/>
  <c r="H54" i="14" s="1" a="1"/>
  <c r="H54" i="14" s="1"/>
  <c r="L55" i="1" s="1"/>
  <c r="G25" i="14"/>
  <c r="G54" i="14" s="1" a="1"/>
  <c r="G54" i="14" s="1"/>
  <c r="K55" i="1" s="1"/>
  <c r="F25" i="14"/>
  <c r="F54" i="14" s="1" a="1"/>
  <c r="F54" i="14" s="1"/>
  <c r="J55" i="1" s="1"/>
  <c r="E25" i="14"/>
  <c r="E54" i="14" s="1" a="1"/>
  <c r="E54" i="14" s="1"/>
  <c r="I55" i="1" s="1"/>
  <c r="D25" i="14"/>
  <c r="D54" i="14" s="1" a="1"/>
  <c r="D54" i="14" s="1"/>
  <c r="H55" i="1" s="1"/>
  <c r="C25" i="14"/>
  <c r="C54" i="14" s="1" a="1"/>
  <c r="C54" i="14" s="1"/>
  <c r="G55" i="1" s="1"/>
  <c r="B25" i="14"/>
  <c r="B54" i="14" s="1" a="1"/>
  <c r="B54" i="14" s="1"/>
  <c r="F55" i="1" s="1"/>
  <c r="AK24" i="14"/>
  <c r="AK53" i="14" s="1" a="1"/>
  <c r="AK53" i="14" s="1"/>
  <c r="AO54" i="1" s="1"/>
  <c r="AJ24" i="14"/>
  <c r="AJ53" i="14" s="1" a="1"/>
  <c r="AJ53" i="14" s="1"/>
  <c r="AN54" i="1" s="1"/>
  <c r="AI24" i="14"/>
  <c r="AI53" i="14" s="1" a="1"/>
  <c r="AI53" i="14" s="1"/>
  <c r="AM54" i="1" s="1"/>
  <c r="AH24" i="14"/>
  <c r="AH53" i="14" s="1" a="1"/>
  <c r="AH53" i="14" s="1"/>
  <c r="AL54" i="1" s="1"/>
  <c r="AG24" i="14"/>
  <c r="AG53" i="14" s="1" a="1"/>
  <c r="AG53" i="14" s="1"/>
  <c r="AK54" i="1" s="1"/>
  <c r="AF24" i="14"/>
  <c r="AF53" i="14" s="1" a="1"/>
  <c r="AF53" i="14" s="1"/>
  <c r="AJ54" i="1" s="1"/>
  <c r="AE24" i="14"/>
  <c r="AE53" i="14" s="1" a="1"/>
  <c r="AE53" i="14" s="1"/>
  <c r="AI54" i="1" s="1"/>
  <c r="AD24" i="14"/>
  <c r="AD53" i="14" s="1" a="1"/>
  <c r="AD53" i="14" s="1"/>
  <c r="AH54" i="1" s="1"/>
  <c r="AC24" i="14"/>
  <c r="AC53" i="14" s="1" a="1"/>
  <c r="AC53" i="14" s="1"/>
  <c r="AG54" i="1" s="1"/>
  <c r="AB24" i="14"/>
  <c r="AB53" i="14" s="1" a="1"/>
  <c r="AB53" i="14" s="1"/>
  <c r="AF54" i="1" s="1"/>
  <c r="AA24" i="14"/>
  <c r="AA53" i="14" s="1" a="1"/>
  <c r="AA53" i="14" s="1"/>
  <c r="AE54" i="1" s="1"/>
  <c r="Z24" i="14"/>
  <c r="Z53" i="14" s="1" a="1"/>
  <c r="Z53" i="14" s="1"/>
  <c r="AD54" i="1" s="1"/>
  <c r="Y24" i="14"/>
  <c r="Y53" i="14" s="1" a="1"/>
  <c r="Y53" i="14" s="1"/>
  <c r="AC54" i="1" s="1"/>
  <c r="X24" i="14"/>
  <c r="X53" i="14" s="1" a="1"/>
  <c r="X53" i="14" s="1"/>
  <c r="AB54" i="1" s="1"/>
  <c r="W24" i="14"/>
  <c r="W53" i="14" s="1" a="1"/>
  <c r="W53" i="14" s="1"/>
  <c r="AA54" i="1" s="1"/>
  <c r="V24" i="14"/>
  <c r="V53" i="14" s="1" a="1"/>
  <c r="V53" i="14" s="1"/>
  <c r="Z54" i="1" s="1"/>
  <c r="U24" i="14"/>
  <c r="U53" i="14" s="1" a="1"/>
  <c r="U53" i="14" s="1"/>
  <c r="Y54" i="1" s="1"/>
  <c r="T24" i="14"/>
  <c r="T53" i="14" s="1" a="1"/>
  <c r="T53" i="14" s="1"/>
  <c r="X54" i="1" s="1"/>
  <c r="S24" i="14"/>
  <c r="S53" i="14" s="1" a="1"/>
  <c r="S53" i="14" s="1"/>
  <c r="W54" i="1" s="1"/>
  <c r="R24" i="14"/>
  <c r="R53" i="14" s="1" a="1"/>
  <c r="R53" i="14" s="1"/>
  <c r="V54" i="1" s="1"/>
  <c r="Q24" i="14"/>
  <c r="Q53" i="14" s="1" a="1"/>
  <c r="Q53" i="14" s="1"/>
  <c r="U54" i="1" s="1"/>
  <c r="P24" i="14"/>
  <c r="P53" i="14" s="1" a="1"/>
  <c r="P53" i="14" s="1"/>
  <c r="T54" i="1" s="1"/>
  <c r="O24" i="14"/>
  <c r="O53" i="14" s="1" a="1"/>
  <c r="O53" i="14" s="1"/>
  <c r="S54" i="1" s="1"/>
  <c r="N24" i="14"/>
  <c r="N53" i="14" s="1" a="1"/>
  <c r="N53" i="14" s="1"/>
  <c r="R54" i="1" s="1"/>
  <c r="M24" i="14"/>
  <c r="M53" i="14" s="1" a="1"/>
  <c r="M53" i="14" s="1"/>
  <c r="Q54" i="1" s="1"/>
  <c r="L24" i="14"/>
  <c r="L53" i="14" s="1" a="1"/>
  <c r="L53" i="14" s="1"/>
  <c r="P54" i="1" s="1"/>
  <c r="K24" i="14"/>
  <c r="K53" i="14" s="1" a="1"/>
  <c r="K53" i="14" s="1"/>
  <c r="O54" i="1" s="1"/>
  <c r="J24" i="14"/>
  <c r="J53" i="14" s="1" a="1"/>
  <c r="J53" i="14" s="1"/>
  <c r="N54" i="1" s="1"/>
  <c r="I24" i="14"/>
  <c r="I53" i="14" s="1" a="1"/>
  <c r="I53" i="14" s="1"/>
  <c r="M54" i="1" s="1"/>
  <c r="H24" i="14"/>
  <c r="H53" i="14" s="1" a="1"/>
  <c r="H53" i="14" s="1"/>
  <c r="L54" i="1" s="1"/>
  <c r="G24" i="14"/>
  <c r="G53" i="14" s="1" a="1"/>
  <c r="G53" i="14" s="1"/>
  <c r="K54" i="1" s="1"/>
  <c r="F24" i="14"/>
  <c r="F53" i="14" s="1" a="1"/>
  <c r="F53" i="14" s="1"/>
  <c r="J54" i="1" s="1"/>
  <c r="E24" i="14"/>
  <c r="E53" i="14" s="1" a="1"/>
  <c r="E53" i="14" s="1"/>
  <c r="I54" i="1" s="1"/>
  <c r="D24" i="14"/>
  <c r="D53" i="14" s="1" a="1"/>
  <c r="D53" i="14" s="1"/>
  <c r="H54" i="1" s="1"/>
  <c r="C24" i="14"/>
  <c r="C53" i="14" s="1" a="1"/>
  <c r="C53" i="14" s="1"/>
  <c r="G54" i="1" s="1"/>
  <c r="B24" i="14"/>
  <c r="B53" i="14" s="1" a="1"/>
  <c r="B53" i="14" s="1"/>
  <c r="F54" i="1" s="1"/>
  <c r="AK23" i="14"/>
  <c r="AK52" i="14" s="1" a="1"/>
  <c r="AK52" i="14" s="1"/>
  <c r="AO53" i="1" s="1"/>
  <c r="AJ23" i="14"/>
  <c r="AJ52" i="14" s="1" a="1"/>
  <c r="AJ52" i="14" s="1"/>
  <c r="AN53" i="1" s="1"/>
  <c r="AI23" i="14"/>
  <c r="AI52" i="14" s="1" a="1"/>
  <c r="AI52" i="14" s="1"/>
  <c r="AM53" i="1" s="1"/>
  <c r="AH23" i="14"/>
  <c r="AH52" i="14" s="1" a="1"/>
  <c r="AH52" i="14" s="1"/>
  <c r="AL53" i="1" s="1"/>
  <c r="AG23" i="14"/>
  <c r="AG52" i="14" s="1" a="1"/>
  <c r="AG52" i="14" s="1"/>
  <c r="AK53" i="1" s="1"/>
  <c r="AF23" i="14"/>
  <c r="AF52" i="14" s="1" a="1"/>
  <c r="AF52" i="14" s="1"/>
  <c r="AJ53" i="1" s="1"/>
  <c r="AE23" i="14"/>
  <c r="AE52" i="14" s="1" a="1"/>
  <c r="AE52" i="14" s="1"/>
  <c r="AI53" i="1" s="1"/>
  <c r="AD23" i="14"/>
  <c r="AD52" i="14" s="1" a="1"/>
  <c r="AD52" i="14" s="1"/>
  <c r="AH53" i="1" s="1"/>
  <c r="AC23" i="14"/>
  <c r="AC52" i="14" s="1" a="1"/>
  <c r="AC52" i="14" s="1"/>
  <c r="AG53" i="1" s="1"/>
  <c r="AJ22" i="14"/>
  <c r="AJ51" i="14" s="1" a="1"/>
  <c r="AJ51" i="14" s="1"/>
  <c r="AN52" i="1" s="1"/>
  <c r="AI22" i="14"/>
  <c r="AI51" i="14" s="1" a="1"/>
  <c r="AI51" i="14" s="1"/>
  <c r="AM52" i="1" s="1"/>
  <c r="AH22" i="14"/>
  <c r="AH51" i="14" s="1" a="1"/>
  <c r="AH51" i="14" s="1"/>
  <c r="AL52" i="1" s="1"/>
  <c r="AG22" i="14"/>
  <c r="AG51" i="14" s="1" a="1"/>
  <c r="AG51" i="14" s="1"/>
  <c r="AK52" i="1" s="1"/>
  <c r="AF22" i="14"/>
  <c r="AF51" i="14" s="1" a="1"/>
  <c r="AF51" i="14" s="1"/>
  <c r="AJ52" i="1" s="1"/>
  <c r="AE22" i="14"/>
  <c r="AE51" i="14" s="1" a="1"/>
  <c r="AE51" i="14" s="1"/>
  <c r="AI52" i="1" s="1"/>
  <c r="AD22" i="14"/>
  <c r="AD51" i="14" s="1" a="1"/>
  <c r="AD51" i="14" s="1"/>
  <c r="AH52" i="1" s="1"/>
  <c r="AC22" i="14"/>
  <c r="AC51" i="14" s="1" a="1"/>
  <c r="AC51" i="14" s="1"/>
  <c r="AG52" i="1" s="1"/>
  <c r="AB22" i="14"/>
  <c r="AB51" i="14" s="1" a="1"/>
  <c r="AB51" i="14" s="1"/>
  <c r="AF52" i="1" s="1"/>
  <c r="AA22" i="14"/>
  <c r="AA51" i="14" s="1" a="1"/>
  <c r="AA51" i="14" s="1"/>
  <c r="AE52" i="1" s="1"/>
  <c r="Z22" i="14"/>
  <c r="Z51" i="14" s="1" a="1"/>
  <c r="Z51" i="14" s="1"/>
  <c r="AD52" i="1" s="1"/>
  <c r="Y22" i="14"/>
  <c r="Y51" i="14" s="1" a="1"/>
  <c r="Y51" i="14" s="1"/>
  <c r="AC52" i="1" s="1"/>
  <c r="X22" i="14"/>
  <c r="X51" i="14" s="1" a="1"/>
  <c r="X51" i="14" s="1"/>
  <c r="AB52" i="1" s="1"/>
  <c r="W22" i="14"/>
  <c r="W51" i="14" s="1" a="1"/>
  <c r="W51" i="14" s="1"/>
  <c r="AA52" i="1" s="1"/>
  <c r="V22" i="14"/>
  <c r="V51" i="14" s="1" a="1"/>
  <c r="V51" i="14" s="1"/>
  <c r="Z52" i="1" s="1"/>
  <c r="U22" i="14"/>
  <c r="U51" i="14" s="1" a="1"/>
  <c r="U51" i="14" s="1"/>
  <c r="Y52" i="1" s="1"/>
  <c r="T22" i="14"/>
  <c r="T51" i="14" s="1" a="1"/>
  <c r="T51" i="14" s="1"/>
  <c r="X52" i="1" s="1"/>
  <c r="S22" i="14"/>
  <c r="S51" i="14" s="1" a="1"/>
  <c r="S51" i="14" s="1"/>
  <c r="W52" i="1" s="1"/>
  <c r="R22" i="14"/>
  <c r="R51" i="14" s="1" a="1"/>
  <c r="R51" i="14" s="1"/>
  <c r="V52" i="1" s="1"/>
  <c r="Q22" i="14"/>
  <c r="Q51" i="14" s="1" a="1"/>
  <c r="Q51" i="14" s="1"/>
  <c r="U52" i="1" s="1"/>
  <c r="P22" i="14"/>
  <c r="P51" i="14" s="1" a="1"/>
  <c r="P51" i="14" s="1"/>
  <c r="T52" i="1" s="1"/>
  <c r="O22" i="14"/>
  <c r="O51" i="14" s="1" a="1"/>
  <c r="O51" i="14" s="1"/>
  <c r="S52" i="1" s="1"/>
  <c r="N22" i="14"/>
  <c r="N51" i="14" s="1" a="1"/>
  <c r="N51" i="14" s="1"/>
  <c r="R52" i="1" s="1"/>
  <c r="M22" i="14"/>
  <c r="M51" i="14" s="1" a="1"/>
  <c r="M51" i="14" s="1"/>
  <c r="Q52" i="1" s="1"/>
  <c r="L22" i="14"/>
  <c r="L51" i="14" s="1" a="1"/>
  <c r="L51" i="14" s="1"/>
  <c r="P52" i="1" s="1"/>
  <c r="K22" i="14"/>
  <c r="K51" i="14" s="1" a="1"/>
  <c r="K51" i="14" s="1"/>
  <c r="O52" i="1" s="1"/>
  <c r="J22" i="14"/>
  <c r="J51" i="14" s="1" a="1"/>
  <c r="J51" i="14" s="1"/>
  <c r="N52" i="1" s="1"/>
  <c r="I22" i="14"/>
  <c r="I51" i="14" s="1" a="1"/>
  <c r="I51" i="14" s="1"/>
  <c r="M52" i="1" s="1"/>
  <c r="H22" i="14"/>
  <c r="H51" i="14" s="1" a="1"/>
  <c r="H51" i="14" s="1"/>
  <c r="L52" i="1" s="1"/>
  <c r="G22" i="14"/>
  <c r="G51" i="14" s="1" a="1"/>
  <c r="G51" i="14" s="1"/>
  <c r="K52" i="1" s="1"/>
  <c r="F22" i="14"/>
  <c r="F51" i="14" s="1" a="1"/>
  <c r="F51" i="14" s="1"/>
  <c r="J52" i="1" s="1"/>
  <c r="E22" i="14"/>
  <c r="E51" i="14" s="1" a="1"/>
  <c r="E51" i="14" s="1"/>
  <c r="I52" i="1" s="1"/>
  <c r="D22" i="14"/>
  <c r="D51" i="14" s="1" a="1"/>
  <c r="D51" i="14" s="1"/>
  <c r="H52" i="1" s="1"/>
  <c r="C22" i="14"/>
  <c r="C51" i="14" s="1" a="1"/>
  <c r="C51" i="14" s="1"/>
  <c r="G52" i="1" s="1"/>
  <c r="B22" i="14"/>
  <c r="B51" i="14" s="1" a="1"/>
  <c r="B51" i="14" s="1"/>
  <c r="F52" i="1" s="1"/>
  <c r="AK21" i="14"/>
  <c r="AK50" i="14" s="1" a="1"/>
  <c r="AK50" i="14" s="1"/>
  <c r="AO51" i="1" s="1"/>
  <c r="AJ21" i="14"/>
  <c r="AJ50" i="14" s="1" a="1"/>
  <c r="AJ50" i="14" s="1"/>
  <c r="AN51" i="1" s="1"/>
  <c r="AI21" i="14"/>
  <c r="AI50" i="14" s="1" a="1"/>
  <c r="AI50" i="14" s="1"/>
  <c r="AM51" i="1" s="1"/>
  <c r="AH21" i="14"/>
  <c r="AH50" i="14" s="1" a="1"/>
  <c r="AH50" i="14" s="1"/>
  <c r="AL51" i="1" s="1"/>
  <c r="AG21" i="14"/>
  <c r="AG50" i="14" s="1" a="1"/>
  <c r="AG50" i="14" s="1"/>
  <c r="AK51" i="1" s="1"/>
  <c r="AF21" i="14"/>
  <c r="AF50" i="14" s="1" a="1"/>
  <c r="AF50" i="14" s="1"/>
  <c r="AJ51" i="1" s="1"/>
  <c r="AE21" i="14"/>
  <c r="AE50" i="14" s="1" a="1"/>
  <c r="AE50" i="14" s="1"/>
  <c r="AI51" i="1" s="1"/>
  <c r="AD21" i="14"/>
  <c r="AD50" i="14" s="1" a="1"/>
  <c r="AD50" i="14" s="1"/>
  <c r="AH51" i="1" s="1"/>
  <c r="AC21" i="14"/>
  <c r="AC50" i="14" s="1" a="1"/>
  <c r="AC50" i="14" s="1"/>
  <c r="AG51" i="1" s="1"/>
  <c r="AB21" i="14"/>
  <c r="AB50" i="14" s="1" a="1"/>
  <c r="AB50" i="14" s="1"/>
  <c r="AF51" i="1" s="1"/>
  <c r="AA21" i="14"/>
  <c r="AA50" i="14" s="1" a="1"/>
  <c r="AA50" i="14" s="1"/>
  <c r="AE51" i="1" s="1"/>
  <c r="Z21" i="14"/>
  <c r="Z50" i="14" s="1" a="1"/>
  <c r="Z50" i="14" s="1"/>
  <c r="AD51" i="1" s="1"/>
  <c r="Y21" i="14"/>
  <c r="Y50" i="14" s="1" a="1"/>
  <c r="Y50" i="14" s="1"/>
  <c r="AC51" i="1" s="1"/>
  <c r="X21" i="14"/>
  <c r="X50" i="14" s="1" a="1"/>
  <c r="X50" i="14" s="1"/>
  <c r="AB51" i="1" s="1"/>
  <c r="W21" i="14"/>
  <c r="W50" i="14" s="1" a="1"/>
  <c r="W50" i="14" s="1"/>
  <c r="AA51" i="1" s="1"/>
  <c r="V21" i="14"/>
  <c r="V50" i="14" s="1" a="1"/>
  <c r="V50" i="14" s="1"/>
  <c r="Z51" i="1" s="1"/>
  <c r="U21" i="14"/>
  <c r="U50" i="14" s="1" a="1"/>
  <c r="U50" i="14" s="1"/>
  <c r="Y51" i="1" s="1"/>
  <c r="T21" i="14"/>
  <c r="T50" i="14" s="1" a="1"/>
  <c r="T50" i="14" s="1"/>
  <c r="X51" i="1" s="1"/>
  <c r="S21" i="14"/>
  <c r="S50" i="14" s="1" a="1"/>
  <c r="S50" i="14" s="1"/>
  <c r="W51" i="1" s="1"/>
  <c r="R21" i="14"/>
  <c r="R50" i="14" s="1" a="1"/>
  <c r="R50" i="14" s="1"/>
  <c r="V51" i="1" s="1"/>
  <c r="Q21" i="14"/>
  <c r="Q50" i="14" s="1" a="1"/>
  <c r="Q50" i="14" s="1"/>
  <c r="U51" i="1" s="1"/>
  <c r="P21" i="14"/>
  <c r="P50" i="14" s="1" a="1"/>
  <c r="P50" i="14" s="1"/>
  <c r="T51" i="1" s="1"/>
  <c r="O21" i="14"/>
  <c r="O50" i="14" s="1" a="1"/>
  <c r="O50" i="14" s="1"/>
  <c r="S51" i="1" s="1"/>
  <c r="N21" i="14"/>
  <c r="N50" i="14" s="1" a="1"/>
  <c r="N50" i="14" s="1"/>
  <c r="R51" i="1" s="1"/>
  <c r="M21" i="14"/>
  <c r="M50" i="14" s="1" a="1"/>
  <c r="M50" i="14" s="1"/>
  <c r="Q51" i="1" s="1"/>
  <c r="L21" i="14"/>
  <c r="L50" i="14" s="1" a="1"/>
  <c r="L50" i="14" s="1"/>
  <c r="P51" i="1" s="1"/>
  <c r="K21" i="14"/>
  <c r="K50" i="14" s="1" a="1"/>
  <c r="K50" i="14" s="1"/>
  <c r="O51" i="1" s="1"/>
  <c r="J21" i="14"/>
  <c r="J50" i="14" s="1" a="1"/>
  <c r="J50" i="14" s="1"/>
  <c r="N51" i="1" s="1"/>
  <c r="I21" i="14"/>
  <c r="I50" i="14" s="1" a="1"/>
  <c r="I50" i="14" s="1"/>
  <c r="M51" i="1" s="1"/>
  <c r="H21" i="14"/>
  <c r="H50" i="14" s="1" a="1"/>
  <c r="H50" i="14" s="1"/>
  <c r="L51" i="1" s="1"/>
  <c r="G21" i="14"/>
  <c r="G50" i="14" s="1" a="1"/>
  <c r="G50" i="14" s="1"/>
  <c r="K51" i="1" s="1"/>
  <c r="F21" i="14"/>
  <c r="F50" i="14" s="1" a="1"/>
  <c r="F50" i="14" s="1"/>
  <c r="J51" i="1" s="1"/>
  <c r="E21" i="14"/>
  <c r="E50" i="14" s="1" a="1"/>
  <c r="E50" i="14" s="1"/>
  <c r="I51" i="1" s="1"/>
  <c r="D21" i="14"/>
  <c r="D50" i="14" s="1" a="1"/>
  <c r="D50" i="14" s="1"/>
  <c r="H51" i="1" s="1"/>
  <c r="C21" i="14"/>
  <c r="C50" i="14" s="1" a="1"/>
  <c r="C50" i="14" s="1"/>
  <c r="G51" i="1" s="1"/>
  <c r="B21" i="14"/>
  <c r="B50" i="14" s="1" a="1"/>
  <c r="B50" i="14" s="1"/>
  <c r="F51" i="1" s="1"/>
  <c r="AK20" i="14"/>
  <c r="AK49" i="14" s="1" a="1"/>
  <c r="AK49" i="14" s="1"/>
  <c r="AO50" i="1" s="1"/>
  <c r="AJ20" i="14"/>
  <c r="AJ49" i="14" s="1" a="1"/>
  <c r="AJ49" i="14" s="1"/>
  <c r="AN50" i="1" s="1"/>
  <c r="AI20" i="14"/>
  <c r="AI49" i="14" s="1" a="1"/>
  <c r="AI49" i="14" s="1"/>
  <c r="AM50" i="1" s="1"/>
  <c r="AH20" i="14"/>
  <c r="AH49" i="14" s="1" a="1"/>
  <c r="AH49" i="14" s="1"/>
  <c r="AL50" i="1" s="1"/>
  <c r="AG20" i="14"/>
  <c r="AG49" i="14" s="1" a="1"/>
  <c r="AG49" i="14" s="1"/>
  <c r="AK50" i="1" s="1"/>
  <c r="AF20" i="14"/>
  <c r="AF49" i="14" s="1" a="1"/>
  <c r="AF49" i="14" s="1"/>
  <c r="AJ50" i="1" s="1"/>
  <c r="AE20" i="14"/>
  <c r="AE49" i="14" s="1" a="1"/>
  <c r="AE49" i="14" s="1"/>
  <c r="AI50" i="1" s="1"/>
  <c r="AD20" i="14"/>
  <c r="AD49" i="14" s="1" a="1"/>
  <c r="AD49" i="14" s="1"/>
  <c r="AH50" i="1" s="1"/>
  <c r="AC20" i="14"/>
  <c r="AC49" i="14" s="1" a="1"/>
  <c r="AC49" i="14" s="1"/>
  <c r="AG50" i="1" s="1"/>
  <c r="AB20" i="14"/>
  <c r="AB49" i="14" s="1" a="1"/>
  <c r="AB49" i="14" s="1"/>
  <c r="AF50" i="1" s="1"/>
  <c r="AA20" i="14"/>
  <c r="AA49" i="14" s="1" a="1"/>
  <c r="AA49" i="14" s="1"/>
  <c r="AE50" i="1" s="1"/>
  <c r="Z20" i="14"/>
  <c r="Z49" i="14" s="1" a="1"/>
  <c r="Z49" i="14" s="1"/>
  <c r="AD50" i="1" s="1"/>
  <c r="Y20" i="14"/>
  <c r="Y49" i="14" s="1" a="1"/>
  <c r="Y49" i="14" s="1"/>
  <c r="AC50" i="1" s="1"/>
  <c r="X20" i="14"/>
  <c r="X49" i="14" s="1" a="1"/>
  <c r="X49" i="14" s="1"/>
  <c r="AB50" i="1" s="1"/>
  <c r="W20" i="14"/>
  <c r="W49" i="14" s="1" a="1"/>
  <c r="W49" i="14" s="1"/>
  <c r="AA50" i="1" s="1"/>
  <c r="V20" i="14"/>
  <c r="V49" i="14" s="1" a="1"/>
  <c r="V49" i="14" s="1"/>
  <c r="Z50" i="1" s="1"/>
  <c r="U20" i="14"/>
  <c r="U49" i="14" s="1" a="1"/>
  <c r="U49" i="14" s="1"/>
  <c r="Y50" i="1" s="1"/>
  <c r="T20" i="14"/>
  <c r="T49" i="14" s="1" a="1"/>
  <c r="T49" i="14" s="1"/>
  <c r="X50" i="1" s="1"/>
  <c r="S20" i="14"/>
  <c r="S49" i="14" s="1" a="1"/>
  <c r="S49" i="14" s="1"/>
  <c r="W50" i="1" s="1"/>
  <c r="R20" i="14"/>
  <c r="R49" i="14" s="1" a="1"/>
  <c r="R49" i="14" s="1"/>
  <c r="V50" i="1" s="1"/>
  <c r="Q20" i="14"/>
  <c r="Q49" i="14" s="1" a="1"/>
  <c r="Q49" i="14" s="1"/>
  <c r="U50" i="1" s="1"/>
  <c r="P20" i="14"/>
  <c r="P49" i="14" s="1" a="1"/>
  <c r="P49" i="14" s="1"/>
  <c r="T50" i="1" s="1"/>
  <c r="O20" i="14"/>
  <c r="O49" i="14" s="1" a="1"/>
  <c r="O49" i="14" s="1"/>
  <c r="S50" i="1" s="1"/>
  <c r="N20" i="14"/>
  <c r="N49" i="14" s="1" a="1"/>
  <c r="N49" i="14" s="1"/>
  <c r="R50" i="1" s="1"/>
  <c r="M20" i="14"/>
  <c r="M49" i="14" s="1" a="1"/>
  <c r="M49" i="14" s="1"/>
  <c r="Q50" i="1" s="1"/>
  <c r="L20" i="14"/>
  <c r="L49" i="14" s="1" a="1"/>
  <c r="L49" i="14" s="1"/>
  <c r="P50" i="1" s="1"/>
  <c r="K20" i="14"/>
  <c r="K49" i="14" s="1" a="1"/>
  <c r="K49" i="14" s="1"/>
  <c r="O50" i="1" s="1"/>
  <c r="J20" i="14"/>
  <c r="J49" i="14" s="1" a="1"/>
  <c r="J49" i="14" s="1"/>
  <c r="N50" i="1" s="1"/>
  <c r="I20" i="14"/>
  <c r="I49" i="14" s="1" a="1"/>
  <c r="I49" i="14" s="1"/>
  <c r="M50" i="1" s="1"/>
  <c r="H20" i="14"/>
  <c r="H49" i="14" s="1" a="1"/>
  <c r="H49" i="14" s="1"/>
  <c r="L50" i="1" s="1"/>
  <c r="G20" i="14"/>
  <c r="G49" i="14" s="1" a="1"/>
  <c r="G49" i="14" s="1"/>
  <c r="K50" i="1" s="1"/>
  <c r="F20" i="14"/>
  <c r="F49" i="14" s="1" a="1"/>
  <c r="F49" i="14" s="1"/>
  <c r="J50" i="1" s="1"/>
  <c r="E20" i="14"/>
  <c r="E49" i="14" s="1" a="1"/>
  <c r="E49" i="14" s="1"/>
  <c r="I50" i="1" s="1"/>
  <c r="D20" i="14"/>
  <c r="D49" i="14" s="1" a="1"/>
  <c r="D49" i="14" s="1"/>
  <c r="H50" i="1" s="1"/>
  <c r="C20" i="14"/>
  <c r="C49" i="14" s="1" a="1"/>
  <c r="C49" i="14" s="1"/>
  <c r="G50" i="1" s="1"/>
  <c r="B20" i="14"/>
  <c r="B49" i="14" s="1" a="1"/>
  <c r="B49" i="14" s="1"/>
  <c r="F50" i="1" s="1"/>
  <c r="AK19" i="14"/>
  <c r="AK48" i="14" s="1" a="1"/>
  <c r="AK48" i="14" s="1"/>
  <c r="AO49" i="1" s="1"/>
  <c r="AJ19" i="14"/>
  <c r="AJ48" i="14" s="1" a="1"/>
  <c r="AJ48" i="14" s="1"/>
  <c r="AN49" i="1" s="1"/>
  <c r="AI19" i="14"/>
  <c r="AI48" i="14" s="1" a="1"/>
  <c r="AI48" i="14" s="1"/>
  <c r="AM49" i="1" s="1"/>
  <c r="AH19" i="14"/>
  <c r="AH48" i="14" s="1" a="1"/>
  <c r="AH48" i="14" s="1"/>
  <c r="AL49" i="1" s="1"/>
  <c r="AG19" i="14"/>
  <c r="AG48" i="14" s="1" a="1"/>
  <c r="AG48" i="14" s="1"/>
  <c r="AK49" i="1" s="1"/>
  <c r="AF19" i="14"/>
  <c r="AF48" i="14" s="1" a="1"/>
  <c r="AF48" i="14" s="1"/>
  <c r="AJ49" i="1" s="1"/>
  <c r="AE19" i="14"/>
  <c r="AE48" i="14" s="1" a="1"/>
  <c r="AE48" i="14" s="1"/>
  <c r="AI49" i="1" s="1"/>
  <c r="AD19" i="14"/>
  <c r="AD48" i="14" s="1" a="1"/>
  <c r="AD48" i="14" s="1"/>
  <c r="AH49" i="1" s="1"/>
  <c r="AC19" i="14"/>
  <c r="AC48" i="14" s="1" a="1"/>
  <c r="AC48" i="14" s="1"/>
  <c r="AG49" i="1" s="1"/>
  <c r="AB19" i="14"/>
  <c r="AB48" i="14" s="1" a="1"/>
  <c r="AB48" i="14" s="1"/>
  <c r="AF49" i="1" s="1"/>
  <c r="AA19" i="14"/>
  <c r="AA48" i="14" s="1" a="1"/>
  <c r="AA48" i="14" s="1"/>
  <c r="AE49" i="1" s="1"/>
  <c r="Z19" i="14"/>
  <c r="Z48" i="14" s="1" a="1"/>
  <c r="Z48" i="14" s="1"/>
  <c r="AD49" i="1" s="1"/>
  <c r="Y19" i="14"/>
  <c r="Y48" i="14" s="1" a="1"/>
  <c r="Y48" i="14" s="1"/>
  <c r="AC49" i="1" s="1"/>
  <c r="X19" i="14"/>
  <c r="X48" i="14" s="1" a="1"/>
  <c r="X48" i="14" s="1"/>
  <c r="AB49" i="1" s="1"/>
  <c r="W19" i="14"/>
  <c r="W48" i="14" s="1" a="1"/>
  <c r="W48" i="14" s="1"/>
  <c r="AA49" i="1" s="1"/>
  <c r="V19" i="14"/>
  <c r="V48" i="14" s="1" a="1"/>
  <c r="V48" i="14" s="1"/>
  <c r="Z49" i="1" s="1"/>
  <c r="U19" i="14"/>
  <c r="U48" i="14" s="1" a="1"/>
  <c r="U48" i="14" s="1"/>
  <c r="Y49" i="1" s="1"/>
  <c r="T19" i="14"/>
  <c r="T48" i="14" s="1" a="1"/>
  <c r="T48" i="14" s="1"/>
  <c r="X49" i="1" s="1"/>
  <c r="S19" i="14"/>
  <c r="S48" i="14" s="1" a="1"/>
  <c r="S48" i="14" s="1"/>
  <c r="W49" i="1" s="1"/>
  <c r="R19" i="14"/>
  <c r="R48" i="14" s="1" a="1"/>
  <c r="R48" i="14" s="1"/>
  <c r="V49" i="1" s="1"/>
  <c r="Q19" i="14"/>
  <c r="Q48" i="14" s="1" a="1"/>
  <c r="Q48" i="14" s="1"/>
  <c r="U49" i="1" s="1"/>
  <c r="P19" i="14"/>
  <c r="P48" i="14" s="1" a="1"/>
  <c r="P48" i="14" s="1"/>
  <c r="T49" i="1" s="1"/>
  <c r="O19" i="14"/>
  <c r="O48" i="14" s="1" a="1"/>
  <c r="O48" i="14" s="1"/>
  <c r="S49" i="1" s="1"/>
  <c r="N19" i="14"/>
  <c r="N48" i="14" s="1" a="1"/>
  <c r="N48" i="14" s="1"/>
  <c r="R49" i="1" s="1"/>
  <c r="M19" i="14"/>
  <c r="M48" i="14" s="1" a="1"/>
  <c r="M48" i="14" s="1"/>
  <c r="Q49" i="1" s="1"/>
  <c r="L19" i="14"/>
  <c r="L48" i="14" s="1" a="1"/>
  <c r="L48" i="14" s="1"/>
  <c r="P49" i="1" s="1"/>
  <c r="K19" i="14"/>
  <c r="K48" i="14" s="1" a="1"/>
  <c r="K48" i="14" s="1"/>
  <c r="O49" i="1" s="1"/>
  <c r="J19" i="14"/>
  <c r="J48" i="14" s="1" a="1"/>
  <c r="J48" i="14" s="1"/>
  <c r="N49" i="1" s="1"/>
  <c r="I19" i="14"/>
  <c r="I48" i="14" s="1" a="1"/>
  <c r="I48" i="14" s="1"/>
  <c r="M49" i="1" s="1"/>
  <c r="H19" i="14"/>
  <c r="H48" i="14" s="1" a="1"/>
  <c r="H48" i="14" s="1"/>
  <c r="L49" i="1" s="1"/>
  <c r="G19" i="14"/>
  <c r="G48" i="14" s="1" a="1"/>
  <c r="G48" i="14" s="1"/>
  <c r="K49" i="1" s="1"/>
  <c r="F19" i="14"/>
  <c r="F48" i="14" s="1" a="1"/>
  <c r="F48" i="14" s="1"/>
  <c r="J49" i="1" s="1"/>
  <c r="E19" i="14"/>
  <c r="E48" i="14" s="1" a="1"/>
  <c r="E48" i="14" s="1"/>
  <c r="I49" i="1" s="1"/>
  <c r="D19" i="14"/>
  <c r="D48" i="14" s="1" a="1"/>
  <c r="D48" i="14" s="1"/>
  <c r="H49" i="1" s="1"/>
  <c r="C19" i="14"/>
  <c r="C48" i="14" s="1" a="1"/>
  <c r="C48" i="14" s="1"/>
  <c r="G49" i="1" s="1"/>
  <c r="B19" i="14"/>
  <c r="B48" i="14" s="1" a="1"/>
  <c r="B48" i="14" s="1"/>
  <c r="F49" i="1" s="1"/>
  <c r="AL18" i="14"/>
  <c r="AL47" i="14" s="1" a="1"/>
  <c r="AL47" i="14" s="1"/>
  <c r="AP48" i="1" s="1"/>
  <c r="AK18" i="14"/>
  <c r="AK47" i="14" s="1" a="1"/>
  <c r="AK47" i="14" s="1"/>
  <c r="AO48" i="1" s="1"/>
  <c r="AJ18" i="14"/>
  <c r="AJ47" i="14" s="1" a="1"/>
  <c r="AJ47" i="14" s="1"/>
  <c r="AN48" i="1" s="1"/>
  <c r="AI18" i="14"/>
  <c r="AI47" i="14" s="1" a="1"/>
  <c r="AI47" i="14" s="1"/>
  <c r="AM48" i="1" s="1"/>
  <c r="AH18" i="14"/>
  <c r="AH47" i="14" s="1" a="1"/>
  <c r="AH47" i="14" s="1"/>
  <c r="AL48" i="1" s="1"/>
  <c r="AG18" i="14"/>
  <c r="AG47" i="14" s="1" a="1"/>
  <c r="AG47" i="14" s="1"/>
  <c r="AK48" i="1" s="1"/>
  <c r="AF18" i="14"/>
  <c r="AF47" i="14" s="1" a="1"/>
  <c r="AF47" i="14" s="1"/>
  <c r="AJ48" i="1" s="1"/>
  <c r="AE18" i="14"/>
  <c r="AE47" i="14" s="1" a="1"/>
  <c r="AE47" i="14" s="1"/>
  <c r="AI48" i="1" s="1"/>
  <c r="AD18" i="14"/>
  <c r="AD47" i="14" s="1" a="1"/>
  <c r="AD47" i="14" s="1"/>
  <c r="AH48" i="1" s="1"/>
  <c r="AC18" i="14"/>
  <c r="AC47" i="14" s="1" a="1"/>
  <c r="AC47" i="14" s="1"/>
  <c r="AG48" i="1" s="1"/>
  <c r="AB18" i="14"/>
  <c r="AB47" i="14" s="1" a="1"/>
  <c r="AB47" i="14" s="1"/>
  <c r="AF48" i="1" s="1"/>
  <c r="AA18" i="14"/>
  <c r="AA47" i="14" s="1" a="1"/>
  <c r="AA47" i="14" s="1"/>
  <c r="AE48" i="1" s="1"/>
  <c r="Z18" i="14"/>
  <c r="Z47" i="14" s="1" a="1"/>
  <c r="Z47" i="14" s="1"/>
  <c r="AD48" i="1" s="1"/>
  <c r="Y18" i="14"/>
  <c r="Y47" i="14" s="1" a="1"/>
  <c r="Y47" i="14" s="1"/>
  <c r="AC48" i="1" s="1"/>
  <c r="X18" i="14"/>
  <c r="X47" i="14" s="1" a="1"/>
  <c r="X47" i="14" s="1"/>
  <c r="AB48" i="1" s="1"/>
  <c r="W18" i="14"/>
  <c r="W47" i="14" s="1" a="1"/>
  <c r="W47" i="14" s="1"/>
  <c r="AA48" i="1" s="1"/>
  <c r="V18" i="14"/>
  <c r="V47" i="14" s="1" a="1"/>
  <c r="V47" i="14" s="1"/>
  <c r="Z48" i="1" s="1"/>
  <c r="U18" i="14"/>
  <c r="U47" i="14" s="1" a="1"/>
  <c r="U47" i="14" s="1"/>
  <c r="Y48" i="1" s="1"/>
  <c r="T18" i="14"/>
  <c r="T47" i="14" s="1" a="1"/>
  <c r="T47" i="14" s="1"/>
  <c r="X48" i="1" s="1"/>
  <c r="S18" i="14"/>
  <c r="S47" i="14" s="1" a="1"/>
  <c r="S47" i="14" s="1"/>
  <c r="W48" i="1" s="1"/>
  <c r="R18" i="14"/>
  <c r="R47" i="14" s="1" a="1"/>
  <c r="R47" i="14" s="1"/>
  <c r="V48" i="1" s="1"/>
  <c r="Q18" i="14"/>
  <c r="Q47" i="14" s="1" a="1"/>
  <c r="Q47" i="14" s="1"/>
  <c r="U48" i="1" s="1"/>
  <c r="P18" i="14"/>
  <c r="P47" i="14" s="1" a="1"/>
  <c r="P47" i="14" s="1"/>
  <c r="T48" i="1" s="1"/>
  <c r="O18" i="14"/>
  <c r="O47" i="14" s="1" a="1"/>
  <c r="O47" i="14" s="1"/>
  <c r="S48" i="1" s="1"/>
  <c r="N18" i="14"/>
  <c r="N47" i="14" s="1" a="1"/>
  <c r="N47" i="14" s="1"/>
  <c r="R48" i="1" s="1"/>
  <c r="M18" i="14"/>
  <c r="M47" i="14" s="1" a="1"/>
  <c r="M47" i="14" s="1"/>
  <c r="Q48" i="1" s="1"/>
  <c r="L18" i="14"/>
  <c r="L47" i="14" s="1" a="1"/>
  <c r="L47" i="14" s="1"/>
  <c r="P48" i="1" s="1"/>
  <c r="K18" i="14"/>
  <c r="K47" i="14" s="1" a="1"/>
  <c r="K47" i="14" s="1"/>
  <c r="O48" i="1" s="1"/>
  <c r="J18" i="14"/>
  <c r="J47" i="14" s="1" a="1"/>
  <c r="J47" i="14" s="1"/>
  <c r="N48" i="1" s="1"/>
  <c r="I18" i="14"/>
  <c r="I47" i="14" s="1" a="1"/>
  <c r="I47" i="14" s="1"/>
  <c r="M48" i="1" s="1"/>
  <c r="H18" i="14"/>
  <c r="H47" i="14" s="1" a="1"/>
  <c r="H47" i="14" s="1"/>
  <c r="L48" i="1" s="1"/>
  <c r="G18" i="14"/>
  <c r="G47" i="14" s="1" a="1"/>
  <c r="G47" i="14" s="1"/>
  <c r="K48" i="1" s="1"/>
  <c r="F18" i="14"/>
  <c r="F47" i="14" s="1" a="1"/>
  <c r="F47" i="14" s="1"/>
  <c r="J48" i="1" s="1"/>
  <c r="E18" i="14"/>
  <c r="E47" i="14" s="1" a="1"/>
  <c r="E47" i="14" s="1"/>
  <c r="I48" i="1" s="1"/>
  <c r="D18" i="14"/>
  <c r="D47" i="14" s="1" a="1"/>
  <c r="D47" i="14" s="1"/>
  <c r="H48" i="1" s="1"/>
  <c r="C18" i="14"/>
  <c r="C47" i="14" s="1" a="1"/>
  <c r="C47" i="14" s="1"/>
  <c r="G48" i="1" s="1"/>
  <c r="B18" i="14"/>
  <c r="B47" i="14" s="1" a="1"/>
  <c r="B47" i="14" s="1"/>
  <c r="F48" i="1" s="1"/>
  <c r="AI17" i="14"/>
  <c r="AI46" i="14" s="1" a="1"/>
  <c r="AI46" i="14" s="1"/>
  <c r="AM47" i="1" s="1"/>
  <c r="AH17" i="14"/>
  <c r="AH46" i="14" s="1" a="1"/>
  <c r="AH46" i="14" s="1"/>
  <c r="AL47" i="1" s="1"/>
  <c r="AG17" i="14"/>
  <c r="AG46" i="14" s="1" a="1"/>
  <c r="AG46" i="14" s="1"/>
  <c r="AK47" i="1" s="1"/>
  <c r="AF17" i="14"/>
  <c r="AF46" i="14" s="1" a="1"/>
  <c r="AF46" i="14" s="1"/>
  <c r="AJ47" i="1" s="1"/>
  <c r="AE17" i="14"/>
  <c r="AE46" i="14" s="1" a="1"/>
  <c r="AE46" i="14" s="1"/>
  <c r="AI47" i="1" s="1"/>
  <c r="AD17" i="14"/>
  <c r="AD46" i="14" s="1" a="1"/>
  <c r="AD46" i="14" s="1"/>
  <c r="AH47" i="1" s="1"/>
  <c r="AC17" i="14"/>
  <c r="AC46" i="14" s="1" a="1"/>
  <c r="AC46" i="14" s="1"/>
  <c r="AG47" i="1" s="1"/>
  <c r="AB17" i="14"/>
  <c r="AB46" i="14" s="1" a="1"/>
  <c r="AB46" i="14" s="1"/>
  <c r="AF47" i="1" s="1"/>
  <c r="AA17" i="14"/>
  <c r="AA46" i="14" s="1" a="1"/>
  <c r="AA46" i="14" s="1"/>
  <c r="AE47" i="1" s="1"/>
  <c r="Z17" i="14"/>
  <c r="Z46" i="14" s="1" a="1"/>
  <c r="Z46" i="14" s="1"/>
  <c r="AD47" i="1" s="1"/>
  <c r="Y17" i="14"/>
  <c r="Y46" i="14" s="1" a="1"/>
  <c r="Y46" i="14" s="1"/>
  <c r="AC47" i="1" s="1"/>
  <c r="X17" i="14"/>
  <c r="X46" i="14" s="1" a="1"/>
  <c r="X46" i="14" s="1"/>
  <c r="AB47" i="1" s="1"/>
  <c r="W17" i="14"/>
  <c r="W46" i="14" s="1" a="1"/>
  <c r="W46" i="14" s="1"/>
  <c r="AA47" i="1" s="1"/>
  <c r="V17" i="14"/>
  <c r="V46" i="14" s="1" a="1"/>
  <c r="V46" i="14" s="1"/>
  <c r="Z47" i="1" s="1"/>
  <c r="U17" i="14"/>
  <c r="U46" i="14" s="1" a="1"/>
  <c r="U46" i="14" s="1"/>
  <c r="Y47" i="1" s="1"/>
  <c r="T17" i="14"/>
  <c r="T46" i="14" s="1" a="1"/>
  <c r="T46" i="14" s="1"/>
  <c r="X47" i="1" s="1"/>
  <c r="S17" i="14"/>
  <c r="S46" i="14" s="1" a="1"/>
  <c r="S46" i="14" s="1"/>
  <c r="W47" i="1" s="1"/>
  <c r="R17" i="14"/>
  <c r="R46" i="14" s="1" a="1"/>
  <c r="R46" i="14" s="1"/>
  <c r="V47" i="1" s="1"/>
  <c r="Q17" i="14"/>
  <c r="Q46" i="14" s="1" a="1"/>
  <c r="Q46" i="14" s="1"/>
  <c r="U47" i="1" s="1"/>
  <c r="P17" i="14"/>
  <c r="P46" i="14" s="1" a="1"/>
  <c r="P46" i="14" s="1"/>
  <c r="T47" i="1" s="1"/>
  <c r="O17" i="14"/>
  <c r="O46" i="14" s="1" a="1"/>
  <c r="O46" i="14" s="1"/>
  <c r="S47" i="1" s="1"/>
  <c r="N17" i="14"/>
  <c r="N46" i="14" s="1" a="1"/>
  <c r="N46" i="14" s="1"/>
  <c r="R47" i="1" s="1"/>
  <c r="M17" i="14"/>
  <c r="M46" i="14" s="1" a="1"/>
  <c r="M46" i="14" s="1"/>
  <c r="Q47" i="1" s="1"/>
  <c r="L17" i="14"/>
  <c r="L46" i="14" s="1" a="1"/>
  <c r="L46" i="14" s="1"/>
  <c r="P47" i="1" s="1"/>
  <c r="K17" i="14"/>
  <c r="K46" i="14" s="1" a="1"/>
  <c r="K46" i="14" s="1"/>
  <c r="O47" i="1" s="1"/>
  <c r="J17" i="14"/>
  <c r="J46" i="14" s="1" a="1"/>
  <c r="J46" i="14" s="1"/>
  <c r="N47" i="1" s="1"/>
  <c r="I17" i="14"/>
  <c r="I46" i="14" s="1" a="1"/>
  <c r="I46" i="14" s="1"/>
  <c r="M47" i="1" s="1"/>
  <c r="H17" i="14"/>
  <c r="H46" i="14" s="1" a="1"/>
  <c r="H46" i="14" s="1"/>
  <c r="L47" i="1" s="1"/>
  <c r="G17" i="14"/>
  <c r="G46" i="14" s="1" a="1"/>
  <c r="G46" i="14" s="1"/>
  <c r="K47" i="1" s="1"/>
  <c r="F17" i="14"/>
  <c r="F46" i="14" s="1" a="1"/>
  <c r="F46" i="14" s="1"/>
  <c r="J47" i="1" s="1"/>
  <c r="E17" i="14"/>
  <c r="E46" i="14" s="1" a="1"/>
  <c r="E46" i="14" s="1"/>
  <c r="I47" i="1" s="1"/>
  <c r="D17" i="14"/>
  <c r="D46" i="14" s="1" a="1"/>
  <c r="D46" i="14" s="1"/>
  <c r="H47" i="1" s="1"/>
  <c r="C17" i="14"/>
  <c r="C46" i="14" s="1" a="1"/>
  <c r="C46" i="14" s="1"/>
  <c r="G47" i="1" s="1"/>
  <c r="B17" i="14"/>
  <c r="B46" i="14" s="1" a="1"/>
  <c r="B46" i="14" s="1"/>
  <c r="F47" i="1" s="1"/>
  <c r="AJ16" i="14"/>
  <c r="AJ45" i="14" s="1" a="1"/>
  <c r="AJ45" i="14" s="1"/>
  <c r="AN46" i="1" s="1"/>
  <c r="AI16" i="14"/>
  <c r="AI45" i="14" s="1" a="1"/>
  <c r="AI45" i="14" s="1"/>
  <c r="AM46" i="1" s="1"/>
  <c r="AH16" i="14"/>
  <c r="AH45" i="14" s="1" a="1"/>
  <c r="AH45" i="14" s="1"/>
  <c r="AL46" i="1" s="1"/>
  <c r="AG16" i="14"/>
  <c r="AG45" i="14" s="1" a="1"/>
  <c r="AG45" i="14" s="1"/>
  <c r="AK46" i="1" s="1"/>
  <c r="AF16" i="14"/>
  <c r="AF45" i="14" s="1" a="1"/>
  <c r="AF45" i="14" s="1"/>
  <c r="AJ46" i="1" s="1"/>
  <c r="AE16" i="14"/>
  <c r="AE45" i="14" s="1" a="1"/>
  <c r="AE45" i="14" s="1"/>
  <c r="AI46" i="1" s="1"/>
  <c r="AD16" i="14"/>
  <c r="AD45" i="14" s="1" a="1"/>
  <c r="AD45" i="14" s="1"/>
  <c r="AH46" i="1" s="1"/>
  <c r="AC16" i="14"/>
  <c r="AC45" i="14" s="1" a="1"/>
  <c r="AC45" i="14" s="1"/>
  <c r="AG46" i="1" s="1"/>
  <c r="AB16" i="14"/>
  <c r="AB45" i="14" s="1" a="1"/>
  <c r="AB45" i="14" s="1"/>
  <c r="AF46" i="1" s="1"/>
  <c r="AA16" i="14"/>
  <c r="AA45" i="14" s="1" a="1"/>
  <c r="AA45" i="14" s="1"/>
  <c r="AE46" i="1" s="1"/>
  <c r="Z16" i="14"/>
  <c r="Z45" i="14" s="1" a="1"/>
  <c r="Z45" i="14" s="1"/>
  <c r="AD46" i="1" s="1"/>
  <c r="Y16" i="14"/>
  <c r="Y45" i="14" s="1" a="1"/>
  <c r="Y45" i="14" s="1"/>
  <c r="AC46" i="1" s="1"/>
  <c r="X16" i="14"/>
  <c r="X45" i="14" s="1" a="1"/>
  <c r="X45" i="14" s="1"/>
  <c r="AB46" i="1" s="1"/>
  <c r="W16" i="14"/>
  <c r="W45" i="14" s="1" a="1"/>
  <c r="W45" i="14" s="1"/>
  <c r="AA46" i="1" s="1"/>
  <c r="V16" i="14"/>
  <c r="V45" i="14" s="1" a="1"/>
  <c r="V45" i="14" s="1"/>
  <c r="Z46" i="1" s="1"/>
  <c r="U16" i="14"/>
  <c r="U45" i="14" s="1" a="1"/>
  <c r="U45" i="14" s="1"/>
  <c r="Y46" i="1" s="1"/>
  <c r="T16" i="14"/>
  <c r="T45" i="14" s="1" a="1"/>
  <c r="T45" i="14" s="1"/>
  <c r="X46" i="1" s="1"/>
  <c r="S16" i="14"/>
  <c r="S45" i="14" s="1" a="1"/>
  <c r="S45" i="14" s="1"/>
  <c r="W46" i="1" s="1"/>
  <c r="R16" i="14"/>
  <c r="R45" i="14" s="1" a="1"/>
  <c r="R45" i="14" s="1"/>
  <c r="V46" i="1" s="1"/>
  <c r="Q16" i="14"/>
  <c r="Q45" i="14" s="1" a="1"/>
  <c r="Q45" i="14" s="1"/>
  <c r="U46" i="1" s="1"/>
  <c r="P16" i="14"/>
  <c r="P45" i="14" s="1" a="1"/>
  <c r="P45" i="14" s="1"/>
  <c r="T46" i="1" s="1"/>
  <c r="O16" i="14"/>
  <c r="O45" i="14" s="1" a="1"/>
  <c r="O45" i="14" s="1"/>
  <c r="S46" i="1" s="1"/>
  <c r="N16" i="14"/>
  <c r="N45" i="14" s="1" a="1"/>
  <c r="N45" i="14" s="1"/>
  <c r="R46" i="1" s="1"/>
  <c r="M16" i="14"/>
  <c r="M45" i="14" s="1" a="1"/>
  <c r="M45" i="14" s="1"/>
  <c r="Q46" i="1" s="1"/>
  <c r="L16" i="14"/>
  <c r="L45" i="14" s="1" a="1"/>
  <c r="L45" i="14" s="1"/>
  <c r="P46" i="1" s="1"/>
  <c r="K16" i="14"/>
  <c r="K45" i="14" s="1" a="1"/>
  <c r="K45" i="14" s="1"/>
  <c r="O46" i="1" s="1"/>
  <c r="J16" i="14"/>
  <c r="J45" i="14" s="1" a="1"/>
  <c r="J45" i="14" s="1"/>
  <c r="N46" i="1" s="1"/>
  <c r="I16" i="14"/>
  <c r="I45" i="14" s="1" a="1"/>
  <c r="I45" i="14" s="1"/>
  <c r="M46" i="1" s="1"/>
  <c r="H16" i="14"/>
  <c r="H45" i="14" s="1" a="1"/>
  <c r="H45" i="14" s="1"/>
  <c r="L46" i="1" s="1"/>
  <c r="G16" i="14"/>
  <c r="G45" i="14" s="1" a="1"/>
  <c r="G45" i="14" s="1"/>
  <c r="K46" i="1" s="1"/>
  <c r="F16" i="14"/>
  <c r="F45" i="14" s="1" a="1"/>
  <c r="F45" i="14" s="1"/>
  <c r="J46" i="1" s="1"/>
  <c r="E16" i="14"/>
  <c r="E45" i="14" s="1" a="1"/>
  <c r="E45" i="14" s="1"/>
  <c r="I46" i="1" s="1"/>
  <c r="D16" i="14"/>
  <c r="D45" i="14" s="1" a="1"/>
  <c r="D45" i="14" s="1"/>
  <c r="H46" i="1" s="1"/>
  <c r="C16" i="14"/>
  <c r="C45" i="14" s="1" a="1"/>
  <c r="C45" i="14" s="1"/>
  <c r="G46" i="1" s="1"/>
  <c r="B16" i="14"/>
  <c r="B45" i="14" s="1" a="1"/>
  <c r="B45" i="14" s="1"/>
  <c r="F46" i="1" s="1"/>
  <c r="AK15" i="14"/>
  <c r="AK44" i="14" s="1" a="1"/>
  <c r="AK44" i="14" s="1"/>
  <c r="AO45" i="1" s="1"/>
  <c r="AJ15" i="14"/>
  <c r="AJ44" i="14" s="1" a="1"/>
  <c r="AJ44" i="14" s="1"/>
  <c r="AN45" i="1" s="1"/>
  <c r="AI15" i="14"/>
  <c r="AI44" i="14" s="1" a="1"/>
  <c r="AI44" i="14" s="1"/>
  <c r="AM45" i="1" s="1"/>
  <c r="AH15" i="14"/>
  <c r="AH44" i="14" s="1" a="1"/>
  <c r="AH44" i="14" s="1"/>
  <c r="AL45" i="1" s="1"/>
  <c r="AG15" i="14"/>
  <c r="AG44" i="14" s="1" a="1"/>
  <c r="AG44" i="14" s="1"/>
  <c r="AK45" i="1" s="1"/>
  <c r="AF15" i="14"/>
  <c r="AF44" i="14" s="1" a="1"/>
  <c r="AF44" i="14" s="1"/>
  <c r="AJ45" i="1" s="1"/>
  <c r="AE15" i="14"/>
  <c r="AE44" i="14" s="1" a="1"/>
  <c r="AE44" i="14" s="1"/>
  <c r="AI45" i="1" s="1"/>
  <c r="AD15" i="14"/>
  <c r="AD44" i="14" s="1" a="1"/>
  <c r="AD44" i="14" s="1"/>
  <c r="AH45" i="1" s="1"/>
  <c r="AC15" i="14"/>
  <c r="AC44" i="14" s="1" a="1"/>
  <c r="AC44" i="14" s="1"/>
  <c r="AG45" i="1" s="1"/>
  <c r="AB15" i="14"/>
  <c r="AB44" i="14" s="1" a="1"/>
  <c r="AB44" i="14" s="1"/>
  <c r="AF45" i="1" s="1"/>
  <c r="AA15" i="14"/>
  <c r="AA44" i="14" s="1" a="1"/>
  <c r="AA44" i="14" s="1"/>
  <c r="AE45" i="1" s="1"/>
  <c r="Z15" i="14"/>
  <c r="Z44" i="14" s="1" a="1"/>
  <c r="Z44" i="14" s="1"/>
  <c r="AD45" i="1" s="1"/>
  <c r="Y15" i="14"/>
  <c r="Y44" i="14" s="1" a="1"/>
  <c r="Y44" i="14" s="1"/>
  <c r="AC45" i="1" s="1"/>
  <c r="X15" i="14"/>
  <c r="X44" i="14" s="1" a="1"/>
  <c r="X44" i="14" s="1"/>
  <c r="AB45" i="1" s="1"/>
  <c r="W15" i="14"/>
  <c r="W44" i="14" s="1" a="1"/>
  <c r="W44" i="14" s="1"/>
  <c r="AA45" i="1" s="1"/>
  <c r="V15" i="14"/>
  <c r="V44" i="14" s="1" a="1"/>
  <c r="V44" i="14" s="1"/>
  <c r="Z45" i="1" s="1"/>
  <c r="U15" i="14"/>
  <c r="U44" i="14" s="1" a="1"/>
  <c r="U44" i="14" s="1"/>
  <c r="Y45" i="1" s="1"/>
  <c r="T15" i="14"/>
  <c r="T44" i="14" s="1" a="1"/>
  <c r="T44" i="14" s="1"/>
  <c r="X45" i="1" s="1"/>
  <c r="S15" i="14"/>
  <c r="S44" i="14" s="1" a="1"/>
  <c r="S44" i="14" s="1"/>
  <c r="W45" i="1" s="1"/>
  <c r="R15" i="14"/>
  <c r="R44" i="14" s="1" a="1"/>
  <c r="R44" i="14" s="1"/>
  <c r="V45" i="1" s="1"/>
  <c r="Q15" i="14"/>
  <c r="Q44" i="14" s="1" a="1"/>
  <c r="Q44" i="14" s="1"/>
  <c r="U45" i="1" s="1"/>
  <c r="P15" i="14"/>
  <c r="P44" i="14" s="1" a="1"/>
  <c r="P44" i="14" s="1"/>
  <c r="T45" i="1" s="1"/>
  <c r="O15" i="14"/>
  <c r="O44" i="14" s="1" a="1"/>
  <c r="O44" i="14" s="1"/>
  <c r="S45" i="1" s="1"/>
  <c r="N15" i="14"/>
  <c r="N44" i="14" s="1" a="1"/>
  <c r="N44" i="14" s="1"/>
  <c r="R45" i="1" s="1"/>
  <c r="M15" i="14"/>
  <c r="M44" i="14" s="1" a="1"/>
  <c r="M44" i="14" s="1"/>
  <c r="Q45" i="1" s="1"/>
  <c r="L15" i="14"/>
  <c r="L44" i="14" s="1" a="1"/>
  <c r="L44" i="14" s="1"/>
  <c r="P45" i="1" s="1"/>
  <c r="K15" i="14"/>
  <c r="K44" i="14" s="1" a="1"/>
  <c r="K44" i="14" s="1"/>
  <c r="O45" i="1" s="1"/>
  <c r="J15" i="14"/>
  <c r="J44" i="14" s="1" a="1"/>
  <c r="J44" i="14" s="1"/>
  <c r="N45" i="1" s="1"/>
  <c r="I15" i="14"/>
  <c r="I44" i="14" s="1" a="1"/>
  <c r="I44" i="14" s="1"/>
  <c r="M45" i="1" s="1"/>
  <c r="H15" i="14"/>
  <c r="H44" i="14" s="1" a="1"/>
  <c r="H44" i="14" s="1"/>
  <c r="L45" i="1" s="1"/>
  <c r="G15" i="14"/>
  <c r="G44" i="14" s="1" a="1"/>
  <c r="G44" i="14" s="1"/>
  <c r="K45" i="1" s="1"/>
  <c r="F15" i="14"/>
  <c r="F44" i="14" s="1" a="1"/>
  <c r="F44" i="14" s="1"/>
  <c r="J45" i="1" s="1"/>
  <c r="E15" i="14"/>
  <c r="E44" i="14" s="1" a="1"/>
  <c r="E44" i="14" s="1"/>
  <c r="I45" i="1" s="1"/>
  <c r="D15" i="14"/>
  <c r="D44" i="14" s="1" a="1"/>
  <c r="D44" i="14" s="1"/>
  <c r="H45" i="1" s="1"/>
  <c r="C15" i="14"/>
  <c r="C44" i="14" s="1" a="1"/>
  <c r="C44" i="14" s="1"/>
  <c r="G45" i="1" s="1"/>
  <c r="B15" i="14"/>
  <c r="B44" i="14" s="1" a="1"/>
  <c r="B44" i="14" s="1"/>
  <c r="F45" i="1" s="1"/>
  <c r="AN16" i="1"/>
  <c r="AN17" i="1" s="1"/>
  <c r="L52" i="19" l="1"/>
  <c r="L53" i="19" s="1" a="1"/>
  <c r="L53" i="19" s="1"/>
  <c r="O154" i="1" s="1"/>
  <c r="M12" i="19"/>
  <c r="M13" i="19" s="1" a="1"/>
  <c r="M13" i="19" s="1"/>
  <c r="P149" i="1" s="1"/>
  <c r="E12" i="19"/>
  <c r="E13" i="19" s="1" a="1"/>
  <c r="E13" i="19" s="1"/>
  <c r="H149" i="1" s="1"/>
  <c r="H174" i="1" s="1"/>
  <c r="U108" i="19"/>
  <c r="U109" i="19" s="1" a="1"/>
  <c r="U109" i="19" s="1"/>
  <c r="X161" i="1" s="1"/>
  <c r="M108" i="19"/>
  <c r="M109" i="19" s="1" a="1"/>
  <c r="M109" i="19" s="1"/>
  <c r="P161" i="1" s="1"/>
  <c r="T116" i="19"/>
  <c r="T117" i="19" s="1" a="1"/>
  <c r="T117" i="19" s="1"/>
  <c r="W162" i="1" s="1"/>
  <c r="Z76" i="19"/>
  <c r="Z77" i="19" s="1" a="1"/>
  <c r="Z77" i="19" s="1"/>
  <c r="AC157" i="1" s="1"/>
  <c r="Z188" i="19"/>
  <c r="Z189" i="19" s="1" a="1"/>
  <c r="Z189" i="19" s="1"/>
  <c r="AC171" i="1" s="1"/>
  <c r="Y12" i="19"/>
  <c r="Y13" i="19" s="1" a="1"/>
  <c r="Y13" i="19" s="1"/>
  <c r="AB149" i="1" s="1"/>
  <c r="Q12" i="19"/>
  <c r="Q13" i="19" s="1" a="1"/>
  <c r="Q13" i="19" s="1"/>
  <c r="T149" i="1" s="1"/>
  <c r="I12" i="19"/>
  <c r="I13" i="19" s="1" a="1"/>
  <c r="I13" i="19" s="1"/>
  <c r="L149" i="1" s="1"/>
  <c r="Y76" i="19"/>
  <c r="Y77" i="19" s="1" a="1"/>
  <c r="Y77" i="19" s="1"/>
  <c r="AB157" i="1" s="1"/>
  <c r="AB182" i="1" s="1"/>
  <c r="Q76" i="19"/>
  <c r="Q77" i="19" s="1" a="1"/>
  <c r="Q77" i="19" s="1"/>
  <c r="T157" i="1" s="1"/>
  <c r="Z140" i="19"/>
  <c r="Z141" i="19" s="1" a="1"/>
  <c r="Z141" i="19" s="1"/>
  <c r="AC165" i="1" s="1"/>
  <c r="AC190" i="1" s="1"/>
  <c r="J140" i="19"/>
  <c r="J141" i="19" s="1" a="1"/>
  <c r="J141" i="19" s="1"/>
  <c r="M165" i="1" s="1"/>
  <c r="P116" i="19"/>
  <c r="P117" i="19" s="1" a="1"/>
  <c r="P117" i="19" s="1"/>
  <c r="S162" i="1" s="1"/>
  <c r="S187" i="1" s="1"/>
  <c r="K156" i="19"/>
  <c r="K157" i="19" s="1" a="1"/>
  <c r="K157" i="19" s="1"/>
  <c r="N167" i="1" s="1"/>
  <c r="V108" i="19"/>
  <c r="V109" i="19" s="1" a="1"/>
  <c r="V109" i="19" s="1"/>
  <c r="Y161" i="1" s="1"/>
  <c r="Q124" i="19"/>
  <c r="Q125" i="19" s="1" a="1"/>
  <c r="Q125" i="19" s="1"/>
  <c r="T163" i="1" s="1"/>
  <c r="M148" i="19"/>
  <c r="M149" i="19" s="1" a="1"/>
  <c r="M149" i="19" s="1"/>
  <c r="P166" i="1" s="1"/>
  <c r="P191" i="1" s="1"/>
  <c r="Y116" i="19"/>
  <c r="Y117" i="19" s="1" a="1"/>
  <c r="Y117" i="19" s="1"/>
  <c r="AB162" i="1" s="1"/>
  <c r="Q116" i="19"/>
  <c r="Q117" i="19" s="1" a="1"/>
  <c r="Q117" i="19" s="1"/>
  <c r="T162" i="1" s="1"/>
  <c r="T187" i="1" s="1"/>
  <c r="I116" i="19"/>
  <c r="I117" i="19" s="1" a="1"/>
  <c r="I117" i="19" s="1"/>
  <c r="L162" i="1" s="1"/>
  <c r="S180" i="19"/>
  <c r="S181" i="19" s="1" a="1"/>
  <c r="S181" i="19" s="1"/>
  <c r="V170" i="1" s="1"/>
  <c r="V195" i="1" s="1"/>
  <c r="R188" i="19"/>
  <c r="R189" i="19" s="1" a="1"/>
  <c r="R189" i="19" s="1"/>
  <c r="U171" i="1" s="1"/>
  <c r="J188" i="19"/>
  <c r="J189" i="19" s="1" a="1"/>
  <c r="J189" i="19" s="1"/>
  <c r="M171" i="1" s="1"/>
  <c r="S156" i="19"/>
  <c r="S157" i="19" s="1" a="1"/>
  <c r="S157" i="19" s="1"/>
  <c r="V167" i="1" s="1"/>
  <c r="Z180" i="19"/>
  <c r="Z181" i="19" s="1" a="1"/>
  <c r="Z181" i="19" s="1"/>
  <c r="AC170" i="1" s="1"/>
  <c r="AC195" i="1" s="1"/>
  <c r="R180" i="19"/>
  <c r="R181" i="19" s="1" a="1"/>
  <c r="R181" i="19" s="1"/>
  <c r="U170" i="1" s="1"/>
  <c r="J180" i="19"/>
  <c r="J181" i="19" s="1" a="1"/>
  <c r="J181" i="19" s="1"/>
  <c r="M170" i="1" s="1"/>
  <c r="M195" i="1" s="1"/>
  <c r="I188" i="19"/>
  <c r="I189" i="19" s="1" a="1"/>
  <c r="I189" i="19" s="1"/>
  <c r="L171" i="1" s="1"/>
  <c r="Z116" i="19"/>
  <c r="Z117" i="19" s="1" a="1"/>
  <c r="Z117" i="19" s="1"/>
  <c r="AC162" i="1" s="1"/>
  <c r="R116" i="19"/>
  <c r="R117" i="19" s="1" a="1"/>
  <c r="R117" i="19" s="1"/>
  <c r="U162" i="1" s="1"/>
  <c r="J116" i="19"/>
  <c r="J117" i="19" s="1" a="1"/>
  <c r="J117" i="19" s="1"/>
  <c r="M162" i="1" s="1"/>
  <c r="M187" i="1" s="1"/>
  <c r="AQ84" i="19"/>
  <c r="AQ85" i="19" s="1" a="1"/>
  <c r="AQ85" i="19" s="1"/>
  <c r="AT158" i="1" s="1"/>
  <c r="AQ76" i="19"/>
  <c r="AQ77" i="19" s="1" a="1"/>
  <c r="AQ77" i="19" s="1"/>
  <c r="AT157" i="1" s="1"/>
  <c r="AQ172" i="19"/>
  <c r="AQ173" i="19" s="1" a="1"/>
  <c r="AQ173" i="19" s="1"/>
  <c r="AT169" i="1" s="1"/>
  <c r="AQ132" i="19"/>
  <c r="AQ133" i="19" s="1" a="1"/>
  <c r="AQ133" i="19" s="1"/>
  <c r="AT164" i="1" s="1"/>
  <c r="AQ164" i="19"/>
  <c r="AQ165" i="19" s="1" a="1"/>
  <c r="AQ165" i="19" s="1"/>
  <c r="AT168" i="1" s="1"/>
  <c r="AR108" i="19"/>
  <c r="AR109" i="19" s="1" a="1"/>
  <c r="AR109" i="19" s="1"/>
  <c r="AU161" i="1" s="1"/>
  <c r="BJ16" i="15"/>
  <c r="AY27" i="15"/>
  <c r="Z196" i="1"/>
  <c r="Z194" i="1"/>
  <c r="Z192" i="1"/>
  <c r="Z190" i="1"/>
  <c r="Z176" i="1"/>
  <c r="Z174" i="1"/>
  <c r="R196" i="1"/>
  <c r="J196" i="1"/>
  <c r="AC193" i="1"/>
  <c r="AC191" i="1"/>
  <c r="Y196" i="1"/>
  <c r="Q196" i="1"/>
  <c r="I196" i="1"/>
  <c r="U195" i="1"/>
  <c r="Y194" i="1"/>
  <c r="Q194" i="1"/>
  <c r="I194" i="1"/>
  <c r="U193" i="1"/>
  <c r="M193" i="1"/>
  <c r="Y192" i="1"/>
  <c r="Q192" i="1"/>
  <c r="I192" i="1"/>
  <c r="U191" i="1"/>
  <c r="M191" i="1"/>
  <c r="Y190" i="1"/>
  <c r="Q190" i="1"/>
  <c r="I190" i="1"/>
  <c r="M189" i="1"/>
  <c r="Q186" i="1"/>
  <c r="I186" i="1"/>
  <c r="M185" i="1"/>
  <c r="Q184" i="1"/>
  <c r="I184" i="1"/>
  <c r="X196" i="1"/>
  <c r="P196" i="1"/>
  <c r="H196" i="1"/>
  <c r="X194" i="1"/>
  <c r="P194" i="1"/>
  <c r="H194" i="1"/>
  <c r="X192" i="1"/>
  <c r="P192" i="1"/>
  <c r="H192" i="1"/>
  <c r="X190" i="1"/>
  <c r="P190" i="1"/>
  <c r="H190" i="1"/>
  <c r="P188" i="1"/>
  <c r="H188" i="1"/>
  <c r="P186" i="1"/>
  <c r="H186" i="1"/>
  <c r="P184" i="1"/>
  <c r="H184" i="1"/>
  <c r="X182" i="1"/>
  <c r="P182" i="1"/>
  <c r="H182" i="1"/>
  <c r="X176" i="1"/>
  <c r="P176" i="1"/>
  <c r="H176" i="1"/>
  <c r="X174" i="1"/>
  <c r="P174" i="1"/>
  <c r="V196" i="1"/>
  <c r="N196" i="1"/>
  <c r="F196" i="1"/>
  <c r="V194" i="1"/>
  <c r="N194" i="1"/>
  <c r="F194" i="1"/>
  <c r="V192" i="1"/>
  <c r="N192" i="1"/>
  <c r="F192" i="1"/>
  <c r="V190" i="1"/>
  <c r="N190" i="1"/>
  <c r="F190" i="1"/>
  <c r="F180" i="1"/>
  <c r="F178" i="1"/>
  <c r="V176" i="1"/>
  <c r="N176" i="1"/>
  <c r="F176" i="1"/>
  <c r="V174" i="1"/>
  <c r="N174" i="1"/>
  <c r="F174" i="1"/>
  <c r="W196" i="1"/>
  <c r="O196" i="1"/>
  <c r="G196" i="1"/>
  <c r="W194" i="1"/>
  <c r="O194" i="1"/>
  <c r="G194" i="1"/>
  <c r="W192" i="1"/>
  <c r="O192" i="1"/>
  <c r="G192" i="1"/>
  <c r="W190" i="1"/>
  <c r="O190" i="1"/>
  <c r="G190" i="1"/>
  <c r="O188" i="1"/>
  <c r="G188" i="1"/>
  <c r="O184" i="1"/>
  <c r="G184" i="1"/>
  <c r="W182" i="1"/>
  <c r="O182" i="1"/>
  <c r="G182" i="1"/>
  <c r="W176" i="1"/>
  <c r="O176" i="1"/>
  <c r="G176" i="1"/>
  <c r="W174" i="1"/>
  <c r="O174" i="1"/>
  <c r="G174" i="1"/>
  <c r="Y195" i="1"/>
  <c r="Q195" i="1"/>
  <c r="I195" i="1"/>
  <c r="Y193" i="1"/>
  <c r="Q193" i="1"/>
  <c r="I193" i="1"/>
  <c r="Y191" i="1"/>
  <c r="Q191" i="1"/>
  <c r="I191" i="1"/>
  <c r="Q185" i="1"/>
  <c r="I185" i="1"/>
  <c r="Y183" i="1"/>
  <c r="Q183" i="1"/>
  <c r="I183" i="1"/>
  <c r="Y181" i="1"/>
  <c r="Q181" i="1"/>
  <c r="I181" i="1"/>
  <c r="AB196" i="1"/>
  <c r="AB194" i="1"/>
  <c r="AB192" i="1"/>
  <c r="AB190" i="1"/>
  <c r="AB176" i="1"/>
  <c r="AB174" i="1"/>
  <c r="T196" i="1"/>
  <c r="L196" i="1"/>
  <c r="X195" i="1"/>
  <c r="P195" i="1"/>
  <c r="H195" i="1"/>
  <c r="T194" i="1"/>
  <c r="L194" i="1"/>
  <c r="X193" i="1"/>
  <c r="P193" i="1"/>
  <c r="H193" i="1"/>
  <c r="T192" i="1"/>
  <c r="L192" i="1"/>
  <c r="X191" i="1"/>
  <c r="H191" i="1"/>
  <c r="T190" i="1"/>
  <c r="L190" i="1"/>
  <c r="P189" i="1"/>
  <c r="H189" i="1"/>
  <c r="T188" i="1"/>
  <c r="L188" i="1"/>
  <c r="P187" i="1"/>
  <c r="H187" i="1"/>
  <c r="T186" i="1"/>
  <c r="L186" i="1"/>
  <c r="P185" i="1"/>
  <c r="H185" i="1"/>
  <c r="T184" i="1"/>
  <c r="L184" i="1"/>
  <c r="X183" i="1"/>
  <c r="P183" i="1"/>
  <c r="H183" i="1"/>
  <c r="T182" i="1"/>
  <c r="L182" i="1"/>
  <c r="X181" i="1"/>
  <c r="P181" i="1"/>
  <c r="H181" i="1"/>
  <c r="X177" i="1"/>
  <c r="P177" i="1"/>
  <c r="H177" i="1"/>
  <c r="X175" i="1"/>
  <c r="P175" i="1"/>
  <c r="AA196" i="1"/>
  <c r="AA194" i="1"/>
  <c r="AA192" i="1"/>
  <c r="AA190" i="1"/>
  <c r="AA182" i="1"/>
  <c r="AA176" i="1"/>
  <c r="AA174" i="1"/>
  <c r="S196" i="1"/>
  <c r="K196" i="1"/>
  <c r="W195" i="1"/>
  <c r="O195" i="1"/>
  <c r="G195" i="1"/>
  <c r="S194" i="1"/>
  <c r="K194" i="1"/>
  <c r="W193" i="1"/>
  <c r="O193" i="1"/>
  <c r="G193" i="1"/>
  <c r="S192" i="1"/>
  <c r="K192" i="1"/>
  <c r="W191" i="1"/>
  <c r="O191" i="1"/>
  <c r="G191" i="1"/>
  <c r="S190" i="1"/>
  <c r="K190" i="1"/>
  <c r="O189" i="1"/>
  <c r="G189" i="1"/>
  <c r="S188" i="1"/>
  <c r="K188" i="1"/>
  <c r="O187" i="1"/>
  <c r="G187" i="1"/>
  <c r="S186" i="1"/>
  <c r="K186" i="1"/>
  <c r="O185" i="1"/>
  <c r="G185" i="1"/>
  <c r="S184" i="1"/>
  <c r="K184" i="1"/>
  <c r="W183" i="1"/>
  <c r="O183" i="1"/>
  <c r="G183" i="1"/>
  <c r="S182" i="1"/>
  <c r="K182" i="1"/>
  <c r="W181" i="1"/>
  <c r="O181" i="1"/>
  <c r="G181" i="1"/>
  <c r="W177" i="1"/>
  <c r="O177" i="1"/>
  <c r="G177" i="1"/>
  <c r="S176" i="1"/>
  <c r="K176" i="1"/>
  <c r="W175" i="1"/>
  <c r="O175" i="1"/>
  <c r="G175" i="1"/>
  <c r="S174" i="1"/>
  <c r="Y182" i="1"/>
  <c r="Q182" i="1"/>
  <c r="I182" i="1"/>
  <c r="H175" i="1"/>
  <c r="K174" i="1"/>
  <c r="N195" i="1"/>
  <c r="F195" i="1"/>
  <c r="R194" i="1"/>
  <c r="J194" i="1"/>
  <c r="V193" i="1"/>
  <c r="N193" i="1"/>
  <c r="F193" i="1"/>
  <c r="R192" i="1"/>
  <c r="J192" i="1"/>
  <c r="V191" i="1"/>
  <c r="N191" i="1"/>
  <c r="F191" i="1"/>
  <c r="R190" i="1"/>
  <c r="J190" i="1"/>
  <c r="N189" i="1"/>
  <c r="F189" i="1"/>
  <c r="N187" i="1"/>
  <c r="F187" i="1"/>
  <c r="R186" i="1"/>
  <c r="J186" i="1"/>
  <c r="V177" i="1"/>
  <c r="N177" i="1"/>
  <c r="F177" i="1"/>
  <c r="R176" i="1"/>
  <c r="J176" i="1"/>
  <c r="V175" i="1"/>
  <c r="N175" i="1"/>
  <c r="F175" i="1"/>
  <c r="R174" i="1"/>
  <c r="J174" i="1"/>
  <c r="AB178" i="1"/>
  <c r="T180" i="1"/>
  <c r="L180" i="1"/>
  <c r="X179" i="1"/>
  <c r="P179" i="1"/>
  <c r="H179" i="1"/>
  <c r="T178" i="1"/>
  <c r="L178" i="1"/>
  <c r="T176" i="1"/>
  <c r="L176" i="1"/>
  <c r="T174" i="1"/>
  <c r="L174" i="1"/>
  <c r="AA178" i="1"/>
  <c r="S180" i="1"/>
  <c r="K180" i="1"/>
  <c r="W179" i="1"/>
  <c r="O179" i="1"/>
  <c r="G179" i="1"/>
  <c r="S178" i="1"/>
  <c r="K178" i="1"/>
  <c r="Z182" i="1"/>
  <c r="Z178" i="1"/>
  <c r="R188" i="1"/>
  <c r="J188" i="1"/>
  <c r="N185" i="1"/>
  <c r="F185" i="1"/>
  <c r="R184" i="1"/>
  <c r="J184" i="1"/>
  <c r="V183" i="1"/>
  <c r="N183" i="1"/>
  <c r="F183" i="1"/>
  <c r="R182" i="1"/>
  <c r="J182" i="1"/>
  <c r="V181" i="1"/>
  <c r="N181" i="1"/>
  <c r="F181" i="1"/>
  <c r="R180" i="1"/>
  <c r="J180" i="1"/>
  <c r="V179" i="1"/>
  <c r="N179" i="1"/>
  <c r="F179" i="1"/>
  <c r="R178" i="1"/>
  <c r="J178" i="1"/>
  <c r="AC183" i="1"/>
  <c r="AC181" i="1"/>
  <c r="AC179" i="1"/>
  <c r="AC177" i="1"/>
  <c r="AC175" i="1"/>
  <c r="Q188" i="1"/>
  <c r="I188" i="1"/>
  <c r="U183" i="1"/>
  <c r="M183" i="1"/>
  <c r="U181" i="1"/>
  <c r="M181" i="1"/>
  <c r="Q180" i="1"/>
  <c r="I180" i="1"/>
  <c r="U179" i="1"/>
  <c r="M179" i="1"/>
  <c r="Y178" i="1"/>
  <c r="Q178" i="1"/>
  <c r="I178" i="1"/>
  <c r="U177" i="1"/>
  <c r="M177" i="1"/>
  <c r="Y176" i="1"/>
  <c r="Q176" i="1"/>
  <c r="I176" i="1"/>
  <c r="U175" i="1"/>
  <c r="M175" i="1"/>
  <c r="Y174" i="1"/>
  <c r="Q174" i="1"/>
  <c r="I174" i="1"/>
  <c r="P180" i="1"/>
  <c r="H180" i="1"/>
  <c r="X178" i="1"/>
  <c r="P178" i="1"/>
  <c r="H178" i="1"/>
  <c r="O186" i="1"/>
  <c r="G186" i="1"/>
  <c r="O180" i="1"/>
  <c r="G180" i="1"/>
  <c r="W178" i="1"/>
  <c r="O178" i="1"/>
  <c r="G178" i="1"/>
  <c r="N188" i="1"/>
  <c r="F188" i="1"/>
  <c r="N186" i="1"/>
  <c r="F186" i="1"/>
  <c r="N184" i="1"/>
  <c r="F184" i="1"/>
  <c r="V182" i="1"/>
  <c r="N182" i="1"/>
  <c r="F182" i="1"/>
  <c r="N180" i="1"/>
  <c r="V178" i="1"/>
  <c r="N178" i="1"/>
  <c r="Q189" i="1"/>
  <c r="I189" i="1"/>
  <c r="Q187" i="1"/>
  <c r="I187" i="1"/>
  <c r="Y179" i="1"/>
  <c r="Q179" i="1"/>
  <c r="I179" i="1"/>
  <c r="Y177" i="1"/>
  <c r="Q177" i="1"/>
  <c r="I177" i="1"/>
  <c r="Y175" i="1"/>
  <c r="Q175" i="1"/>
  <c r="I175" i="1"/>
  <c r="AB195" i="1"/>
  <c r="AB193" i="1"/>
  <c r="AB191" i="1"/>
  <c r="AB183" i="1"/>
  <c r="AB181" i="1"/>
  <c r="AB179" i="1"/>
  <c r="AB177" i="1"/>
  <c r="AB175" i="1"/>
  <c r="T195" i="1"/>
  <c r="L195" i="1"/>
  <c r="T193" i="1"/>
  <c r="L193" i="1"/>
  <c r="T191" i="1"/>
  <c r="L191" i="1"/>
  <c r="T189" i="1"/>
  <c r="L189" i="1"/>
  <c r="L187" i="1"/>
  <c r="T185" i="1"/>
  <c r="L185" i="1"/>
  <c r="T183" i="1"/>
  <c r="L183" i="1"/>
  <c r="T181" i="1"/>
  <c r="L181" i="1"/>
  <c r="T179" i="1"/>
  <c r="L179" i="1"/>
  <c r="T177" i="1"/>
  <c r="L177" i="1"/>
  <c r="T175" i="1"/>
  <c r="L175" i="1"/>
  <c r="AA195" i="1"/>
  <c r="AA193" i="1"/>
  <c r="AA191" i="1"/>
  <c r="AA183" i="1"/>
  <c r="AA181" i="1"/>
  <c r="AA179" i="1"/>
  <c r="AA177" i="1"/>
  <c r="AA175" i="1"/>
  <c r="S195" i="1"/>
  <c r="K195" i="1"/>
  <c r="S193" i="1"/>
  <c r="K193" i="1"/>
  <c r="S191" i="1"/>
  <c r="K191" i="1"/>
  <c r="S189" i="1"/>
  <c r="K189" i="1"/>
  <c r="K187" i="1"/>
  <c r="S185" i="1"/>
  <c r="K185" i="1"/>
  <c r="S183" i="1"/>
  <c r="K183" i="1"/>
  <c r="S181" i="1"/>
  <c r="K181" i="1"/>
  <c r="S179" i="1"/>
  <c r="K179" i="1"/>
  <c r="S177" i="1"/>
  <c r="K177" i="1"/>
  <c r="S175" i="1"/>
  <c r="K175" i="1"/>
  <c r="Z195" i="1"/>
  <c r="Z193" i="1"/>
  <c r="Z191" i="1"/>
  <c r="Z183" i="1"/>
  <c r="Z181" i="1"/>
  <c r="Z179" i="1"/>
  <c r="Z177" i="1"/>
  <c r="Z175" i="1"/>
  <c r="R195" i="1"/>
  <c r="J195" i="1"/>
  <c r="R193" i="1"/>
  <c r="J193" i="1"/>
  <c r="R191" i="1"/>
  <c r="J191" i="1"/>
  <c r="R189" i="1"/>
  <c r="J189" i="1"/>
  <c r="R187" i="1"/>
  <c r="J187" i="1"/>
  <c r="R185" i="1"/>
  <c r="J185" i="1"/>
  <c r="R183" i="1"/>
  <c r="J183" i="1"/>
  <c r="R181" i="1"/>
  <c r="J181" i="1"/>
  <c r="R179" i="1"/>
  <c r="J179" i="1"/>
  <c r="R177" i="1"/>
  <c r="J177" i="1"/>
  <c r="R175" i="1"/>
  <c r="J175" i="1"/>
  <c r="AC196" i="1"/>
  <c r="AC194" i="1"/>
  <c r="AC192" i="1"/>
  <c r="AC182" i="1"/>
  <c r="AC178" i="1"/>
  <c r="AC176" i="1"/>
  <c r="AC174" i="1"/>
  <c r="U196" i="1"/>
  <c r="M196" i="1"/>
  <c r="U194" i="1"/>
  <c r="M194" i="1"/>
  <c r="U192" i="1"/>
  <c r="M192" i="1"/>
  <c r="U190" i="1"/>
  <c r="M190" i="1"/>
  <c r="M188" i="1"/>
  <c r="M186" i="1"/>
  <c r="M184" i="1"/>
  <c r="U182" i="1"/>
  <c r="M182" i="1"/>
  <c r="M180" i="1"/>
  <c r="U178" i="1"/>
  <c r="M178" i="1"/>
  <c r="U176" i="1"/>
  <c r="M176" i="1"/>
  <c r="U174" i="1"/>
  <c r="M174" i="1"/>
  <c r="BJ21" i="15"/>
  <c r="AX32" i="15"/>
  <c r="AY32" i="15"/>
  <c r="AY41" i="15" s="1"/>
  <c r="AY70" i="15" s="1" a="1"/>
  <c r="AY70" i="15" s="1"/>
  <c r="AQ102" i="1" s="1"/>
  <c r="W189" i="1"/>
  <c r="W187" i="1"/>
  <c r="W185" i="1"/>
  <c r="W188" i="1"/>
  <c r="W186" i="1"/>
  <c r="W184" i="1"/>
  <c r="W180" i="1"/>
  <c r="U189" i="1"/>
  <c r="U187" i="1"/>
  <c r="U185" i="1"/>
  <c r="U188" i="1"/>
  <c r="U186" i="1"/>
  <c r="U184" i="1"/>
  <c r="U180" i="1"/>
  <c r="V189" i="1"/>
  <c r="V187" i="1"/>
  <c r="V185" i="1"/>
  <c r="V188" i="1"/>
  <c r="V186" i="1"/>
  <c r="V184" i="1"/>
  <c r="V180" i="1"/>
  <c r="X189" i="1"/>
  <c r="X187" i="1"/>
  <c r="X185" i="1"/>
  <c r="X188" i="1"/>
  <c r="X186" i="1"/>
  <c r="X184" i="1"/>
  <c r="X180" i="1"/>
  <c r="Z189" i="1"/>
  <c r="Z187" i="1"/>
  <c r="Z185" i="1"/>
  <c r="Z188" i="1"/>
  <c r="Z186" i="1"/>
  <c r="Z184" i="1"/>
  <c r="Z180" i="1"/>
  <c r="Y189" i="1"/>
  <c r="Y187" i="1"/>
  <c r="Y185" i="1"/>
  <c r="Y188" i="1"/>
  <c r="Y186" i="1"/>
  <c r="Y184" i="1"/>
  <c r="Y180" i="1"/>
  <c r="AC189" i="1"/>
  <c r="AC187" i="1"/>
  <c r="AC185" i="1"/>
  <c r="AC188" i="1"/>
  <c r="AC186" i="1"/>
  <c r="AC184" i="1"/>
  <c r="AC180" i="1"/>
  <c r="AA189" i="1"/>
  <c r="AA187" i="1"/>
  <c r="AA185" i="1"/>
  <c r="AA188" i="1"/>
  <c r="AA186" i="1"/>
  <c r="AA184" i="1"/>
  <c r="AA180" i="1"/>
  <c r="AB189" i="1"/>
  <c r="AB187" i="1"/>
  <c r="AB185" i="1"/>
  <c r="AB188" i="1"/>
  <c r="AB186" i="1"/>
  <c r="AB184" i="1"/>
  <c r="AB180" i="1"/>
  <c r="AR52" i="19"/>
  <c r="AR53" i="19" s="1" a="1"/>
  <c r="AR53" i="19" s="1"/>
  <c r="AU154" i="1" s="1"/>
  <c r="AR156" i="19"/>
  <c r="AR157" i="19" s="1" a="1"/>
  <c r="AR157" i="19" s="1"/>
  <c r="AU167" i="1" s="1"/>
  <c r="AR164" i="19"/>
  <c r="AR165" i="19" s="1" a="1"/>
  <c r="AR165" i="19" s="1"/>
  <c r="AU168" i="1" s="1"/>
  <c r="AR124" i="19"/>
  <c r="AR125" i="19" s="1" a="1"/>
  <c r="AR125" i="19" s="1"/>
  <c r="AU163" i="1" s="1"/>
  <c r="AR36" i="19"/>
  <c r="AR37" i="19" s="1" a="1"/>
  <c r="AR37" i="19" s="1"/>
  <c r="AU152" i="1" s="1"/>
  <c r="BD20" i="15"/>
  <c r="BE20" i="15"/>
  <c r="AZ32" i="15"/>
  <c r="BA32" i="15"/>
  <c r="BA42" i="15" s="1"/>
  <c r="BA71" i="15" s="1" a="1"/>
  <c r="BA71" i="15" s="1"/>
  <c r="AS103" i="1" s="1"/>
  <c r="BD32" i="15"/>
  <c r="BD42" i="15" s="1"/>
  <c r="BD71" i="15" s="1" a="1"/>
  <c r="BD71" i="15" s="1"/>
  <c r="AV103" i="1" s="1"/>
  <c r="AV179" i="1" s="1"/>
  <c r="BB32" i="15"/>
  <c r="BF32" i="15"/>
  <c r="BF42" i="15" s="1"/>
  <c r="BF71" i="15" s="1" a="1"/>
  <c r="BF71" i="15" s="1"/>
  <c r="BC32" i="15"/>
  <c r="BC42" i="15" s="1"/>
  <c r="BC71" i="15" s="1" a="1"/>
  <c r="BC71" i="15" s="1"/>
  <c r="AU103" i="1" s="1"/>
  <c r="BE32" i="15"/>
  <c r="BE42" i="15" s="1"/>
  <c r="BE71" i="15" s="1" a="1"/>
  <c r="BE71" i="15" s="1"/>
  <c r="AW103" i="1" s="1"/>
  <c r="AW179" i="1" s="1"/>
  <c r="BI32" i="15"/>
  <c r="BI42" i="15" s="1"/>
  <c r="BI71" i="15" s="1" a="1"/>
  <c r="BI71" i="15" s="1"/>
  <c r="BH32" i="15"/>
  <c r="BH42" i="15" s="1"/>
  <c r="BH71" i="15" s="1" a="1"/>
  <c r="BH71" i="15" s="1"/>
  <c r="BG32" i="15"/>
  <c r="BG42" i="15" s="1"/>
  <c r="BG71" i="15" s="1" a="1"/>
  <c r="BG71" i="15" s="1"/>
  <c r="AR188" i="19"/>
  <c r="AR189" i="19" s="1" a="1"/>
  <c r="AR189" i="19" s="1"/>
  <c r="AU171" i="1" s="1"/>
  <c r="AQ180" i="19"/>
  <c r="AQ181" i="19" s="1" a="1"/>
  <c r="AQ181" i="19" s="1"/>
  <c r="AT170" i="1" s="1"/>
  <c r="AR180" i="19"/>
  <c r="AR181" i="19" s="1" a="1"/>
  <c r="AR181" i="19" s="1"/>
  <c r="AU170" i="1" s="1"/>
  <c r="AR148" i="19"/>
  <c r="AR149" i="19" s="1" a="1"/>
  <c r="AR149" i="19" s="1"/>
  <c r="AU166" i="1" s="1"/>
  <c r="AQ148" i="19"/>
  <c r="AQ149" i="19" s="1" a="1"/>
  <c r="AQ149" i="19" s="1"/>
  <c r="AT166" i="1" s="1"/>
  <c r="AR140" i="19"/>
  <c r="AR141" i="19" s="1" a="1"/>
  <c r="AR141" i="19" s="1"/>
  <c r="AU165" i="1" s="1"/>
  <c r="AQ116" i="19"/>
  <c r="AQ117" i="19" s="1" a="1"/>
  <c r="AQ117" i="19" s="1"/>
  <c r="AT162" i="1" s="1"/>
  <c r="AQ108" i="19"/>
  <c r="AQ109" i="19" s="1" a="1"/>
  <c r="AQ109" i="19" s="1"/>
  <c r="AT161" i="1" s="1"/>
  <c r="AQ100" i="19"/>
  <c r="AQ101" i="19" s="1" a="1"/>
  <c r="AQ101" i="19" s="1"/>
  <c r="AT160" i="1" s="1"/>
  <c r="AR100" i="19"/>
  <c r="AR101" i="19" s="1" a="1"/>
  <c r="AR101" i="19" s="1"/>
  <c r="AU160" i="1" s="1"/>
  <c r="AR84" i="19"/>
  <c r="AR85" i="19" s="1" a="1"/>
  <c r="AR85" i="19" s="1"/>
  <c r="AU158" i="1" s="1"/>
  <c r="AR76" i="19"/>
  <c r="AR77" i="19" s="1" a="1"/>
  <c r="AR77" i="19" s="1"/>
  <c r="AU157" i="1" s="1"/>
  <c r="AR68" i="19"/>
  <c r="AR69" i="19" s="1" a="1"/>
  <c r="AR69" i="19" s="1"/>
  <c r="AU156" i="1" s="1"/>
  <c r="AQ68" i="19"/>
  <c r="AQ69" i="19" s="1" a="1"/>
  <c r="AQ69" i="19" s="1"/>
  <c r="AT156" i="1" s="1"/>
  <c r="AR60" i="19"/>
  <c r="AR61" i="19" s="1" a="1"/>
  <c r="AR61" i="19" s="1"/>
  <c r="AU155" i="1" s="1"/>
  <c r="AQ44" i="19"/>
  <c r="AQ45" i="19" s="1" a="1"/>
  <c r="AQ45" i="19" s="1"/>
  <c r="AT153" i="1" s="1"/>
  <c r="AQ28" i="19"/>
  <c r="AQ29" i="19" s="1" a="1"/>
  <c r="AQ29" i="19" s="1"/>
  <c r="AT151" i="1" s="1"/>
  <c r="AQ20" i="19"/>
  <c r="AQ21" i="19" s="1" a="1"/>
  <c r="AQ21" i="19" s="1"/>
  <c r="AT150" i="1" s="1"/>
  <c r="AR20" i="19"/>
  <c r="AR21" i="19" s="1" a="1"/>
  <c r="AR21" i="19" s="1"/>
  <c r="AU150" i="1" s="1"/>
  <c r="AR12" i="19"/>
  <c r="AR13" i="19" s="1" a="1"/>
  <c r="AR13" i="19" s="1"/>
  <c r="AU149" i="1" s="1"/>
  <c r="AQ12" i="19"/>
  <c r="AQ13" i="19" s="1" a="1"/>
  <c r="AQ13" i="19" s="1"/>
  <c r="AT149" i="1" s="1"/>
  <c r="AQ188" i="19"/>
  <c r="AQ189" i="19" s="1" a="1"/>
  <c r="AQ189" i="19" s="1"/>
  <c r="AT171" i="1" s="1"/>
  <c r="AR92" i="19"/>
  <c r="AR93" i="19" s="1" a="1"/>
  <c r="AR93" i="19" s="1"/>
  <c r="AU159" i="1" s="1"/>
  <c r="AQ124" i="19"/>
  <c r="AQ125" i="19" s="1" a="1"/>
  <c r="AQ125" i="19" s="1"/>
  <c r="AT163" i="1" s="1"/>
  <c r="AR44" i="19"/>
  <c r="AR45" i="19" s="1" a="1"/>
  <c r="AR45" i="19" s="1"/>
  <c r="AU153" i="1" s="1"/>
  <c r="AQ60" i="19"/>
  <c r="AQ61" i="19" s="1" a="1"/>
  <c r="AQ61" i="19" s="1"/>
  <c r="AT155" i="1" s="1"/>
  <c r="AQ36" i="19"/>
  <c r="AQ37" i="19" s="1" a="1"/>
  <c r="AQ37" i="19" s="1"/>
  <c r="AT152" i="1" s="1"/>
  <c r="AR28" i="19"/>
  <c r="AR29" i="19" s="1" a="1"/>
  <c r="AR29" i="19" s="1"/>
  <c r="AU151" i="1" s="1"/>
  <c r="AE28" i="19"/>
  <c r="AE29" i="19" s="1" a="1"/>
  <c r="AE29" i="19" s="1"/>
  <c r="AH151" i="1" s="1"/>
  <c r="AM28" i="19"/>
  <c r="AM29" i="19" s="1" a="1"/>
  <c r="AM29" i="19" s="1"/>
  <c r="AP151" i="1" s="1"/>
  <c r="AE36" i="19"/>
  <c r="AE37" i="19" s="1" a="1"/>
  <c r="AE37" i="19" s="1"/>
  <c r="AH152" i="1" s="1"/>
  <c r="AH177" i="1" s="1"/>
  <c r="AM36" i="19"/>
  <c r="AM37" i="19" s="1" a="1"/>
  <c r="AM37" i="19" s="1"/>
  <c r="AP152" i="1" s="1"/>
  <c r="AE44" i="19"/>
  <c r="AE45" i="19" s="1" a="1"/>
  <c r="AE45" i="19" s="1"/>
  <c r="AH153" i="1" s="1"/>
  <c r="AH178" i="1" s="1"/>
  <c r="AM44" i="19"/>
  <c r="AM45" i="19" s="1" a="1"/>
  <c r="AM45" i="19" s="1"/>
  <c r="AP153" i="1" s="1"/>
  <c r="AE52" i="19"/>
  <c r="AE53" i="19" s="1" a="1"/>
  <c r="AE53" i="19" s="1"/>
  <c r="AH154" i="1" s="1"/>
  <c r="AH179" i="1" s="1"/>
  <c r="AM52" i="19"/>
  <c r="AM53" i="19" s="1" a="1"/>
  <c r="AM53" i="19" s="1"/>
  <c r="AP154" i="1" s="1"/>
  <c r="AM60" i="19"/>
  <c r="AM61" i="19" s="1" a="1"/>
  <c r="AM61" i="19" s="1"/>
  <c r="AP155" i="1" s="1"/>
  <c r="AE68" i="19"/>
  <c r="AE69" i="19" s="1" a="1"/>
  <c r="AE69" i="19" s="1"/>
  <c r="AH156" i="1" s="1"/>
  <c r="AH181" i="1" s="1"/>
  <c r="AM68" i="19"/>
  <c r="AM69" i="19" s="1" a="1"/>
  <c r="AM69" i="19" s="1"/>
  <c r="AP156" i="1" s="1"/>
  <c r="AE100" i="19"/>
  <c r="AE101" i="19" s="1" a="1"/>
  <c r="AE101" i="19" s="1"/>
  <c r="AH160" i="1" s="1"/>
  <c r="AM100" i="19"/>
  <c r="AM101" i="19" s="1" a="1"/>
  <c r="AM101" i="19" s="1"/>
  <c r="AP160" i="1" s="1"/>
  <c r="AP185" i="1" s="1"/>
  <c r="AE108" i="19"/>
  <c r="AE109" i="19" s="1" a="1"/>
  <c r="AE109" i="19" s="1"/>
  <c r="AH161" i="1" s="1"/>
  <c r="AH186" i="1" s="1"/>
  <c r="AM108" i="19"/>
  <c r="AM109" i="19" s="1" a="1"/>
  <c r="AM109" i="19" s="1"/>
  <c r="AP161" i="1" s="1"/>
  <c r="AP186" i="1" s="1"/>
  <c r="AE116" i="19"/>
  <c r="AE117" i="19" s="1" a="1"/>
  <c r="AE117" i="19" s="1"/>
  <c r="AH162" i="1" s="1"/>
  <c r="AH187" i="1" s="1"/>
  <c r="AM116" i="19"/>
  <c r="AM117" i="19" s="1" a="1"/>
  <c r="AM117" i="19" s="1"/>
  <c r="AP162" i="1" s="1"/>
  <c r="AE124" i="19"/>
  <c r="AE125" i="19" s="1" a="1"/>
  <c r="AE125" i="19" s="1"/>
  <c r="AH163" i="1" s="1"/>
  <c r="AM124" i="19"/>
  <c r="AM125" i="19" s="1" a="1"/>
  <c r="AM125" i="19" s="1"/>
  <c r="AP163" i="1" s="1"/>
  <c r="AP188" i="1" s="1"/>
  <c r="AE164" i="19"/>
  <c r="AE165" i="19" s="1" a="1"/>
  <c r="AE165" i="19" s="1"/>
  <c r="AH168" i="1" s="1"/>
  <c r="AH193" i="1" s="1"/>
  <c r="AM164" i="19"/>
  <c r="AM165" i="19" s="1" a="1"/>
  <c r="AM165" i="19" s="1"/>
  <c r="AP168" i="1" s="1"/>
  <c r="AP193" i="1" s="1"/>
  <c r="AE180" i="19"/>
  <c r="AE181" i="19" s="1" a="1"/>
  <c r="AE181" i="19" s="1"/>
  <c r="AH170" i="1" s="1"/>
  <c r="AH195" i="1" s="1"/>
  <c r="AM180" i="19"/>
  <c r="AM181" i="19" s="1" a="1"/>
  <c r="AM181" i="19" s="1"/>
  <c r="AP170" i="1" s="1"/>
  <c r="AE188" i="19"/>
  <c r="AE189" i="19" s="1" a="1"/>
  <c r="AE189" i="19" s="1"/>
  <c r="AH171" i="1" s="1"/>
  <c r="AH196" i="1" s="1"/>
  <c r="AM188" i="19"/>
  <c r="AM189" i="19" s="1" a="1"/>
  <c r="AM189" i="19" s="1"/>
  <c r="AP171" i="1" s="1"/>
  <c r="AE172" i="19"/>
  <c r="AE173" i="19" s="1" a="1"/>
  <c r="AE173" i="19" s="1"/>
  <c r="AH169" i="1" s="1"/>
  <c r="AM172" i="19"/>
  <c r="AM173" i="19" s="1" a="1"/>
  <c r="AM173" i="19" s="1"/>
  <c r="AP169" i="1" s="1"/>
  <c r="AP194" i="1" s="1"/>
  <c r="AB20" i="19"/>
  <c r="AB21" i="19" s="1" a="1"/>
  <c r="AB21" i="19" s="1"/>
  <c r="AE150" i="1" s="1"/>
  <c r="AE175" i="1" s="1"/>
  <c r="AJ20" i="19"/>
  <c r="AJ21" i="19" s="1" a="1"/>
  <c r="AJ21" i="19" s="1"/>
  <c r="AM150" i="1" s="1"/>
  <c r="AM175" i="1" s="1"/>
  <c r="AB28" i="19"/>
  <c r="AB29" i="19" s="1" a="1"/>
  <c r="AB29" i="19" s="1"/>
  <c r="AE151" i="1" s="1"/>
  <c r="AE176" i="1" s="1"/>
  <c r="AJ28" i="19"/>
  <c r="AJ29" i="19" s="1" a="1"/>
  <c r="AJ29" i="19" s="1"/>
  <c r="AM151" i="1" s="1"/>
  <c r="AB36" i="19"/>
  <c r="AB37" i="19" s="1" a="1"/>
  <c r="AB37" i="19" s="1"/>
  <c r="AE152" i="1" s="1"/>
  <c r="AE177" i="1" s="1"/>
  <c r="AJ36" i="19"/>
  <c r="AJ37" i="19" s="1" a="1"/>
  <c r="AJ37" i="19" s="1"/>
  <c r="AM152" i="1" s="1"/>
  <c r="AB84" i="19"/>
  <c r="AB85" i="19" s="1" a="1"/>
  <c r="AB85" i="19" s="1"/>
  <c r="AE158" i="1" s="1"/>
  <c r="AJ84" i="19"/>
  <c r="AJ85" i="19" s="1" a="1"/>
  <c r="AJ85" i="19" s="1"/>
  <c r="AM158" i="1" s="1"/>
  <c r="AM183" i="1" s="1"/>
  <c r="AB92" i="19"/>
  <c r="AB93" i="19" s="1" a="1"/>
  <c r="AB93" i="19" s="1"/>
  <c r="AE159" i="1" s="1"/>
  <c r="AJ92" i="19"/>
  <c r="AJ93" i="19" s="1" a="1"/>
  <c r="AJ93" i="19" s="1"/>
  <c r="AM159" i="1" s="1"/>
  <c r="AM184" i="1" s="1"/>
  <c r="AB132" i="19"/>
  <c r="AB133" i="19" s="1" a="1"/>
  <c r="AB133" i="19" s="1"/>
  <c r="AE164" i="1" s="1"/>
  <c r="AE189" i="1" s="1"/>
  <c r="AJ132" i="19"/>
  <c r="AJ133" i="19" s="1" a="1"/>
  <c r="AJ133" i="19" s="1"/>
  <c r="AM164" i="1" s="1"/>
  <c r="AB148" i="19"/>
  <c r="AB149" i="19" s="1" a="1"/>
  <c r="AB149" i="19" s="1"/>
  <c r="AE166" i="1" s="1"/>
  <c r="AE191" i="1" s="1"/>
  <c r="AJ148" i="19"/>
  <c r="AJ149" i="19" s="1" a="1"/>
  <c r="AJ149" i="19" s="1"/>
  <c r="AM166" i="1" s="1"/>
  <c r="AB156" i="19"/>
  <c r="AB157" i="19" s="1" a="1"/>
  <c r="AB157" i="19" s="1"/>
  <c r="AE167" i="1" s="1"/>
  <c r="AE192" i="1" s="1"/>
  <c r="AJ156" i="19"/>
  <c r="AJ157" i="19" s="1" a="1"/>
  <c r="AJ157" i="19" s="1"/>
  <c r="AM167" i="1" s="1"/>
  <c r="AM192" i="1" s="1"/>
  <c r="AC20" i="19"/>
  <c r="AC21" i="19" s="1" a="1"/>
  <c r="AC21" i="19" s="1"/>
  <c r="AF150" i="1" s="1"/>
  <c r="AF175" i="1" s="1"/>
  <c r="AK20" i="19"/>
  <c r="AK21" i="19" s="1" a="1"/>
  <c r="AK21" i="19" s="1"/>
  <c r="AN150" i="1" s="1"/>
  <c r="AN175" i="1" s="1"/>
  <c r="AC28" i="19"/>
  <c r="AC29" i="19" s="1" a="1"/>
  <c r="AC29" i="19" s="1"/>
  <c r="AF151" i="1" s="1"/>
  <c r="AF176" i="1" s="1"/>
  <c r="AK28" i="19"/>
  <c r="AK29" i="19" s="1" a="1"/>
  <c r="AK29" i="19" s="1"/>
  <c r="AN151" i="1" s="1"/>
  <c r="AC44" i="19"/>
  <c r="AC45" i="19" s="1" a="1"/>
  <c r="AC45" i="19" s="1"/>
  <c r="AF153" i="1" s="1"/>
  <c r="AF178" i="1" s="1"/>
  <c r="AK44" i="19"/>
  <c r="AK45" i="19" s="1" a="1"/>
  <c r="AK45" i="19" s="1"/>
  <c r="AN153" i="1" s="1"/>
  <c r="AC92" i="19"/>
  <c r="AC93" i="19" s="1" a="1"/>
  <c r="AC93" i="19" s="1"/>
  <c r="AF159" i="1" s="1"/>
  <c r="AK92" i="19"/>
  <c r="AK93" i="19" s="1" a="1"/>
  <c r="AK93" i="19" s="1"/>
  <c r="AN159" i="1" s="1"/>
  <c r="AN184" i="1" s="1"/>
  <c r="AC108" i="19"/>
  <c r="AC109" i="19" s="1" a="1"/>
  <c r="AC109" i="19" s="1"/>
  <c r="AF161" i="1" s="1"/>
  <c r="AF186" i="1" s="1"/>
  <c r="AK108" i="19"/>
  <c r="AK109" i="19" s="1" a="1"/>
  <c r="AK109" i="19" s="1"/>
  <c r="AN161" i="1" s="1"/>
  <c r="AN186" i="1" s="1"/>
  <c r="AD20" i="19"/>
  <c r="AD21" i="19" s="1" a="1"/>
  <c r="AD21" i="19" s="1"/>
  <c r="AG150" i="1" s="1"/>
  <c r="AG175" i="1" s="1"/>
  <c r="AL20" i="19"/>
  <c r="AL21" i="19" s="1" a="1"/>
  <c r="AL21" i="19" s="1"/>
  <c r="AO150" i="1" s="1"/>
  <c r="AO175" i="1" s="1"/>
  <c r="AD28" i="19"/>
  <c r="AD29" i="19" s="1" a="1"/>
  <c r="AD29" i="19" s="1"/>
  <c r="AG151" i="1" s="1"/>
  <c r="AG176" i="1" s="1"/>
  <c r="AL28" i="19"/>
  <c r="AL29" i="19" s="1" a="1"/>
  <c r="AL29" i="19" s="1"/>
  <c r="AO151" i="1" s="1"/>
  <c r="AD36" i="19"/>
  <c r="AD37" i="19" s="1" a="1"/>
  <c r="AD37" i="19" s="1"/>
  <c r="AG152" i="1" s="1"/>
  <c r="AG177" i="1" s="1"/>
  <c r="AL36" i="19"/>
  <c r="AL37" i="19" s="1" a="1"/>
  <c r="AL37" i="19" s="1"/>
  <c r="AO152" i="1" s="1"/>
  <c r="AO177" i="1" s="1"/>
  <c r="AD44" i="19"/>
  <c r="AD45" i="19" s="1" a="1"/>
  <c r="AD45" i="19" s="1"/>
  <c r="AG153" i="1" s="1"/>
  <c r="AG178" i="1" s="1"/>
  <c r="AL44" i="19"/>
  <c r="AL45" i="19" s="1" a="1"/>
  <c r="AL45" i="19" s="1"/>
  <c r="AO153" i="1" s="1"/>
  <c r="AO178" i="1" s="1"/>
  <c r="AD52" i="19"/>
  <c r="AD53" i="19" s="1" a="1"/>
  <c r="AD53" i="19" s="1"/>
  <c r="AG154" i="1" s="1"/>
  <c r="AG179" i="1" s="1"/>
  <c r="AL52" i="19"/>
  <c r="AL53" i="19" s="1" a="1"/>
  <c r="AL53" i="19" s="1"/>
  <c r="AO154" i="1" s="1"/>
  <c r="AD92" i="19"/>
  <c r="AD93" i="19" s="1" a="1"/>
  <c r="AD93" i="19" s="1"/>
  <c r="AG159" i="1" s="1"/>
  <c r="AG184" i="1" s="1"/>
  <c r="AL92" i="19"/>
  <c r="AL93" i="19" s="1" a="1"/>
  <c r="AL93" i="19" s="1"/>
  <c r="AO159" i="1" s="1"/>
  <c r="AD100" i="19"/>
  <c r="AD101" i="19" s="1" a="1"/>
  <c r="AD101" i="19" s="1"/>
  <c r="AG160" i="1" s="1"/>
  <c r="AG185" i="1" s="1"/>
  <c r="AL100" i="19"/>
  <c r="AL101" i="19" s="1" a="1"/>
  <c r="AL101" i="19" s="1"/>
  <c r="AO160" i="1" s="1"/>
  <c r="AO185" i="1" s="1"/>
  <c r="AD108" i="19"/>
  <c r="AD109" i="19" s="1" a="1"/>
  <c r="AD109" i="19" s="1"/>
  <c r="AG161" i="1" s="1"/>
  <c r="AG186" i="1" s="1"/>
  <c r="AL108" i="19"/>
  <c r="AL109" i="19" s="1" a="1"/>
  <c r="AL109" i="19" s="1"/>
  <c r="AO161" i="1" s="1"/>
  <c r="AO186" i="1" s="1"/>
  <c r="AD116" i="19"/>
  <c r="AD117" i="19" s="1" a="1"/>
  <c r="AD117" i="19" s="1"/>
  <c r="AG162" i="1" s="1"/>
  <c r="AG187" i="1" s="1"/>
  <c r="AL116" i="19"/>
  <c r="AL117" i="19" s="1" a="1"/>
  <c r="AL117" i="19" s="1"/>
  <c r="AO162" i="1" s="1"/>
  <c r="AO187" i="1" s="1"/>
  <c r="AD124" i="19"/>
  <c r="AD125" i="19" s="1" a="1"/>
  <c r="AD125" i="19" s="1"/>
  <c r="AG163" i="1" s="1"/>
  <c r="AG188" i="1" s="1"/>
  <c r="AL124" i="19"/>
  <c r="AL125" i="19" s="1" a="1"/>
  <c r="AL125" i="19" s="1"/>
  <c r="AO163" i="1" s="1"/>
  <c r="AD164" i="19"/>
  <c r="AD165" i="19" s="1" a="1"/>
  <c r="AD165" i="19" s="1"/>
  <c r="AG168" i="1" s="1"/>
  <c r="AL164" i="19"/>
  <c r="AL165" i="19" s="1" a="1"/>
  <c r="AL165" i="19" s="1"/>
  <c r="AO168" i="1" s="1"/>
  <c r="AO193" i="1" s="1"/>
  <c r="AD180" i="19"/>
  <c r="AD181" i="19" s="1" a="1"/>
  <c r="AD181" i="19" s="1"/>
  <c r="AG170" i="1" s="1"/>
  <c r="AG195" i="1" s="1"/>
  <c r="AL180" i="19"/>
  <c r="AL181" i="19" s="1" a="1"/>
  <c r="AL181" i="19" s="1"/>
  <c r="AO170" i="1" s="1"/>
  <c r="AO195" i="1" s="1"/>
  <c r="AD188" i="19"/>
  <c r="AD189" i="19" s="1" a="1"/>
  <c r="AD189" i="19" s="1"/>
  <c r="AG171" i="1" s="1"/>
  <c r="AG196" i="1" s="1"/>
  <c r="AL188" i="19"/>
  <c r="AL189" i="19" s="1" a="1"/>
  <c r="AL189" i="19" s="1"/>
  <c r="AO171" i="1" s="1"/>
  <c r="AD172" i="19"/>
  <c r="AD173" i="19" s="1" a="1"/>
  <c r="AD173" i="19" s="1"/>
  <c r="AG169" i="1" s="1"/>
  <c r="AG194" i="1" s="1"/>
  <c r="AL172" i="19"/>
  <c r="AL173" i="19" s="1" a="1"/>
  <c r="AL173" i="19" s="1"/>
  <c r="AO169" i="1" s="1"/>
  <c r="BE29" i="15"/>
  <c r="BF29" i="15"/>
  <c r="BC26" i="15"/>
  <c r="AY26" i="15"/>
  <c r="BC27" i="15"/>
  <c r="BC53" i="15" s="1"/>
  <c r="BC82" i="15" s="1" a="1"/>
  <c r="BC82" i="15" s="1"/>
  <c r="AU114" i="1" s="1"/>
  <c r="BB27" i="15"/>
  <c r="BB41" i="15" s="1"/>
  <c r="BB70" i="15" s="1" a="1"/>
  <c r="BB70" i="15" s="1"/>
  <c r="AT102" i="1" s="1"/>
  <c r="BI27" i="15"/>
  <c r="BA27" i="15"/>
  <c r="BH27" i="15"/>
  <c r="BG27" i="15"/>
  <c r="AZ27" i="15"/>
  <c r="AZ53" i="15" s="1"/>
  <c r="AZ82" i="15" s="1" a="1"/>
  <c r="AZ82" i="15" s="1"/>
  <c r="AR114" i="1" s="1"/>
  <c r="BF27" i="15"/>
  <c r="BF53" i="15" s="1"/>
  <c r="BF82" i="15" s="1" a="1"/>
  <c r="BF82" i="15" s="1"/>
  <c r="BD27" i="15"/>
  <c r="BE27" i="15"/>
  <c r="AB44" i="19"/>
  <c r="AB45" i="19" s="1" a="1"/>
  <c r="AB45" i="19" s="1"/>
  <c r="AE153" i="1" s="1"/>
  <c r="AE178" i="1" s="1"/>
  <c r="AJ44" i="19"/>
  <c r="AJ45" i="19" s="1" a="1"/>
  <c r="AJ45" i="19" s="1"/>
  <c r="AM153" i="1" s="1"/>
  <c r="AB60" i="19"/>
  <c r="AB61" i="19" s="1" a="1"/>
  <c r="AB61" i="19" s="1"/>
  <c r="AE155" i="1" s="1"/>
  <c r="AJ60" i="19"/>
  <c r="AJ61" i="19" s="1" a="1"/>
  <c r="AJ61" i="19" s="1"/>
  <c r="AM155" i="1" s="1"/>
  <c r="AM180" i="1" s="1"/>
  <c r="AB68" i="19"/>
  <c r="AB69" i="19" s="1" a="1"/>
  <c r="AB69" i="19" s="1"/>
  <c r="AE156" i="1" s="1"/>
  <c r="AE181" i="1" s="1"/>
  <c r="AJ68" i="19"/>
  <c r="AJ69" i="19" s="1" a="1"/>
  <c r="AJ69" i="19" s="1"/>
  <c r="AM156" i="1" s="1"/>
  <c r="AM181" i="1" s="1"/>
  <c r="AB76" i="19"/>
  <c r="AB77" i="19" s="1" a="1"/>
  <c r="AB77" i="19" s="1"/>
  <c r="AE157" i="1" s="1"/>
  <c r="AE182" i="1" s="1"/>
  <c r="AJ76" i="19"/>
  <c r="AJ77" i="19" s="1" a="1"/>
  <c r="AJ77" i="19" s="1"/>
  <c r="AM157" i="1" s="1"/>
  <c r="AB108" i="19"/>
  <c r="AB109" i="19" s="1" a="1"/>
  <c r="AB109" i="19" s="1"/>
  <c r="AE161" i="1" s="1"/>
  <c r="AE186" i="1" s="1"/>
  <c r="AJ108" i="19"/>
  <c r="AJ109" i="19" s="1" a="1"/>
  <c r="AJ109" i="19" s="1"/>
  <c r="AM161" i="1" s="1"/>
  <c r="AB172" i="19"/>
  <c r="AB173" i="19" s="1" a="1"/>
  <c r="AB173" i="19" s="1"/>
  <c r="AE169" i="1" s="1"/>
  <c r="AE194" i="1" s="1"/>
  <c r="AJ172" i="19"/>
  <c r="AJ173" i="19" s="1" a="1"/>
  <c r="AJ173" i="19" s="1"/>
  <c r="AM169" i="1" s="1"/>
  <c r="AM194" i="1" s="1"/>
  <c r="AC52" i="19"/>
  <c r="AC53" i="19" s="1" a="1"/>
  <c r="AC53" i="19" s="1"/>
  <c r="AF154" i="1" s="1"/>
  <c r="AF179" i="1" s="1"/>
  <c r="AK52" i="19"/>
  <c r="AK53" i="19" s="1" a="1"/>
  <c r="AK53" i="19" s="1"/>
  <c r="AN154" i="1" s="1"/>
  <c r="AN179" i="1" s="1"/>
  <c r="AC84" i="19"/>
  <c r="AC85" i="19" s="1" a="1"/>
  <c r="AC85" i="19" s="1"/>
  <c r="AF158" i="1" s="1"/>
  <c r="AF183" i="1" s="1"/>
  <c r="AK84" i="19"/>
  <c r="AK85" i="19" s="1" a="1"/>
  <c r="AK85" i="19" s="1"/>
  <c r="AN158" i="1" s="1"/>
  <c r="AC116" i="19"/>
  <c r="AC117" i="19" s="1" a="1"/>
  <c r="AC117" i="19" s="1"/>
  <c r="AF162" i="1" s="1"/>
  <c r="AF187" i="1" s="1"/>
  <c r="AK116" i="19"/>
  <c r="AK117" i="19" s="1" a="1"/>
  <c r="AK117" i="19" s="1"/>
  <c r="AN162" i="1" s="1"/>
  <c r="AC132" i="19"/>
  <c r="AC133" i="19" s="1" a="1"/>
  <c r="AC133" i="19" s="1"/>
  <c r="AF164" i="1" s="1"/>
  <c r="AK132" i="19"/>
  <c r="AK133" i="19" s="1" a="1"/>
  <c r="AK133" i="19" s="1"/>
  <c r="AN164" i="1" s="1"/>
  <c r="AN189" i="1" s="1"/>
  <c r="AC156" i="19"/>
  <c r="AC157" i="19" s="1" a="1"/>
  <c r="AC157" i="19" s="1"/>
  <c r="AF167" i="1" s="1"/>
  <c r="AF192" i="1" s="1"/>
  <c r="AK156" i="19"/>
  <c r="AK157" i="19" s="1" a="1"/>
  <c r="AK157" i="19" s="1"/>
  <c r="AN167" i="1" s="1"/>
  <c r="AN192" i="1" s="1"/>
  <c r="AC180" i="19"/>
  <c r="AC181" i="19" s="1" a="1"/>
  <c r="AC181" i="19" s="1"/>
  <c r="AF170" i="1" s="1"/>
  <c r="AF195" i="1" s="1"/>
  <c r="AK180" i="19"/>
  <c r="AK181" i="19" s="1" a="1"/>
  <c r="AK181" i="19" s="1"/>
  <c r="AN170" i="1" s="1"/>
  <c r="AN195" i="1" s="1"/>
  <c r="AC172" i="19"/>
  <c r="AC173" i="19" s="1" a="1"/>
  <c r="AC173" i="19" s="1"/>
  <c r="AF169" i="1" s="1"/>
  <c r="AF194" i="1" s="1"/>
  <c r="AK172" i="19"/>
  <c r="AK173" i="19" s="1" a="1"/>
  <c r="AK173" i="19" s="1"/>
  <c r="AN169" i="1" s="1"/>
  <c r="AD60" i="19"/>
  <c r="AD61" i="19" s="1" a="1"/>
  <c r="AD61" i="19" s="1"/>
  <c r="AG155" i="1" s="1"/>
  <c r="AG180" i="1" s="1"/>
  <c r="AL68" i="19"/>
  <c r="AL69" i="19" s="1" a="1"/>
  <c r="AL69" i="19" s="1"/>
  <c r="AO156" i="1" s="1"/>
  <c r="AO181" i="1" s="1"/>
  <c r="AH185" i="1"/>
  <c r="AA12" i="19"/>
  <c r="AA13" i="19" s="1" a="1"/>
  <c r="AA13" i="19" s="1"/>
  <c r="AD149" i="1" s="1"/>
  <c r="AD174" i="1" s="1"/>
  <c r="AI12" i="19"/>
  <c r="AI13" i="19" s="1" a="1"/>
  <c r="AI13" i="19" s="1"/>
  <c r="AL149" i="1" s="1"/>
  <c r="AL174" i="1" s="1"/>
  <c r="AA20" i="19"/>
  <c r="AA21" i="19" s="1" a="1"/>
  <c r="AA21" i="19" s="1"/>
  <c r="AD150" i="1" s="1"/>
  <c r="AI20" i="19"/>
  <c r="AI21" i="19" s="1" a="1"/>
  <c r="AI21" i="19" s="1"/>
  <c r="AL150" i="1" s="1"/>
  <c r="AL175" i="1" s="1"/>
  <c r="AA28" i="19"/>
  <c r="AA29" i="19" s="1" a="1"/>
  <c r="AA29" i="19" s="1"/>
  <c r="AD151" i="1" s="1"/>
  <c r="AI28" i="19"/>
  <c r="AI29" i="19" s="1" a="1"/>
  <c r="AI29" i="19" s="1"/>
  <c r="AL151" i="1" s="1"/>
  <c r="AL176" i="1" s="1"/>
  <c r="AA36" i="19"/>
  <c r="AA37" i="19" s="1" a="1"/>
  <c r="AA37" i="19" s="1"/>
  <c r="AD152" i="1" s="1"/>
  <c r="AD177" i="1" s="1"/>
  <c r="AI36" i="19"/>
  <c r="AI37" i="19" s="1" a="1"/>
  <c r="AI37" i="19" s="1"/>
  <c r="AL152" i="1" s="1"/>
  <c r="AL177" i="1" s="1"/>
  <c r="AA44" i="19"/>
  <c r="AA45" i="19" s="1" a="1"/>
  <c r="AA45" i="19" s="1"/>
  <c r="AD153" i="1" s="1"/>
  <c r="AD178" i="1" s="1"/>
  <c r="AI44" i="19"/>
  <c r="AI45" i="19" s="1" a="1"/>
  <c r="AI45" i="19" s="1"/>
  <c r="AL153" i="1" s="1"/>
  <c r="AL178" i="1" s="1"/>
  <c r="AA52" i="19"/>
  <c r="AA53" i="19" s="1" a="1"/>
  <c r="AA53" i="19" s="1"/>
  <c r="AD154" i="1" s="1"/>
  <c r="AI52" i="19"/>
  <c r="AI53" i="19" s="1" a="1"/>
  <c r="AI53" i="19" s="1"/>
  <c r="AL154" i="1" s="1"/>
  <c r="AA60" i="19"/>
  <c r="AA61" i="19" s="1" a="1"/>
  <c r="AA61" i="19" s="1"/>
  <c r="AD155" i="1" s="1"/>
  <c r="AI60" i="19"/>
  <c r="AI61" i="19" s="1" a="1"/>
  <c r="AI61" i="19" s="1"/>
  <c r="AL155" i="1" s="1"/>
  <c r="AL180" i="1" s="1"/>
  <c r="AA68" i="19"/>
  <c r="AA69" i="19" s="1" a="1"/>
  <c r="AA69" i="19" s="1"/>
  <c r="AD156" i="1" s="1"/>
  <c r="AD181" i="1" s="1"/>
  <c r="AI68" i="19"/>
  <c r="AI69" i="19" s="1" a="1"/>
  <c r="AI69" i="19" s="1"/>
  <c r="AL156" i="1" s="1"/>
  <c r="AL181" i="1" s="1"/>
  <c r="AA76" i="19"/>
  <c r="AA77" i="19" s="1" a="1"/>
  <c r="AA77" i="19" s="1"/>
  <c r="AD157" i="1" s="1"/>
  <c r="AD182" i="1" s="1"/>
  <c r="AI76" i="19"/>
  <c r="AI77" i="19" s="1" a="1"/>
  <c r="AI77" i="19" s="1"/>
  <c r="AL157" i="1" s="1"/>
  <c r="AL182" i="1" s="1"/>
  <c r="AA84" i="19"/>
  <c r="AA85" i="19" s="1" a="1"/>
  <c r="AA85" i="19" s="1"/>
  <c r="AD158" i="1" s="1"/>
  <c r="AD183" i="1" s="1"/>
  <c r="AI84" i="19"/>
  <c r="AI85" i="19" s="1" a="1"/>
  <c r="AI85" i="19" s="1"/>
  <c r="AL158" i="1" s="1"/>
  <c r="AL183" i="1" s="1"/>
  <c r="AA92" i="19"/>
  <c r="AA93" i="19" s="1" a="1"/>
  <c r="AA93" i="19" s="1"/>
  <c r="AD159" i="1" s="1"/>
  <c r="AI92" i="19"/>
  <c r="AI93" i="19" s="1" a="1"/>
  <c r="AI93" i="19" s="1"/>
  <c r="AL159" i="1" s="1"/>
  <c r="AA100" i="19"/>
  <c r="AA101" i="19" s="1" a="1"/>
  <c r="AA101" i="19" s="1"/>
  <c r="AD160" i="1" s="1"/>
  <c r="AD185" i="1" s="1"/>
  <c r="AI100" i="19"/>
  <c r="AI101" i="19" s="1" a="1"/>
  <c r="AI101" i="19" s="1"/>
  <c r="AL160" i="1" s="1"/>
  <c r="AL185" i="1" s="1"/>
  <c r="AA108" i="19"/>
  <c r="AA109" i="19" s="1" a="1"/>
  <c r="AA109" i="19" s="1"/>
  <c r="AD161" i="1" s="1"/>
  <c r="AD186" i="1" s="1"/>
  <c r="AI108" i="19"/>
  <c r="AI109" i="19" s="1" a="1"/>
  <c r="AI109" i="19" s="1"/>
  <c r="AL161" i="1" s="1"/>
  <c r="AL186" i="1" s="1"/>
  <c r="AA116" i="19"/>
  <c r="AA117" i="19" s="1" a="1"/>
  <c r="AA117" i="19" s="1"/>
  <c r="AD162" i="1" s="1"/>
  <c r="AD187" i="1" s="1"/>
  <c r="AI116" i="19"/>
  <c r="AI117" i="19" s="1" a="1"/>
  <c r="AI117" i="19" s="1"/>
  <c r="AL162" i="1" s="1"/>
  <c r="AL187" i="1" s="1"/>
  <c r="AA124" i="19"/>
  <c r="AA125" i="19" s="1" a="1"/>
  <c r="AA125" i="19" s="1"/>
  <c r="AD163" i="1" s="1"/>
  <c r="AI124" i="19"/>
  <c r="AI125" i="19" s="1" a="1"/>
  <c r="AI125" i="19" s="1"/>
  <c r="AL163" i="1" s="1"/>
  <c r="AA132" i="19"/>
  <c r="AA133" i="19" s="1" a="1"/>
  <c r="AA133" i="19" s="1"/>
  <c r="AD164" i="1" s="1"/>
  <c r="AD189" i="1" s="1"/>
  <c r="AI132" i="19"/>
  <c r="AI133" i="19" s="1" a="1"/>
  <c r="AI133" i="19" s="1"/>
  <c r="AL164" i="1" s="1"/>
  <c r="AL189" i="1" s="1"/>
  <c r="AA140" i="19"/>
  <c r="AA141" i="19" s="1" a="1"/>
  <c r="AA141" i="19" s="1"/>
  <c r="AD165" i="1" s="1"/>
  <c r="AD190" i="1" s="1"/>
  <c r="AI140" i="19"/>
  <c r="AI141" i="19" s="1" a="1"/>
  <c r="AI141" i="19" s="1"/>
  <c r="AL165" i="1" s="1"/>
  <c r="AL190" i="1" s="1"/>
  <c r="AA148" i="19"/>
  <c r="AA149" i="19" s="1" a="1"/>
  <c r="AA149" i="19" s="1"/>
  <c r="AD166" i="1" s="1"/>
  <c r="AI148" i="19"/>
  <c r="AI149" i="19" s="1" a="1"/>
  <c r="AI149" i="19" s="1"/>
  <c r="AL166" i="1" s="1"/>
  <c r="AL191" i="1" s="1"/>
  <c r="AA156" i="19"/>
  <c r="AA157" i="19" s="1" a="1"/>
  <c r="AA157" i="19" s="1"/>
  <c r="AD167" i="1" s="1"/>
  <c r="AI156" i="19"/>
  <c r="AI157" i="19" s="1" a="1"/>
  <c r="AI157" i="19" s="1"/>
  <c r="AL167" i="1" s="1"/>
  <c r="AL192" i="1" s="1"/>
  <c r="AA164" i="19"/>
  <c r="AA165" i="19" s="1" a="1"/>
  <c r="AA165" i="19" s="1"/>
  <c r="AD168" i="1" s="1"/>
  <c r="AD193" i="1" s="1"/>
  <c r="AI164" i="19"/>
  <c r="AI165" i="19" s="1" a="1"/>
  <c r="AI165" i="19" s="1"/>
  <c r="AL168" i="1" s="1"/>
  <c r="AL193" i="1" s="1"/>
  <c r="AA180" i="19"/>
  <c r="AA181" i="19" s="1" a="1"/>
  <c r="AA181" i="19" s="1"/>
  <c r="AD170" i="1" s="1"/>
  <c r="AD195" i="1" s="1"/>
  <c r="AI180" i="19"/>
  <c r="AI181" i="19" s="1" a="1"/>
  <c r="AI181" i="19" s="1"/>
  <c r="AL170" i="1" s="1"/>
  <c r="AL195" i="1" s="1"/>
  <c r="AA188" i="19"/>
  <c r="AA189" i="19" s="1" a="1"/>
  <c r="AA189" i="19" s="1"/>
  <c r="AD171" i="1" s="1"/>
  <c r="AI188" i="19"/>
  <c r="AI189" i="19" s="1" a="1"/>
  <c r="AI189" i="19" s="1"/>
  <c r="AL171" i="1" s="1"/>
  <c r="AL196" i="1" s="1"/>
  <c r="AA172" i="19"/>
  <c r="AA173" i="19" s="1" a="1"/>
  <c r="AA173" i="19" s="1"/>
  <c r="AD169" i="1" s="1"/>
  <c r="AI172" i="19"/>
  <c r="AI173" i="19" s="1" a="1"/>
  <c r="AI173" i="19" s="1"/>
  <c r="AL169" i="1" s="1"/>
  <c r="AB100" i="19"/>
  <c r="AB101" i="19" s="1" a="1"/>
  <c r="AB101" i="19" s="1"/>
  <c r="AE160" i="1" s="1"/>
  <c r="AE185" i="1" s="1"/>
  <c r="AJ100" i="19"/>
  <c r="AJ101" i="19" s="1" a="1"/>
  <c r="AJ101" i="19" s="1"/>
  <c r="AM160" i="1" s="1"/>
  <c r="AM185" i="1" s="1"/>
  <c r="AB116" i="19"/>
  <c r="AB117" i="19" s="1" a="1"/>
  <c r="AB117" i="19" s="1"/>
  <c r="AE162" i="1" s="1"/>
  <c r="AE187" i="1" s="1"/>
  <c r="AJ116" i="19"/>
  <c r="AJ117" i="19" s="1" a="1"/>
  <c r="AJ117" i="19" s="1"/>
  <c r="AM162" i="1" s="1"/>
  <c r="AM187" i="1" s="1"/>
  <c r="AB124" i="19"/>
  <c r="AB125" i="19" s="1" a="1"/>
  <c r="AB125" i="19" s="1"/>
  <c r="AE163" i="1" s="1"/>
  <c r="AJ124" i="19"/>
  <c r="AJ125" i="19" s="1" a="1"/>
  <c r="AJ125" i="19" s="1"/>
  <c r="AM163" i="1" s="1"/>
  <c r="AM188" i="1" s="1"/>
  <c r="AB140" i="19"/>
  <c r="AB141" i="19" s="1" a="1"/>
  <c r="AB141" i="19" s="1"/>
  <c r="AE165" i="1" s="1"/>
  <c r="AE190" i="1" s="1"/>
  <c r="AJ140" i="19"/>
  <c r="AJ141" i="19" s="1" a="1"/>
  <c r="AJ141" i="19" s="1"/>
  <c r="AM165" i="1" s="1"/>
  <c r="AM190" i="1" s="1"/>
  <c r="AB164" i="19"/>
  <c r="AB165" i="19" s="1" a="1"/>
  <c r="AB165" i="19" s="1"/>
  <c r="AE168" i="1" s="1"/>
  <c r="AE193" i="1" s="1"/>
  <c r="AJ164" i="19"/>
  <c r="AJ165" i="19" s="1" a="1"/>
  <c r="AJ165" i="19" s="1"/>
  <c r="AM168" i="1" s="1"/>
  <c r="AM193" i="1" s="1"/>
  <c r="AB180" i="19"/>
  <c r="AB181" i="19" s="1" a="1"/>
  <c r="AB181" i="19" s="1"/>
  <c r="AE170" i="1" s="1"/>
  <c r="AE195" i="1" s="1"/>
  <c r="AJ180" i="19"/>
  <c r="AJ181" i="19" s="1" a="1"/>
  <c r="AJ181" i="19" s="1"/>
  <c r="AM170" i="1" s="1"/>
  <c r="AM195" i="1" s="1"/>
  <c r="AB188" i="19"/>
  <c r="AB189" i="19" s="1" a="1"/>
  <c r="AB189" i="19" s="1"/>
  <c r="AE171" i="1" s="1"/>
  <c r="AJ188" i="19"/>
  <c r="AJ189" i="19" s="1" a="1"/>
  <c r="AJ189" i="19" s="1"/>
  <c r="AM171" i="1" s="1"/>
  <c r="AM196" i="1" s="1"/>
  <c r="AC36" i="19"/>
  <c r="AC37" i="19" s="1" a="1"/>
  <c r="AC37" i="19" s="1"/>
  <c r="AF152" i="1" s="1"/>
  <c r="AF177" i="1" s="1"/>
  <c r="AK36" i="19"/>
  <c r="AK37" i="19" s="1" a="1"/>
  <c r="AK37" i="19" s="1"/>
  <c r="AN152" i="1" s="1"/>
  <c r="AC60" i="19"/>
  <c r="AC61" i="19" s="1" a="1"/>
  <c r="AC61" i="19" s="1"/>
  <c r="AF155" i="1" s="1"/>
  <c r="AF180" i="1" s="1"/>
  <c r="AK60" i="19"/>
  <c r="AK61" i="19" s="1" a="1"/>
  <c r="AK61" i="19" s="1"/>
  <c r="AN155" i="1" s="1"/>
  <c r="AN180" i="1" s="1"/>
  <c r="AC68" i="19"/>
  <c r="AC69" i="19" s="1" a="1"/>
  <c r="AC69" i="19" s="1"/>
  <c r="AF156" i="1" s="1"/>
  <c r="AF181" i="1" s="1"/>
  <c r="AK68" i="19"/>
  <c r="AK69" i="19" s="1" a="1"/>
  <c r="AK69" i="19" s="1"/>
  <c r="AN156" i="1" s="1"/>
  <c r="AN181" i="1" s="1"/>
  <c r="AC76" i="19"/>
  <c r="AC77" i="19" s="1" a="1"/>
  <c r="AC77" i="19" s="1"/>
  <c r="AF157" i="1" s="1"/>
  <c r="AF182" i="1" s="1"/>
  <c r="AK76" i="19"/>
  <c r="AK77" i="19" s="1" a="1"/>
  <c r="AK77" i="19" s="1"/>
  <c r="AN157" i="1" s="1"/>
  <c r="AN182" i="1" s="1"/>
  <c r="AC100" i="19"/>
  <c r="AC101" i="19" s="1" a="1"/>
  <c r="AC101" i="19" s="1"/>
  <c r="AF160" i="1" s="1"/>
  <c r="AK100" i="19"/>
  <c r="AK101" i="19" s="1" a="1"/>
  <c r="AK101" i="19" s="1"/>
  <c r="AN160" i="1" s="1"/>
  <c r="AN185" i="1" s="1"/>
  <c r="AC124" i="19"/>
  <c r="AC125" i="19" s="1" a="1"/>
  <c r="AC125" i="19" s="1"/>
  <c r="AF163" i="1" s="1"/>
  <c r="AF188" i="1" s="1"/>
  <c r="AK124" i="19"/>
  <c r="AK125" i="19" s="1" a="1"/>
  <c r="AK125" i="19" s="1"/>
  <c r="AN163" i="1" s="1"/>
  <c r="AN188" i="1" s="1"/>
  <c r="AC140" i="19"/>
  <c r="AC141" i="19" s="1" a="1"/>
  <c r="AC141" i="19" s="1"/>
  <c r="AF165" i="1" s="1"/>
  <c r="AF190" i="1" s="1"/>
  <c r="AK140" i="19"/>
  <c r="AK141" i="19" s="1" a="1"/>
  <c r="AK141" i="19" s="1"/>
  <c r="AN165" i="1" s="1"/>
  <c r="AN190" i="1" s="1"/>
  <c r="AC148" i="19"/>
  <c r="AC149" i="19" s="1" a="1"/>
  <c r="AC149" i="19" s="1"/>
  <c r="AF166" i="1" s="1"/>
  <c r="AF191" i="1" s="1"/>
  <c r="AK148" i="19"/>
  <c r="AK149" i="19" s="1" a="1"/>
  <c r="AK149" i="19" s="1"/>
  <c r="AN166" i="1" s="1"/>
  <c r="AN191" i="1" s="1"/>
  <c r="AC164" i="19"/>
  <c r="AC165" i="19" s="1" a="1"/>
  <c r="AC165" i="19" s="1"/>
  <c r="AF168" i="1" s="1"/>
  <c r="AK164" i="19"/>
  <c r="AK165" i="19" s="1" a="1"/>
  <c r="AK165" i="19" s="1"/>
  <c r="AN168" i="1" s="1"/>
  <c r="AC188" i="19"/>
  <c r="AC189" i="19" s="1" a="1"/>
  <c r="AC189" i="19" s="1"/>
  <c r="AF171" i="1" s="1"/>
  <c r="AF196" i="1" s="1"/>
  <c r="AK188" i="19"/>
  <c r="AK189" i="19" s="1" a="1"/>
  <c r="AK189" i="19" s="1"/>
  <c r="AN171" i="1" s="1"/>
  <c r="AN196" i="1" s="1"/>
  <c r="AL84" i="19"/>
  <c r="AL85" i="19" s="1" a="1"/>
  <c r="AL85" i="19" s="1"/>
  <c r="AO158" i="1" s="1"/>
  <c r="AO183" i="1" s="1"/>
  <c r="AD132" i="19"/>
  <c r="AD133" i="19" s="1" a="1"/>
  <c r="AD133" i="19" s="1"/>
  <c r="AG164" i="1" s="1"/>
  <c r="AG189" i="1" s="1"/>
  <c r="AL132" i="19"/>
  <c r="AL133" i="19" s="1" a="1"/>
  <c r="AL133" i="19" s="1"/>
  <c r="AO164" i="1" s="1"/>
  <c r="AO189" i="1" s="1"/>
  <c r="AD140" i="19"/>
  <c r="AD141" i="19" s="1" a="1"/>
  <c r="AD141" i="19" s="1"/>
  <c r="AG165" i="1" s="1"/>
  <c r="AG190" i="1" s="1"/>
  <c r="AL140" i="19"/>
  <c r="AL141" i="19" s="1" a="1"/>
  <c r="AL141" i="19" s="1"/>
  <c r="AO165" i="1" s="1"/>
  <c r="AD148" i="19"/>
  <c r="AD149" i="19" s="1" a="1"/>
  <c r="AD149" i="19" s="1"/>
  <c r="AG166" i="1" s="1"/>
  <c r="AG191" i="1" s="1"/>
  <c r="AL148" i="19"/>
  <c r="AL149" i="19" s="1" a="1"/>
  <c r="AL149" i="19" s="1"/>
  <c r="AO166" i="1" s="1"/>
  <c r="AD156" i="19"/>
  <c r="AD157" i="19" s="1" a="1"/>
  <c r="AD157" i="19" s="1"/>
  <c r="AG167" i="1" s="1"/>
  <c r="AG192" i="1" s="1"/>
  <c r="AL156" i="19"/>
  <c r="AL157" i="19" s="1" a="1"/>
  <c r="AL157" i="19" s="1"/>
  <c r="AO167" i="1" s="1"/>
  <c r="AO192" i="1" s="1"/>
  <c r="AM178" i="1"/>
  <c r="AG12" i="19"/>
  <c r="AG13" i="19" s="1" a="1"/>
  <c r="AG13" i="19" s="1"/>
  <c r="AJ149" i="1" s="1"/>
  <c r="AJ174" i="1" s="1"/>
  <c r="AN12" i="19"/>
  <c r="AN13" i="19" s="1" a="1"/>
  <c r="AN13" i="19" s="1"/>
  <c r="AQ149" i="1" s="1"/>
  <c r="AF12" i="19"/>
  <c r="AF13" i="19" s="1" a="1"/>
  <c r="AF13" i="19" s="1"/>
  <c r="AI149" i="1" s="1"/>
  <c r="AM156" i="19"/>
  <c r="AM157" i="19" s="1" a="1"/>
  <c r="AM157" i="19" s="1"/>
  <c r="AP167" i="1" s="1"/>
  <c r="AE76" i="19"/>
  <c r="AE77" i="19" s="1" a="1"/>
  <c r="AE77" i="19" s="1"/>
  <c r="AH157" i="1" s="1"/>
  <c r="AH182" i="1" s="1"/>
  <c r="AM76" i="19"/>
  <c r="AM77" i="19" s="1" a="1"/>
  <c r="AM77" i="19" s="1"/>
  <c r="AP157" i="1" s="1"/>
  <c r="AE84" i="19"/>
  <c r="AE85" i="19" s="1" a="1"/>
  <c r="AE85" i="19" s="1"/>
  <c r="AH158" i="1" s="1"/>
  <c r="AH183" i="1" s="1"/>
  <c r="AM84" i="19"/>
  <c r="AM85" i="19" s="1" a="1"/>
  <c r="AM85" i="19" s="1"/>
  <c r="AP158" i="1" s="1"/>
  <c r="AE92" i="19"/>
  <c r="AE93" i="19" s="1" a="1"/>
  <c r="AE93" i="19" s="1"/>
  <c r="AH159" i="1" s="1"/>
  <c r="AH184" i="1" s="1"/>
  <c r="AM92" i="19"/>
  <c r="AM93" i="19" s="1" a="1"/>
  <c r="AM93" i="19" s="1"/>
  <c r="AP159" i="1" s="1"/>
  <c r="AP184" i="1" s="1"/>
  <c r="AE132" i="19"/>
  <c r="AE133" i="19" s="1" a="1"/>
  <c r="AE133" i="19" s="1"/>
  <c r="AH164" i="1" s="1"/>
  <c r="AM132" i="19"/>
  <c r="AM133" i="19" s="1" a="1"/>
  <c r="AM133" i="19" s="1"/>
  <c r="AP164" i="1" s="1"/>
  <c r="AP189" i="1" s="1"/>
  <c r="AE140" i="19"/>
  <c r="AE141" i="19" s="1" a="1"/>
  <c r="AE141" i="19" s="1"/>
  <c r="AH165" i="1" s="1"/>
  <c r="AH190" i="1" s="1"/>
  <c r="AM140" i="19"/>
  <c r="AM141" i="19" s="1" a="1"/>
  <c r="AM141" i="19" s="1"/>
  <c r="AP165" i="1" s="1"/>
  <c r="AP190" i="1" s="1"/>
  <c r="AE148" i="19"/>
  <c r="AE149" i="19" s="1" a="1"/>
  <c r="AE149" i="19" s="1"/>
  <c r="AH166" i="1" s="1"/>
  <c r="AH191" i="1" s="1"/>
  <c r="AM148" i="19"/>
  <c r="AM149" i="19" s="1" a="1"/>
  <c r="AM149" i="19" s="1"/>
  <c r="AP166" i="1" s="1"/>
  <c r="AP191" i="1" s="1"/>
  <c r="AE156" i="19"/>
  <c r="AE157" i="19" s="1" a="1"/>
  <c r="AE157" i="19" s="1"/>
  <c r="AH167" i="1" s="1"/>
  <c r="AL12" i="19"/>
  <c r="AL13" i="19" s="1" a="1"/>
  <c r="AL13" i="19" s="1"/>
  <c r="AO149" i="1" s="1"/>
  <c r="AO174" i="1" s="1"/>
  <c r="AD12" i="19"/>
  <c r="AD13" i="19" s="1" a="1"/>
  <c r="AD13" i="19" s="1"/>
  <c r="AG149" i="1" s="1"/>
  <c r="AF20" i="19"/>
  <c r="AF21" i="19" s="1" a="1"/>
  <c r="AF21" i="19" s="1"/>
  <c r="AI150" i="1" s="1"/>
  <c r="AI175" i="1" s="1"/>
  <c r="AN20" i="19"/>
  <c r="AN21" i="19" s="1" a="1"/>
  <c r="AN21" i="19" s="1"/>
  <c r="AQ150" i="1" s="1"/>
  <c r="AQ175" i="1" s="1"/>
  <c r="AF28" i="19"/>
  <c r="AF29" i="19" s="1" a="1"/>
  <c r="AF29" i="19" s="1"/>
  <c r="AI151" i="1" s="1"/>
  <c r="AI176" i="1" s="1"/>
  <c r="AN28" i="19"/>
  <c r="AN29" i="19" s="1" a="1"/>
  <c r="AN29" i="19" s="1"/>
  <c r="AQ151" i="1" s="1"/>
  <c r="AF36" i="19"/>
  <c r="AF37" i="19" s="1" a="1"/>
  <c r="AF37" i="19" s="1"/>
  <c r="AI152" i="1" s="1"/>
  <c r="AI177" i="1" s="1"/>
  <c r="AN36" i="19"/>
  <c r="AN37" i="19" s="1" a="1"/>
  <c r="AN37" i="19" s="1"/>
  <c r="AQ152" i="1" s="1"/>
  <c r="AF44" i="19"/>
  <c r="AF45" i="19" s="1" a="1"/>
  <c r="AF45" i="19" s="1"/>
  <c r="AI153" i="1" s="1"/>
  <c r="AI178" i="1" s="1"/>
  <c r="AN44" i="19"/>
  <c r="AN45" i="19" s="1" a="1"/>
  <c r="AN45" i="19" s="1"/>
  <c r="AQ153" i="1" s="1"/>
  <c r="AF52" i="19"/>
  <c r="AF53" i="19" s="1" a="1"/>
  <c r="AF53" i="19" s="1"/>
  <c r="AI154" i="1" s="1"/>
  <c r="AI179" i="1" s="1"/>
  <c r="AN52" i="19"/>
  <c r="AN53" i="19" s="1" a="1"/>
  <c r="AN53" i="19" s="1"/>
  <c r="AQ154" i="1" s="1"/>
  <c r="AF60" i="19"/>
  <c r="AF61" i="19" s="1" a="1"/>
  <c r="AF61" i="19" s="1"/>
  <c r="AI155" i="1" s="1"/>
  <c r="AI180" i="1" s="1"/>
  <c r="AN60" i="19"/>
  <c r="AN61" i="19" s="1" a="1"/>
  <c r="AN61" i="19" s="1"/>
  <c r="AQ155" i="1" s="1"/>
  <c r="AF68" i="19"/>
  <c r="AF69" i="19" s="1" a="1"/>
  <c r="AF69" i="19" s="1"/>
  <c r="AI156" i="1" s="1"/>
  <c r="AI181" i="1" s="1"/>
  <c r="AN68" i="19"/>
  <c r="AN69" i="19" s="1" a="1"/>
  <c r="AN69" i="19" s="1"/>
  <c r="AQ156" i="1" s="1"/>
  <c r="AF76" i="19"/>
  <c r="AF77" i="19" s="1" a="1"/>
  <c r="AF77" i="19" s="1"/>
  <c r="AI157" i="1" s="1"/>
  <c r="AI182" i="1" s="1"/>
  <c r="AN76" i="19"/>
  <c r="AN77" i="19" s="1" a="1"/>
  <c r="AN77" i="19" s="1"/>
  <c r="AQ157" i="1" s="1"/>
  <c r="AF84" i="19"/>
  <c r="AF85" i="19" s="1" a="1"/>
  <c r="AF85" i="19" s="1"/>
  <c r="AI158" i="1" s="1"/>
  <c r="AI183" i="1" s="1"/>
  <c r="AN84" i="19"/>
  <c r="AN85" i="19" s="1" a="1"/>
  <c r="AN85" i="19" s="1"/>
  <c r="AQ158" i="1" s="1"/>
  <c r="AF92" i="19"/>
  <c r="AF93" i="19" s="1" a="1"/>
  <c r="AF93" i="19" s="1"/>
  <c r="AI159" i="1" s="1"/>
  <c r="AI184" i="1" s="1"/>
  <c r="AN92" i="19"/>
  <c r="AN93" i="19" s="1" a="1"/>
  <c r="AN93" i="19" s="1"/>
  <c r="AQ159" i="1" s="1"/>
  <c r="AQ184" i="1" s="1"/>
  <c r="AF100" i="19"/>
  <c r="AF101" i="19" s="1" a="1"/>
  <c r="AF101" i="19" s="1"/>
  <c r="AI160" i="1" s="1"/>
  <c r="AI185" i="1" s="1"/>
  <c r="AN100" i="19"/>
  <c r="AN101" i="19" s="1" a="1"/>
  <c r="AN101" i="19" s="1"/>
  <c r="AQ160" i="1" s="1"/>
  <c r="AF108" i="19"/>
  <c r="AF109" i="19" s="1" a="1"/>
  <c r="AF109" i="19" s="1"/>
  <c r="AI161" i="1" s="1"/>
  <c r="AI186" i="1" s="1"/>
  <c r="AN108" i="19"/>
  <c r="AN109" i="19" s="1" a="1"/>
  <c r="AN109" i="19" s="1"/>
  <c r="AQ161" i="1" s="1"/>
  <c r="AF116" i="19"/>
  <c r="AF117" i="19" s="1" a="1"/>
  <c r="AF117" i="19" s="1"/>
  <c r="AI162" i="1" s="1"/>
  <c r="AI187" i="1" s="1"/>
  <c r="AN116" i="19"/>
  <c r="AN117" i="19" s="1" a="1"/>
  <c r="AN117" i="19" s="1"/>
  <c r="AQ162" i="1" s="1"/>
  <c r="AF124" i="19"/>
  <c r="AF125" i="19" s="1" a="1"/>
  <c r="AF125" i="19" s="1"/>
  <c r="AI163" i="1" s="1"/>
  <c r="AI188" i="1" s="1"/>
  <c r="AN124" i="19"/>
  <c r="AN125" i="19" s="1" a="1"/>
  <c r="AN125" i="19" s="1"/>
  <c r="AQ163" i="1" s="1"/>
  <c r="AF132" i="19"/>
  <c r="AF133" i="19" s="1" a="1"/>
  <c r="AF133" i="19" s="1"/>
  <c r="AI164" i="1" s="1"/>
  <c r="AI189" i="1" s="1"/>
  <c r="AN132" i="19"/>
  <c r="AN133" i="19" s="1" a="1"/>
  <c r="AN133" i="19" s="1"/>
  <c r="AQ164" i="1" s="1"/>
  <c r="AQ189" i="1" s="1"/>
  <c r="AF140" i="19"/>
  <c r="AF141" i="19" s="1" a="1"/>
  <c r="AF141" i="19" s="1"/>
  <c r="AI165" i="1" s="1"/>
  <c r="AI190" i="1" s="1"/>
  <c r="AN140" i="19"/>
  <c r="AN141" i="19" s="1" a="1"/>
  <c r="AN141" i="19" s="1"/>
  <c r="AQ165" i="1" s="1"/>
  <c r="AF148" i="19"/>
  <c r="AF149" i="19" s="1" a="1"/>
  <c r="AF149" i="19" s="1"/>
  <c r="AI166" i="1" s="1"/>
  <c r="AI191" i="1" s="1"/>
  <c r="AN148" i="19"/>
  <c r="AN149" i="19" s="1" a="1"/>
  <c r="AN149" i="19" s="1"/>
  <c r="AQ166" i="1" s="1"/>
  <c r="AQ191" i="1" s="1"/>
  <c r="AF156" i="19"/>
  <c r="AF157" i="19" s="1" a="1"/>
  <c r="AF157" i="19" s="1"/>
  <c r="AI167" i="1" s="1"/>
  <c r="AI192" i="1" s="1"/>
  <c r="AN156" i="19"/>
  <c r="AN157" i="19" s="1" a="1"/>
  <c r="AN157" i="19" s="1"/>
  <c r="AQ167" i="1" s="1"/>
  <c r="AQ192" i="1" s="1"/>
  <c r="AF164" i="19"/>
  <c r="AF165" i="19" s="1" a="1"/>
  <c r="AF165" i="19" s="1"/>
  <c r="AI168" i="1" s="1"/>
  <c r="AI193" i="1" s="1"/>
  <c r="AN164" i="19"/>
  <c r="AN165" i="19" s="1" a="1"/>
  <c r="AN165" i="19" s="1"/>
  <c r="AQ168" i="1" s="1"/>
  <c r="AF180" i="19"/>
  <c r="AF181" i="19" s="1" a="1"/>
  <c r="AF181" i="19" s="1"/>
  <c r="AI170" i="1" s="1"/>
  <c r="AI195" i="1" s="1"/>
  <c r="AN180" i="19"/>
  <c r="AN181" i="19" s="1" a="1"/>
  <c r="AN181" i="19" s="1"/>
  <c r="AQ170" i="1" s="1"/>
  <c r="AF188" i="19"/>
  <c r="AF189" i="19" s="1" a="1"/>
  <c r="AF189" i="19" s="1"/>
  <c r="AI171" i="1" s="1"/>
  <c r="AI196" i="1" s="1"/>
  <c r="AN188" i="19"/>
  <c r="AN189" i="19" s="1" a="1"/>
  <c r="AN189" i="19" s="1"/>
  <c r="AQ171" i="1" s="1"/>
  <c r="AF172" i="19"/>
  <c r="AF173" i="19" s="1" a="1"/>
  <c r="AF173" i="19" s="1"/>
  <c r="AI169" i="1" s="1"/>
  <c r="AI194" i="1" s="1"/>
  <c r="AN172" i="19"/>
  <c r="AN173" i="19" s="1" a="1"/>
  <c r="AN173" i="19" s="1"/>
  <c r="AQ169" i="1" s="1"/>
  <c r="AQ194" i="1" s="1"/>
  <c r="AP12" i="19"/>
  <c r="AP13" i="19" s="1" a="1"/>
  <c r="AP13" i="19" s="1"/>
  <c r="AS149" i="1" s="1"/>
  <c r="AH12" i="19"/>
  <c r="AH13" i="19" s="1" a="1"/>
  <c r="AH13" i="19" s="1"/>
  <c r="AK149" i="1" s="1"/>
  <c r="AK174" i="1" s="1"/>
  <c r="AB52" i="19"/>
  <c r="AB53" i="19" s="1" a="1"/>
  <c r="AB53" i="19" s="1"/>
  <c r="AE154" i="1" s="1"/>
  <c r="AE179" i="1" s="1"/>
  <c r="AL60" i="19"/>
  <c r="AL61" i="19" s="1" a="1"/>
  <c r="AL61" i="19" s="1"/>
  <c r="AO155" i="1" s="1"/>
  <c r="AD68" i="19"/>
  <c r="AD69" i="19" s="1" a="1"/>
  <c r="AD69" i="19" s="1"/>
  <c r="AG156" i="1" s="1"/>
  <c r="AG181" i="1" s="1"/>
  <c r="AD76" i="19"/>
  <c r="AD77" i="19" s="1" a="1"/>
  <c r="AD77" i="19" s="1"/>
  <c r="AG157" i="1" s="1"/>
  <c r="AG182" i="1" s="1"/>
  <c r="AL76" i="19"/>
  <c r="AL77" i="19" s="1" a="1"/>
  <c r="AL77" i="19" s="1"/>
  <c r="AO157" i="1" s="1"/>
  <c r="AO182" i="1" s="1"/>
  <c r="AD84" i="19"/>
  <c r="AD85" i="19" s="1" a="1"/>
  <c r="AD85" i="19" s="1"/>
  <c r="AG158" i="1" s="1"/>
  <c r="AG183" i="1" s="1"/>
  <c r="AM12" i="19"/>
  <c r="AM13" i="19" s="1" a="1"/>
  <c r="AM13" i="19" s="1"/>
  <c r="AP149" i="1" s="1"/>
  <c r="AP174" i="1" s="1"/>
  <c r="AE12" i="19"/>
  <c r="AE13" i="19" s="1" a="1"/>
  <c r="AE13" i="19" s="1"/>
  <c r="AH149" i="1" s="1"/>
  <c r="AH174" i="1" s="1"/>
  <c r="AE20" i="19"/>
  <c r="AE21" i="19" s="1" a="1"/>
  <c r="AE21" i="19" s="1"/>
  <c r="AH150" i="1" s="1"/>
  <c r="AH175" i="1" s="1"/>
  <c r="AM20" i="19"/>
  <c r="AM21" i="19" s="1" a="1"/>
  <c r="AM21" i="19" s="1"/>
  <c r="AP150" i="1" s="1"/>
  <c r="AP175" i="1" s="1"/>
  <c r="AE60" i="19"/>
  <c r="AE61" i="19" s="1" a="1"/>
  <c r="AE61" i="19" s="1"/>
  <c r="AH155" i="1" s="1"/>
  <c r="AH180" i="1" s="1"/>
  <c r="AL184" i="1"/>
  <c r="AM182" i="1"/>
  <c r="AE184" i="1"/>
  <c r="AK12" i="19"/>
  <c r="AK13" i="19" s="1" a="1"/>
  <c r="AK13" i="19" s="1"/>
  <c r="AN149" i="1" s="1"/>
  <c r="AN174" i="1" s="1"/>
  <c r="AC12" i="19"/>
  <c r="AC13" i="19" s="1" a="1"/>
  <c r="AC13" i="19" s="1"/>
  <c r="AF149" i="1" s="1"/>
  <c r="AF174" i="1" s="1"/>
  <c r="AG20" i="19"/>
  <c r="AG21" i="19" s="1" a="1"/>
  <c r="AG21" i="19" s="1"/>
  <c r="AJ150" i="1" s="1"/>
  <c r="AJ175" i="1" s="1"/>
  <c r="AO20" i="19"/>
  <c r="AO21" i="19" s="1" a="1"/>
  <c r="AO21" i="19" s="1"/>
  <c r="AR150" i="1" s="1"/>
  <c r="AG28" i="19"/>
  <c r="AG29" i="19" s="1" a="1"/>
  <c r="AG29" i="19" s="1"/>
  <c r="AJ151" i="1" s="1"/>
  <c r="AJ176" i="1" s="1"/>
  <c r="AO28" i="19"/>
  <c r="AO29" i="19" s="1" a="1"/>
  <c r="AO29" i="19" s="1"/>
  <c r="AR151" i="1" s="1"/>
  <c r="AG36" i="19"/>
  <c r="AG37" i="19" s="1" a="1"/>
  <c r="AG37" i="19" s="1"/>
  <c r="AJ152" i="1" s="1"/>
  <c r="AJ177" i="1" s="1"/>
  <c r="AO36" i="19"/>
  <c r="AO37" i="19" s="1" a="1"/>
  <c r="AO37" i="19" s="1"/>
  <c r="AR152" i="1" s="1"/>
  <c r="AG44" i="19"/>
  <c r="AG45" i="19" s="1" a="1"/>
  <c r="AG45" i="19" s="1"/>
  <c r="AJ153" i="1" s="1"/>
  <c r="AJ178" i="1" s="1"/>
  <c r="AO44" i="19"/>
  <c r="AO45" i="19" s="1" a="1"/>
  <c r="AO45" i="19" s="1"/>
  <c r="AR153" i="1" s="1"/>
  <c r="AG52" i="19"/>
  <c r="AG53" i="19" s="1" a="1"/>
  <c r="AG53" i="19" s="1"/>
  <c r="AJ154" i="1" s="1"/>
  <c r="AJ179" i="1" s="1"/>
  <c r="AO52" i="19"/>
  <c r="AO53" i="19" s="1" a="1"/>
  <c r="AO53" i="19" s="1"/>
  <c r="AR154" i="1" s="1"/>
  <c r="AG60" i="19"/>
  <c r="AG61" i="19" s="1" a="1"/>
  <c r="AG61" i="19" s="1"/>
  <c r="AJ155" i="1" s="1"/>
  <c r="AJ180" i="1" s="1"/>
  <c r="AO60" i="19"/>
  <c r="AO61" i="19" s="1" a="1"/>
  <c r="AO61" i="19" s="1"/>
  <c r="AR155" i="1" s="1"/>
  <c r="AG68" i="19"/>
  <c r="AG69" i="19" s="1" a="1"/>
  <c r="AG69" i="19" s="1"/>
  <c r="AJ156" i="1" s="1"/>
  <c r="AJ181" i="1" s="1"/>
  <c r="AO68" i="19"/>
  <c r="AO69" i="19" s="1" a="1"/>
  <c r="AO69" i="19" s="1"/>
  <c r="AR156" i="1" s="1"/>
  <c r="AG76" i="19"/>
  <c r="AG77" i="19" s="1" a="1"/>
  <c r="AG77" i="19" s="1"/>
  <c r="AJ157" i="1" s="1"/>
  <c r="AJ182" i="1" s="1"/>
  <c r="AO76" i="19"/>
  <c r="AO77" i="19" s="1" a="1"/>
  <c r="AO77" i="19" s="1"/>
  <c r="AR157" i="1" s="1"/>
  <c r="AG84" i="19"/>
  <c r="AG85" i="19" s="1" a="1"/>
  <c r="AG85" i="19" s="1"/>
  <c r="AJ158" i="1" s="1"/>
  <c r="AJ183" i="1" s="1"/>
  <c r="AO84" i="19"/>
  <c r="AO85" i="19" s="1" a="1"/>
  <c r="AO85" i="19" s="1"/>
  <c r="AR158" i="1" s="1"/>
  <c r="AG92" i="19"/>
  <c r="AG93" i="19" s="1" a="1"/>
  <c r="AG93" i="19" s="1"/>
  <c r="AJ159" i="1" s="1"/>
  <c r="AJ184" i="1" s="1"/>
  <c r="AO92" i="19"/>
  <c r="AO93" i="19" s="1" a="1"/>
  <c r="AO93" i="19" s="1"/>
  <c r="AR159" i="1" s="1"/>
  <c r="AG100" i="19"/>
  <c r="AG101" i="19" s="1" a="1"/>
  <c r="AG101" i="19" s="1"/>
  <c r="AJ160" i="1" s="1"/>
  <c r="AJ185" i="1" s="1"/>
  <c r="AO100" i="19"/>
  <c r="AO101" i="19" s="1" a="1"/>
  <c r="AO101" i="19" s="1"/>
  <c r="AR160" i="1" s="1"/>
  <c r="AG108" i="19"/>
  <c r="AG109" i="19" s="1" a="1"/>
  <c r="AG109" i="19" s="1"/>
  <c r="AJ161" i="1" s="1"/>
  <c r="AJ186" i="1" s="1"/>
  <c r="AO108" i="19"/>
  <c r="AO109" i="19" s="1" a="1"/>
  <c r="AO109" i="19" s="1"/>
  <c r="AR161" i="1" s="1"/>
  <c r="AG116" i="19"/>
  <c r="AG117" i="19" s="1" a="1"/>
  <c r="AG117" i="19" s="1"/>
  <c r="AJ162" i="1" s="1"/>
  <c r="AJ187" i="1" s="1"/>
  <c r="AO116" i="19"/>
  <c r="AO117" i="19" s="1" a="1"/>
  <c r="AO117" i="19" s="1"/>
  <c r="AR162" i="1" s="1"/>
  <c r="AG124" i="19"/>
  <c r="AG125" i="19" s="1" a="1"/>
  <c r="AG125" i="19" s="1"/>
  <c r="AJ163" i="1" s="1"/>
  <c r="AJ188" i="1" s="1"/>
  <c r="AO124" i="19"/>
  <c r="AO125" i="19" s="1" a="1"/>
  <c r="AO125" i="19" s="1"/>
  <c r="AR163" i="1" s="1"/>
  <c r="AG132" i="19"/>
  <c r="AG133" i="19" s="1" a="1"/>
  <c r="AG133" i="19" s="1"/>
  <c r="AJ164" i="1" s="1"/>
  <c r="AJ189" i="1" s="1"/>
  <c r="AO132" i="19"/>
  <c r="AO133" i="19" s="1" a="1"/>
  <c r="AO133" i="19" s="1"/>
  <c r="AR164" i="1" s="1"/>
  <c r="AG140" i="19"/>
  <c r="AG141" i="19" s="1" a="1"/>
  <c r="AG141" i="19" s="1"/>
  <c r="AJ165" i="1" s="1"/>
  <c r="AJ190" i="1" s="1"/>
  <c r="AO140" i="19"/>
  <c r="AO141" i="19" s="1" a="1"/>
  <c r="AO141" i="19" s="1"/>
  <c r="AR165" i="1" s="1"/>
  <c r="AG148" i="19"/>
  <c r="AG149" i="19" s="1" a="1"/>
  <c r="AG149" i="19" s="1"/>
  <c r="AJ166" i="1" s="1"/>
  <c r="AJ191" i="1" s="1"/>
  <c r="AO148" i="19"/>
  <c r="AO149" i="19" s="1" a="1"/>
  <c r="AO149" i="19" s="1"/>
  <c r="AR166" i="1" s="1"/>
  <c r="AG156" i="19"/>
  <c r="AG157" i="19" s="1" a="1"/>
  <c r="AG157" i="19" s="1"/>
  <c r="AJ167" i="1" s="1"/>
  <c r="AJ192" i="1" s="1"/>
  <c r="AO156" i="19"/>
  <c r="AO157" i="19" s="1" a="1"/>
  <c r="AO157" i="19" s="1"/>
  <c r="AR167" i="1" s="1"/>
  <c r="AR192" i="1" s="1"/>
  <c r="AG164" i="19"/>
  <c r="AG165" i="19" s="1" a="1"/>
  <c r="AG165" i="19" s="1"/>
  <c r="AJ168" i="1" s="1"/>
  <c r="AJ193" i="1" s="1"/>
  <c r="AO164" i="19"/>
  <c r="AO165" i="19" s="1" a="1"/>
  <c r="AO165" i="19" s="1"/>
  <c r="AR168" i="1" s="1"/>
  <c r="AG180" i="19"/>
  <c r="AG181" i="19" s="1" a="1"/>
  <c r="AG181" i="19" s="1"/>
  <c r="AJ170" i="1" s="1"/>
  <c r="AJ195" i="1" s="1"/>
  <c r="AO180" i="19"/>
  <c r="AO181" i="19" s="1" a="1"/>
  <c r="AO181" i="19" s="1"/>
  <c r="AR170" i="1" s="1"/>
  <c r="AG188" i="19"/>
  <c r="AG189" i="19" s="1" a="1"/>
  <c r="AG189" i="19" s="1"/>
  <c r="AJ171" i="1" s="1"/>
  <c r="AJ196" i="1" s="1"/>
  <c r="AO188" i="19"/>
  <c r="AO189" i="19" s="1" a="1"/>
  <c r="AO189" i="19" s="1"/>
  <c r="AR171" i="1" s="1"/>
  <c r="AG172" i="19"/>
  <c r="AG173" i="19" s="1" a="1"/>
  <c r="AG173" i="19" s="1"/>
  <c r="AJ169" i="1" s="1"/>
  <c r="AJ194" i="1" s="1"/>
  <c r="AO172" i="19"/>
  <c r="AO173" i="19" s="1" a="1"/>
  <c r="AO173" i="19" s="1"/>
  <c r="AR169" i="1" s="1"/>
  <c r="AJ52" i="19"/>
  <c r="AJ53" i="19" s="1" a="1"/>
  <c r="AJ53" i="19" s="1"/>
  <c r="AM154" i="1" s="1"/>
  <c r="AM179" i="1" s="1"/>
  <c r="AE180" i="1"/>
  <c r="AO12" i="19"/>
  <c r="AO13" i="19" s="1" a="1"/>
  <c r="AO13" i="19" s="1"/>
  <c r="AR149" i="1" s="1"/>
  <c r="AJ12" i="19"/>
  <c r="AJ13" i="19" s="1" a="1"/>
  <c r="AJ13" i="19" s="1"/>
  <c r="AM149" i="1" s="1"/>
  <c r="AM174" i="1" s="1"/>
  <c r="AB12" i="19"/>
  <c r="AB13" i="19" s="1" a="1"/>
  <c r="AB13" i="19" s="1"/>
  <c r="AE149" i="1" s="1"/>
  <c r="AE174" i="1" s="1"/>
  <c r="AH20" i="19"/>
  <c r="AH21" i="19" s="1" a="1"/>
  <c r="AH21" i="19" s="1"/>
  <c r="AK150" i="1" s="1"/>
  <c r="AK175" i="1" s="1"/>
  <c r="AP20" i="19"/>
  <c r="AP21" i="19" s="1" a="1"/>
  <c r="AP21" i="19" s="1"/>
  <c r="AS150" i="1" s="1"/>
  <c r="AH28" i="19"/>
  <c r="AH29" i="19" s="1" a="1"/>
  <c r="AH29" i="19" s="1"/>
  <c r="AK151" i="1" s="1"/>
  <c r="AK176" i="1" s="1"/>
  <c r="AP28" i="19"/>
  <c r="AP29" i="19" s="1" a="1"/>
  <c r="AP29" i="19" s="1"/>
  <c r="AS151" i="1" s="1"/>
  <c r="AH36" i="19"/>
  <c r="AH37" i="19" s="1" a="1"/>
  <c r="AH37" i="19" s="1"/>
  <c r="AK152" i="1" s="1"/>
  <c r="AK177" i="1" s="1"/>
  <c r="AP36" i="19"/>
  <c r="AP37" i="19" s="1" a="1"/>
  <c r="AP37" i="19" s="1"/>
  <c r="AS152" i="1" s="1"/>
  <c r="AH44" i="19"/>
  <c r="AH45" i="19" s="1" a="1"/>
  <c r="AH45" i="19" s="1"/>
  <c r="AK153" i="1" s="1"/>
  <c r="AK178" i="1" s="1"/>
  <c r="AP44" i="19"/>
  <c r="AP45" i="19" s="1" a="1"/>
  <c r="AP45" i="19" s="1"/>
  <c r="AS153" i="1" s="1"/>
  <c r="AH52" i="19"/>
  <c r="AH53" i="19" s="1" a="1"/>
  <c r="AH53" i="19" s="1"/>
  <c r="AK154" i="1" s="1"/>
  <c r="AK179" i="1" s="1"/>
  <c r="AS154" i="1"/>
  <c r="AH60" i="19"/>
  <c r="AH61" i="19" s="1" a="1"/>
  <c r="AH61" i="19" s="1"/>
  <c r="AK155" i="1" s="1"/>
  <c r="AK180" i="1" s="1"/>
  <c r="AP60" i="19"/>
  <c r="AP61" i="19" s="1" a="1"/>
  <c r="AP61" i="19" s="1"/>
  <c r="AS155" i="1" s="1"/>
  <c r="AH68" i="19"/>
  <c r="AH69" i="19" s="1" a="1"/>
  <c r="AH69" i="19" s="1"/>
  <c r="AK156" i="1" s="1"/>
  <c r="AK181" i="1" s="1"/>
  <c r="AP68" i="19"/>
  <c r="AP69" i="19" s="1" a="1"/>
  <c r="AP69" i="19" s="1"/>
  <c r="AS156" i="1" s="1"/>
  <c r="AH76" i="19"/>
  <c r="AH77" i="19" s="1" a="1"/>
  <c r="AH77" i="19" s="1"/>
  <c r="AK157" i="1" s="1"/>
  <c r="AK182" i="1" s="1"/>
  <c r="AP76" i="19"/>
  <c r="AP77" i="19" s="1" a="1"/>
  <c r="AP77" i="19" s="1"/>
  <c r="AS157" i="1" s="1"/>
  <c r="AH84" i="19"/>
  <c r="AH85" i="19" s="1" a="1"/>
  <c r="AH85" i="19" s="1"/>
  <c r="AK158" i="1" s="1"/>
  <c r="AK183" i="1" s="1"/>
  <c r="AP84" i="19"/>
  <c r="AP85" i="19" s="1" a="1"/>
  <c r="AP85" i="19" s="1"/>
  <c r="AS158" i="1" s="1"/>
  <c r="AH92" i="19"/>
  <c r="AH93" i="19" s="1" a="1"/>
  <c r="AH93" i="19" s="1"/>
  <c r="AK159" i="1" s="1"/>
  <c r="AK184" i="1" s="1"/>
  <c r="AP92" i="19"/>
  <c r="AP93" i="19" s="1" a="1"/>
  <c r="AP93" i="19" s="1"/>
  <c r="AS159" i="1" s="1"/>
  <c r="AH100" i="19"/>
  <c r="AH101" i="19" s="1" a="1"/>
  <c r="AH101" i="19" s="1"/>
  <c r="AK160" i="1" s="1"/>
  <c r="AK185" i="1" s="1"/>
  <c r="AP100" i="19"/>
  <c r="AP101" i="19" s="1" a="1"/>
  <c r="AP101" i="19" s="1"/>
  <c r="AS160" i="1" s="1"/>
  <c r="AH108" i="19"/>
  <c r="AH109" i="19" s="1" a="1"/>
  <c r="AH109" i="19" s="1"/>
  <c r="AK161" i="1" s="1"/>
  <c r="AK186" i="1" s="1"/>
  <c r="AP108" i="19"/>
  <c r="AP109" i="19" s="1" a="1"/>
  <c r="AP109" i="19" s="1"/>
  <c r="AS161" i="1" s="1"/>
  <c r="AH116" i="19"/>
  <c r="AH117" i="19" s="1" a="1"/>
  <c r="AH117" i="19" s="1"/>
  <c r="AK162" i="1" s="1"/>
  <c r="AK187" i="1" s="1"/>
  <c r="AP116" i="19"/>
  <c r="AP117" i="19" s="1" a="1"/>
  <c r="AP117" i="19" s="1"/>
  <c r="AS162" i="1" s="1"/>
  <c r="AH124" i="19"/>
  <c r="AH125" i="19" s="1" a="1"/>
  <c r="AH125" i="19" s="1"/>
  <c r="AK163" i="1" s="1"/>
  <c r="AK188" i="1" s="1"/>
  <c r="AP124" i="19"/>
  <c r="AP125" i="19" s="1" a="1"/>
  <c r="AP125" i="19" s="1"/>
  <c r="AS163" i="1" s="1"/>
  <c r="AH132" i="19"/>
  <c r="AH133" i="19" s="1" a="1"/>
  <c r="AH133" i="19" s="1"/>
  <c r="AK164" i="1" s="1"/>
  <c r="AK189" i="1" s="1"/>
  <c r="AP132" i="19"/>
  <c r="AP133" i="19" s="1" a="1"/>
  <c r="AP133" i="19" s="1"/>
  <c r="AS164" i="1" s="1"/>
  <c r="AH140" i="19"/>
  <c r="AH141" i="19" s="1" a="1"/>
  <c r="AH141" i="19" s="1"/>
  <c r="AK165" i="1" s="1"/>
  <c r="AK190" i="1" s="1"/>
  <c r="AP140" i="19"/>
  <c r="AP141" i="19" s="1" a="1"/>
  <c r="AP141" i="19" s="1"/>
  <c r="AS165" i="1" s="1"/>
  <c r="AH148" i="19"/>
  <c r="AH149" i="19" s="1" a="1"/>
  <c r="AH149" i="19" s="1"/>
  <c r="AK166" i="1" s="1"/>
  <c r="AK191" i="1" s="1"/>
  <c r="AP148" i="19"/>
  <c r="AP149" i="19" s="1" a="1"/>
  <c r="AP149" i="19" s="1"/>
  <c r="AS166" i="1" s="1"/>
  <c r="AH156" i="19"/>
  <c r="AH157" i="19" s="1" a="1"/>
  <c r="AH157" i="19" s="1"/>
  <c r="AK167" i="1" s="1"/>
  <c r="AK192" i="1" s="1"/>
  <c r="AS167" i="1"/>
  <c r="AH164" i="19"/>
  <c r="AH165" i="19" s="1" a="1"/>
  <c r="AH165" i="19" s="1"/>
  <c r="AK168" i="1" s="1"/>
  <c r="AK193" i="1" s="1"/>
  <c r="AP164" i="19"/>
  <c r="AP165" i="19" s="1" a="1"/>
  <c r="AP165" i="19" s="1"/>
  <c r="AS168" i="1" s="1"/>
  <c r="AH180" i="19"/>
  <c r="AH181" i="19" s="1" a="1"/>
  <c r="AH181" i="19" s="1"/>
  <c r="AK170" i="1" s="1"/>
  <c r="AK195" i="1" s="1"/>
  <c r="AP180" i="19"/>
  <c r="AP181" i="19" s="1" a="1"/>
  <c r="AP181" i="19" s="1"/>
  <c r="AS170" i="1" s="1"/>
  <c r="AH188" i="19"/>
  <c r="AH189" i="19" s="1" a="1"/>
  <c r="AH189" i="19" s="1"/>
  <c r="AK171" i="1" s="1"/>
  <c r="AK196" i="1" s="1"/>
  <c r="AP188" i="19"/>
  <c r="AP189" i="19" s="1" a="1"/>
  <c r="AP189" i="19" s="1"/>
  <c r="AS171" i="1" s="1"/>
  <c r="AH172" i="19"/>
  <c r="AH173" i="19" s="1" a="1"/>
  <c r="AH173" i="19" s="1"/>
  <c r="AK169" i="1" s="1"/>
  <c r="AK194" i="1" s="1"/>
  <c r="AP172" i="19"/>
  <c r="AP173" i="19" s="1" a="1"/>
  <c r="AP173" i="19" s="1"/>
  <c r="AS169" i="1" s="1"/>
  <c r="AO180" i="1"/>
  <c r="AO179" i="1"/>
  <c r="AF184" i="1"/>
  <c r="AN178" i="1"/>
  <c r="AF185" i="1"/>
  <c r="AD196" i="1"/>
  <c r="AD179" i="1"/>
  <c r="AE183" i="1"/>
  <c r="AH176" i="1"/>
  <c r="AI174" i="1"/>
  <c r="AO196" i="1"/>
  <c r="AG174" i="1"/>
  <c r="AD176" i="1"/>
  <c r="AE196" i="1"/>
  <c r="AL179" i="1"/>
  <c r="AD175" i="1"/>
  <c r="AD194" i="1"/>
  <c r="AD192" i="1"/>
  <c r="AD191" i="1"/>
  <c r="AD188" i="1"/>
  <c r="AD180" i="1"/>
  <c r="AD184" i="1"/>
  <c r="AL53" i="17" a="1"/>
  <c r="AL53" i="17" s="1"/>
  <c r="AP81" i="1" s="1"/>
  <c r="AN183" i="1"/>
  <c r="AL194" i="1"/>
  <c r="AN194" i="1"/>
  <c r="AO194" i="1"/>
  <c r="AH194" i="1"/>
  <c r="AN193" i="1"/>
  <c r="AF193" i="1"/>
  <c r="AG193" i="1"/>
  <c r="AH192" i="1"/>
  <c r="AM189" i="1"/>
  <c r="AO190" i="1"/>
  <c r="AP192" i="1"/>
  <c r="AH188" i="1"/>
  <c r="AN187" i="1"/>
  <c r="AM186" i="1"/>
  <c r="AL188" i="1"/>
  <c r="AE188" i="1"/>
  <c r="AO188" i="1"/>
  <c r="AF189" i="1"/>
  <c r="AH189" i="1"/>
  <c r="AQ186" i="1"/>
  <c r="AQ178" i="1"/>
  <c r="AP187" i="1"/>
  <c r="AP195" i="1"/>
  <c r="AP196" i="1"/>
  <c r="AP176" i="1"/>
  <c r="AO191" i="1"/>
  <c r="AO176" i="1"/>
  <c r="AO184" i="1"/>
  <c r="AN176" i="1"/>
  <c r="AN177" i="1"/>
  <c r="AM191" i="1"/>
  <c r="AM176" i="1"/>
  <c r="AM177" i="1"/>
  <c r="AF4" i="1"/>
  <c r="AE4" i="1"/>
  <c r="AD4" i="1"/>
  <c r="BB26" i="15"/>
  <c r="BD26" i="15"/>
  <c r="BE26" i="15"/>
  <c r="BF26" i="15"/>
  <c r="BG26" i="15"/>
  <c r="BH26" i="15"/>
  <c r="BI26" i="15"/>
  <c r="AZ26" i="15"/>
  <c r="BA26" i="15"/>
  <c r="BA31" i="15"/>
  <c r="BA38" i="15" s="1"/>
  <c r="BA67" i="15" s="1" a="1"/>
  <c r="BA67" i="15" s="1"/>
  <c r="AS99" i="1" s="1"/>
  <c r="BE31" i="15"/>
  <c r="BE38" i="15" s="1"/>
  <c r="BE67" i="15" s="1" a="1"/>
  <c r="BE67" i="15" s="1"/>
  <c r="AW99" i="1" s="1"/>
  <c r="AW175" i="1" s="1"/>
  <c r="BG31" i="15"/>
  <c r="BG38" i="15" s="1"/>
  <c r="BG67" i="15" s="1" a="1"/>
  <c r="BG67" i="15" s="1"/>
  <c r="AZ31" i="15"/>
  <c r="AZ38" i="15" s="1"/>
  <c r="AZ67" i="15" s="1" a="1"/>
  <c r="AZ67" i="15" s="1"/>
  <c r="AR99" i="1" s="1"/>
  <c r="BB31" i="15"/>
  <c r="BB38" i="15" s="1"/>
  <c r="BB67" i="15" s="1" a="1"/>
  <c r="BB67" i="15" s="1"/>
  <c r="AT99" i="1" s="1"/>
  <c r="BD31" i="15"/>
  <c r="BD38" i="15" s="1"/>
  <c r="BD67" i="15" s="1" a="1"/>
  <c r="BD67" i="15" s="1"/>
  <c r="AV99" i="1" s="1"/>
  <c r="AV175" i="1" s="1"/>
  <c r="BF31" i="15"/>
  <c r="BF38" i="15" s="1"/>
  <c r="BF67" i="15" s="1" a="1"/>
  <c r="BF67" i="15" s="1"/>
  <c r="BH31" i="15"/>
  <c r="BH38" i="15" s="1"/>
  <c r="BH67" i="15" s="1" a="1"/>
  <c r="BH67" i="15" s="1"/>
  <c r="AY31" i="15"/>
  <c r="BC31" i="15"/>
  <c r="BC38" i="15" s="1"/>
  <c r="BC67" i="15" s="1" a="1"/>
  <c r="BC67" i="15" s="1"/>
  <c r="AU99" i="1" s="1"/>
  <c r="BI31" i="15"/>
  <c r="BA29" i="15"/>
  <c r="BC29" i="15"/>
  <c r="BD29" i="15"/>
  <c r="BG29" i="15"/>
  <c r="BH29" i="15"/>
  <c r="AZ29" i="15"/>
  <c r="BB29" i="15"/>
  <c r="BB46" i="15" s="1"/>
  <c r="BB75" i="15" s="1" a="1"/>
  <c r="BB75" i="15" s="1"/>
  <c r="AT107" i="1" s="1"/>
  <c r="BI29" i="15"/>
  <c r="AY29" i="15"/>
  <c r="AY46" i="15" s="1"/>
  <c r="AY75" i="15" s="1" a="1"/>
  <c r="AY75" i="15" s="1"/>
  <c r="AQ107" i="1" s="1"/>
  <c r="BD30" i="15"/>
  <c r="BD49" i="15" s="1"/>
  <c r="BD78" i="15" s="1" a="1"/>
  <c r="BD78" i="15" s="1"/>
  <c r="AV110" i="1" s="1"/>
  <c r="AV186" i="1" s="1"/>
  <c r="AY30" i="15"/>
  <c r="BB30" i="15"/>
  <c r="BB49" i="15" s="1"/>
  <c r="BB78" i="15" s="1" a="1"/>
  <c r="BB78" i="15" s="1"/>
  <c r="AT110" i="1" s="1"/>
  <c r="BH30" i="15"/>
  <c r="BH49" i="15" s="1"/>
  <c r="BH78" i="15" s="1" a="1"/>
  <c r="BH78" i="15" s="1"/>
  <c r="BC30" i="15"/>
  <c r="BC49" i="15" s="1"/>
  <c r="BC78" i="15" s="1" a="1"/>
  <c r="BC78" i="15" s="1"/>
  <c r="AU110" i="1" s="1"/>
  <c r="AU186" i="1" s="1"/>
  <c r="BE30" i="15"/>
  <c r="BE49" i="15" s="1"/>
  <c r="BE78" i="15" s="1" a="1"/>
  <c r="BE78" i="15" s="1"/>
  <c r="AW110" i="1" s="1"/>
  <c r="AW186" i="1" s="1"/>
  <c r="BF30" i="15"/>
  <c r="BF49" i="15" s="1"/>
  <c r="BF78" i="15" s="1" a="1"/>
  <c r="BF78" i="15" s="1"/>
  <c r="AZ30" i="15"/>
  <c r="AZ49" i="15" s="1"/>
  <c r="AZ78" i="15" s="1" a="1"/>
  <c r="AZ78" i="15" s="1"/>
  <c r="AR110" i="1" s="1"/>
  <c r="BA30" i="15"/>
  <c r="BA49" i="15" s="1"/>
  <c r="BA78" i="15" s="1" a="1"/>
  <c r="BA78" i="15" s="1"/>
  <c r="AS110" i="1" s="1"/>
  <c r="BG30" i="15"/>
  <c r="BG49" i="15" s="1"/>
  <c r="BG78" i="15" s="1" a="1"/>
  <c r="BG78" i="15" s="1"/>
  <c r="BI30" i="15"/>
  <c r="BB25" i="15"/>
  <c r="BB55" i="15" s="1"/>
  <c r="BB84" i="15" s="1" a="1"/>
  <c r="BB84" i="15" s="1"/>
  <c r="AT116" i="1" s="1"/>
  <c r="BF25" i="15"/>
  <c r="BF55" i="15" s="1"/>
  <c r="BF84" i="15" s="1" a="1"/>
  <c r="BF84" i="15" s="1"/>
  <c r="BI25" i="15"/>
  <c r="BA25" i="15"/>
  <c r="BA55" i="15" s="1"/>
  <c r="BA84" i="15" s="1" a="1"/>
  <c r="BA84" i="15" s="1"/>
  <c r="AS116" i="1" s="1"/>
  <c r="BE25" i="15"/>
  <c r="BE55" i="15" s="1"/>
  <c r="BE84" i="15" s="1" a="1"/>
  <c r="BE84" i="15" s="1"/>
  <c r="AW116" i="1" s="1"/>
  <c r="AW192" i="1" s="1"/>
  <c r="BH25" i="15"/>
  <c r="BH55" i="15" s="1"/>
  <c r="BH84" i="15" s="1" a="1"/>
  <c r="BH84" i="15" s="1"/>
  <c r="AY25" i="15"/>
  <c r="BC25" i="15"/>
  <c r="BC55" i="15" s="1"/>
  <c r="BC84" i="15" s="1" a="1"/>
  <c r="BC84" i="15" s="1"/>
  <c r="AU116" i="1" s="1"/>
  <c r="BD25" i="15"/>
  <c r="BD55" i="15" s="1"/>
  <c r="BD84" i="15" s="1" a="1"/>
  <c r="BD84" i="15" s="1"/>
  <c r="AV116" i="1" s="1"/>
  <c r="AV192" i="1" s="1"/>
  <c r="BG25" i="15"/>
  <c r="BG55" i="15" s="1"/>
  <c r="BG84" i="15" s="1" a="1"/>
  <c r="BG84" i="15" s="1"/>
  <c r="AZ25" i="15"/>
  <c r="BB42" i="15"/>
  <c r="BB71" i="15" s="1" a="1"/>
  <c r="BB71" i="15" s="1"/>
  <c r="AT103" i="1" s="1"/>
  <c r="AZ42" i="15"/>
  <c r="AZ71" i="15" s="1" a="1"/>
  <c r="AZ71" i="15" s="1"/>
  <c r="AR103" i="1" s="1"/>
  <c r="AZ55" i="15"/>
  <c r="AZ84" i="15" s="1" a="1"/>
  <c r="AZ84" i="15" s="1"/>
  <c r="AY38" i="15"/>
  <c r="AY67" i="15" s="1" a="1"/>
  <c r="AY67" i="15" s="1"/>
  <c r="AY42" i="15"/>
  <c r="AY71" i="15" s="1" a="1"/>
  <c r="AY71" i="15" s="1"/>
  <c r="AQ103" i="1" s="1"/>
  <c r="AY49" i="15"/>
  <c r="AY78" i="15" s="1" a="1"/>
  <c r="AY78" i="15" s="1"/>
  <c r="AY53" i="15"/>
  <c r="AY82" i="15" s="1" a="1"/>
  <c r="AY82" i="15" s="1"/>
  <c r="AQ114" i="1" s="1"/>
  <c r="AQ190" i="1" s="1"/>
  <c r="AY55" i="15"/>
  <c r="AY84" i="15" s="1" a="1"/>
  <c r="AY84" i="15" s="1"/>
  <c r="AX40" i="15"/>
  <c r="AX69" i="15" s="1" a="1"/>
  <c r="AX69" i="15" s="1"/>
  <c r="AP101" i="1" s="1"/>
  <c r="AX41" i="15"/>
  <c r="AX70" i="15" s="1" a="1"/>
  <c r="AX70" i="15" s="1"/>
  <c r="AP102" i="1" s="1"/>
  <c r="AP178" i="1" s="1"/>
  <c r="AX42" i="15"/>
  <c r="AX71" i="15" s="1" a="1"/>
  <c r="AX71" i="15" s="1"/>
  <c r="AP103" i="1" s="1"/>
  <c r="AX43" i="15"/>
  <c r="AX72" i="15" s="1" a="1"/>
  <c r="AX72" i="15" s="1"/>
  <c r="AP104" i="1" s="1"/>
  <c r="AP180" i="1" s="1"/>
  <c r="AX44" i="15"/>
  <c r="AX73" i="15" s="1" a="1"/>
  <c r="AX73" i="15" s="1"/>
  <c r="AP105" i="1" s="1"/>
  <c r="AX45" i="15"/>
  <c r="AX74" i="15" s="1" a="1"/>
  <c r="AX74" i="15" s="1"/>
  <c r="AP106" i="1" s="1"/>
  <c r="AX46" i="15"/>
  <c r="AX75" i="15" s="1" a="1"/>
  <c r="AX75" i="15" s="1"/>
  <c r="AP107" i="1" s="1"/>
  <c r="AW40" i="15"/>
  <c r="AW41" i="15"/>
  <c r="AW42" i="15"/>
  <c r="AW71" i="15" s="1" a="1"/>
  <c r="AW71" i="15" s="1"/>
  <c r="AW43" i="15"/>
  <c r="AW44" i="15"/>
  <c r="AW45" i="15"/>
  <c r="AW46" i="15"/>
  <c r="AV40" i="15"/>
  <c r="AV41" i="15"/>
  <c r="AV42" i="15"/>
  <c r="AV43" i="15"/>
  <c r="AV44" i="15"/>
  <c r="AV45" i="15"/>
  <c r="AV46" i="15"/>
  <c r="AU40" i="15"/>
  <c r="AU41" i="15"/>
  <c r="AU42" i="15"/>
  <c r="AU43" i="15"/>
  <c r="AU44" i="15"/>
  <c r="AU45" i="15"/>
  <c r="AU46" i="15"/>
  <c r="AT40" i="15"/>
  <c r="AT41" i="15"/>
  <c r="AT42" i="15"/>
  <c r="AT43" i="15"/>
  <c r="AT44" i="15"/>
  <c r="AT45" i="15"/>
  <c r="AT46" i="15"/>
  <c r="AS40" i="15"/>
  <c r="AS41" i="15"/>
  <c r="AS42" i="15"/>
  <c r="AS43" i="15"/>
  <c r="AS44" i="15"/>
  <c r="AS45" i="15"/>
  <c r="AS46" i="15"/>
  <c r="AR40" i="15"/>
  <c r="AR41" i="15"/>
  <c r="AR42" i="15"/>
  <c r="AR43" i="15"/>
  <c r="AR44" i="15"/>
  <c r="AR45" i="15"/>
  <c r="AR46" i="15"/>
  <c r="AQ40" i="15"/>
  <c r="AQ41" i="15"/>
  <c r="AQ42" i="15"/>
  <c r="AQ43" i="15"/>
  <c r="AQ44" i="15"/>
  <c r="AQ45" i="15"/>
  <c r="AQ46" i="15"/>
  <c r="AP40" i="15"/>
  <c r="AP41" i="15"/>
  <c r="AP42" i="15"/>
  <c r="AP43" i="15"/>
  <c r="AP44" i="15"/>
  <c r="AP45" i="15"/>
  <c r="AP46" i="15"/>
  <c r="AO40" i="15"/>
  <c r="AO41" i="15"/>
  <c r="AO42" i="15"/>
  <c r="AO43" i="15"/>
  <c r="AO44" i="15"/>
  <c r="AO45" i="15"/>
  <c r="AO46" i="15"/>
  <c r="AN40" i="15"/>
  <c r="AN41" i="15"/>
  <c r="AN42" i="15"/>
  <c r="AN43" i="15"/>
  <c r="AN44" i="15"/>
  <c r="AN46" i="15"/>
  <c r="AM40" i="15"/>
  <c r="AM41" i="15"/>
  <c r="AM42" i="15"/>
  <c r="AM43" i="15"/>
  <c r="AM44" i="15"/>
  <c r="AM46" i="15"/>
  <c r="AL40" i="15"/>
  <c r="AL41" i="15"/>
  <c r="AL42" i="15"/>
  <c r="AL43" i="15"/>
  <c r="AL44" i="15"/>
  <c r="AL46" i="15"/>
  <c r="AK40" i="15"/>
  <c r="AK41" i="15"/>
  <c r="AK42" i="15"/>
  <c r="AK43" i="15"/>
  <c r="AK44" i="15"/>
  <c r="AK46" i="15"/>
  <c r="AJ40" i="15"/>
  <c r="AJ41" i="15"/>
  <c r="AJ42" i="15"/>
  <c r="AJ43" i="15"/>
  <c r="AJ44" i="15"/>
  <c r="AJ46" i="15"/>
  <c r="AI40" i="15"/>
  <c r="AI41" i="15"/>
  <c r="AI42" i="15"/>
  <c r="AI43" i="15"/>
  <c r="AI44" i="15"/>
  <c r="AI46" i="15"/>
  <c r="AH40" i="15"/>
  <c r="AH41" i="15"/>
  <c r="AH42" i="15"/>
  <c r="AH43" i="15"/>
  <c r="AH44" i="15"/>
  <c r="AH46" i="15"/>
  <c r="AG40" i="15"/>
  <c r="AG41" i="15"/>
  <c r="AG42" i="15"/>
  <c r="AG43" i="15"/>
  <c r="AG44" i="15"/>
  <c r="AG46" i="15"/>
  <c r="AF40" i="15"/>
  <c r="AF41" i="15"/>
  <c r="AF42" i="15"/>
  <c r="AF43" i="15"/>
  <c r="AF44" i="15"/>
  <c r="AF46" i="15"/>
  <c r="AE40" i="15"/>
  <c r="AE41" i="15"/>
  <c r="AE42" i="15"/>
  <c r="AE43" i="15"/>
  <c r="AE44" i="15"/>
  <c r="AE46" i="15"/>
  <c r="AD40" i="15"/>
  <c r="AD41" i="15"/>
  <c r="AD42" i="15"/>
  <c r="AD43" i="15"/>
  <c r="AD44" i="15"/>
  <c r="AD46" i="15"/>
  <c r="AC40" i="15"/>
  <c r="AC41" i="15"/>
  <c r="AC42" i="15"/>
  <c r="AC43" i="15"/>
  <c r="AC44" i="15"/>
  <c r="AC46" i="15"/>
  <c r="AB40" i="15"/>
  <c r="AB41" i="15"/>
  <c r="AB42" i="15"/>
  <c r="AB43" i="15"/>
  <c r="AB44" i="15"/>
  <c r="AB46" i="15"/>
  <c r="AA40" i="15"/>
  <c r="AA41" i="15"/>
  <c r="AA42" i="15"/>
  <c r="AA43" i="15"/>
  <c r="AA44" i="15"/>
  <c r="AA46" i="15"/>
  <c r="Z40" i="15"/>
  <c r="Z41" i="15"/>
  <c r="Z42" i="15"/>
  <c r="Z43" i="15"/>
  <c r="Z44" i="15"/>
  <c r="Z46" i="15"/>
  <c r="Y40" i="15"/>
  <c r="Y41" i="15"/>
  <c r="Y42" i="15"/>
  <c r="Y43" i="15"/>
  <c r="Y44" i="15"/>
  <c r="Y46" i="15"/>
  <c r="X40" i="15"/>
  <c r="X41" i="15"/>
  <c r="X42" i="15"/>
  <c r="X43" i="15"/>
  <c r="X44" i="15"/>
  <c r="X46" i="15"/>
  <c r="W40" i="15"/>
  <c r="W41" i="15"/>
  <c r="W42" i="15"/>
  <c r="W43" i="15"/>
  <c r="W44" i="15"/>
  <c r="W46" i="15"/>
  <c r="V40" i="15"/>
  <c r="V41" i="15"/>
  <c r="V42" i="15"/>
  <c r="V43" i="15"/>
  <c r="V44" i="15"/>
  <c r="V46" i="15"/>
  <c r="U40" i="15"/>
  <c r="U41" i="15"/>
  <c r="U42" i="15"/>
  <c r="U43" i="15"/>
  <c r="U44" i="15"/>
  <c r="U46" i="15"/>
  <c r="T40" i="15"/>
  <c r="T41" i="15"/>
  <c r="T42" i="15"/>
  <c r="T43" i="15"/>
  <c r="T44" i="15"/>
  <c r="T46" i="15"/>
  <c r="S40" i="15"/>
  <c r="S41" i="15"/>
  <c r="S42" i="15"/>
  <c r="S43" i="15"/>
  <c r="S44" i="15"/>
  <c r="S46" i="15"/>
  <c r="R40" i="15"/>
  <c r="R41" i="15"/>
  <c r="R42" i="15"/>
  <c r="R43" i="15"/>
  <c r="R44" i="15"/>
  <c r="R46" i="15"/>
  <c r="Q40" i="15"/>
  <c r="Q41" i="15"/>
  <c r="Q42" i="15"/>
  <c r="Q43" i="15"/>
  <c r="Q44" i="15"/>
  <c r="Q46" i="15"/>
  <c r="P40" i="15"/>
  <c r="P41" i="15"/>
  <c r="P42" i="15"/>
  <c r="P43" i="15"/>
  <c r="P44" i="15"/>
  <c r="P46" i="15"/>
  <c r="O40" i="15"/>
  <c r="O41" i="15"/>
  <c r="O42" i="15"/>
  <c r="O43" i="15"/>
  <c r="O44" i="15"/>
  <c r="O46" i="15"/>
  <c r="N40" i="15"/>
  <c r="N41" i="15"/>
  <c r="N42" i="15"/>
  <c r="N43" i="15"/>
  <c r="N44" i="15"/>
  <c r="N46" i="15"/>
  <c r="AX37" i="15"/>
  <c r="AX38" i="15"/>
  <c r="AX67" i="15" s="1" a="1"/>
  <c r="AX67" i="15" s="1"/>
  <c r="AX39" i="15"/>
  <c r="AW37" i="15"/>
  <c r="AW38" i="15"/>
  <c r="AW67" i="15" s="1" a="1"/>
  <c r="AW67" i="15" s="1"/>
  <c r="AW39" i="15"/>
  <c r="AV37" i="15"/>
  <c r="AV38" i="15"/>
  <c r="AV39" i="15"/>
  <c r="AU37" i="15"/>
  <c r="AU38" i="15"/>
  <c r="AU39" i="15"/>
  <c r="AT37" i="15"/>
  <c r="AT38" i="15"/>
  <c r="AT39" i="15"/>
  <c r="AS37" i="15"/>
  <c r="AS38" i="15"/>
  <c r="AS39" i="15"/>
  <c r="AR37" i="15"/>
  <c r="AR38" i="15"/>
  <c r="AR39" i="15"/>
  <c r="AQ37" i="15"/>
  <c r="AQ38" i="15"/>
  <c r="AQ39" i="15"/>
  <c r="AP37" i="15"/>
  <c r="AP38" i="15"/>
  <c r="AP39" i="15"/>
  <c r="AO37" i="15"/>
  <c r="AO38" i="15"/>
  <c r="AO39" i="15"/>
  <c r="AN37" i="15"/>
  <c r="AN38" i="15"/>
  <c r="AN39" i="15"/>
  <c r="AM37" i="15"/>
  <c r="AM38" i="15"/>
  <c r="AM39" i="15"/>
  <c r="AL37" i="15"/>
  <c r="AL38" i="15"/>
  <c r="AL39" i="15"/>
  <c r="AK37" i="15"/>
  <c r="AK38" i="15"/>
  <c r="AK39" i="15"/>
  <c r="AJ37" i="15"/>
  <c r="AJ38" i="15"/>
  <c r="AJ39" i="15"/>
  <c r="AI37" i="15"/>
  <c r="AI38" i="15"/>
  <c r="AI39" i="15"/>
  <c r="AH37" i="15"/>
  <c r="AH38" i="15"/>
  <c r="AH39" i="15"/>
  <c r="AG37" i="15"/>
  <c r="AG38" i="15"/>
  <c r="AG39" i="15"/>
  <c r="AF37" i="15"/>
  <c r="AF38" i="15"/>
  <c r="AF39" i="15"/>
  <c r="AE37" i="15"/>
  <c r="AE38" i="15"/>
  <c r="AE39" i="15"/>
  <c r="AD37" i="15"/>
  <c r="AD38" i="15"/>
  <c r="AD39" i="15"/>
  <c r="AC37" i="15"/>
  <c r="AC38" i="15"/>
  <c r="AC39" i="15"/>
  <c r="AB37" i="15"/>
  <c r="AB38" i="15"/>
  <c r="AB39" i="15"/>
  <c r="AA37" i="15"/>
  <c r="AA38" i="15"/>
  <c r="AA39" i="15"/>
  <c r="Z37" i="15"/>
  <c r="Z38" i="15"/>
  <c r="Z39" i="15"/>
  <c r="Y37" i="15"/>
  <c r="Y38" i="15"/>
  <c r="Y39" i="15"/>
  <c r="X37" i="15"/>
  <c r="X38" i="15"/>
  <c r="X39" i="15"/>
  <c r="W37" i="15"/>
  <c r="W38" i="15"/>
  <c r="W39" i="15"/>
  <c r="V37" i="15"/>
  <c r="V38" i="15"/>
  <c r="V39" i="15"/>
  <c r="U37" i="15"/>
  <c r="U38" i="15"/>
  <c r="U39" i="15"/>
  <c r="T37" i="15"/>
  <c r="T38" i="15"/>
  <c r="T39" i="15"/>
  <c r="S37" i="15"/>
  <c r="S38" i="15"/>
  <c r="S39" i="15"/>
  <c r="R37" i="15"/>
  <c r="R38" i="15"/>
  <c r="R39" i="15"/>
  <c r="Q37" i="15"/>
  <c r="Q38" i="15"/>
  <c r="Q39" i="15"/>
  <c r="P37" i="15"/>
  <c r="P38" i="15"/>
  <c r="P39" i="15"/>
  <c r="O37" i="15"/>
  <c r="O38" i="15"/>
  <c r="O39" i="15"/>
  <c r="N37" i="15"/>
  <c r="N38" i="15"/>
  <c r="N39" i="15"/>
  <c r="AX47" i="15"/>
  <c r="AX48" i="15"/>
  <c r="AX49" i="15"/>
  <c r="AX78" i="15" s="1" a="1"/>
  <c r="AX78" i="15" s="1"/>
  <c r="AX50" i="15"/>
  <c r="AX52" i="15"/>
  <c r="AX51" i="15"/>
  <c r="AW47" i="15"/>
  <c r="AW48" i="15"/>
  <c r="AW49" i="15"/>
  <c r="AW78" i="15" s="1" a="1"/>
  <c r="AW78" i="15" s="1"/>
  <c r="AW50" i="15"/>
  <c r="AW52" i="15"/>
  <c r="AW51" i="15"/>
  <c r="AV47" i="15"/>
  <c r="AV48" i="15"/>
  <c r="AV49" i="15"/>
  <c r="AV50" i="15"/>
  <c r="AV52" i="15"/>
  <c r="AV51" i="15"/>
  <c r="AU47" i="15"/>
  <c r="AU48" i="15"/>
  <c r="AU49" i="15"/>
  <c r="AU50" i="15"/>
  <c r="AU52" i="15"/>
  <c r="AU51" i="15"/>
  <c r="AT47" i="15"/>
  <c r="AT48" i="15"/>
  <c r="AT49" i="15"/>
  <c r="AT50" i="15"/>
  <c r="AT52" i="15"/>
  <c r="AT51" i="15"/>
  <c r="AS47" i="15"/>
  <c r="AS48" i="15"/>
  <c r="AS49" i="15"/>
  <c r="AS50" i="15"/>
  <c r="AS51" i="15"/>
  <c r="AS52" i="15"/>
  <c r="AR47" i="15"/>
  <c r="AR48" i="15"/>
  <c r="AR49" i="15"/>
  <c r="AR50" i="15"/>
  <c r="AR52" i="15"/>
  <c r="AR51" i="15"/>
  <c r="AQ47" i="15"/>
  <c r="AQ48" i="15"/>
  <c r="AQ49" i="15"/>
  <c r="AQ50" i="15"/>
  <c r="AQ51" i="15"/>
  <c r="AQ52" i="15"/>
  <c r="AP47" i="15"/>
  <c r="AP48" i="15"/>
  <c r="AP49" i="15"/>
  <c r="AP50" i="15"/>
  <c r="AP52" i="15"/>
  <c r="AP51" i="15"/>
  <c r="AO47" i="15"/>
  <c r="AO48" i="15"/>
  <c r="AO49" i="15"/>
  <c r="AO50" i="15"/>
  <c r="AO52" i="15"/>
  <c r="AO51" i="15"/>
  <c r="AN47" i="15"/>
  <c r="AN48" i="15"/>
  <c r="AN49" i="15"/>
  <c r="AN50" i="15"/>
  <c r="AN52" i="15"/>
  <c r="AN51" i="15"/>
  <c r="AM47" i="15"/>
  <c r="AM48" i="15"/>
  <c r="AM49" i="15"/>
  <c r="AM50" i="15"/>
  <c r="AM51" i="15"/>
  <c r="AM52" i="15"/>
  <c r="AL47" i="15"/>
  <c r="AL48" i="15"/>
  <c r="AL49" i="15"/>
  <c r="AL50" i="15"/>
  <c r="AL52" i="15"/>
  <c r="AL51" i="15"/>
  <c r="AK47" i="15"/>
  <c r="AK48" i="15"/>
  <c r="AK49" i="15"/>
  <c r="AK50" i="15"/>
  <c r="AK51" i="15"/>
  <c r="AK52" i="15"/>
  <c r="AJ47" i="15"/>
  <c r="AJ48" i="15"/>
  <c r="AJ49" i="15"/>
  <c r="AJ50" i="15"/>
  <c r="AJ51" i="15"/>
  <c r="AJ52" i="15"/>
  <c r="AI47" i="15"/>
  <c r="AI48" i="15"/>
  <c r="AI49" i="15"/>
  <c r="AI50" i="15"/>
  <c r="AI51" i="15"/>
  <c r="AI52" i="15"/>
  <c r="AH47" i="15"/>
  <c r="AH48" i="15"/>
  <c r="AH49" i="15"/>
  <c r="AH50" i="15"/>
  <c r="AH52" i="15"/>
  <c r="AH51" i="15"/>
  <c r="AG47" i="15"/>
  <c r="AG48" i="15"/>
  <c r="AG49" i="15"/>
  <c r="AG50" i="15"/>
  <c r="AG51" i="15"/>
  <c r="AG52" i="15"/>
  <c r="AF47" i="15"/>
  <c r="AF48" i="15"/>
  <c r="AF49" i="15"/>
  <c r="AF50" i="15"/>
  <c r="AF51" i="15"/>
  <c r="AF52" i="15"/>
  <c r="AE47" i="15"/>
  <c r="AE48" i="15"/>
  <c r="AE49" i="15"/>
  <c r="AE50" i="15"/>
  <c r="AE52" i="15"/>
  <c r="AE51" i="15"/>
  <c r="AD47" i="15"/>
  <c r="AD48" i="15"/>
  <c r="AD49" i="15"/>
  <c r="AD50" i="15"/>
  <c r="AD51" i="15"/>
  <c r="AD52" i="15"/>
  <c r="AC47" i="15"/>
  <c r="AC48" i="15"/>
  <c r="AC49" i="15"/>
  <c r="AC50" i="15"/>
  <c r="AC52" i="15"/>
  <c r="AC51" i="15"/>
  <c r="AB47" i="15"/>
  <c r="AB48" i="15"/>
  <c r="AB49" i="15"/>
  <c r="AB50" i="15"/>
  <c r="AB51" i="15"/>
  <c r="AB52" i="15"/>
  <c r="AA47" i="15"/>
  <c r="AA48" i="15"/>
  <c r="AA49" i="15"/>
  <c r="AA50" i="15"/>
  <c r="AA51" i="15"/>
  <c r="AA52" i="15"/>
  <c r="Z47" i="15"/>
  <c r="Z48" i="15"/>
  <c r="Z49" i="15"/>
  <c r="Z50" i="15"/>
  <c r="Z51" i="15"/>
  <c r="Z52" i="15"/>
  <c r="Y47" i="15"/>
  <c r="Y48" i="15"/>
  <c r="Y49" i="15"/>
  <c r="Y50" i="15"/>
  <c r="Y51" i="15"/>
  <c r="Y52" i="15"/>
  <c r="X47" i="15"/>
  <c r="X48" i="15"/>
  <c r="X49" i="15"/>
  <c r="X50" i="15"/>
  <c r="X51" i="15"/>
  <c r="X52" i="15"/>
  <c r="W47" i="15"/>
  <c r="W48" i="15"/>
  <c r="W49" i="15"/>
  <c r="W50" i="15"/>
  <c r="W51" i="15"/>
  <c r="W52" i="15"/>
  <c r="V47" i="15"/>
  <c r="V48" i="15"/>
  <c r="V49" i="15"/>
  <c r="V50" i="15"/>
  <c r="V51" i="15"/>
  <c r="V52" i="15"/>
  <c r="U47" i="15"/>
  <c r="U48" i="15"/>
  <c r="U49" i="15"/>
  <c r="U50" i="15"/>
  <c r="U51" i="15"/>
  <c r="U52" i="15"/>
  <c r="T47" i="15"/>
  <c r="T48" i="15"/>
  <c r="T49" i="15"/>
  <c r="T50" i="15"/>
  <c r="T51" i="15"/>
  <c r="T52" i="15"/>
  <c r="S47" i="15"/>
  <c r="S48" i="15"/>
  <c r="S49" i="15"/>
  <c r="S50" i="15"/>
  <c r="S51" i="15"/>
  <c r="S52" i="15"/>
  <c r="R47" i="15"/>
  <c r="R48" i="15"/>
  <c r="R49" i="15"/>
  <c r="R50" i="15"/>
  <c r="R51" i="15"/>
  <c r="R52" i="15"/>
  <c r="Q47" i="15"/>
  <c r="Q48" i="15"/>
  <c r="Q49" i="15"/>
  <c r="Q50" i="15"/>
  <c r="Q51" i="15"/>
  <c r="Q52" i="15"/>
  <c r="P47" i="15"/>
  <c r="P48" i="15"/>
  <c r="P49" i="15"/>
  <c r="P50" i="15"/>
  <c r="P51" i="15"/>
  <c r="P52" i="15"/>
  <c r="O47" i="15"/>
  <c r="O48" i="15"/>
  <c r="O49" i="15"/>
  <c r="O50" i="15"/>
  <c r="O52" i="15"/>
  <c r="O51" i="15"/>
  <c r="N47" i="15"/>
  <c r="N48" i="15"/>
  <c r="N49" i="15"/>
  <c r="N50" i="15"/>
  <c r="N51" i="15"/>
  <c r="N52" i="15"/>
  <c r="AX54" i="15"/>
  <c r="AX56" i="15"/>
  <c r="AX57" i="15"/>
  <c r="AX55" i="15"/>
  <c r="AX84" i="15" s="1" a="1"/>
  <c r="AX84" i="15" s="1"/>
  <c r="AX58" i="15"/>
  <c r="AW55" i="15"/>
  <c r="AW84" i="15" s="1" a="1"/>
  <c r="AW84" i="15" s="1"/>
  <c r="AW58" i="15"/>
  <c r="AW54" i="15"/>
  <c r="AW56" i="15"/>
  <c r="AW57" i="15"/>
  <c r="AV56" i="15"/>
  <c r="AV57" i="15"/>
  <c r="AV58" i="15"/>
  <c r="AV54" i="15"/>
  <c r="AV55" i="15"/>
  <c r="AU55" i="15"/>
  <c r="AU56" i="15"/>
  <c r="AU58" i="15"/>
  <c r="AU54" i="15"/>
  <c r="AU57" i="15"/>
  <c r="AT54" i="15"/>
  <c r="AT57" i="15"/>
  <c r="AT55" i="15"/>
  <c r="AT56" i="15"/>
  <c r="AT58" i="15"/>
  <c r="AS58" i="15"/>
  <c r="AS54" i="15"/>
  <c r="AS55" i="15"/>
  <c r="AS56" i="15"/>
  <c r="AS57" i="15"/>
  <c r="AR55" i="15"/>
  <c r="AR54" i="15"/>
  <c r="AR56" i="15"/>
  <c r="AR57" i="15"/>
  <c r="AR58" i="15"/>
  <c r="AQ57" i="15"/>
  <c r="AQ54" i="15"/>
  <c r="AQ55" i="15"/>
  <c r="AQ58" i="15"/>
  <c r="AQ56" i="15"/>
  <c r="AP57" i="15"/>
  <c r="AP55" i="15"/>
  <c r="AP54" i="15"/>
  <c r="AP58" i="15"/>
  <c r="AP56" i="15"/>
  <c r="AO56" i="15"/>
  <c r="AO57" i="15"/>
  <c r="AO54" i="15"/>
  <c r="AO55" i="15"/>
  <c r="AO58" i="15"/>
  <c r="AN56" i="15"/>
  <c r="AN57" i="15"/>
  <c r="AN58" i="15"/>
  <c r="AN55" i="15"/>
  <c r="AN54" i="15"/>
  <c r="AM57" i="15"/>
  <c r="AM56" i="15"/>
  <c r="AM54" i="15"/>
  <c r="AM55" i="15"/>
  <c r="AM58" i="15"/>
  <c r="AL54" i="15"/>
  <c r="AL55" i="15"/>
  <c r="AL58" i="15"/>
  <c r="AL57" i="15"/>
  <c r="AL56" i="15"/>
  <c r="AK58" i="15"/>
  <c r="AK56" i="15"/>
  <c r="AK57" i="15"/>
  <c r="AK55" i="15"/>
  <c r="AK54" i="15"/>
  <c r="AJ58" i="15"/>
  <c r="AJ55" i="15"/>
  <c r="AJ57" i="15"/>
  <c r="AJ54" i="15"/>
  <c r="AJ56" i="15"/>
  <c r="AI56" i="15"/>
  <c r="AI58" i="15"/>
  <c r="AI55" i="15"/>
  <c r="AI57" i="15"/>
  <c r="AI54" i="15"/>
  <c r="AH56" i="15"/>
  <c r="AH57" i="15"/>
  <c r="AH55" i="15"/>
  <c r="AH58" i="15"/>
  <c r="AH54" i="15"/>
  <c r="AG57" i="15"/>
  <c r="AG56" i="15"/>
  <c r="AG54" i="15"/>
  <c r="AG58" i="15"/>
  <c r="AG55" i="15"/>
  <c r="AF56" i="15"/>
  <c r="AF57" i="15"/>
  <c r="AF55" i="15"/>
  <c r="AF58" i="15"/>
  <c r="AF54" i="15"/>
  <c r="AE54" i="15"/>
  <c r="AE58" i="15"/>
  <c r="AE57" i="15"/>
  <c r="AE56" i="15"/>
  <c r="AE55" i="15"/>
  <c r="AD54" i="15"/>
  <c r="AD58" i="15"/>
  <c r="AD56" i="15"/>
  <c r="AD57" i="15"/>
  <c r="AD55" i="15"/>
  <c r="AC58" i="15"/>
  <c r="AC55" i="15"/>
  <c r="AC56" i="15"/>
  <c r="AC54" i="15"/>
  <c r="AC57" i="15"/>
  <c r="AB58" i="15"/>
  <c r="AB54" i="15"/>
  <c r="AB55" i="15"/>
  <c r="AB57" i="15"/>
  <c r="AB56" i="15"/>
  <c r="AA56" i="15"/>
  <c r="AA54" i="15"/>
  <c r="AA58" i="15"/>
  <c r="AA57" i="15"/>
  <c r="AA55" i="15"/>
  <c r="Z57" i="15"/>
  <c r="Z55" i="15"/>
  <c r="Z56" i="15"/>
  <c r="Z54" i="15"/>
  <c r="Z58" i="15"/>
  <c r="Y55" i="15"/>
  <c r="Y58" i="15"/>
  <c r="Y56" i="15"/>
  <c r="Y57" i="15"/>
  <c r="Y54" i="15"/>
  <c r="X56" i="15"/>
  <c r="X54" i="15"/>
  <c r="X57" i="15"/>
  <c r="X58" i="15"/>
  <c r="X55" i="15"/>
  <c r="W54" i="15"/>
  <c r="W57" i="15"/>
  <c r="W58" i="15"/>
  <c r="W55" i="15"/>
  <c r="W56" i="15"/>
  <c r="V55" i="15"/>
  <c r="V56" i="15"/>
  <c r="V57" i="15"/>
  <c r="V54" i="15"/>
  <c r="V58" i="15"/>
  <c r="U58" i="15"/>
  <c r="U56" i="15"/>
  <c r="U54" i="15"/>
  <c r="U57" i="15"/>
  <c r="U55" i="15"/>
  <c r="T54" i="15"/>
  <c r="T56" i="15"/>
  <c r="T58" i="15"/>
  <c r="T55" i="15"/>
  <c r="T57" i="15"/>
  <c r="S54" i="15"/>
  <c r="S57" i="15"/>
  <c r="S56" i="15"/>
  <c r="S58" i="15"/>
  <c r="S55" i="15"/>
  <c r="R54" i="15"/>
  <c r="R55" i="15"/>
  <c r="R56" i="15"/>
  <c r="R57" i="15"/>
  <c r="R58" i="15"/>
  <c r="Q54" i="15"/>
  <c r="Q55" i="15"/>
  <c r="Q58" i="15"/>
  <c r="Q56" i="15"/>
  <c r="Q57" i="15"/>
  <c r="P55" i="15"/>
  <c r="P56" i="15"/>
  <c r="P57" i="15"/>
  <c r="P54" i="15"/>
  <c r="P58" i="15"/>
  <c r="O54" i="15"/>
  <c r="O55" i="15"/>
  <c r="O56" i="15"/>
  <c r="O57" i="15"/>
  <c r="O58" i="15"/>
  <c r="N55" i="15"/>
  <c r="N54" i="15"/>
  <c r="N57" i="15"/>
  <c r="N56" i="15"/>
  <c r="N58" i="15"/>
  <c r="AV53" i="15"/>
  <c r="AQ53" i="15"/>
  <c r="AK53" i="15"/>
  <c r="AE53" i="15"/>
  <c r="Z53" i="15"/>
  <c r="W53" i="15"/>
  <c r="S53" i="15"/>
  <c r="N53" i="15"/>
  <c r="AX53" i="15"/>
  <c r="AX82" i="15" s="1" a="1"/>
  <c r="AX82" i="15" s="1"/>
  <c r="AR53" i="15"/>
  <c r="AM53" i="15"/>
  <c r="AI53" i="15"/>
  <c r="AF53" i="15"/>
  <c r="AC53" i="15"/>
  <c r="X53" i="15"/>
  <c r="T53" i="15"/>
  <c r="P53" i="15"/>
  <c r="AT53" i="15"/>
  <c r="AA53" i="15"/>
  <c r="AW53" i="15"/>
  <c r="AW82" i="15" s="1" a="1"/>
  <c r="AW82" i="15" s="1"/>
  <c r="AS53" i="15"/>
  <c r="AP53" i="15"/>
  <c r="AN53" i="15"/>
  <c r="AJ53" i="15"/>
  <c r="AG53" i="15"/>
  <c r="V53" i="15"/>
  <c r="R53" i="15"/>
  <c r="O53" i="15"/>
  <c r="AU53" i="15"/>
  <c r="AO53" i="15"/>
  <c r="AL53" i="15"/>
  <c r="AH53" i="15"/>
  <c r="AD53" i="15"/>
  <c r="AB53" i="15"/>
  <c r="Y53" i="15"/>
  <c r="U53" i="15"/>
  <c r="Q53" i="15"/>
  <c r="AP181" i="1" l="1"/>
  <c r="AP182" i="1"/>
  <c r="AP177" i="1"/>
  <c r="AQ179" i="1"/>
  <c r="AQ183" i="1"/>
  <c r="AU179" i="1"/>
  <c r="BA46" i="15"/>
  <c r="BA75" i="15" s="1" a="1"/>
  <c r="BA75" i="15" s="1"/>
  <c r="AS107" i="1" s="1"/>
  <c r="AS183" i="1" s="1"/>
  <c r="BA41" i="15"/>
  <c r="BA70" i="15" s="1" a="1"/>
  <c r="BA70" i="15" s="1"/>
  <c r="AS102" i="1" s="1"/>
  <c r="AS178" i="1" s="1"/>
  <c r="AZ41" i="15"/>
  <c r="AZ70" i="15" s="1" a="1"/>
  <c r="AZ70" i="15" s="1"/>
  <c r="AR102" i="1" s="1"/>
  <c r="AZ46" i="15"/>
  <c r="AZ75" i="15" s="1" a="1"/>
  <c r="AZ75" i="15" s="1"/>
  <c r="AR107" i="1" s="1"/>
  <c r="AP179" i="1"/>
  <c r="AP183" i="1"/>
  <c r="AU192" i="1"/>
  <c r="AU190" i="1"/>
  <c r="AU175" i="1"/>
  <c r="BH41" i="15"/>
  <c r="BH70" i="15" s="1" a="1"/>
  <c r="BH70" i="15" s="1"/>
  <c r="BH46" i="15"/>
  <c r="BH75" i="15" s="1" a="1"/>
  <c r="BH75" i="15" s="1"/>
  <c r="BG46" i="15"/>
  <c r="BG75" i="15" s="1" a="1"/>
  <c r="BG75" i="15" s="1"/>
  <c r="BD46" i="15"/>
  <c r="BD75" i="15" s="1" a="1"/>
  <c r="BD75" i="15" s="1"/>
  <c r="AV107" i="1" s="1"/>
  <c r="AV183" i="1" s="1"/>
  <c r="BD41" i="15"/>
  <c r="BD70" i="15" s="1" a="1"/>
  <c r="BD70" i="15" s="1"/>
  <c r="AV102" i="1" s="1"/>
  <c r="AV178" i="1" s="1"/>
  <c r="BH53" i="15"/>
  <c r="BH82" i="15" s="1" a="1"/>
  <c r="BH82" i="15" s="1"/>
  <c r="BB53" i="15"/>
  <c r="BB82" i="15" s="1" a="1"/>
  <c r="BB82" i="15" s="1"/>
  <c r="AT114" i="1" s="1"/>
  <c r="BE46" i="15"/>
  <c r="BE75" i="15" s="1" a="1"/>
  <c r="BE75" i="15" s="1"/>
  <c r="AW107" i="1" s="1"/>
  <c r="AW183" i="1" s="1"/>
  <c r="AR179" i="1"/>
  <c r="BF41" i="15"/>
  <c r="BF70" i="15" s="1" a="1"/>
  <c r="BF70" i="15" s="1"/>
  <c r="BI46" i="15"/>
  <c r="BI75" i="15" s="1" a="1"/>
  <c r="BI75" i="15" s="1"/>
  <c r="AS179" i="1"/>
  <c r="BG41" i="15"/>
  <c r="BG70" i="15" s="1" a="1"/>
  <c r="BG70" i="15" s="1"/>
  <c r="BF46" i="15"/>
  <c r="BF75" i="15" s="1" a="1"/>
  <c r="BF75" i="15" s="1"/>
  <c r="BC41" i="15"/>
  <c r="BC70" i="15" s="1" a="1"/>
  <c r="BC70" i="15" s="1"/>
  <c r="AU102" i="1" s="1"/>
  <c r="AU178" i="1" s="1"/>
  <c r="BC44" i="15"/>
  <c r="BC73" i="15" s="1" a="1"/>
  <c r="BC73" i="15" s="1"/>
  <c r="AU105" i="1" s="1"/>
  <c r="AU181" i="1" s="1"/>
  <c r="BC46" i="15"/>
  <c r="BC75" i="15" s="1" a="1"/>
  <c r="BC75" i="15" s="1"/>
  <c r="AU107" i="1" s="1"/>
  <c r="AU183" i="1" s="1"/>
  <c r="BE41" i="15"/>
  <c r="BE70" i="15" s="1" a="1"/>
  <c r="BE70" i="15" s="1"/>
  <c r="AW102" i="1" s="1"/>
  <c r="AW178" i="1" s="1"/>
  <c r="AR175" i="1"/>
  <c r="AT192" i="1"/>
  <c r="AR178" i="1"/>
  <c r="AR186" i="1"/>
  <c r="AS186" i="1"/>
  <c r="AT175" i="1"/>
  <c r="BC59" i="15"/>
  <c r="BC88" i="15" s="1" a="1"/>
  <c r="BC88" i="15" s="1"/>
  <c r="AU120" i="1" s="1"/>
  <c r="AU196" i="1" s="1"/>
  <c r="AY44" i="15"/>
  <c r="AY73" i="15" s="1" a="1"/>
  <c r="AY73" i="15" s="1"/>
  <c r="AQ105" i="1" s="1"/>
  <c r="AQ181" i="1" s="1"/>
  <c r="AY59" i="15"/>
  <c r="AY88" i="15" s="1" a="1"/>
  <c r="AY88" i="15" s="1"/>
  <c r="AQ120" i="1" s="1"/>
  <c r="AQ196" i="1" s="1"/>
  <c r="BE53" i="15"/>
  <c r="BE82" i="15" s="1" a="1"/>
  <c r="BE82" i="15" s="1"/>
  <c r="AW114" i="1" s="1"/>
  <c r="AW190" i="1" s="1"/>
  <c r="BD53" i="15"/>
  <c r="BD82" i="15" s="1" a="1"/>
  <c r="BD82" i="15" s="1"/>
  <c r="AV114" i="1" s="1"/>
  <c r="AV190" i="1" s="1"/>
  <c r="BA53" i="15"/>
  <c r="BA82" i="15" s="1" a="1"/>
  <c r="BA82" i="15" s="1"/>
  <c r="AS114" i="1" s="1"/>
  <c r="AS190" i="1" s="1"/>
  <c r="AR190" i="1"/>
  <c r="BI41" i="15"/>
  <c r="BI70" i="15" s="1" a="1"/>
  <c r="BI70" i="15" s="1"/>
  <c r="BI53" i="15"/>
  <c r="BI82" i="15" s="1" a="1"/>
  <c r="BI82" i="15" s="1"/>
  <c r="BG53" i="15"/>
  <c r="BG82" i="15" s="1" a="1"/>
  <c r="BG82" i="15" s="1"/>
  <c r="AS192" i="1"/>
  <c r="AT178" i="1"/>
  <c r="AS175" i="1"/>
  <c r="AT183" i="1"/>
  <c r="AT179" i="1"/>
  <c r="AT190" i="1"/>
  <c r="AQ188" i="1"/>
  <c r="AT186" i="1"/>
  <c r="AR183" i="1"/>
  <c r="BB59" i="15"/>
  <c r="BB88" i="15" s="1" a="1"/>
  <c r="BB88" i="15" s="1"/>
  <c r="AT120" i="1" s="1"/>
  <c r="BB44" i="15"/>
  <c r="BB73" i="15" s="1" a="1"/>
  <c r="BB73" i="15" s="1"/>
  <c r="AT105" i="1" s="1"/>
  <c r="BD59" i="15"/>
  <c r="BD88" i="15" s="1" a="1"/>
  <c r="BD88" i="15" s="1"/>
  <c r="AV120" i="1" s="1"/>
  <c r="AV196" i="1" s="1"/>
  <c r="BD44" i="15"/>
  <c r="BD73" i="15" s="1" a="1"/>
  <c r="BD73" i="15" s="1"/>
  <c r="AV105" i="1" s="1"/>
  <c r="AV181" i="1" s="1"/>
  <c r="BE59" i="15"/>
  <c r="BE88" i="15" s="1" a="1"/>
  <c r="BE88" i="15" s="1"/>
  <c r="AW120" i="1" s="1"/>
  <c r="AW196" i="1" s="1"/>
  <c r="BE44" i="15"/>
  <c r="BE73" i="15" s="1" a="1"/>
  <c r="BE73" i="15" s="1"/>
  <c r="AW105" i="1" s="1"/>
  <c r="AW181" i="1" s="1"/>
  <c r="BF59" i="15"/>
  <c r="BF88" i="15" s="1" a="1"/>
  <c r="BF88" i="15" s="1"/>
  <c r="BF44" i="15"/>
  <c r="BF73" i="15" s="1" a="1"/>
  <c r="BF73" i="15" s="1"/>
  <c r="BG59" i="15"/>
  <c r="BG88" i="15" s="1" a="1"/>
  <c r="BG88" i="15" s="1"/>
  <c r="BG44" i="15"/>
  <c r="BG73" i="15" s="1" a="1"/>
  <c r="BG73" i="15" s="1"/>
  <c r="BH59" i="15"/>
  <c r="BH88" i="15" s="1" a="1"/>
  <c r="BH88" i="15" s="1"/>
  <c r="BH44" i="15"/>
  <c r="BH73" i="15" s="1" a="1"/>
  <c r="BH73" i="15" s="1"/>
  <c r="BI59" i="15"/>
  <c r="BI88" i="15" s="1" a="1"/>
  <c r="BI88" i="15" s="1"/>
  <c r="BI44" i="15"/>
  <c r="BI73" i="15" s="1" a="1"/>
  <c r="BI73" i="15" s="1"/>
  <c r="AZ59" i="15"/>
  <c r="AZ88" i="15" s="1" a="1"/>
  <c r="AZ88" i="15" s="1"/>
  <c r="AR120" i="1" s="1"/>
  <c r="AR196" i="1" s="1"/>
  <c r="AZ44" i="15"/>
  <c r="AZ73" i="15" s="1" a="1"/>
  <c r="AZ73" i="15" s="1"/>
  <c r="AR105" i="1" s="1"/>
  <c r="AR181" i="1" s="1"/>
  <c r="BA59" i="15"/>
  <c r="BA88" i="15" s="1" a="1"/>
  <c r="BA88" i="15" s="1"/>
  <c r="AS120" i="1" s="1"/>
  <c r="AS196" i="1" s="1"/>
  <c r="BA44" i="15"/>
  <c r="BA73" i="15" s="1" a="1"/>
  <c r="BA73" i="15" s="1"/>
  <c r="AS105" i="1" s="1"/>
  <c r="AS181" i="1" s="1"/>
  <c r="BA37" i="15"/>
  <c r="BA66" i="15" s="1" a="1"/>
  <c r="BA66" i="15" s="1"/>
  <c r="AS98" i="1" s="1"/>
  <c r="AS174" i="1" s="1"/>
  <c r="BA40" i="15"/>
  <c r="BA69" i="15" s="1" a="1"/>
  <c r="BA69" i="15" s="1"/>
  <c r="AS101" i="1" s="1"/>
  <c r="AS177" i="1" s="1"/>
  <c r="BA39" i="15"/>
  <c r="BA68" i="15" s="1" a="1"/>
  <c r="BA68" i="15" s="1"/>
  <c r="AS100" i="1" s="1"/>
  <c r="AS176" i="1" s="1"/>
  <c r="BE40" i="15"/>
  <c r="BE69" i="15" s="1" a="1"/>
  <c r="BE69" i="15" s="1"/>
  <c r="BE39" i="15"/>
  <c r="BE68" i="15" s="1" a="1"/>
  <c r="BE68" i="15" s="1"/>
  <c r="AW100" i="1" s="1"/>
  <c r="AW176" i="1" s="1"/>
  <c r="BE37" i="15"/>
  <c r="BE66" i="15" s="1" a="1"/>
  <c r="BE66" i="15" s="1"/>
  <c r="AW98" i="1" s="1"/>
  <c r="AW174" i="1" s="1"/>
  <c r="BG39" i="15"/>
  <c r="BG68" i="15" s="1" a="1"/>
  <c r="BG68" i="15" s="1"/>
  <c r="BG40" i="15"/>
  <c r="BG69" i="15" s="1" a="1"/>
  <c r="BG69" i="15" s="1"/>
  <c r="BG37" i="15"/>
  <c r="BG66" i="15" s="1" a="1"/>
  <c r="BG66" i="15" s="1"/>
  <c r="AZ39" i="15"/>
  <c r="AZ68" i="15" s="1" a="1"/>
  <c r="AZ68" i="15" s="1"/>
  <c r="AR100" i="1" s="1"/>
  <c r="AR176" i="1" s="1"/>
  <c r="AZ40" i="15"/>
  <c r="AZ69" i="15" s="1" a="1"/>
  <c r="AZ69" i="15" s="1"/>
  <c r="AR101" i="1" s="1"/>
  <c r="AR177" i="1" s="1"/>
  <c r="AZ37" i="15"/>
  <c r="AZ66" i="15" s="1" a="1"/>
  <c r="AZ66" i="15" s="1"/>
  <c r="AR98" i="1" s="1"/>
  <c r="AR174" i="1" s="1"/>
  <c r="BB37" i="15"/>
  <c r="BB66" i="15" s="1" a="1"/>
  <c r="BB66" i="15" s="1"/>
  <c r="AT98" i="1" s="1"/>
  <c r="BB40" i="15"/>
  <c r="BB69" i="15" s="1" a="1"/>
  <c r="BB69" i="15" s="1"/>
  <c r="AT101" i="1" s="1"/>
  <c r="AT177" i="1" s="1"/>
  <c r="BB39" i="15"/>
  <c r="BB68" i="15" s="1" a="1"/>
  <c r="BB68" i="15" s="1"/>
  <c r="AT100" i="1" s="1"/>
  <c r="BD40" i="15"/>
  <c r="BD69" i="15" s="1" a="1"/>
  <c r="BD69" i="15" s="1"/>
  <c r="AV101" i="1" s="1"/>
  <c r="AV177" i="1" s="1"/>
  <c r="BD39" i="15"/>
  <c r="BD68" i="15" s="1" a="1"/>
  <c r="BD68" i="15" s="1"/>
  <c r="AV100" i="1" s="1"/>
  <c r="AV176" i="1" s="1"/>
  <c r="BD37" i="15"/>
  <c r="BD66" i="15" s="1" a="1"/>
  <c r="BD66" i="15" s="1"/>
  <c r="AV98" i="1" s="1"/>
  <c r="AV174" i="1" s="1"/>
  <c r="BF37" i="15"/>
  <c r="BF66" i="15" s="1" a="1"/>
  <c r="BF66" i="15" s="1"/>
  <c r="BF39" i="15"/>
  <c r="BF68" i="15" s="1" a="1"/>
  <c r="BF68" i="15" s="1"/>
  <c r="BF40" i="15"/>
  <c r="BF69" i="15" s="1" a="1"/>
  <c r="BF69" i="15" s="1"/>
  <c r="BH39" i="15"/>
  <c r="BH68" i="15" s="1" a="1"/>
  <c r="BH68" i="15" s="1"/>
  <c r="BH37" i="15"/>
  <c r="BH66" i="15" s="1" a="1"/>
  <c r="BH66" i="15" s="1"/>
  <c r="BH40" i="15"/>
  <c r="BH69" i="15" s="1" a="1"/>
  <c r="BH69" i="15" s="1"/>
  <c r="AY37" i="15"/>
  <c r="AY66" i="15" s="1" a="1"/>
  <c r="AY66" i="15" s="1"/>
  <c r="AQ98" i="1" s="1"/>
  <c r="AQ174" i="1" s="1"/>
  <c r="AY39" i="15"/>
  <c r="AY68" i="15" s="1" a="1"/>
  <c r="AY68" i="15" s="1"/>
  <c r="AQ100" i="1" s="1"/>
  <c r="AQ176" i="1" s="1"/>
  <c r="AY40" i="15"/>
  <c r="AY69" i="15" s="1" a="1"/>
  <c r="AY69" i="15" s="1"/>
  <c r="AQ101" i="1" s="1"/>
  <c r="AQ177" i="1" s="1"/>
  <c r="BC39" i="15"/>
  <c r="BC68" i="15" s="1" a="1"/>
  <c r="BC68" i="15" s="1"/>
  <c r="AU100" i="1" s="1"/>
  <c r="AU176" i="1" s="1"/>
  <c r="BC37" i="15"/>
  <c r="BC66" i="15" s="1" a="1"/>
  <c r="BC66" i="15" s="1"/>
  <c r="AU98" i="1" s="1"/>
  <c r="AU174" i="1" s="1"/>
  <c r="BC40" i="15"/>
  <c r="BC69" i="15" s="1" a="1"/>
  <c r="BC69" i="15" s="1"/>
  <c r="AU101" i="1" s="1"/>
  <c r="AU177" i="1" s="1"/>
  <c r="BI40" i="15"/>
  <c r="BI69" i="15" s="1" a="1"/>
  <c r="BI69" i="15" s="1"/>
  <c r="BI37" i="15"/>
  <c r="BI66" i="15" s="1" a="1"/>
  <c r="BI66" i="15" s="1"/>
  <c r="BI39" i="15"/>
  <c r="BI68" i="15" s="1" a="1"/>
  <c r="BI68" i="15" s="1"/>
  <c r="BI38" i="15"/>
  <c r="BI67" i="15" s="1" a="1"/>
  <c r="BI67" i="15" s="1"/>
  <c r="BD52" i="15"/>
  <c r="BD81" i="15" s="1" a="1"/>
  <c r="BD81" i="15" s="1"/>
  <c r="AV113" i="1" s="1"/>
  <c r="AV189" i="1" s="1"/>
  <c r="BD50" i="15"/>
  <c r="BD79" i="15" s="1" a="1"/>
  <c r="BD79" i="15" s="1"/>
  <c r="AV111" i="1" s="1"/>
  <c r="AV187" i="1" s="1"/>
  <c r="BD48" i="15"/>
  <c r="BD77" i="15" s="1" a="1"/>
  <c r="BD77" i="15" s="1"/>
  <c r="AV109" i="1" s="1"/>
  <c r="AV185" i="1" s="1"/>
  <c r="BD47" i="15"/>
  <c r="BD76" i="15" s="1" a="1"/>
  <c r="BD76" i="15" s="1"/>
  <c r="AV108" i="1" s="1"/>
  <c r="AV184" i="1" s="1"/>
  <c r="BD43" i="15"/>
  <c r="BD72" i="15" s="1" a="1"/>
  <c r="BD72" i="15" s="1"/>
  <c r="AV104" i="1" s="1"/>
  <c r="AV180" i="1" s="1"/>
  <c r="AY50" i="15"/>
  <c r="AY79" i="15" s="1" a="1"/>
  <c r="AY79" i="15" s="1"/>
  <c r="AQ111" i="1" s="1"/>
  <c r="AQ187" i="1" s="1"/>
  <c r="AY43" i="15"/>
  <c r="AY72" i="15" s="1" a="1"/>
  <c r="AY72" i="15" s="1"/>
  <c r="AQ104" i="1" s="1"/>
  <c r="AQ180" i="1" s="1"/>
  <c r="AY52" i="15"/>
  <c r="AY81" i="15" s="1" a="1"/>
  <c r="AY81" i="15" s="1"/>
  <c r="AY48" i="15"/>
  <c r="AY77" i="15" s="1" a="1"/>
  <c r="AY77" i="15" s="1"/>
  <c r="AQ109" i="1" s="1"/>
  <c r="AQ185" i="1" s="1"/>
  <c r="AY47" i="15"/>
  <c r="AY76" i="15" s="1" a="1"/>
  <c r="AY76" i="15" s="1"/>
  <c r="BB52" i="15"/>
  <c r="BB81" i="15" s="1" a="1"/>
  <c r="BB81" i="15" s="1"/>
  <c r="AT113" i="1" s="1"/>
  <c r="BB50" i="15"/>
  <c r="BB79" i="15" s="1" a="1"/>
  <c r="BB79" i="15" s="1"/>
  <c r="AT111" i="1" s="1"/>
  <c r="BB48" i="15"/>
  <c r="BB77" i="15" s="1" a="1"/>
  <c r="BB77" i="15" s="1"/>
  <c r="AT109" i="1" s="1"/>
  <c r="BB47" i="15"/>
  <c r="BB76" i="15" s="1" a="1"/>
  <c r="BB76" i="15" s="1"/>
  <c r="AT108" i="1" s="1"/>
  <c r="BB43" i="15"/>
  <c r="BB72" i="15" s="1" a="1"/>
  <c r="BB72" i="15" s="1"/>
  <c r="AT104" i="1" s="1"/>
  <c r="AT180" i="1" s="1"/>
  <c r="BH52" i="15"/>
  <c r="BH81" i="15" s="1" a="1"/>
  <c r="BH81" i="15" s="1"/>
  <c r="BH48" i="15"/>
  <c r="BH77" i="15" s="1" a="1"/>
  <c r="BH77" i="15" s="1"/>
  <c r="BH47" i="15"/>
  <c r="BH76" i="15" s="1" a="1"/>
  <c r="BH76" i="15" s="1"/>
  <c r="BH43" i="15"/>
  <c r="BH72" i="15" s="1" a="1"/>
  <c r="BH72" i="15" s="1"/>
  <c r="BH50" i="15"/>
  <c r="BH79" i="15" s="1" a="1"/>
  <c r="BH79" i="15" s="1"/>
  <c r="BC52" i="15"/>
  <c r="BC81" i="15" s="1" a="1"/>
  <c r="BC81" i="15" s="1"/>
  <c r="AU113" i="1" s="1"/>
  <c r="AU189" i="1" s="1"/>
  <c r="BC50" i="15"/>
  <c r="BC79" i="15" s="1" a="1"/>
  <c r="BC79" i="15" s="1"/>
  <c r="AU111" i="1" s="1"/>
  <c r="AU187" i="1" s="1"/>
  <c r="BC48" i="15"/>
  <c r="BC77" i="15" s="1" a="1"/>
  <c r="BC77" i="15" s="1"/>
  <c r="AU109" i="1" s="1"/>
  <c r="AU185" i="1" s="1"/>
  <c r="BC47" i="15"/>
  <c r="BC76" i="15" s="1" a="1"/>
  <c r="BC76" i="15" s="1"/>
  <c r="AU108" i="1" s="1"/>
  <c r="AU184" i="1" s="1"/>
  <c r="BC43" i="15"/>
  <c r="BC72" i="15" s="1" a="1"/>
  <c r="BC72" i="15" s="1"/>
  <c r="AU104" i="1" s="1"/>
  <c r="AU180" i="1" s="1"/>
  <c r="BE52" i="15"/>
  <c r="BE81" i="15" s="1" a="1"/>
  <c r="BE81" i="15" s="1"/>
  <c r="AW113" i="1" s="1"/>
  <c r="AW189" i="1" s="1"/>
  <c r="BE50" i="15"/>
  <c r="BE79" i="15" s="1" a="1"/>
  <c r="BE79" i="15" s="1"/>
  <c r="AW111" i="1" s="1"/>
  <c r="AW187" i="1" s="1"/>
  <c r="BE48" i="15"/>
  <c r="BE77" i="15" s="1" a="1"/>
  <c r="BE77" i="15" s="1"/>
  <c r="AW109" i="1" s="1"/>
  <c r="AW185" i="1" s="1"/>
  <c r="BE47" i="15"/>
  <c r="BE76" i="15" s="1" a="1"/>
  <c r="BE76" i="15" s="1"/>
  <c r="AW108" i="1" s="1"/>
  <c r="AW184" i="1" s="1"/>
  <c r="BE43" i="15"/>
  <c r="BE72" i="15" s="1" a="1"/>
  <c r="BE72" i="15" s="1"/>
  <c r="AW104" i="1" s="1"/>
  <c r="AW180" i="1" s="1"/>
  <c r="BF52" i="15"/>
  <c r="BF81" i="15" s="1" a="1"/>
  <c r="BF81" i="15" s="1"/>
  <c r="BF50" i="15"/>
  <c r="BF79" i="15" s="1" a="1"/>
  <c r="BF79" i="15" s="1"/>
  <c r="BF48" i="15"/>
  <c r="BF77" i="15" s="1" a="1"/>
  <c r="BF77" i="15" s="1"/>
  <c r="BF47" i="15"/>
  <c r="BF76" i="15" s="1" a="1"/>
  <c r="BF76" i="15" s="1"/>
  <c r="BF43" i="15"/>
  <c r="BF72" i="15" s="1" a="1"/>
  <c r="BF72" i="15" s="1"/>
  <c r="AZ52" i="15"/>
  <c r="AZ81" i="15" s="1" a="1"/>
  <c r="AZ81" i="15" s="1"/>
  <c r="AR113" i="1" s="1"/>
  <c r="AR189" i="1" s="1"/>
  <c r="AZ50" i="15"/>
  <c r="AZ79" i="15" s="1" a="1"/>
  <c r="AZ79" i="15" s="1"/>
  <c r="AR111" i="1" s="1"/>
  <c r="AR187" i="1" s="1"/>
  <c r="AZ47" i="15"/>
  <c r="AZ76" i="15" s="1" a="1"/>
  <c r="AZ76" i="15" s="1"/>
  <c r="AR108" i="1" s="1"/>
  <c r="AR184" i="1" s="1"/>
  <c r="AZ48" i="15"/>
  <c r="AZ77" i="15" s="1" a="1"/>
  <c r="AZ77" i="15" s="1"/>
  <c r="AR109" i="1" s="1"/>
  <c r="AR185" i="1" s="1"/>
  <c r="AZ43" i="15"/>
  <c r="AZ72" i="15" s="1" a="1"/>
  <c r="AZ72" i="15" s="1"/>
  <c r="AR104" i="1" s="1"/>
  <c r="AR180" i="1" s="1"/>
  <c r="BA52" i="15"/>
  <c r="BA81" i="15" s="1" a="1"/>
  <c r="BA81" i="15" s="1"/>
  <c r="AS113" i="1" s="1"/>
  <c r="AS189" i="1" s="1"/>
  <c r="BA50" i="15"/>
  <c r="BA79" i="15" s="1" a="1"/>
  <c r="BA79" i="15" s="1"/>
  <c r="AS111" i="1" s="1"/>
  <c r="AS187" i="1" s="1"/>
  <c r="BA48" i="15"/>
  <c r="BA77" i="15" s="1" a="1"/>
  <c r="BA77" i="15" s="1"/>
  <c r="AS109" i="1" s="1"/>
  <c r="AS185" i="1" s="1"/>
  <c r="BA47" i="15"/>
  <c r="BA76" i="15" s="1" a="1"/>
  <c r="BA76" i="15" s="1"/>
  <c r="AS108" i="1" s="1"/>
  <c r="AS184" i="1" s="1"/>
  <c r="BA43" i="15"/>
  <c r="BA72" i="15" s="1" a="1"/>
  <c r="BA72" i="15" s="1"/>
  <c r="AS104" i="1" s="1"/>
  <c r="AS180" i="1" s="1"/>
  <c r="BG52" i="15"/>
  <c r="BG81" i="15" s="1" a="1"/>
  <c r="BG81" i="15" s="1"/>
  <c r="BG50" i="15"/>
  <c r="BG79" i="15" s="1" a="1"/>
  <c r="BG79" i="15" s="1"/>
  <c r="BG48" i="15"/>
  <c r="BG77" i="15" s="1" a="1"/>
  <c r="BG77" i="15" s="1"/>
  <c r="BG47" i="15"/>
  <c r="BG76" i="15" s="1" a="1"/>
  <c r="BG76" i="15" s="1"/>
  <c r="BG43" i="15"/>
  <c r="BG72" i="15" s="1" a="1"/>
  <c r="BG72" i="15" s="1"/>
  <c r="BI50" i="15"/>
  <c r="BI79" i="15" s="1" a="1"/>
  <c r="BI79" i="15" s="1"/>
  <c r="BI49" i="15"/>
  <c r="BI78" i="15" s="1" a="1"/>
  <c r="BI78" i="15" s="1"/>
  <c r="BI48" i="15"/>
  <c r="BI77" i="15" s="1" a="1"/>
  <c r="BI77" i="15" s="1"/>
  <c r="BI47" i="15"/>
  <c r="BI76" i="15" s="1" a="1"/>
  <c r="BI76" i="15" s="1"/>
  <c r="BI43" i="15"/>
  <c r="BI72" i="15" s="1" a="1"/>
  <c r="BI72" i="15" s="1"/>
  <c r="BI52" i="15"/>
  <c r="BI81" i="15" s="1" a="1"/>
  <c r="BI81" i="15" s="1"/>
  <c r="BB57" i="15"/>
  <c r="BB86" i="15" s="1" a="1"/>
  <c r="BB86" i="15" s="1"/>
  <c r="AT118" i="1" s="1"/>
  <c r="BB58" i="15"/>
  <c r="BB87" i="15" s="1" a="1"/>
  <c r="BB87" i="15" s="1"/>
  <c r="AT119" i="1" s="1"/>
  <c r="BB56" i="15"/>
  <c r="BB85" i="15" s="1" a="1"/>
  <c r="BB85" i="15" s="1"/>
  <c r="AT117" i="1" s="1"/>
  <c r="BB54" i="15"/>
  <c r="BB83" i="15" s="1" a="1"/>
  <c r="BB83" i="15" s="1"/>
  <c r="AT115" i="1" s="1"/>
  <c r="BB51" i="15"/>
  <c r="BB80" i="15" s="1" a="1"/>
  <c r="BB80" i="15" s="1"/>
  <c r="AT112" i="1" s="1"/>
  <c r="BB45" i="15"/>
  <c r="BB74" i="15" s="1" a="1"/>
  <c r="BB74" i="15" s="1"/>
  <c r="AT106" i="1" s="1"/>
  <c r="AT182" i="1" s="1"/>
  <c r="BF58" i="15"/>
  <c r="BF87" i="15" s="1" a="1"/>
  <c r="BF87" i="15" s="1"/>
  <c r="BF57" i="15"/>
  <c r="BF86" i="15" s="1" a="1"/>
  <c r="BF86" i="15" s="1"/>
  <c r="BF56" i="15"/>
  <c r="BF85" i="15" s="1" a="1"/>
  <c r="BF85" i="15" s="1"/>
  <c r="BF54" i="15"/>
  <c r="BF83" i="15" s="1" a="1"/>
  <c r="BF83" i="15" s="1"/>
  <c r="BF51" i="15"/>
  <c r="BF80" i="15" s="1" a="1"/>
  <c r="BF80" i="15" s="1"/>
  <c r="BF45" i="15"/>
  <c r="BF74" i="15" s="1" a="1"/>
  <c r="BF74" i="15" s="1"/>
  <c r="BI58" i="15"/>
  <c r="BI87" i="15" s="1" a="1"/>
  <c r="BI87" i="15" s="1"/>
  <c r="BI57" i="15"/>
  <c r="BI86" i="15" s="1" a="1"/>
  <c r="BI86" i="15" s="1"/>
  <c r="BI56" i="15"/>
  <c r="BI85" i="15" s="1" a="1"/>
  <c r="BI85" i="15" s="1"/>
  <c r="BI55" i="15"/>
  <c r="BI84" i="15" s="1" a="1"/>
  <c r="BI84" i="15" s="1"/>
  <c r="BI54" i="15"/>
  <c r="BI83" i="15" s="1" a="1"/>
  <c r="BI83" i="15" s="1"/>
  <c r="BI51" i="15"/>
  <c r="BI80" i="15" s="1" a="1"/>
  <c r="BI80" i="15" s="1"/>
  <c r="BI45" i="15"/>
  <c r="BI74" i="15" s="1" a="1"/>
  <c r="BI74" i="15" s="1"/>
  <c r="BA57" i="15"/>
  <c r="BA86" i="15" s="1" a="1"/>
  <c r="BA86" i="15" s="1"/>
  <c r="AS118" i="1" s="1"/>
  <c r="AS194" i="1" s="1"/>
  <c r="BA56" i="15"/>
  <c r="BA85" i="15" s="1" a="1"/>
  <c r="BA85" i="15" s="1"/>
  <c r="AS117" i="1" s="1"/>
  <c r="AS193" i="1" s="1"/>
  <c r="BA54" i="15"/>
  <c r="BA83" i="15" s="1" a="1"/>
  <c r="BA83" i="15" s="1"/>
  <c r="AS115" i="1" s="1"/>
  <c r="AS191" i="1" s="1"/>
  <c r="BA51" i="15"/>
  <c r="BA80" i="15" s="1" a="1"/>
  <c r="BA80" i="15" s="1"/>
  <c r="AS112" i="1" s="1"/>
  <c r="AS188" i="1" s="1"/>
  <c r="BA58" i="15"/>
  <c r="BA87" i="15" s="1" a="1"/>
  <c r="BA87" i="15" s="1"/>
  <c r="AS119" i="1" s="1"/>
  <c r="AS195" i="1" s="1"/>
  <c r="BA45" i="15"/>
  <c r="BA74" i="15" s="1" a="1"/>
  <c r="BA74" i="15" s="1"/>
  <c r="AS106" i="1" s="1"/>
  <c r="AS182" i="1" s="1"/>
  <c r="BE57" i="15"/>
  <c r="BE86" i="15" s="1" a="1"/>
  <c r="BE86" i="15" s="1"/>
  <c r="AW118" i="1" s="1"/>
  <c r="AW194" i="1" s="1"/>
  <c r="BE56" i="15"/>
  <c r="BE85" i="15" s="1" a="1"/>
  <c r="BE85" i="15" s="1"/>
  <c r="AW117" i="1" s="1"/>
  <c r="AW193" i="1" s="1"/>
  <c r="BE54" i="15"/>
  <c r="BE83" i="15" s="1" a="1"/>
  <c r="BE83" i="15" s="1"/>
  <c r="AW115" i="1" s="1"/>
  <c r="AW191" i="1" s="1"/>
  <c r="BE51" i="15"/>
  <c r="BE80" i="15" s="1" a="1"/>
  <c r="BE80" i="15" s="1"/>
  <c r="AW112" i="1" s="1"/>
  <c r="AW188" i="1" s="1"/>
  <c r="BE45" i="15"/>
  <c r="BE74" i="15" s="1" a="1"/>
  <c r="BE74" i="15" s="1"/>
  <c r="AW106" i="1" s="1"/>
  <c r="AW182" i="1" s="1"/>
  <c r="BE58" i="15"/>
  <c r="BE87" i="15" s="1" a="1"/>
  <c r="BE87" i="15" s="1"/>
  <c r="AW119" i="1" s="1"/>
  <c r="AW195" i="1" s="1"/>
  <c r="BH58" i="15"/>
  <c r="BH87" i="15" s="1" a="1"/>
  <c r="BH87" i="15" s="1"/>
  <c r="BH57" i="15"/>
  <c r="BH86" i="15" s="1" a="1"/>
  <c r="BH86" i="15" s="1"/>
  <c r="BH56" i="15"/>
  <c r="BH85" i="15" s="1" a="1"/>
  <c r="BH85" i="15" s="1"/>
  <c r="BH54" i="15"/>
  <c r="BH83" i="15" s="1" a="1"/>
  <c r="BH83" i="15" s="1"/>
  <c r="BH51" i="15"/>
  <c r="BH80" i="15" s="1" a="1"/>
  <c r="BH80" i="15" s="1"/>
  <c r="BH45" i="15"/>
  <c r="BH74" i="15" s="1" a="1"/>
  <c r="BH74" i="15" s="1"/>
  <c r="AY57" i="15"/>
  <c r="AY86" i="15" s="1" a="1"/>
  <c r="AY86" i="15" s="1"/>
  <c r="AY54" i="15"/>
  <c r="AY83" i="15" s="1" a="1"/>
  <c r="AY83" i="15" s="1"/>
  <c r="AY45" i="15"/>
  <c r="AY74" i="15" s="1" a="1"/>
  <c r="AY74" i="15" s="1"/>
  <c r="AQ106" i="1" s="1"/>
  <c r="AQ182" i="1" s="1"/>
  <c r="AY58" i="15"/>
  <c r="AY87" i="15" s="1" a="1"/>
  <c r="AY87" i="15" s="1"/>
  <c r="AQ119" i="1" s="1"/>
  <c r="AQ195" i="1" s="1"/>
  <c r="AY56" i="15"/>
  <c r="AY85" i="15" s="1" a="1"/>
  <c r="AY85" i="15" s="1"/>
  <c r="AQ117" i="1" s="1"/>
  <c r="AQ193" i="1" s="1"/>
  <c r="AY51" i="15"/>
  <c r="AY80" i="15" s="1" a="1"/>
  <c r="AY80" i="15" s="1"/>
  <c r="BC57" i="15"/>
  <c r="BC86" i="15" s="1" a="1"/>
  <c r="BC86" i="15" s="1"/>
  <c r="AU118" i="1" s="1"/>
  <c r="AU194" i="1" s="1"/>
  <c r="BC56" i="15"/>
  <c r="BC85" i="15" s="1" a="1"/>
  <c r="BC85" i="15" s="1"/>
  <c r="AU117" i="1" s="1"/>
  <c r="AU193" i="1" s="1"/>
  <c r="BC54" i="15"/>
  <c r="BC83" i="15" s="1" a="1"/>
  <c r="BC83" i="15" s="1"/>
  <c r="AU115" i="1" s="1"/>
  <c r="AU191" i="1" s="1"/>
  <c r="BC51" i="15"/>
  <c r="BC80" i="15" s="1" a="1"/>
  <c r="BC80" i="15" s="1"/>
  <c r="AU112" i="1" s="1"/>
  <c r="AU188" i="1" s="1"/>
  <c r="BC45" i="15"/>
  <c r="BC74" i="15" s="1" a="1"/>
  <c r="BC74" i="15" s="1"/>
  <c r="AU106" i="1" s="1"/>
  <c r="AU182" i="1" s="1"/>
  <c r="BC58" i="15"/>
  <c r="BC87" i="15" s="1" a="1"/>
  <c r="BC87" i="15" s="1"/>
  <c r="AU119" i="1" s="1"/>
  <c r="AU195" i="1" s="1"/>
  <c r="BD58" i="15"/>
  <c r="BD87" i="15" s="1" a="1"/>
  <c r="BD87" i="15" s="1"/>
  <c r="AV119" i="1" s="1"/>
  <c r="AV195" i="1" s="1"/>
  <c r="BD57" i="15"/>
  <c r="BD86" i="15" s="1" a="1"/>
  <c r="BD86" i="15" s="1"/>
  <c r="AV118" i="1" s="1"/>
  <c r="AV194" i="1" s="1"/>
  <c r="BD56" i="15"/>
  <c r="BD85" i="15" s="1" a="1"/>
  <c r="BD85" i="15" s="1"/>
  <c r="AV117" i="1" s="1"/>
  <c r="AV193" i="1" s="1"/>
  <c r="BD54" i="15"/>
  <c r="BD83" i="15" s="1" a="1"/>
  <c r="BD83" i="15" s="1"/>
  <c r="AV115" i="1" s="1"/>
  <c r="AV191" i="1" s="1"/>
  <c r="BD51" i="15"/>
  <c r="BD80" i="15" s="1" a="1"/>
  <c r="BD80" i="15" s="1"/>
  <c r="AV112" i="1" s="1"/>
  <c r="AV188" i="1" s="1"/>
  <c r="BD45" i="15"/>
  <c r="BD74" i="15" s="1" a="1"/>
  <c r="BD74" i="15" s="1"/>
  <c r="AV106" i="1" s="1"/>
  <c r="AV182" i="1" s="1"/>
  <c r="BG57" i="15"/>
  <c r="BG86" i="15" s="1" a="1"/>
  <c r="BG86" i="15" s="1"/>
  <c r="BG56" i="15"/>
  <c r="BG85" i="15" s="1" a="1"/>
  <c r="BG85" i="15" s="1"/>
  <c r="BG54" i="15"/>
  <c r="BG83" i="15" s="1" a="1"/>
  <c r="BG83" i="15" s="1"/>
  <c r="BG51" i="15"/>
  <c r="BG80" i="15" s="1" a="1"/>
  <c r="BG80" i="15" s="1"/>
  <c r="BG45" i="15"/>
  <c r="BG74" i="15" s="1" a="1"/>
  <c r="BG74" i="15" s="1"/>
  <c r="BG58" i="15"/>
  <c r="BG87" i="15" s="1" a="1"/>
  <c r="BG87" i="15" s="1"/>
  <c r="AZ57" i="15"/>
  <c r="AZ86" i="15" s="1" a="1"/>
  <c r="AZ86" i="15" s="1"/>
  <c r="AR118" i="1" s="1"/>
  <c r="AR194" i="1" s="1"/>
  <c r="AZ56" i="15"/>
  <c r="AZ85" i="15" s="1" a="1"/>
  <c r="AZ85" i="15" s="1"/>
  <c r="AR117" i="1" s="1"/>
  <c r="AR193" i="1" s="1"/>
  <c r="AZ54" i="15"/>
  <c r="AZ83" i="15" s="1" a="1"/>
  <c r="AZ83" i="15" s="1"/>
  <c r="AR115" i="1" s="1"/>
  <c r="AR191" i="1" s="1"/>
  <c r="AZ45" i="15"/>
  <c r="AZ74" i="15" s="1" a="1"/>
  <c r="AZ74" i="15" s="1"/>
  <c r="AR106" i="1" s="1"/>
  <c r="AR182" i="1" s="1"/>
  <c r="AZ58" i="15"/>
  <c r="AZ87" i="15" s="1" a="1"/>
  <c r="AZ87" i="15" s="1"/>
  <c r="AR119" i="1" s="1"/>
  <c r="AR195" i="1" s="1"/>
  <c r="AZ51" i="15"/>
  <c r="AZ80" i="15" s="1" a="1"/>
  <c r="AZ80" i="15" s="1"/>
  <c r="AR112" i="1" s="1"/>
  <c r="AR188" i="1" s="1"/>
  <c r="AW101" i="1" l="1"/>
  <c r="AW177" i="1" s="1"/>
  <c r="AT188" i="1"/>
  <c r="AT191" i="1"/>
  <c r="AT184" i="1"/>
  <c r="AT189" i="1"/>
  <c r="AT194" i="1"/>
  <c r="AT195" i="1"/>
  <c r="AT181" i="1"/>
  <c r="AT176" i="1"/>
  <c r="AT187" i="1"/>
  <c r="AT193" i="1"/>
  <c r="AT174" i="1"/>
  <c r="AT196" i="1"/>
  <c r="AT185" i="1"/>
  <c r="AD16" i="1"/>
  <c r="AD17" i="1" l="1"/>
  <c r="AE16" i="1" l="1"/>
  <c r="AF16" i="1"/>
  <c r="AG16" i="1"/>
  <c r="AH16" i="1"/>
  <c r="AI16" i="1"/>
  <c r="AJ16" i="1"/>
  <c r="AK16" i="1"/>
  <c r="AL16" i="1"/>
  <c r="AM16" i="1"/>
  <c r="AG17" i="1" l="1"/>
  <c r="AI17" i="1"/>
  <c r="AK17" i="1"/>
  <c r="AM17" i="1"/>
  <c r="AL17" i="1"/>
  <c r="AJ17" i="1"/>
  <c r="AH17" i="1"/>
  <c r="AE17" i="1"/>
  <c r="AF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BCF19D2D-1537-E14E-846A-271BADC8FFC2}">
      <text>
        <r>
          <rPr>
            <sz val="9"/>
            <color rgb="FF000000"/>
            <rFont val="Tahoma"/>
            <family val="2"/>
          </rPr>
          <t xml:space="preserve">E: Estimated value 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<sst xmlns="http://schemas.openxmlformats.org/spreadsheetml/2006/main" count="1069" uniqueCount="105">
  <si>
    <t>TOTAL</t>
  </si>
  <si>
    <t>Relative GDP growth</t>
  </si>
  <si>
    <t>Interest rate differentials and carry</t>
  </si>
  <si>
    <t>Note</t>
  </si>
  <si>
    <t>Comparative indicators</t>
  </si>
  <si>
    <t>Inflation differential</t>
  </si>
  <si>
    <t>Equity index return</t>
  </si>
  <si>
    <t>Current account to GDP spread</t>
  </si>
  <si>
    <t>Currency reserves excluding Gold spreqd</t>
  </si>
  <si>
    <t>BETWEEN 60 &amp; -60</t>
  </si>
  <si>
    <t>AUD USD</t>
  </si>
  <si>
    <t>FX pairs</t>
  </si>
  <si>
    <t>EUR AUD</t>
  </si>
  <si>
    <t>EURO AREA</t>
  </si>
  <si>
    <t>EUR JPY</t>
  </si>
  <si>
    <t>EUR CAD</t>
  </si>
  <si>
    <t>USD JPY</t>
  </si>
  <si>
    <t>USD CAD</t>
  </si>
  <si>
    <t>AUD JPY</t>
  </si>
  <si>
    <t>CAD JPY</t>
  </si>
  <si>
    <t>AUD CAD</t>
  </si>
  <si>
    <t>Q</t>
  </si>
  <si>
    <t>M</t>
  </si>
  <si>
    <t>W</t>
  </si>
  <si>
    <t>EQUITY</t>
  </si>
  <si>
    <t>Rating</t>
  </si>
  <si>
    <t>2</t>
  </si>
  <si>
    <t>3</t>
  </si>
  <si>
    <t>4</t>
  </si>
  <si>
    <t>6</t>
  </si>
  <si>
    <t>10</t>
  </si>
  <si>
    <t>8</t>
  </si>
  <si>
    <t>-4</t>
  </si>
  <si>
    <t>-6</t>
  </si>
  <si>
    <t>-8</t>
  </si>
  <si>
    <t>-10</t>
  </si>
  <si>
    <t>9</t>
  </si>
  <si>
    <t>BOP</t>
  </si>
  <si>
    <t>Australia</t>
  </si>
  <si>
    <t>Canada</t>
  </si>
  <si>
    <t>Japan</t>
  </si>
  <si>
    <t>Switzerland</t>
  </si>
  <si>
    <t>New Zealand</t>
  </si>
  <si>
    <t>United Kingdom</t>
  </si>
  <si>
    <t>United States</t>
  </si>
  <si>
    <t>Paire</t>
  </si>
  <si>
    <t>USD CHF</t>
  </si>
  <si>
    <t>EUR USD</t>
  </si>
  <si>
    <t>EUR CHF</t>
  </si>
  <si>
    <t>EUR GBP</t>
  </si>
  <si>
    <t>EUR NZD</t>
  </si>
  <si>
    <t>GBP USD</t>
  </si>
  <si>
    <t>GBP JPY</t>
  </si>
  <si>
    <t>GBP CHF</t>
  </si>
  <si>
    <t>GBP CAD</t>
  </si>
  <si>
    <t>GBP AUD</t>
  </si>
  <si>
    <t>GBP NZD</t>
  </si>
  <si>
    <t xml:space="preserve">CHF JPY </t>
  </si>
  <si>
    <t>AUD CHF</t>
  </si>
  <si>
    <t>AUD NZD</t>
  </si>
  <si>
    <t>Monthly Change</t>
  </si>
  <si>
    <t>12 Month Average</t>
  </si>
  <si>
    <t>SPREAD</t>
  </si>
  <si>
    <t>RATING</t>
  </si>
  <si>
    <t>country</t>
  </si>
  <si>
    <t>Valeur</t>
  </si>
  <si>
    <t>rating</t>
  </si>
  <si>
    <t>Euro area (19 countries)</t>
  </si>
  <si>
    <t>Pair</t>
  </si>
  <si>
    <t>CPI %YoY - source : IMF</t>
  </si>
  <si>
    <t>fx pair</t>
  </si>
  <si>
    <t>data</t>
  </si>
  <si>
    <t>Interest Rates selected indicators</t>
  </si>
  <si>
    <t>Country</t>
  </si>
  <si>
    <t>New Zelaand</t>
  </si>
  <si>
    <t>SPREAD IR DIFF</t>
  </si>
  <si>
    <t>All time High (CL)</t>
  </si>
  <si>
    <t>current price</t>
  </si>
  <si>
    <t>% CHANGE</t>
  </si>
  <si>
    <t>original index % change</t>
  </si>
  <si>
    <t>real % change</t>
  </si>
  <si>
    <t>eurusd</t>
  </si>
  <si>
    <t xml:space="preserve"> </t>
  </si>
  <si>
    <t>All time High SPX</t>
  </si>
  <si>
    <t>current price SPX</t>
  </si>
  <si>
    <t>All time High SMI</t>
  </si>
  <si>
    <t>current price SMI</t>
  </si>
  <si>
    <t>All time High TSX</t>
  </si>
  <si>
    <t>current price TSX</t>
  </si>
  <si>
    <t>All time High TSE UK</t>
  </si>
  <si>
    <t>current price TSE UK</t>
  </si>
  <si>
    <t>All time High STOXX50</t>
  </si>
  <si>
    <t>current price STOXX50</t>
  </si>
  <si>
    <t>All time High ASX200</t>
  </si>
  <si>
    <t>current price ASX200</t>
  </si>
  <si>
    <t>Interest rate</t>
  </si>
  <si>
    <t>correlation</t>
  </si>
  <si>
    <t>accuracy_pct</t>
  </si>
  <si>
    <t>flips</t>
  </si>
  <si>
    <t>Hawkish</t>
  </si>
  <si>
    <t>Neutre</t>
  </si>
  <si>
    <t>Corrélation</t>
  </si>
  <si>
    <t>Win Rate (%)</t>
  </si>
  <si>
    <t>Max Drawdown (%)</t>
  </si>
  <si>
    <t>CHF JPY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</si>
</sst>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64" formatCode="_-* #,##0.00_-;\-* #,##0.00_-;_-* &quot;-&quot;??_-;_-@_-"/>
    <numFmt numFmtId="165" formatCode="0.0%"/>
    <numFmt numFmtId="166" formatCode="_-* #,##0.00\ _€_-;\-* #,##0.00\ _€_-;_-* &quot;-&quot;??\ _€_-;_-@_-"/>
    <numFmt numFmtId="167" formatCode="_-* #,##0\ _€_-;\-* #,##0\ _€_-;_-* &quot;-&quot;\ _€_-;_-@_-"/>
    <numFmt numFmtId="168" formatCode="[$-409]mmm\-yy;@"/>
    <numFmt numFmtId="169" formatCode="#,##0.0_ ;\-#,##0.0\ "/>
  </numFmts>
  <fonts count="76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1"/>
      <name val="ＭＳ Ｐゴシック"/>
      <family val="3"/>
      <charset val="128"/>
    </font>
    <font>
      <sz val="8"/>
      <name val="Arial"/>
      <family val="2"/>
    </font>
    <font>
      <sz val="14"/>
      <name val="ＭＳ 明朝"/>
      <family val="1"/>
      <charset val="128"/>
    </font>
    <font>
      <b/>
      <sz val="12"/>
      <color rgb="FF000000"/>
      <name val="Lucida Sans Unicode"/>
    </font>
    <font>
      <b/>
      <sz val="11"/>
      <color rgb="FF000000"/>
      <name val="Calibri"/>
      <family val="2"/>
      <scheme val="minor"/>
    </font>
    <font>
      <b/>
      <sz val="12"/>
      <name val="Arial"/>
      <family val="2"/>
    </font>
    <font>
      <b/>
      <sz val="12"/>
      <name val="Calibri"/>
      <family val="2"/>
      <scheme val="minor"/>
    </font>
    <font>
      <sz val="10"/>
      <color rgb="FF000000"/>
      <name val="Lucida Sans Unicode"/>
    </font>
    <font>
      <u/>
      <sz val="10"/>
      <color theme="10"/>
      <name val="Lucida Sans Unicode"/>
      <family val="2"/>
    </font>
    <font>
      <sz val="9.75"/>
      <color rgb="FF000000"/>
      <name val="Arial"/>
      <family val="2"/>
    </font>
    <font>
      <b/>
      <sz val="12"/>
      <color rgb="FF000000"/>
      <name val="Lucida Sans Unicode"/>
      <family val="2"/>
    </font>
    <font>
      <b/>
      <sz val="14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Lucida Sans Unicode"/>
    </font>
    <font>
      <b/>
      <sz val="12"/>
      <color rgb="FF000000"/>
      <name val="Arial"/>
      <family val="2"/>
    </font>
    <font>
      <b/>
      <sz val="14"/>
      <color rgb="FF000000"/>
      <name val="Lucida Sans Unicode"/>
    </font>
    <font>
      <b/>
      <sz val="12"/>
      <color theme="1"/>
      <name val="Arial"/>
      <family val="2"/>
    </font>
    <font>
      <b/>
      <u/>
      <sz val="12"/>
      <color theme="10"/>
      <name val="Lucida Sans Unicode"/>
      <family val="2"/>
    </font>
    <font>
      <b/>
      <sz val="16"/>
      <color rgb="FF000000"/>
      <name val="Lucida Sans Unicode"/>
    </font>
    <font>
      <b/>
      <sz val="16"/>
      <color rgb="FF000000"/>
      <name val="Calibri"/>
      <family val="2"/>
    </font>
    <font>
      <b/>
      <sz val="11"/>
      <color rgb="FF000000"/>
      <name val="Helvetica Neue"/>
      <family val="2"/>
    </font>
    <font>
      <sz val="10"/>
      <color rgb="FF000000"/>
      <name val="Helvetica Neue"/>
      <family val="2"/>
    </font>
    <font>
      <b/>
      <sz val="18"/>
      <color rgb="FF000000"/>
      <name val="Lucida Sans Unicode"/>
    </font>
    <font>
      <b/>
      <sz val="12"/>
      <color rgb="FFFF0000"/>
      <name val="Lucida Sans Unicode"/>
      <family val="2"/>
    </font>
    <font>
      <u/>
      <sz val="10"/>
      <color theme="10"/>
      <name val="Arial"/>
      <family val="2"/>
    </font>
    <font>
      <b/>
      <u/>
      <sz val="10"/>
      <name val="Verdana"/>
      <family val="2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0"/>
      <name val="Arial"/>
      <family val="2"/>
    </font>
    <font>
      <b/>
      <sz val="8"/>
      <color indexed="9"/>
      <name val="Verdana"/>
      <family val="2"/>
    </font>
    <font>
      <sz val="9"/>
      <color rgb="FF000000"/>
      <name val="Tahoma"/>
      <family val="2"/>
    </font>
    <font>
      <b/>
      <sz val="12"/>
      <color rgb="FFFF0000"/>
      <name val="Lucida Sans Unicode"/>
    </font>
    <font>
      <sz val="10"/>
      <color rgb="FF000000"/>
      <name val="Lucida Sans Unicode"/>
      <family val="2"/>
    </font>
    <font>
      <b/>
      <sz val="8"/>
      <name val="Arial"/>
      <family val="2"/>
    </font>
    <font>
      <b/>
      <sz val="11"/>
      <color rgb="FFFF000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b/>
      <sz val="11"/>
      <name val="Arial"/>
      <family val="2"/>
    </font>
    <font>
      <b/>
      <sz val="16"/>
      <color theme="1"/>
      <name val="Calibri"/>
      <family val="2"/>
    </font>
    <font>
      <b/>
      <sz val="14"/>
      <name val="Arial"/>
      <family val="2"/>
    </font>
    <font>
      <b/>
      <sz val="11"/>
      <color theme="1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</font>
    <font>
      <b/>
      <sz val="11"/>
      <color rgb="FFFF0000"/>
      <name val="Helvetica Neue"/>
      <family val="2"/>
    </font>
    <font>
      <b/>
      <sz val="14"/>
      <color theme="1"/>
      <name val="Lucida Sans Unicode"/>
    </font>
    <font>
      <b/>
      <sz val="16"/>
      <color rgb="FF000000"/>
      <name val="Calibri"/>
      <family val="2"/>
      <scheme val="minor"/>
    </font>
    <font>
      <b/>
      <sz val="12"/>
      <color theme="1"/>
      <name val="Lucida Sans Unicode"/>
    </font>
    <font>
      <b/>
      <sz val="11"/>
      <color theme="1"/>
      <name val="Helvetica Neue"/>
      <family val="2"/>
    </font>
    <font>
      <b/>
      <u/>
      <sz val="16"/>
      <color rgb="FF000000"/>
      <name val="Calibri"/>
      <family val="2"/>
    </font>
    <font>
      <b/>
      <sz val="14"/>
      <color rgb="FF000000"/>
      <name val="Arial"/>
      <family val="2"/>
    </font>
    <font>
      <b/>
      <sz val="10"/>
      <color rgb="FF000000"/>
      <name val="Helvetica Neue"/>
      <family val="2"/>
    </font>
  </fonts>
  <fills count="6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rgb="FF4BACC6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6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0000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8064A2"/>
        <bgColor rgb="FF000000"/>
      </patternFill>
    </fill>
    <fill>
      <patternFill patternType="solid">
        <fgColor rgb="FF9BBB59"/>
        <bgColor rgb="FF000000"/>
      </patternFill>
    </fill>
    <fill>
      <patternFill patternType="solid">
        <fgColor rgb="FFC0504D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A1E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6E9F5"/>
      </patternFill>
    </fill>
    <fill>
      <patternFill patternType="solid">
        <fgColor rgb="FFFC0C56"/>
        <bgColor indexed="64"/>
      </patternFill>
    </fill>
    <fill>
      <patternFill patternType="solid">
        <fgColor rgb="FFFC0C5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0747D"/>
        <bgColor indexed="64"/>
      </patternFill>
    </fill>
    <fill>
      <patternFill patternType="solid">
        <fgColor rgb="FFF0747D"/>
        <bgColor rgb="FF000000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BBBBBB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FFFF"/>
      </left>
      <right/>
      <top/>
      <bottom/>
      <diagonal/>
    </border>
  </borders>
  <cellStyleXfs count="70">
    <xf numFmtId="0" fontId="0" fillId="0" borderId="0"/>
    <xf numFmtId="9" fontId="3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6" applyNumberFormat="0" applyFill="0" applyAlignment="0" applyProtection="0"/>
    <xf numFmtId="0" fontId="7" fillId="0" borderId="7" applyNumberFormat="0" applyFill="0" applyAlignment="0" applyProtection="0"/>
    <xf numFmtId="0" fontId="8" fillId="0" borderId="8" applyNumberFormat="0" applyFill="0" applyAlignment="0" applyProtection="0"/>
    <xf numFmtId="0" fontId="8" fillId="0" borderId="0" applyNumberFormat="0" applyFill="0" applyBorder="0" applyAlignment="0" applyProtection="0"/>
    <xf numFmtId="0" fontId="9" fillId="7" borderId="0" applyNumberFormat="0" applyBorder="0" applyAlignment="0" applyProtection="0"/>
    <xf numFmtId="0" fontId="10" fillId="8" borderId="0" applyNumberFormat="0" applyBorder="0" applyAlignment="0" applyProtection="0"/>
    <xf numFmtId="0" fontId="11" fillId="9" borderId="0" applyNumberFormat="0" applyBorder="0" applyAlignment="0" applyProtection="0"/>
    <xf numFmtId="0" fontId="12" fillId="10" borderId="9" applyNumberFormat="0" applyAlignment="0" applyProtection="0"/>
    <xf numFmtId="0" fontId="13" fillId="11" borderId="10" applyNumberFormat="0" applyAlignment="0" applyProtection="0"/>
    <xf numFmtId="0" fontId="14" fillId="11" borderId="9" applyNumberFormat="0" applyAlignment="0" applyProtection="0"/>
    <xf numFmtId="0" fontId="15" fillId="0" borderId="11" applyNumberFormat="0" applyFill="0" applyAlignment="0" applyProtection="0"/>
    <xf numFmtId="0" fontId="1" fillId="12" borderId="12" applyNumberFormat="0" applyAlignment="0" applyProtection="0"/>
    <xf numFmtId="0" fontId="16" fillId="0" borderId="0" applyNumberFormat="0" applyFill="0" applyBorder="0" applyAlignment="0" applyProtection="0"/>
    <xf numFmtId="0" fontId="3" fillId="13" borderId="13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4" applyNumberFormat="0" applyFill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18" fillId="34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19" fillId="0" borderId="0"/>
    <xf numFmtId="0" fontId="19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4" fillId="0" borderId="0"/>
    <xf numFmtId="166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19" fillId="0" borderId="0"/>
    <xf numFmtId="0" fontId="19" fillId="0" borderId="0"/>
    <xf numFmtId="0" fontId="21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4" fillId="0" borderId="0"/>
    <xf numFmtId="0" fontId="22" fillId="0" borderId="0"/>
    <xf numFmtId="38" fontId="22" fillId="0" borderId="0" applyFont="0" applyFill="0" applyBorder="0" applyAlignment="0" applyProtection="0"/>
    <xf numFmtId="0" fontId="19" fillId="0" borderId="0"/>
    <xf numFmtId="0" fontId="23" fillId="0" borderId="0"/>
    <xf numFmtId="164" fontId="3" fillId="0" borderId="0" applyFont="0" applyFill="0" applyBorder="0" applyAlignment="0" applyProtection="0"/>
    <xf numFmtId="0" fontId="3" fillId="0" borderId="0"/>
    <xf numFmtId="0" fontId="23" fillId="0" borderId="0"/>
    <xf numFmtId="0" fontId="23" fillId="0" borderId="0"/>
    <xf numFmtId="0" fontId="3" fillId="13" borderId="13" applyNumberFormat="0" applyFont="0" applyAlignment="0" applyProtection="0"/>
    <xf numFmtId="0" fontId="29" fillId="0" borderId="0"/>
    <xf numFmtId="0" fontId="30" fillId="0" borderId="0" applyNumberFormat="0" applyFill="0" applyBorder="0" applyAlignment="0" applyProtection="0"/>
    <xf numFmtId="43" fontId="29" fillId="0" borderId="0" applyFont="0" applyFill="0" applyBorder="0" applyAlignment="0" applyProtection="0"/>
    <xf numFmtId="0" fontId="46" fillId="0" borderId="0" applyNumberFormat="0" applyFill="0" applyBorder="0" applyAlignment="0" applyProtection="0"/>
    <xf numFmtId="9" fontId="54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87">
    <xf numFmtId="0" fontId="0" fillId="0" borderId="0" xfId="0"/>
    <xf numFmtId="0" fontId="2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1" xfId="0" applyFont="1" applyFill="1" applyBorder="1"/>
    <xf numFmtId="0" fontId="1" fillId="5" borderId="0" xfId="0" applyFont="1" applyFill="1" applyAlignment="1">
      <alignment horizontal="center"/>
    </xf>
    <xf numFmtId="14" fontId="2" fillId="0" borderId="0" xfId="0" applyNumberFormat="1" applyFont="1" applyAlignment="1">
      <alignment horizontal="left"/>
    </xf>
    <xf numFmtId="165" fontId="2" fillId="2" borderId="1" xfId="1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29" fillId="0" borderId="0" xfId="64" applyAlignment="1">
      <alignment vertical="center" wrapText="1"/>
    </xf>
    <xf numFmtId="0" fontId="29" fillId="0" borderId="0" xfId="64" applyAlignment="1">
      <alignment horizontal="left" vertical="center" wrapText="1"/>
    </xf>
    <xf numFmtId="0" fontId="30" fillId="0" borderId="0" xfId="65" applyNumberFormat="1" applyFill="1" applyAlignment="1" applyProtection="1">
      <alignment vertical="center" wrapText="1"/>
    </xf>
    <xf numFmtId="168" fontId="31" fillId="0" borderId="0" xfId="64" applyNumberFormat="1" applyFont="1" applyAlignment="1">
      <alignment horizontal="left" vertical="center" wrapText="1"/>
    </xf>
    <xf numFmtId="0" fontId="32" fillId="6" borderId="1" xfId="64" applyFont="1" applyFill="1" applyBorder="1" applyAlignment="1">
      <alignment horizontal="center" vertical="center" wrapText="1"/>
    </xf>
    <xf numFmtId="4" fontId="33" fillId="0" borderId="1" xfId="64" applyNumberFormat="1" applyFont="1" applyBorder="1" applyAlignment="1">
      <alignment horizontal="center" wrapText="1" readingOrder="1"/>
    </xf>
    <xf numFmtId="0" fontId="29" fillId="46" borderId="0" xfId="64" applyFill="1" applyAlignment="1">
      <alignment vertical="center" wrapText="1"/>
    </xf>
    <xf numFmtId="2" fontId="36" fillId="6" borderId="1" xfId="64" applyNumberFormat="1" applyFont="1" applyFill="1" applyBorder="1" applyAlignment="1">
      <alignment horizontal="center" vertical="center" wrapText="1"/>
    </xf>
    <xf numFmtId="0" fontId="29" fillId="6" borderId="0" xfId="64" applyFill="1" applyAlignment="1">
      <alignment vertical="center" wrapText="1"/>
    </xf>
    <xf numFmtId="0" fontId="29" fillId="47" borderId="0" xfId="64" applyFill="1" applyAlignment="1">
      <alignment vertical="center" wrapText="1"/>
    </xf>
    <xf numFmtId="0" fontId="18" fillId="5" borderId="19" xfId="64" applyFont="1" applyFill="1" applyBorder="1" applyAlignment="1">
      <alignment horizontal="center"/>
    </xf>
    <xf numFmtId="0" fontId="29" fillId="40" borderId="18" xfId="64" applyFill="1" applyBorder="1" applyAlignment="1">
      <alignment horizontal="center"/>
    </xf>
    <xf numFmtId="0" fontId="18" fillId="5" borderId="16" xfId="64" applyFont="1" applyFill="1" applyBorder="1" applyAlignment="1">
      <alignment horizontal="center"/>
    </xf>
    <xf numFmtId="0" fontId="29" fillId="40" borderId="17" xfId="64" applyFill="1" applyBorder="1" applyAlignment="1">
      <alignment horizontal="center"/>
    </xf>
    <xf numFmtId="2" fontId="38" fillId="6" borderId="1" xfId="64" applyNumberFormat="1" applyFont="1" applyFill="1" applyBorder="1" applyAlignment="1">
      <alignment horizontal="center" vertical="center" wrapText="1"/>
    </xf>
    <xf numFmtId="0" fontId="39" fillId="6" borderId="1" xfId="65" applyFont="1" applyFill="1" applyBorder="1" applyAlignment="1">
      <alignment horizontal="center" vertical="center" wrapText="1"/>
    </xf>
    <xf numFmtId="0" fontId="40" fillId="0" borderId="0" xfId="64" applyFont="1" applyAlignment="1">
      <alignment horizontal="center" vertical="center" wrapText="1"/>
    </xf>
    <xf numFmtId="0" fontId="41" fillId="45" borderId="1" xfId="64" applyFont="1" applyFill="1" applyBorder="1" applyAlignment="1">
      <alignment horizontal="center"/>
    </xf>
    <xf numFmtId="4" fontId="25" fillId="0" borderId="1" xfId="64" applyNumberFormat="1" applyFont="1" applyBorder="1" applyAlignment="1">
      <alignment horizontal="center" vertical="center" wrapText="1"/>
    </xf>
    <xf numFmtId="0" fontId="41" fillId="45" borderId="3" xfId="64" applyFont="1" applyFill="1" applyBorder="1" applyAlignment="1">
      <alignment horizontal="center"/>
    </xf>
    <xf numFmtId="0" fontId="29" fillId="41" borderId="16" xfId="64" applyFill="1" applyBorder="1" applyAlignment="1">
      <alignment horizontal="center"/>
    </xf>
    <xf numFmtId="0" fontId="29" fillId="41" borderId="17" xfId="64" applyFill="1" applyBorder="1" applyAlignment="1">
      <alignment horizontal="center"/>
    </xf>
    <xf numFmtId="0" fontId="41" fillId="39" borderId="3" xfId="64" applyFont="1" applyFill="1" applyBorder="1" applyAlignment="1">
      <alignment horizontal="center"/>
    </xf>
    <xf numFmtId="0" fontId="29" fillId="43" borderId="17" xfId="64" applyFill="1" applyBorder="1" applyAlignment="1">
      <alignment horizontal="center"/>
    </xf>
    <xf numFmtId="0" fontId="41" fillId="48" borderId="3" xfId="64" applyFont="1" applyFill="1" applyBorder="1" applyAlignment="1">
      <alignment horizontal="center"/>
    </xf>
    <xf numFmtId="0" fontId="41" fillId="49" borderId="3" xfId="64" applyFont="1" applyFill="1" applyBorder="1" applyAlignment="1">
      <alignment horizontal="center"/>
    </xf>
    <xf numFmtId="0" fontId="18" fillId="5" borderId="21" xfId="64" applyFont="1" applyFill="1" applyBorder="1" applyAlignment="1">
      <alignment horizontal="center"/>
    </xf>
    <xf numFmtId="0" fontId="29" fillId="43" borderId="20" xfId="64" applyFill="1" applyBorder="1" applyAlignment="1">
      <alignment horizontal="center"/>
    </xf>
    <xf numFmtId="0" fontId="41" fillId="50" borderId="3" xfId="64" applyFont="1" applyFill="1" applyBorder="1" applyAlignment="1">
      <alignment horizontal="center"/>
    </xf>
    <xf numFmtId="0" fontId="41" fillId="51" borderId="3" xfId="64" applyFont="1" applyFill="1" applyBorder="1" applyAlignment="1">
      <alignment horizontal="center"/>
    </xf>
    <xf numFmtId="0" fontId="41" fillId="52" borderId="15" xfId="64" applyFont="1" applyFill="1" applyBorder="1" applyAlignment="1">
      <alignment horizontal="center"/>
    </xf>
    <xf numFmtId="0" fontId="41" fillId="45" borderId="4" xfId="64" applyFont="1" applyFill="1" applyBorder="1" applyAlignment="1">
      <alignment horizontal="center"/>
    </xf>
    <xf numFmtId="0" fontId="25" fillId="6" borderId="1" xfId="64" applyFont="1" applyFill="1" applyBorder="1" applyAlignment="1">
      <alignment horizontal="center" vertical="center" wrapText="1"/>
    </xf>
    <xf numFmtId="0" fontId="41" fillId="45" borderId="22" xfId="64" applyFont="1" applyFill="1" applyBorder="1" applyAlignment="1">
      <alignment horizontal="center"/>
    </xf>
    <xf numFmtId="0" fontId="41" fillId="39" borderId="22" xfId="64" applyFont="1" applyFill="1" applyBorder="1" applyAlignment="1">
      <alignment horizontal="center"/>
    </xf>
    <xf numFmtId="0" fontId="41" fillId="48" borderId="22" xfId="64" applyFont="1" applyFill="1" applyBorder="1" applyAlignment="1">
      <alignment horizontal="center"/>
    </xf>
    <xf numFmtId="0" fontId="41" fillId="49" borderId="22" xfId="64" applyFont="1" applyFill="1" applyBorder="1" applyAlignment="1">
      <alignment horizontal="center"/>
    </xf>
    <xf numFmtId="0" fontId="41" fillId="50" borderId="22" xfId="64" applyFont="1" applyFill="1" applyBorder="1" applyAlignment="1">
      <alignment horizontal="center"/>
    </xf>
    <xf numFmtId="0" fontId="41" fillId="51" borderId="22" xfId="64" applyFont="1" applyFill="1" applyBorder="1" applyAlignment="1">
      <alignment horizontal="center"/>
    </xf>
    <xf numFmtId="0" fontId="41" fillId="52" borderId="23" xfId="64" applyFont="1" applyFill="1" applyBorder="1" applyAlignment="1">
      <alignment horizontal="center"/>
    </xf>
    <xf numFmtId="0" fontId="32" fillId="0" borderId="1" xfId="64" applyFont="1" applyBorder="1" applyAlignment="1">
      <alignment horizontal="center" vertical="center" wrapText="1"/>
    </xf>
    <xf numFmtId="0" fontId="35" fillId="0" borderId="1" xfId="64" applyFont="1" applyBorder="1" applyAlignment="1">
      <alignment horizontal="center" wrapText="1"/>
    </xf>
    <xf numFmtId="0" fontId="18" fillId="5" borderId="16" xfId="64" applyFont="1" applyFill="1" applyBorder="1" applyAlignment="1">
      <alignment horizontal="center" vertical="center"/>
    </xf>
    <xf numFmtId="0" fontId="29" fillId="40" borderId="18" xfId="64" applyFill="1" applyBorder="1" applyAlignment="1">
      <alignment horizontal="center" vertical="center"/>
    </xf>
    <xf numFmtId="2" fontId="36" fillId="0" borderId="1" xfId="64" applyNumberFormat="1" applyFont="1" applyBorder="1" applyAlignment="1">
      <alignment horizontal="center" vertical="center" wrapText="1"/>
    </xf>
    <xf numFmtId="0" fontId="29" fillId="40" borderId="17" xfId="64" applyFill="1" applyBorder="1" applyAlignment="1">
      <alignment horizontal="center" vertical="center"/>
    </xf>
    <xf numFmtId="2" fontId="38" fillId="0" borderId="1" xfId="64" applyNumberFormat="1" applyFont="1" applyBorder="1" applyAlignment="1">
      <alignment horizontal="center" vertical="center" wrapText="1"/>
    </xf>
    <xf numFmtId="0" fontId="39" fillId="0" borderId="1" xfId="65" applyFont="1" applyFill="1" applyBorder="1" applyAlignment="1">
      <alignment horizontal="center" vertical="center" wrapText="1"/>
    </xf>
    <xf numFmtId="0" fontId="39" fillId="0" borderId="0" xfId="65" applyFont="1" applyFill="1" applyBorder="1" applyAlignment="1">
      <alignment horizontal="center" vertical="center" wrapText="1"/>
    </xf>
    <xf numFmtId="43" fontId="43" fillId="0" borderId="0" xfId="66" applyFont="1" applyBorder="1"/>
    <xf numFmtId="0" fontId="37" fillId="0" borderId="0" xfId="64" applyFont="1" applyAlignment="1">
      <alignment horizontal="center" wrapText="1"/>
    </xf>
    <xf numFmtId="0" fontId="35" fillId="0" borderId="0" xfId="64" applyFont="1" applyAlignment="1">
      <alignment horizontal="center" wrapText="1"/>
    </xf>
    <xf numFmtId="0" fontId="29" fillId="41" borderId="17" xfId="64" applyFill="1" applyBorder="1" applyAlignment="1">
      <alignment horizontal="center" vertical="center"/>
    </xf>
    <xf numFmtId="0" fontId="32" fillId="5" borderId="1" xfId="64" applyFont="1" applyFill="1" applyBorder="1" applyAlignment="1">
      <alignment horizontal="center" vertical="center" wrapText="1"/>
    </xf>
    <xf numFmtId="43" fontId="32" fillId="0" borderId="1" xfId="64" applyNumberFormat="1" applyFont="1" applyBorder="1" applyAlignment="1">
      <alignment horizontal="center" vertical="center" wrapText="1"/>
    </xf>
    <xf numFmtId="0" fontId="29" fillId="43" borderId="17" xfId="64" applyFill="1" applyBorder="1" applyAlignment="1">
      <alignment horizontal="center" vertical="center"/>
    </xf>
    <xf numFmtId="2" fontId="36" fillId="5" borderId="1" xfId="64" applyNumberFormat="1" applyFont="1" applyFill="1" applyBorder="1" applyAlignment="1">
      <alignment horizontal="center" vertical="center" wrapText="1"/>
    </xf>
    <xf numFmtId="43" fontId="45" fillId="0" borderId="1" xfId="64" applyNumberFormat="1" applyFont="1" applyBorder="1" applyAlignment="1">
      <alignment horizontal="center" vertical="center" wrapText="1"/>
    </xf>
    <xf numFmtId="2" fontId="38" fillId="5" borderId="1" xfId="64" applyNumberFormat="1" applyFont="1" applyFill="1" applyBorder="1" applyAlignment="1">
      <alignment horizontal="center" vertical="center" wrapText="1"/>
    </xf>
    <xf numFmtId="0" fontId="39" fillId="5" borderId="1" xfId="65" applyFont="1" applyFill="1" applyBorder="1" applyAlignment="1">
      <alignment horizontal="center" vertical="center" wrapText="1"/>
    </xf>
    <xf numFmtId="0" fontId="29" fillId="43" borderId="20" xfId="64" applyFill="1" applyBorder="1" applyAlignment="1">
      <alignment horizontal="center" vertical="center"/>
    </xf>
    <xf numFmtId="0" fontId="41" fillId="53" borderId="1" xfId="64" applyFont="1" applyFill="1" applyBorder="1" applyAlignment="1">
      <alignment horizontal="center"/>
    </xf>
    <xf numFmtId="0" fontId="41" fillId="53" borderId="3" xfId="64" applyFont="1" applyFill="1" applyBorder="1" applyAlignment="1">
      <alignment horizontal="center"/>
    </xf>
    <xf numFmtId="0" fontId="41" fillId="5" borderId="3" xfId="64" applyFont="1" applyFill="1" applyBorder="1" applyAlignment="1">
      <alignment horizontal="center"/>
    </xf>
    <xf numFmtId="0" fontId="41" fillId="53" borderId="15" xfId="64" applyFont="1" applyFill="1" applyBorder="1" applyAlignment="1">
      <alignment horizontal="center"/>
    </xf>
    <xf numFmtId="0" fontId="41" fillId="53" borderId="4" xfId="64" applyFont="1" applyFill="1" applyBorder="1" applyAlignment="1">
      <alignment horizontal="center"/>
    </xf>
    <xf numFmtId="0" fontId="41" fillId="53" borderId="22" xfId="64" applyFont="1" applyFill="1" applyBorder="1" applyAlignment="1">
      <alignment horizontal="center"/>
    </xf>
    <xf numFmtId="0" fontId="41" fillId="5" borderId="22" xfId="64" applyFont="1" applyFill="1" applyBorder="1" applyAlignment="1">
      <alignment horizontal="center"/>
    </xf>
    <xf numFmtId="0" fontId="41" fillId="53" borderId="23" xfId="64" applyFont="1" applyFill="1" applyBorder="1" applyAlignment="1">
      <alignment horizontal="center"/>
    </xf>
    <xf numFmtId="0" fontId="46" fillId="54" borderId="24" xfId="67" applyFill="1" applyBorder="1" applyAlignment="1">
      <alignment horizontal="center" vertical="center" wrapText="1"/>
    </xf>
    <xf numFmtId="0" fontId="19" fillId="0" borderId="0" xfId="43"/>
    <xf numFmtId="0" fontId="47" fillId="0" borderId="1" xfId="43" applyFont="1" applyBorder="1" applyAlignment="1">
      <alignment horizontal="center" vertical="center" wrapText="1"/>
    </xf>
    <xf numFmtId="169" fontId="28" fillId="0" borderId="1" xfId="43" applyNumberFormat="1" applyFont="1" applyBorder="1" applyAlignment="1">
      <alignment horizontal="center" vertical="center"/>
    </xf>
    <xf numFmtId="169" fontId="48" fillId="0" borderId="1" xfId="43" applyNumberFormat="1" applyFont="1" applyBorder="1" applyAlignment="1">
      <alignment horizontal="center" vertical="center"/>
    </xf>
    <xf numFmtId="169" fontId="49" fillId="0" borderId="1" xfId="43" applyNumberFormat="1" applyFont="1" applyBorder="1" applyAlignment="1">
      <alignment horizontal="center" vertical="center"/>
    </xf>
    <xf numFmtId="0" fontId="19" fillId="0" borderId="1" xfId="43" applyBorder="1" applyAlignment="1">
      <alignment horizontal="center" vertical="center"/>
    </xf>
    <xf numFmtId="0" fontId="48" fillId="0" borderId="1" xfId="43" applyFont="1" applyBorder="1" applyAlignment="1">
      <alignment horizontal="center" vertical="center"/>
    </xf>
    <xf numFmtId="0" fontId="49" fillId="0" borderId="1" xfId="43" applyFont="1" applyBorder="1" applyAlignment="1">
      <alignment horizontal="center" vertical="center"/>
    </xf>
    <xf numFmtId="0" fontId="18" fillId="5" borderId="16" xfId="43" applyFont="1" applyFill="1" applyBorder="1" applyAlignment="1">
      <alignment horizontal="center" vertical="center"/>
    </xf>
    <xf numFmtId="0" fontId="19" fillId="40" borderId="17" xfId="43" applyFill="1" applyBorder="1" applyAlignment="1">
      <alignment horizontal="center" vertical="center"/>
    </xf>
    <xf numFmtId="0" fontId="28" fillId="0" borderId="1" xfId="43" applyFont="1" applyBorder="1" applyAlignment="1">
      <alignment horizontal="center" vertical="center"/>
    </xf>
    <xf numFmtId="0" fontId="19" fillId="41" borderId="16" xfId="43" applyFill="1" applyBorder="1" applyAlignment="1">
      <alignment horizontal="center" vertical="center"/>
    </xf>
    <xf numFmtId="0" fontId="19" fillId="41" borderId="17" xfId="43" applyFill="1" applyBorder="1" applyAlignment="1">
      <alignment horizontal="center" vertical="center"/>
    </xf>
    <xf numFmtId="0" fontId="19" fillId="42" borderId="17" xfId="43" applyFill="1" applyBorder="1" applyAlignment="1">
      <alignment horizontal="center" vertical="center"/>
    </xf>
    <xf numFmtId="0" fontId="50" fillId="0" borderId="0" xfId="43" applyFont="1" applyAlignment="1">
      <alignment horizontal="center" vertical="center"/>
    </xf>
    <xf numFmtId="0" fontId="50" fillId="55" borderId="0" xfId="43" applyFont="1" applyFill="1" applyAlignment="1">
      <alignment horizontal="center" vertical="center"/>
    </xf>
    <xf numFmtId="0" fontId="27" fillId="0" borderId="0" xfId="43" applyFont="1" applyAlignment="1">
      <alignment horizontal="center" vertical="center"/>
    </xf>
    <xf numFmtId="0" fontId="19" fillId="56" borderId="1" xfId="43" applyFill="1" applyBorder="1" applyAlignment="1">
      <alignment horizontal="center" vertical="center"/>
    </xf>
    <xf numFmtId="0" fontId="27" fillId="56" borderId="1" xfId="43" applyFont="1" applyFill="1" applyBorder="1" applyAlignment="1">
      <alignment horizontal="center" vertical="center"/>
    </xf>
    <xf numFmtId="0" fontId="19" fillId="57" borderId="1" xfId="43" applyFill="1" applyBorder="1" applyAlignment="1">
      <alignment horizontal="center" vertical="center"/>
    </xf>
    <xf numFmtId="0" fontId="27" fillId="57" borderId="1" xfId="43" applyFont="1" applyFill="1" applyBorder="1" applyAlignment="1">
      <alignment horizontal="center" vertical="center"/>
    </xf>
    <xf numFmtId="0" fontId="27" fillId="0" borderId="23" xfId="43" applyFont="1" applyBorder="1" applyAlignment="1">
      <alignment horizontal="center" vertical="center"/>
    </xf>
    <xf numFmtId="0" fontId="19" fillId="58" borderId="0" xfId="43" applyFill="1"/>
    <xf numFmtId="169" fontId="27" fillId="57" borderId="1" xfId="43" applyNumberFormat="1" applyFont="1" applyFill="1" applyBorder="1" applyAlignment="1">
      <alignment horizontal="center" vertical="center"/>
    </xf>
    <xf numFmtId="0" fontId="19" fillId="4" borderId="1" xfId="43" applyFill="1" applyBorder="1" applyAlignment="1">
      <alignment horizontal="center" vertical="center"/>
    </xf>
    <xf numFmtId="0" fontId="27" fillId="4" borderId="1" xfId="43" applyFont="1" applyFill="1" applyBorder="1" applyAlignment="1">
      <alignment horizontal="center" vertical="center"/>
    </xf>
    <xf numFmtId="169" fontId="27" fillId="4" borderId="1" xfId="43" applyNumberFormat="1" applyFont="1" applyFill="1" applyBorder="1" applyAlignment="1">
      <alignment horizontal="center" vertical="center"/>
    </xf>
    <xf numFmtId="0" fontId="19" fillId="59" borderId="1" xfId="43" applyFill="1" applyBorder="1" applyAlignment="1">
      <alignment horizontal="center" vertical="center"/>
    </xf>
    <xf numFmtId="0" fontId="27" fillId="59" borderId="1" xfId="43" applyFont="1" applyFill="1" applyBorder="1" applyAlignment="1">
      <alignment horizontal="center" vertical="center"/>
    </xf>
    <xf numFmtId="0" fontId="19" fillId="60" borderId="1" xfId="43" applyFill="1" applyBorder="1" applyAlignment="1">
      <alignment horizontal="center" vertical="center"/>
    </xf>
    <xf numFmtId="169" fontId="27" fillId="60" borderId="1" xfId="43" applyNumberFormat="1" applyFont="1" applyFill="1" applyBorder="1" applyAlignment="1">
      <alignment horizontal="center" vertical="center"/>
    </xf>
    <xf numFmtId="0" fontId="19" fillId="48" borderId="15" xfId="43" applyFill="1" applyBorder="1" applyAlignment="1">
      <alignment horizontal="center" vertical="center"/>
    </xf>
    <xf numFmtId="0" fontId="27" fillId="48" borderId="1" xfId="43" applyFont="1" applyFill="1" applyBorder="1" applyAlignment="1">
      <alignment horizontal="center" vertical="center"/>
    </xf>
    <xf numFmtId="168" fontId="51" fillId="54" borderId="25" xfId="43" applyNumberFormat="1" applyFont="1" applyFill="1" applyBorder="1" applyAlignment="1">
      <alignment horizontal="center" vertical="center" wrapText="1"/>
    </xf>
    <xf numFmtId="0" fontId="50" fillId="0" borderId="1" xfId="43" applyFont="1" applyBorder="1" applyAlignment="1">
      <alignment horizontal="center" vertical="center"/>
    </xf>
    <xf numFmtId="0" fontId="53" fillId="6" borderId="1" xfId="64" applyFont="1" applyFill="1" applyBorder="1" applyAlignment="1">
      <alignment horizontal="center" vertical="center" wrapText="1"/>
    </xf>
    <xf numFmtId="0" fontId="0" fillId="0" borderId="16" xfId="68" applyNumberFormat="1" applyFont="1" applyBorder="1"/>
    <xf numFmtId="49" fontId="1" fillId="40" borderId="1" xfId="64" applyNumberFormat="1" applyFont="1" applyFill="1" applyBorder="1" applyAlignment="1">
      <alignment horizontal="center" vertical="center"/>
    </xf>
    <xf numFmtId="0" fontId="54" fillId="0" borderId="1" xfId="64" applyFont="1" applyBorder="1" applyAlignment="1">
      <alignment vertical="center" wrapText="1"/>
    </xf>
    <xf numFmtId="10" fontId="0" fillId="0" borderId="16" xfId="68" applyNumberFormat="1" applyFont="1" applyBorder="1"/>
    <xf numFmtId="0" fontId="0" fillId="0" borderId="21" xfId="68" applyNumberFormat="1" applyFont="1" applyBorder="1"/>
    <xf numFmtId="4" fontId="29" fillId="0" borderId="1" xfId="64" applyNumberFormat="1" applyBorder="1" applyAlignment="1">
      <alignment vertical="center" wrapText="1"/>
    </xf>
    <xf numFmtId="0" fontId="29" fillId="0" borderId="1" xfId="64" applyBorder="1" applyAlignment="1">
      <alignment vertical="center" wrapText="1"/>
    </xf>
    <xf numFmtId="10" fontId="0" fillId="0" borderId="21" xfId="68" applyNumberFormat="1" applyFont="1" applyBorder="1"/>
    <xf numFmtId="0" fontId="1" fillId="3" borderId="1" xfId="64" applyFont="1" applyFill="1" applyBorder="1" applyAlignment="1">
      <alignment horizontal="center" vertical="center"/>
    </xf>
    <xf numFmtId="4" fontId="29" fillId="0" borderId="0" xfId="64" applyNumberFormat="1" applyAlignment="1">
      <alignment vertical="center" wrapText="1"/>
    </xf>
    <xf numFmtId="49" fontId="1" fillId="43" borderId="1" xfId="64" applyNumberFormat="1" applyFont="1" applyFill="1" applyBorder="1" applyAlignment="1">
      <alignment horizontal="center" vertical="center"/>
    </xf>
    <xf numFmtId="0" fontId="41" fillId="38" borderId="3" xfId="64" applyFont="1" applyFill="1" applyBorder="1" applyAlignment="1">
      <alignment horizontal="center"/>
    </xf>
    <xf numFmtId="0" fontId="41" fillId="0" borderId="3" xfId="64" applyFont="1" applyBorder="1" applyAlignment="1">
      <alignment horizontal="center"/>
    </xf>
    <xf numFmtId="0" fontId="23" fillId="0" borderId="0" xfId="43" applyFont="1" applyAlignment="1" applyProtection="1">
      <alignment vertical="top"/>
      <protection locked="0"/>
    </xf>
    <xf numFmtId="0" fontId="27" fillId="0" borderId="0" xfId="43" applyFont="1" applyAlignment="1" applyProtection="1">
      <alignment horizontal="left" vertical="top" wrapText="1"/>
      <protection locked="0"/>
    </xf>
    <xf numFmtId="0" fontId="19" fillId="0" borderId="0" xfId="43" applyProtection="1">
      <protection locked="0"/>
    </xf>
    <xf numFmtId="0" fontId="55" fillId="61" borderId="26" xfId="43" applyFont="1" applyFill="1" applyBorder="1" applyAlignment="1" applyProtection="1">
      <alignment horizontal="center" vertical="center" wrapText="1"/>
      <protection locked="0"/>
    </xf>
    <xf numFmtId="14" fontId="55" fillId="61" borderId="27" xfId="43" applyNumberFormat="1" applyFont="1" applyFill="1" applyBorder="1" applyAlignment="1" applyProtection="1">
      <alignment horizontal="center" vertical="top" wrapText="1"/>
      <protection locked="0"/>
    </xf>
    <xf numFmtId="14" fontId="55" fillId="61" borderId="28" xfId="43" applyNumberFormat="1" applyFont="1" applyFill="1" applyBorder="1" applyAlignment="1" applyProtection="1">
      <alignment horizontal="center" vertical="top" wrapText="1"/>
      <protection locked="0"/>
    </xf>
    <xf numFmtId="0" fontId="32" fillId="6" borderId="4" xfId="43" applyFont="1" applyFill="1" applyBorder="1" applyAlignment="1">
      <alignment horizontal="center" vertical="center" wrapText="1"/>
    </xf>
    <xf numFmtId="2" fontId="2" fillId="0" borderId="1" xfId="43" applyNumberFormat="1" applyFont="1" applyBorder="1" applyAlignment="1">
      <alignment horizontal="center" vertical="center"/>
    </xf>
    <xf numFmtId="2" fontId="56" fillId="0" borderId="1" xfId="43" applyNumberFormat="1" applyFont="1" applyBorder="1" applyAlignment="1">
      <alignment horizontal="center" vertical="center"/>
    </xf>
    <xf numFmtId="2" fontId="57" fillId="5" borderId="19" xfId="43" applyNumberFormat="1" applyFont="1" applyFill="1" applyBorder="1" applyAlignment="1">
      <alignment horizontal="center"/>
    </xf>
    <xf numFmtId="0" fontId="19" fillId="40" borderId="18" xfId="43" applyFill="1" applyBorder="1" applyAlignment="1">
      <alignment horizontal="center"/>
    </xf>
    <xf numFmtId="2" fontId="36" fillId="6" borderId="4" xfId="43" applyNumberFormat="1" applyFont="1" applyFill="1" applyBorder="1" applyAlignment="1">
      <alignment horizontal="center" vertical="center" wrapText="1"/>
    </xf>
    <xf numFmtId="2" fontId="57" fillId="5" borderId="16" xfId="43" applyNumberFormat="1" applyFont="1" applyFill="1" applyBorder="1" applyAlignment="1">
      <alignment horizontal="center"/>
    </xf>
    <xf numFmtId="0" fontId="19" fillId="40" borderId="17" xfId="43" applyFill="1" applyBorder="1" applyAlignment="1">
      <alignment horizontal="center"/>
    </xf>
    <xf numFmtId="0" fontId="2" fillId="0" borderId="1" xfId="43" applyFont="1" applyBorder="1" applyAlignment="1">
      <alignment horizontal="center" vertical="center"/>
    </xf>
    <xf numFmtId="0" fontId="58" fillId="0" borderId="1" xfId="43" applyFont="1" applyBorder="1" applyAlignment="1">
      <alignment horizontal="center" vertical="center"/>
    </xf>
    <xf numFmtId="0" fontId="59" fillId="0" borderId="1" xfId="43" applyFont="1" applyBorder="1" applyAlignment="1">
      <alignment horizontal="center" vertical="center"/>
    </xf>
    <xf numFmtId="2" fontId="38" fillId="6" borderId="4" xfId="43" applyNumberFormat="1" applyFont="1" applyFill="1" applyBorder="1" applyAlignment="1">
      <alignment horizontal="center" vertical="center" wrapText="1"/>
    </xf>
    <xf numFmtId="0" fontId="39" fillId="6" borderId="4" xfId="67" applyFont="1" applyFill="1" applyBorder="1" applyAlignment="1">
      <alignment horizontal="center" vertical="center" wrapText="1"/>
    </xf>
    <xf numFmtId="2" fontId="60" fillId="0" borderId="1" xfId="43" applyNumberFormat="1" applyFont="1" applyBorder="1" applyAlignment="1">
      <alignment horizontal="center" vertical="center"/>
    </xf>
    <xf numFmtId="2" fontId="61" fillId="0" borderId="1" xfId="43" applyNumberFormat="1" applyFont="1" applyBorder="1" applyAlignment="1">
      <alignment horizontal="center" vertical="center"/>
    </xf>
    <xf numFmtId="0" fontId="19" fillId="0" borderId="1" xfId="43" applyBorder="1"/>
    <xf numFmtId="0" fontId="62" fillId="0" borderId="1" xfId="43" applyFont="1" applyBorder="1" applyAlignment="1" applyProtection="1">
      <alignment horizontal="center" vertical="center"/>
      <protection locked="0"/>
    </xf>
    <xf numFmtId="0" fontId="41" fillId="45" borderId="1" xfId="43" applyFont="1" applyFill="1" applyBorder="1" applyAlignment="1">
      <alignment horizontal="center" vertical="center"/>
    </xf>
    <xf numFmtId="4" fontId="62" fillId="0" borderId="1" xfId="43" applyNumberFormat="1" applyFont="1" applyBorder="1" applyAlignment="1">
      <alignment horizontal="center" vertical="center" wrapText="1"/>
    </xf>
    <xf numFmtId="4" fontId="59" fillId="0" borderId="1" xfId="43" applyNumberFormat="1" applyFont="1" applyBorder="1" applyAlignment="1">
      <alignment horizontal="center" vertical="center" wrapText="1"/>
    </xf>
    <xf numFmtId="0" fontId="41" fillId="45" borderId="3" xfId="43" applyFont="1" applyFill="1" applyBorder="1" applyAlignment="1">
      <alignment horizontal="center" vertical="center"/>
    </xf>
    <xf numFmtId="2" fontId="19" fillId="41" borderId="16" xfId="43" applyNumberFormat="1" applyFill="1" applyBorder="1" applyAlignment="1">
      <alignment horizontal="center"/>
    </xf>
    <xf numFmtId="0" fontId="19" fillId="41" borderId="17" xfId="43" applyFill="1" applyBorder="1" applyAlignment="1">
      <alignment horizontal="center"/>
    </xf>
    <xf numFmtId="0" fontId="41" fillId="39" borderId="3" xfId="43" applyFont="1" applyFill="1" applyBorder="1" applyAlignment="1">
      <alignment horizontal="center" vertical="center"/>
    </xf>
    <xf numFmtId="0" fontId="19" fillId="44" borderId="17" xfId="43" applyFill="1" applyBorder="1" applyAlignment="1">
      <alignment horizontal="center"/>
    </xf>
    <xf numFmtId="0" fontId="63" fillId="57" borderId="3" xfId="43" applyFont="1" applyFill="1" applyBorder="1" applyAlignment="1">
      <alignment horizontal="center" vertical="center"/>
    </xf>
    <xf numFmtId="0" fontId="41" fillId="49" borderId="3" xfId="43" applyFont="1" applyFill="1" applyBorder="1" applyAlignment="1">
      <alignment horizontal="center" vertical="center"/>
    </xf>
    <xf numFmtId="0" fontId="41" fillId="4" borderId="3" xfId="43" applyFont="1" applyFill="1" applyBorder="1" applyAlignment="1">
      <alignment horizontal="center" vertical="center"/>
    </xf>
    <xf numFmtId="0" fontId="41" fillId="50" borderId="3" xfId="43" applyFont="1" applyFill="1" applyBorder="1" applyAlignment="1">
      <alignment horizontal="center" vertical="center"/>
    </xf>
    <xf numFmtId="2" fontId="57" fillId="5" borderId="21" xfId="43" applyNumberFormat="1" applyFont="1" applyFill="1" applyBorder="1" applyAlignment="1">
      <alignment horizontal="center"/>
    </xf>
    <xf numFmtId="0" fontId="19" fillId="44" borderId="20" xfId="43" applyFill="1" applyBorder="1" applyAlignment="1">
      <alignment horizontal="center"/>
    </xf>
    <xf numFmtId="0" fontId="41" fillId="51" borderId="3" xfId="43" applyFont="1" applyFill="1" applyBorder="1" applyAlignment="1">
      <alignment horizontal="center" vertical="center"/>
    </xf>
    <xf numFmtId="0" fontId="41" fillId="60" borderId="3" xfId="43" applyFont="1" applyFill="1" applyBorder="1" applyAlignment="1">
      <alignment horizontal="center" vertical="center"/>
    </xf>
    <xf numFmtId="0" fontId="41" fillId="52" borderId="15" xfId="43" applyFont="1" applyFill="1" applyBorder="1" applyAlignment="1">
      <alignment horizontal="center" vertical="center"/>
    </xf>
    <xf numFmtId="0" fontId="64" fillId="6" borderId="1" xfId="43" applyFont="1" applyFill="1" applyBorder="1" applyAlignment="1" applyProtection="1">
      <alignment horizontal="center" vertical="center"/>
      <protection locked="0"/>
    </xf>
    <xf numFmtId="0" fontId="27" fillId="0" borderId="0" xfId="43" applyFont="1" applyAlignment="1" applyProtection="1">
      <alignment horizontal="center" vertical="center"/>
      <protection locked="0"/>
    </xf>
    <xf numFmtId="14" fontId="59" fillId="0" borderId="1" xfId="43" applyNumberFormat="1" applyFont="1" applyBorder="1" applyAlignment="1">
      <alignment horizontal="center" vertical="center" wrapText="1"/>
    </xf>
    <xf numFmtId="10" fontId="65" fillId="0" borderId="1" xfId="43" applyNumberFormat="1" applyFont="1" applyBorder="1" applyAlignment="1">
      <alignment horizontal="center" vertical="center" wrapText="1"/>
    </xf>
    <xf numFmtId="10" fontId="62" fillId="0" borderId="1" xfId="43" applyNumberFormat="1" applyFont="1" applyBorder="1" applyAlignment="1">
      <alignment horizontal="center" vertical="center" wrapText="1"/>
    </xf>
    <xf numFmtId="10" fontId="66" fillId="5" borderId="16" xfId="43" applyNumberFormat="1" applyFont="1" applyFill="1" applyBorder="1" applyAlignment="1">
      <alignment horizontal="center" vertical="center"/>
    </xf>
    <xf numFmtId="0" fontId="4" fillId="40" borderId="17" xfId="43" applyFont="1" applyFill="1" applyBorder="1" applyAlignment="1">
      <alignment horizontal="center" vertical="center"/>
    </xf>
    <xf numFmtId="0" fontId="66" fillId="5" borderId="16" xfId="43" applyFont="1" applyFill="1" applyBorder="1" applyAlignment="1">
      <alignment horizontal="center" vertical="center"/>
    </xf>
    <xf numFmtId="10" fontId="4" fillId="41" borderId="16" xfId="43" applyNumberFormat="1" applyFont="1" applyFill="1" applyBorder="1" applyAlignment="1">
      <alignment horizontal="center" vertical="center"/>
    </xf>
    <xf numFmtId="0" fontId="4" fillId="41" borderId="17" xfId="43" applyFont="1" applyFill="1" applyBorder="1" applyAlignment="1">
      <alignment horizontal="center" vertical="center"/>
    </xf>
    <xf numFmtId="0" fontId="4" fillId="41" borderId="16" xfId="43" applyFont="1" applyFill="1" applyBorder="1" applyAlignment="1">
      <alignment horizontal="center" vertical="center"/>
    </xf>
    <xf numFmtId="0" fontId="4" fillId="43" borderId="17" xfId="43" applyFont="1" applyFill="1" applyBorder="1" applyAlignment="1">
      <alignment horizontal="center" vertical="center"/>
    </xf>
    <xf numFmtId="10" fontId="59" fillId="0" borderId="1" xfId="43" applyNumberFormat="1" applyFont="1" applyBorder="1" applyAlignment="1">
      <alignment horizontal="center" vertical="center" wrapText="1"/>
    </xf>
    <xf numFmtId="0" fontId="19" fillId="0" borderId="1" xfId="43" applyBorder="1" applyProtection="1">
      <protection locked="0"/>
    </xf>
    <xf numFmtId="168" fontId="31" fillId="0" borderId="0" xfId="64" applyNumberFormat="1" applyFont="1" applyAlignment="1">
      <alignment horizontal="center" vertical="center" wrapText="1"/>
    </xf>
    <xf numFmtId="4" fontId="64" fillId="0" borderId="1" xfId="43" applyNumberFormat="1" applyFont="1" applyBorder="1" applyAlignment="1" applyProtection="1">
      <alignment horizontal="center" vertical="center"/>
      <protection locked="0"/>
    </xf>
    <xf numFmtId="4" fontId="0" fillId="0" borderId="0" xfId="0" applyNumberFormat="1" applyAlignment="1">
      <alignment horizontal="center"/>
    </xf>
    <xf numFmtId="4" fontId="4" fillId="63" borderId="1" xfId="0" applyNumberFormat="1" applyFont="1" applyFill="1" applyBorder="1" applyAlignment="1">
      <alignment horizontal="center" vertical="center" wrapText="1" readingOrder="1"/>
    </xf>
    <xf numFmtId="0" fontId="71" fillId="6" borderId="1" xfId="64" applyFont="1" applyFill="1" applyBorder="1" applyAlignment="1">
      <alignment horizontal="center" vertical="center" wrapText="1"/>
    </xf>
    <xf numFmtId="0" fontId="65" fillId="0" borderId="1" xfId="43" applyFont="1" applyBorder="1" applyAlignment="1">
      <alignment horizontal="center" vertical="center"/>
    </xf>
    <xf numFmtId="14" fontId="55" fillId="61" borderId="30" xfId="43" applyNumberFormat="1" applyFont="1" applyFill="1" applyBorder="1" applyAlignment="1" applyProtection="1">
      <alignment horizontal="center" vertical="top" wrapText="1"/>
      <protection locked="0"/>
    </xf>
    <xf numFmtId="4" fontId="64" fillId="0" borderId="4" xfId="43" applyNumberFormat="1" applyFont="1" applyBorder="1" applyAlignment="1" applyProtection="1">
      <alignment horizontal="center" vertical="center"/>
      <protection locked="0"/>
    </xf>
    <xf numFmtId="14" fontId="55" fillId="0" borderId="0" xfId="43" applyNumberFormat="1" applyFont="1" applyAlignment="1" applyProtection="1">
      <alignment horizontal="center" vertical="top" wrapText="1"/>
      <protection locked="0"/>
    </xf>
    <xf numFmtId="0" fontId="19" fillId="0" borderId="0" xfId="43" applyAlignment="1" applyProtection="1">
      <alignment horizontal="center" vertical="center"/>
      <protection locked="0"/>
    </xf>
    <xf numFmtId="4" fontId="64" fillId="0" borderId="0" xfId="43" applyNumberFormat="1" applyFont="1" applyAlignment="1" applyProtection="1">
      <alignment horizontal="center" vertical="center"/>
      <protection locked="0"/>
    </xf>
    <xf numFmtId="0" fontId="41" fillId="0" borderId="1" xfId="43" applyFont="1" applyBorder="1" applyAlignment="1">
      <alignment horizontal="left" vertical="center" wrapText="1" indent="1"/>
    </xf>
    <xf numFmtId="43" fontId="42" fillId="0" borderId="1" xfId="66" applyFont="1" applyBorder="1" applyAlignment="1">
      <alignment vertical="center"/>
    </xf>
    <xf numFmtId="43" fontId="72" fillId="0" borderId="1" xfId="66" applyFont="1" applyBorder="1" applyAlignment="1">
      <alignment vertical="center"/>
    </xf>
    <xf numFmtId="43" fontId="68" fillId="0" borderId="1" xfId="66" applyFont="1" applyBorder="1" applyAlignment="1">
      <alignment vertical="center"/>
    </xf>
    <xf numFmtId="0" fontId="70" fillId="0" borderId="1" xfId="0" applyFont="1" applyBorder="1" applyAlignment="1">
      <alignment horizontal="left" vertical="center" wrapText="1" indent="1"/>
    </xf>
    <xf numFmtId="0" fontId="70" fillId="0" borderId="3" xfId="0" applyFont="1" applyBorder="1" applyAlignment="1">
      <alignment horizontal="left" vertical="center" wrapText="1" indent="1"/>
    </xf>
    <xf numFmtId="17" fontId="41" fillId="4" borderId="1" xfId="43" applyNumberFormat="1" applyFont="1" applyFill="1" applyBorder="1" applyAlignment="1">
      <alignment horizontal="left" vertical="center" wrapText="1" indent="1"/>
    </xf>
    <xf numFmtId="0" fontId="74" fillId="0" borderId="1" xfId="0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10" fontId="64" fillId="0" borderId="1" xfId="43" applyNumberFormat="1" applyFont="1" applyBorder="1" applyAlignment="1" applyProtection="1">
      <alignment horizontal="center" vertical="center"/>
      <protection locked="0"/>
    </xf>
    <xf numFmtId="0" fontId="70" fillId="6" borderId="3" xfId="0" applyFont="1" applyFill="1" applyBorder="1" applyAlignment="1">
      <alignment horizontal="left" vertical="center" wrapText="1" indent="1"/>
    </xf>
    <xf numFmtId="0" fontId="41" fillId="6" borderId="1" xfId="43" applyFont="1" applyFill="1" applyBorder="1" applyAlignment="1">
      <alignment horizontal="left" vertical="center" wrapText="1" indent="1"/>
    </xf>
    <xf numFmtId="17" fontId="2" fillId="4" borderId="1" xfId="0" applyNumberFormat="1" applyFont="1" applyFill="1" applyBorder="1" applyAlignment="1">
      <alignment horizontal="center" vertical="center" wrapText="1"/>
    </xf>
    <xf numFmtId="10" fontId="0" fillId="0" borderId="0" xfId="0" applyNumberFormat="1" applyAlignment="1">
      <alignment horizontal="center"/>
    </xf>
    <xf numFmtId="4" fontId="33" fillId="0" borderId="1" xfId="64" applyNumberFormat="1" applyFont="1" applyBorder="1" applyAlignment="1">
      <alignment horizontal="center" vertical="center" wrapText="1" readingOrder="1"/>
    </xf>
    <xf numFmtId="4" fontId="67" fillId="0" borderId="1" xfId="64" applyNumberFormat="1" applyFont="1" applyBorder="1" applyAlignment="1">
      <alignment horizontal="center" vertical="center" wrapText="1" readingOrder="1"/>
    </xf>
    <xf numFmtId="4" fontId="67" fillId="62" borderId="1" xfId="64" applyNumberFormat="1" applyFont="1" applyFill="1" applyBorder="1" applyAlignment="1">
      <alignment horizontal="center" vertical="center" wrapText="1" readingOrder="1"/>
    </xf>
    <xf numFmtId="0" fontId="35" fillId="62" borderId="1" xfId="64" applyFont="1" applyFill="1" applyBorder="1" applyAlignment="1">
      <alignment horizontal="center" vertical="center" wrapText="1"/>
    </xf>
    <xf numFmtId="0" fontId="67" fillId="0" borderId="1" xfId="64" applyFont="1" applyBorder="1" applyAlignment="1">
      <alignment horizontal="center" vertical="center" wrapText="1" readingOrder="1"/>
    </xf>
    <xf numFmtId="0" fontId="34" fillId="62" borderId="1" xfId="64" applyFont="1" applyFill="1" applyBorder="1" applyAlignment="1">
      <alignment horizontal="center" vertical="center" wrapText="1" readingOrder="1"/>
    </xf>
    <xf numFmtId="0" fontId="69" fillId="62" borderId="1" xfId="64" applyFont="1" applyFill="1" applyBorder="1" applyAlignment="1">
      <alignment horizontal="center" vertical="center" wrapText="1"/>
    </xf>
    <xf numFmtId="0" fontId="41" fillId="0" borderId="3" xfId="43" applyFont="1" applyBorder="1" applyAlignment="1">
      <alignment horizontal="center" vertical="center"/>
    </xf>
    <xf numFmtId="0" fontId="63" fillId="0" borderId="3" xfId="43" applyFont="1" applyBorder="1" applyAlignment="1">
      <alignment horizontal="center" vertical="center"/>
    </xf>
    <xf numFmtId="0" fontId="41" fillId="6" borderId="1" xfId="43" applyFont="1" applyFill="1" applyBorder="1" applyAlignment="1">
      <alignment horizontal="center" vertical="center"/>
    </xf>
    <xf numFmtId="0" fontId="41" fillId="6" borderId="3" xfId="43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1" fillId="6" borderId="15" xfId="43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63" fillId="6" borderId="3" xfId="43" applyFont="1" applyFill="1" applyBorder="1" applyAlignment="1">
      <alignment horizontal="center" vertical="center"/>
    </xf>
    <xf numFmtId="0" fontId="32" fillId="0" borderId="4" xfId="43" applyFont="1" applyBorder="1" applyAlignment="1">
      <alignment horizontal="center" vertical="center" wrapText="1"/>
    </xf>
    <xf numFmtId="2" fontId="36" fillId="0" borderId="4" xfId="43" applyNumberFormat="1" applyFont="1" applyBorder="1" applyAlignment="1">
      <alignment horizontal="center" vertical="center" wrapText="1"/>
    </xf>
    <xf numFmtId="2" fontId="38" fillId="0" borderId="4" xfId="43" applyNumberFormat="1" applyFont="1" applyBorder="1" applyAlignment="1">
      <alignment horizontal="center" vertical="center" wrapText="1"/>
    </xf>
    <xf numFmtId="10" fontId="64" fillId="0" borderId="5" xfId="43" applyNumberFormat="1" applyFont="1" applyBorder="1" applyAlignment="1" applyProtection="1">
      <alignment horizontal="center" vertical="center"/>
      <protection locked="0"/>
    </xf>
    <xf numFmtId="0" fontId="74" fillId="0" borderId="5" xfId="0" applyFont="1" applyBorder="1" applyAlignment="1">
      <alignment horizontal="center" vertical="center"/>
    </xf>
    <xf numFmtId="0" fontId="64" fillId="6" borderId="5" xfId="43" applyFont="1" applyFill="1" applyBorder="1" applyAlignment="1" applyProtection="1">
      <alignment horizontal="center" vertical="center"/>
      <protection locked="0"/>
    </xf>
    <xf numFmtId="0" fontId="43" fillId="0" borderId="0" xfId="0" applyFont="1"/>
    <xf numFmtId="0" fontId="2" fillId="4" borderId="0" xfId="0" applyFont="1" applyFill="1"/>
    <xf numFmtId="0" fontId="2" fillId="4" borderId="4" xfId="0" applyFont="1" applyFill="1" applyBorder="1" applyAlignment="1">
      <alignment horizontal="center" vertical="center" wrapText="1"/>
    </xf>
    <xf numFmtId="0" fontId="41" fillId="45" borderId="4" xfId="43" applyFont="1" applyFill="1" applyBorder="1" applyAlignment="1">
      <alignment horizontal="center" vertical="center"/>
    </xf>
    <xf numFmtId="0" fontId="41" fillId="45" borderId="22" xfId="43" applyFont="1" applyFill="1" applyBorder="1" applyAlignment="1">
      <alignment horizontal="center" vertical="center"/>
    </xf>
    <xf numFmtId="0" fontId="41" fillId="39" borderId="22" xfId="43" applyFont="1" applyFill="1" applyBorder="1" applyAlignment="1">
      <alignment horizontal="center" vertical="center"/>
    </xf>
    <xf numFmtId="0" fontId="63" fillId="57" borderId="22" xfId="43" applyFont="1" applyFill="1" applyBorder="1" applyAlignment="1">
      <alignment horizontal="center" vertical="center"/>
    </xf>
    <xf numFmtId="0" fontId="41" fillId="49" borderId="22" xfId="43" applyFont="1" applyFill="1" applyBorder="1" applyAlignment="1">
      <alignment horizontal="center" vertical="center"/>
    </xf>
    <xf numFmtId="0" fontId="41" fillId="4" borderId="22" xfId="43" applyFont="1" applyFill="1" applyBorder="1" applyAlignment="1">
      <alignment horizontal="center" vertical="center"/>
    </xf>
    <xf numFmtId="0" fontId="41" fillId="50" borderId="22" xfId="43" applyFont="1" applyFill="1" applyBorder="1" applyAlignment="1">
      <alignment horizontal="center" vertical="center"/>
    </xf>
    <xf numFmtId="0" fontId="41" fillId="51" borderId="22" xfId="43" applyFont="1" applyFill="1" applyBorder="1" applyAlignment="1">
      <alignment horizontal="center" vertical="center"/>
    </xf>
    <xf numFmtId="0" fontId="41" fillId="60" borderId="22" xfId="43" applyFont="1" applyFill="1" applyBorder="1" applyAlignment="1">
      <alignment horizontal="center" vertical="center"/>
    </xf>
    <xf numFmtId="0" fontId="41" fillId="52" borderId="23" xfId="43" applyFont="1" applyFill="1" applyBorder="1" applyAlignment="1">
      <alignment horizontal="center" vertical="center"/>
    </xf>
    <xf numFmtId="0" fontId="26" fillId="64" borderId="4" xfId="0" applyFont="1" applyFill="1" applyBorder="1"/>
    <xf numFmtId="0" fontId="2" fillId="4" borderId="4" xfId="0" applyFont="1" applyFill="1" applyBorder="1"/>
    <xf numFmtId="0" fontId="2" fillId="4" borderId="4" xfId="0" applyFont="1" applyFill="1" applyBorder="1" applyAlignment="1">
      <alignment horizontal="center"/>
    </xf>
    <xf numFmtId="17" fontId="2" fillId="4" borderId="5" xfId="0" applyNumberFormat="1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/>
    </xf>
    <xf numFmtId="0" fontId="75" fillId="0" borderId="1" xfId="0" applyFont="1" applyBorder="1" applyAlignment="1">
      <alignment horizontal="center"/>
    </xf>
    <xf numFmtId="0" fontId="43" fillId="0" borderId="1" xfId="0" applyFont="1" applyBorder="1" applyAlignment="1">
      <alignment horizontal="center"/>
    </xf>
    <xf numFmtId="0" fontId="41" fillId="0" borderId="1" xfId="43" applyFont="1" applyBorder="1" applyAlignment="1">
      <alignment horizontal="left" vertical="center" indent="1"/>
    </xf>
    <xf numFmtId="0" fontId="70" fillId="0" borderId="3" xfId="0" applyFont="1" applyBorder="1" applyAlignment="1">
      <alignment horizontal="left" vertical="center" indent="1"/>
    </xf>
    <xf numFmtId="10" fontId="0" fillId="0" borderId="0" xfId="0" applyNumberFormat="1"/>
    <xf numFmtId="4" fontId="4" fillId="0" borderId="1" xfId="64" applyNumberFormat="1" applyFont="1" applyBorder="1" applyAlignment="1">
      <alignment horizontal="center" vertical="center" wrapText="1" readingOrder="1"/>
    </xf>
    <xf numFmtId="43" fontId="29" fillId="0" borderId="0" xfId="64" applyNumberFormat="1" applyAlignment="1">
      <alignment vertical="center" wrapText="1"/>
    </xf>
    <xf numFmtId="10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41" fillId="0" borderId="0" xfId="43" applyFont="1" applyAlignment="1">
      <alignment horizontal="center" vertical="center"/>
    </xf>
    <xf numFmtId="9" fontId="2" fillId="0" borderId="0" xfId="1" applyFont="1" applyFill="1" applyBorder="1" applyAlignment="1">
      <alignment horizontal="center" vertical="center"/>
    </xf>
    <xf numFmtId="0" fontId="63" fillId="0" borderId="0" xfId="43" applyFont="1" applyAlignment="1">
      <alignment horizontal="center" vertical="center"/>
    </xf>
    <xf numFmtId="43" fontId="63" fillId="0" borderId="0" xfId="69" applyFont="1" applyFill="1" applyBorder="1" applyAlignment="1">
      <alignment horizontal="center" vertical="center"/>
    </xf>
    <xf numFmtId="0" fontId="41" fillId="65" borderId="4" xfId="43" applyFont="1" applyFill="1" applyBorder="1" applyAlignment="1">
      <alignment horizontal="center" vertical="center"/>
    </xf>
    <xf numFmtId="43" fontId="63" fillId="0" borderId="4" xfId="69" applyFont="1" applyFill="1" applyBorder="1" applyAlignment="1">
      <alignment horizontal="center" vertical="center"/>
    </xf>
    <xf numFmtId="4" fontId="33" fillId="66" borderId="1" xfId="64" applyNumberFormat="1" applyFont="1" applyFill="1" applyBorder="1" applyAlignment="1">
      <alignment horizontal="center" vertical="center" wrapText="1" readingOrder="1"/>
    </xf>
    <xf numFmtId="4" fontId="67" fillId="66" borderId="1" xfId="64" applyNumberFormat="1" applyFont="1" applyFill="1" applyBorder="1" applyAlignment="1">
      <alignment horizontal="center" vertical="center" wrapText="1" readingOrder="1"/>
    </xf>
    <xf numFmtId="4" fontId="4" fillId="66" borderId="1" xfId="64" applyNumberFormat="1" applyFont="1" applyFill="1" applyBorder="1" applyAlignment="1">
      <alignment horizontal="center" vertical="center" wrapText="1" readingOrder="1"/>
    </xf>
    <xf numFmtId="4" fontId="4" fillId="67" borderId="1" xfId="0" applyNumberFormat="1" applyFont="1" applyFill="1" applyBorder="1" applyAlignment="1">
      <alignment horizontal="center" vertical="center" wrapText="1" readingOrder="1"/>
    </xf>
    <xf numFmtId="0" fontId="67" fillId="66" borderId="1" xfId="64" applyFont="1" applyFill="1" applyBorder="1" applyAlignment="1">
      <alignment horizontal="center" vertical="center" wrapText="1" readingOrder="1"/>
    </xf>
    <xf numFmtId="0" fontId="69" fillId="66" borderId="1" xfId="64" applyFont="1" applyFill="1" applyBorder="1" applyAlignment="1">
      <alignment horizontal="center" vertical="center" wrapText="1"/>
    </xf>
    <xf numFmtId="9" fontId="0" fillId="0" borderId="0" xfId="1" applyFont="1"/>
    <xf numFmtId="17" fontId="2" fillId="4" borderId="29" xfId="0" applyNumberFormat="1" applyFont="1" applyFill="1" applyBorder="1" applyAlignment="1">
      <alignment horizontal="center" vertical="center" wrapText="1"/>
    </xf>
    <xf numFmtId="0" fontId="41" fillId="0" borderId="1" xfId="43" applyFont="1" applyBorder="1" applyAlignment="1">
      <alignment horizontal="center" vertical="center"/>
    </xf>
    <xf numFmtId="0" fontId="41" fillId="0" borderId="4" xfId="43" applyFont="1" applyBorder="1" applyAlignment="1">
      <alignment horizontal="center" vertical="center"/>
    </xf>
    <xf numFmtId="0" fontId="63" fillId="0" borderId="4" xfId="43" applyFont="1" applyBorder="1" applyAlignment="1">
      <alignment horizontal="center" vertical="center"/>
    </xf>
    <xf numFmtId="0" fontId="75" fillId="65" borderId="1" xfId="0" applyFont="1" applyFill="1" applyBorder="1" applyAlignment="1">
      <alignment horizontal="center"/>
    </xf>
    <xf numFmtId="0" fontId="43" fillId="65" borderId="1" xfId="0" applyFont="1" applyFill="1" applyBorder="1" applyAlignment="1">
      <alignment horizontal="center"/>
    </xf>
    <xf numFmtId="0" fontId="44" fillId="6" borderId="0" xfId="64" applyFont="1" applyFill="1" applyAlignment="1">
      <alignment horizontal="center" vertical="center" wrapText="1"/>
    </xf>
    <xf numFmtId="0" fontId="41" fillId="45" borderId="29" xfId="43" applyFont="1" applyFill="1" applyBorder="1" applyAlignment="1">
      <alignment horizontal="center" vertical="center"/>
    </xf>
    <xf numFmtId="0" fontId="41" fillId="45" borderId="15" xfId="43" applyFont="1" applyFill="1" applyBorder="1" applyAlignment="1">
      <alignment horizontal="center" vertical="center"/>
    </xf>
    <xf numFmtId="0" fontId="41" fillId="45" borderId="3" xfId="43" applyFont="1" applyFill="1" applyBorder="1" applyAlignment="1">
      <alignment horizontal="center" vertical="center"/>
    </xf>
    <xf numFmtId="0" fontId="73" fillId="45" borderId="29" xfId="43" applyFont="1" applyFill="1" applyBorder="1" applyAlignment="1">
      <alignment horizontal="center" vertical="center"/>
    </xf>
    <xf numFmtId="0" fontId="73" fillId="45" borderId="15" xfId="43" applyFont="1" applyFill="1" applyBorder="1" applyAlignment="1">
      <alignment horizontal="center" vertical="center"/>
    </xf>
    <xf numFmtId="0" fontId="73" fillId="45" borderId="3" xfId="43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70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69" builtinId="3"/>
    <cellStyle name="Comma 2" xfId="59" xr:uid="{AF3CED6B-FA0B-41E3-940C-47CF5B15504E}"/>
    <cellStyle name="Comma 3" xfId="66" xr:uid="{EAA0E2F5-61A4-B74E-9C6C-5FA6E4A25FA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 2" xfId="65" xr:uid="{F1C9243A-D7EA-CA4C-BC76-44C4DBC834F9}"/>
    <cellStyle name="Hyperlink 3" xfId="67" xr:uid="{117ED2A7-D03A-7048-85FB-EFA0BC6BF5B6}"/>
    <cellStyle name="Input" xfId="10" builtinId="20" customBuiltin="1"/>
    <cellStyle name="Lien hypertexte 2" xfId="52" xr:uid="{62F37802-440E-46B7-9CBC-F07D6159F333}"/>
    <cellStyle name="Linked Cell" xfId="13" builtinId="24" customBuiltin="1"/>
    <cellStyle name="Milliers [0] 2" xfId="56" xr:uid="{122AC59D-C064-49A4-9E30-03FC8737402F}"/>
    <cellStyle name="Milliers [0] 3" xfId="49" xr:uid="{EB96D465-B7A0-44F5-B58D-1039F2908AFE}"/>
    <cellStyle name="Milliers 2" xfId="45" xr:uid="{CC7D8F3B-8B35-48FA-A8EC-A0B596E6F5E8}"/>
    <cellStyle name="Milliers 3" xfId="46" xr:uid="{5EED81C6-B1E0-4B64-9BFC-A558B5B79BB2}"/>
    <cellStyle name="Milliers 4" xfId="48" xr:uid="{A2222486-FB23-4166-8E93-82C2B326E520}"/>
    <cellStyle name="Neutral" xfId="9" builtinId="28" customBuiltin="1"/>
    <cellStyle name="Normal" xfId="0" builtinId="0"/>
    <cellStyle name="Normal 2" xfId="43" xr:uid="{5E15F7BB-4B2B-4849-9A01-A12FB91B225B}"/>
    <cellStyle name="Normal 2 2" xfId="60" xr:uid="{55642BE9-DF5F-4136-970C-31F99EA6CED2}"/>
    <cellStyle name="Normal 3" xfId="44" xr:uid="{BC59B619-C822-46C8-B257-DF1464352DD9}"/>
    <cellStyle name="Normal 3 2" xfId="61" xr:uid="{9ED60230-F1E0-4C69-AA84-ADB6BBC51289}"/>
    <cellStyle name="Normal 4" xfId="51" xr:uid="{5CBDEEF0-92F2-4CCC-99FC-F4416BF072EA}"/>
    <cellStyle name="Normal 4 2" xfId="62" xr:uid="{037C6E7F-1C54-450C-A5B2-1C7F8D173957}"/>
    <cellStyle name="Normal 4 3" xfId="55" xr:uid="{86F7EF81-E4CD-4C50-A103-DE424AAB694A}"/>
    <cellStyle name="Normal 5" xfId="53" xr:uid="{052391C4-6A14-4484-AC75-F589930F055C}"/>
    <cellStyle name="Normal 5 2" xfId="57" xr:uid="{7DD0E644-7AA8-448F-8C20-B40E9509FAA3}"/>
    <cellStyle name="Normal 6" xfId="58" xr:uid="{01199CD4-93A8-47EF-A4D1-A106EA45E491}"/>
    <cellStyle name="Normal 7" xfId="64" xr:uid="{405FF65E-1F15-AD4D-81AE-4435F4F0BCF8}"/>
    <cellStyle name="Note" xfId="16" builtinId="10" customBuiltin="1"/>
    <cellStyle name="Note 2" xfId="63" xr:uid="{F5E191AA-2AC5-4D36-BD93-700B398EB417}"/>
    <cellStyle name="Output" xfId="11" builtinId="21" customBuiltin="1"/>
    <cellStyle name="Percent" xfId="1" builtinId="5"/>
    <cellStyle name="Percent 2" xfId="68" xr:uid="{FFCEE274-5069-804D-A8E9-139A92768912}"/>
    <cellStyle name="Standard 2" xfId="50" xr:uid="{3E62C85A-6D99-489E-9EDD-39FEA10A4FD5}"/>
    <cellStyle name="Title" xfId="2" builtinId="15" customBuiltin="1"/>
    <cellStyle name="Total" xfId="18" builtinId="25" customBuiltin="1"/>
    <cellStyle name="Warning Text" xfId="15" builtinId="11" customBuiltin="1"/>
    <cellStyle name="標準 2" xfId="54" xr:uid="{4A5E3DB6-370C-4588-A6F5-3A19993E9FCB}"/>
    <cellStyle name="標準_総時_時系列_acho (2)" xfId="47" xr:uid="{CF29017A-BD67-4C46-AF74-3C6574560F4E}"/>
  </cellStyles>
  <dxfs count="0"/>
  <tableStyles count="0" defaultTableStyle="TableStyleMedium2" defaultPivotStyle="PivotStyleLight16"/>
  <colors>
    <mruColors>
      <color rgb="FFF0747D"/>
      <color rgb="FFEF6771"/>
      <color rgb="FFFC0C56"/>
      <color rgb="FFEB3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fr-FR"/>
              <a:t>Real GDP YoY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3.504072057687025E-2"/>
          <c:y val="0.12325079365079365"/>
          <c:w val="0.94661590462672807"/>
          <c:h val="0.73949596300462439"/>
        </c:manualLayout>
      </c:layout>
      <c:lineChart>
        <c:grouping val="standard"/>
        <c:varyColors val="0"/>
        <c:ser>
          <c:idx val="0"/>
          <c:order val="0"/>
          <c:tx>
            <c:strRef>
              <c:f>'GDP data'!$A$2</c:f>
              <c:strCache>
                <c:ptCount val="1"/>
                <c:pt idx="0">
                  <c:v>Australia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data'!$D$2:$AN$2</c:f>
              <c:numCache>
                <c:formatCode>#,##0.0_ ;\-#,##0.0\ </c:formatCode>
                <c:ptCount val="37"/>
                <c:pt idx="0">
                  <c:v>2.8</c:v>
                </c:pt>
                <c:pt idx="1">
                  <c:v>2.2999999999999998</c:v>
                </c:pt>
                <c:pt idx="2">
                  <c:v>2.2999999999999998</c:v>
                </c:pt>
                <c:pt idx="3">
                  <c:v>2.2999999999999998</c:v>
                </c:pt>
                <c:pt idx="4">
                  <c:v>2.2000000000000002</c:v>
                </c:pt>
                <c:pt idx="5">
                  <c:v>2.2000000000000002</c:v>
                </c:pt>
                <c:pt idx="6">
                  <c:v>2.2000000000000002</c:v>
                </c:pt>
                <c:pt idx="7">
                  <c:v>1.3</c:v>
                </c:pt>
                <c:pt idx="8">
                  <c:v>1.3</c:v>
                </c:pt>
                <c:pt idx="9">
                  <c:v>1.3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1.1000000000000001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1.3</c:v>
                </c:pt>
                <c:pt idx="23">
                  <c:v>1.3</c:v>
                </c:pt>
                <c:pt idx="24">
                  <c:v>1.3</c:v>
                </c:pt>
                <c:pt idx="25">
                  <c:v>1.9</c:v>
                </c:pt>
                <c:pt idx="26">
                  <c:v>1.9</c:v>
                </c:pt>
                <c:pt idx="27">
                  <c:v>1.9</c:v>
                </c:pt>
                <c:pt idx="28">
                  <c:v>2.1</c:v>
                </c:pt>
                <c:pt idx="29">
                  <c:v>2.1</c:v>
                </c:pt>
                <c:pt idx="30">
                  <c:v>2.1</c:v>
                </c:pt>
                <c:pt idx="31">
                  <c:v>2.6</c:v>
                </c:pt>
                <c:pt idx="32">
                  <c:v>2.6</c:v>
                </c:pt>
                <c:pt idx="33">
                  <c:v>2.6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0-D342-8A75-8C8F3F20D52C}"/>
            </c:ext>
          </c:extLst>
        </c:ser>
        <c:ser>
          <c:idx val="2"/>
          <c:order val="2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82C0-D342-8A75-8C8F3F20D52C}"/>
            </c:ext>
          </c:extLst>
        </c:ser>
        <c:ser>
          <c:idx val="3"/>
          <c:order val="3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82C0-D342-8A75-8C8F3F20D52C}"/>
            </c:ext>
          </c:extLst>
        </c:ser>
        <c:ser>
          <c:idx val="4"/>
          <c:order val="4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82C0-D342-8A75-8C8F3F20D52C}"/>
            </c:ext>
          </c:extLst>
        </c:ser>
        <c:ser>
          <c:idx val="5"/>
          <c:order val="5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82C0-D342-8A75-8C8F3F20D52C}"/>
            </c:ext>
          </c:extLst>
        </c:ser>
        <c:ser>
          <c:idx val="6"/>
          <c:order val="6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82C0-D342-8A75-8C8F3F20D52C}"/>
            </c:ext>
          </c:extLst>
        </c:ser>
        <c:ser>
          <c:idx val="7"/>
          <c:order val="7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82C0-D342-8A75-8C8F3F20D52C}"/>
            </c:ext>
          </c:extLst>
        </c:ser>
        <c:ser>
          <c:idx val="8"/>
          <c:order val="8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82C0-D342-8A75-8C8F3F20D52C}"/>
            </c:ext>
          </c:extLst>
        </c:ser>
        <c:ser>
          <c:idx val="10"/>
          <c:order val="10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5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82C0-D342-8A75-8C8F3F20D52C}"/>
            </c:ext>
          </c:extLst>
        </c:ser>
        <c:ser>
          <c:idx val="11"/>
          <c:order val="11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82C0-D342-8A75-8C8F3F20D52C}"/>
            </c:ext>
          </c:extLst>
        </c:ser>
        <c:ser>
          <c:idx val="13"/>
          <c:order val="13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82C0-D342-8A75-8C8F3F20D52C}"/>
            </c:ext>
          </c:extLst>
        </c:ser>
        <c:ser>
          <c:idx val="14"/>
          <c:order val="14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82C0-D342-8A75-8C8F3F20D52C}"/>
            </c:ext>
          </c:extLst>
        </c:ser>
        <c:ser>
          <c:idx val="15"/>
          <c:order val="15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82C0-D342-8A75-8C8F3F20D52C}"/>
            </c:ext>
          </c:extLst>
        </c:ser>
        <c:ser>
          <c:idx val="16"/>
          <c:order val="16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82C0-D342-8A75-8C8F3F20D52C}"/>
            </c:ext>
          </c:extLst>
        </c:ser>
        <c:ser>
          <c:idx val="17"/>
          <c:order val="17"/>
          <c:tx>
            <c:strRef>
              <c:f>'GDP data'!$A$6</c:f>
              <c:strCache>
                <c:ptCount val="1"/>
                <c:pt idx="0">
                  <c:v>Switzerland</c:v>
                </c:pt>
              </c:strCache>
            </c:strRef>
          </c:tx>
          <c:spPr>
            <a:ln w="3492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82C0-D342-8A75-8C8F3F20D52C}"/>
            </c:ext>
          </c:extLst>
        </c:ser>
        <c:ser>
          <c:idx val="18"/>
          <c:order val="18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34925" cap="rnd">
              <a:solidFill>
                <a:schemeClr val="accent1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82C0-D342-8A75-8C8F3F20D52C}"/>
            </c:ext>
          </c:extLst>
        </c:ser>
        <c:ser>
          <c:idx val="20"/>
          <c:order val="20"/>
          <c:tx>
            <c:strRef>
              <c:f>'GDP data'!$A$8</c:f>
              <c:strCache>
                <c:ptCount val="1"/>
                <c:pt idx="0">
                  <c:v>United States</c:v>
                </c:pt>
              </c:strCache>
            </c:strRef>
          </c:tx>
          <c:spPr>
            <a:ln w="34925" cap="rnd">
              <a:solidFill>
                <a:schemeClr val="accent3">
                  <a:lumMod val="8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data'!$D$8:$AN$8</c:f>
              <c:numCache>
                <c:formatCode>General</c:formatCode>
                <c:ptCount val="37"/>
                <c:pt idx="0">
                  <c:v>2.2999999999999998</c:v>
                </c:pt>
                <c:pt idx="1">
                  <c:v>2.8</c:v>
                </c:pt>
                <c:pt idx="2">
                  <c:v>2.8</c:v>
                </c:pt>
                <c:pt idx="3">
                  <c:v>2.8</c:v>
                </c:pt>
                <c:pt idx="4">
                  <c:v>3.2</c:v>
                </c:pt>
                <c:pt idx="5">
                  <c:v>3.2</c:v>
                </c:pt>
                <c:pt idx="6">
                  <c:v>3.2</c:v>
                </c:pt>
                <c:pt idx="7">
                  <c:v>3.4</c:v>
                </c:pt>
                <c:pt idx="8">
                  <c:v>3.4</c:v>
                </c:pt>
                <c:pt idx="9">
                  <c:v>3.4</c:v>
                </c:pt>
                <c:pt idx="10">
                  <c:v>2.9</c:v>
                </c:pt>
                <c:pt idx="11">
                  <c:v>2.9</c:v>
                </c:pt>
                <c:pt idx="12">
                  <c:v>2.9</c:v>
                </c:pt>
                <c:pt idx="13">
                  <c:v>3.1</c:v>
                </c:pt>
                <c:pt idx="14">
                  <c:v>3.1</c:v>
                </c:pt>
                <c:pt idx="15">
                  <c:v>3.1</c:v>
                </c:pt>
                <c:pt idx="16">
                  <c:v>2.8</c:v>
                </c:pt>
                <c:pt idx="17">
                  <c:v>2.8</c:v>
                </c:pt>
                <c:pt idx="18">
                  <c:v>2.8</c:v>
                </c:pt>
                <c:pt idx="19">
                  <c:v>2.4</c:v>
                </c:pt>
                <c:pt idx="20">
                  <c:v>2.4</c:v>
                </c:pt>
                <c:pt idx="21">
                  <c:v>2.4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2.1</c:v>
                </c:pt>
                <c:pt idx="26">
                  <c:v>2.1</c:v>
                </c:pt>
                <c:pt idx="27">
                  <c:v>2.1</c:v>
                </c:pt>
                <c:pt idx="28">
                  <c:v>2.2999999999999998</c:v>
                </c:pt>
                <c:pt idx="29">
                  <c:v>2.2999999999999998</c:v>
                </c:pt>
                <c:pt idx="30">
                  <c:v>2.2999999999999998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2.7</c:v>
                </c:pt>
                <c:pt idx="35">
                  <c:v>2.7</c:v>
                </c:pt>
                <c:pt idx="36">
                  <c:v>2.7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82C0-D342-8A75-8C8F3F20D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3838832"/>
        <c:axId val="443839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'GDP data'!$A$3</c15:sqref>
                        </c15:formulaRef>
                      </c:ext>
                    </c:extLst>
                    <c:strCache>
                      <c:ptCount val="1"/>
                      <c:pt idx="0">
                        <c:v>Canada</c:v>
                      </c:pt>
                    </c:strCache>
                  </c:strRef>
                </c:tx>
                <c:spPr>
                  <a:ln w="34925" cap="rnd">
                    <a:solidFill>
                      <a:schemeClr val="accent2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'GDP data'!$D$1:$AN$1</c15:sqref>
                        </c15:formulaRef>
                      </c:ext>
                    </c:extLst>
                    <c:numCache>
                      <c:formatCode>[$-409]mmm\-yy;@</c:formatCode>
                      <c:ptCount val="37"/>
                      <c:pt idx="0">
                        <c:v>44986</c:v>
                      </c:pt>
                      <c:pt idx="1">
                        <c:v>45017</c:v>
                      </c:pt>
                      <c:pt idx="2">
                        <c:v>45047</c:v>
                      </c:pt>
                      <c:pt idx="3">
                        <c:v>45078</c:v>
                      </c:pt>
                      <c:pt idx="4">
                        <c:v>45108</c:v>
                      </c:pt>
                      <c:pt idx="5">
                        <c:v>45139</c:v>
                      </c:pt>
                      <c:pt idx="6">
                        <c:v>45170</c:v>
                      </c:pt>
                      <c:pt idx="7">
                        <c:v>45200</c:v>
                      </c:pt>
                      <c:pt idx="8">
                        <c:v>45231</c:v>
                      </c:pt>
                      <c:pt idx="9">
                        <c:v>45261</c:v>
                      </c:pt>
                      <c:pt idx="10">
                        <c:v>45292</c:v>
                      </c:pt>
                      <c:pt idx="11">
                        <c:v>45323</c:v>
                      </c:pt>
                      <c:pt idx="12">
                        <c:v>45352</c:v>
                      </c:pt>
                      <c:pt idx="13">
                        <c:v>45383</c:v>
                      </c:pt>
                      <c:pt idx="14">
                        <c:v>45413</c:v>
                      </c:pt>
                      <c:pt idx="15">
                        <c:v>45444</c:v>
                      </c:pt>
                      <c:pt idx="16">
                        <c:v>45474</c:v>
                      </c:pt>
                      <c:pt idx="17">
                        <c:v>45505</c:v>
                      </c:pt>
                      <c:pt idx="18">
                        <c:v>45536</c:v>
                      </c:pt>
                      <c:pt idx="19">
                        <c:v>45566</c:v>
                      </c:pt>
                      <c:pt idx="20">
                        <c:v>45597</c:v>
                      </c:pt>
                      <c:pt idx="21">
                        <c:v>45627</c:v>
                      </c:pt>
                      <c:pt idx="22">
                        <c:v>45658</c:v>
                      </c:pt>
                      <c:pt idx="23">
                        <c:v>45689</c:v>
                      </c:pt>
                      <c:pt idx="24">
                        <c:v>45717</c:v>
                      </c:pt>
                      <c:pt idx="25">
                        <c:v>45748</c:v>
                      </c:pt>
                      <c:pt idx="26">
                        <c:v>45778</c:v>
                      </c:pt>
                      <c:pt idx="27">
                        <c:v>45809</c:v>
                      </c:pt>
                      <c:pt idx="28">
                        <c:v>45839</c:v>
                      </c:pt>
                      <c:pt idx="29">
                        <c:v>45870</c:v>
                      </c:pt>
                      <c:pt idx="30">
                        <c:v>45901</c:v>
                      </c:pt>
                      <c:pt idx="31">
                        <c:v>45931</c:v>
                      </c:pt>
                      <c:pt idx="32">
                        <c:v>45962</c:v>
                      </c:pt>
                      <c:pt idx="33">
                        <c:v>45992</c:v>
                      </c:pt>
                      <c:pt idx="34">
                        <c:v>46023</c:v>
                      </c:pt>
                      <c:pt idx="35">
                        <c:v>46054</c:v>
                      </c:pt>
                      <c:pt idx="36">
                        <c:v>46082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'GDP data'!$D$3:$AN$3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</c:v>
                      </c:pt>
                      <c:pt idx="1">
                        <c:v>2.1</c:v>
                      </c:pt>
                      <c:pt idx="2">
                        <c:v>2.1</c:v>
                      </c:pt>
                      <c:pt idx="3">
                        <c:v>2.1</c:v>
                      </c:pt>
                      <c:pt idx="4">
                        <c:v>1.3</c:v>
                      </c:pt>
                      <c:pt idx="5">
                        <c:v>1.3</c:v>
                      </c:pt>
                      <c:pt idx="6">
                        <c:v>1.3</c:v>
                      </c:pt>
                      <c:pt idx="7">
                        <c:v>1.3</c:v>
                      </c:pt>
                      <c:pt idx="8">
                        <c:v>1.3</c:v>
                      </c:pt>
                      <c:pt idx="9">
                        <c:v>1.3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1.7</c:v>
                      </c:pt>
                      <c:pt idx="14">
                        <c:v>1.7</c:v>
                      </c:pt>
                      <c:pt idx="15">
                        <c:v>1.7</c:v>
                      </c:pt>
                      <c:pt idx="16">
                        <c:v>2.4</c:v>
                      </c:pt>
                      <c:pt idx="17">
                        <c:v>2.4</c:v>
                      </c:pt>
                      <c:pt idx="18">
                        <c:v>2.4</c:v>
                      </c:pt>
                      <c:pt idx="19">
                        <c:v>3.1</c:v>
                      </c:pt>
                      <c:pt idx="20">
                        <c:v>3.1</c:v>
                      </c:pt>
                      <c:pt idx="21">
                        <c:v>3.1</c:v>
                      </c:pt>
                      <c:pt idx="22">
                        <c:v>2.9</c:v>
                      </c:pt>
                      <c:pt idx="23">
                        <c:v>2.9</c:v>
                      </c:pt>
                      <c:pt idx="24">
                        <c:v>2.9</c:v>
                      </c:pt>
                      <c:pt idx="25">
                        <c:v>1.8</c:v>
                      </c:pt>
                      <c:pt idx="26">
                        <c:v>1.8</c:v>
                      </c:pt>
                      <c:pt idx="27">
                        <c:v>1.8</c:v>
                      </c:pt>
                      <c:pt idx="28">
                        <c:v>1.6</c:v>
                      </c:pt>
                      <c:pt idx="29">
                        <c:v>1.6</c:v>
                      </c:pt>
                      <c:pt idx="30">
                        <c:v>1.6</c:v>
                      </c:pt>
                      <c:pt idx="31">
                        <c:v>0.7</c:v>
                      </c:pt>
                      <c:pt idx="32">
                        <c:v>0.7</c:v>
                      </c:pt>
                      <c:pt idx="33">
                        <c:v>0.7</c:v>
                      </c:pt>
                      <c:pt idx="34">
                        <c:v>0.1</c:v>
                      </c:pt>
                      <c:pt idx="35">
                        <c:v>0.1</c:v>
                      </c:pt>
                      <c:pt idx="36">
                        <c:v>0.1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82C0-D342-8A75-8C8F3F20D52C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data'!$A$4</c15:sqref>
                        </c15:formulaRef>
                      </c:ext>
                    </c:extLst>
                    <c:strCache>
                      <c:ptCount val="1"/>
                      <c:pt idx="0">
                        <c:v>Japan</c:v>
                      </c:pt>
                    </c:strCache>
                  </c:strRef>
                </c:tx>
                <c:spPr>
                  <a:ln w="3492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data'!$D$1:$AN$1</c15:sqref>
                        </c15:formulaRef>
                      </c:ext>
                    </c:extLst>
                    <c:numCache>
                      <c:formatCode>[$-409]mmm\-yy;@</c:formatCode>
                      <c:ptCount val="37"/>
                      <c:pt idx="0">
                        <c:v>44986</c:v>
                      </c:pt>
                      <c:pt idx="1">
                        <c:v>45017</c:v>
                      </c:pt>
                      <c:pt idx="2">
                        <c:v>45047</c:v>
                      </c:pt>
                      <c:pt idx="3">
                        <c:v>45078</c:v>
                      </c:pt>
                      <c:pt idx="4">
                        <c:v>45108</c:v>
                      </c:pt>
                      <c:pt idx="5">
                        <c:v>45139</c:v>
                      </c:pt>
                      <c:pt idx="6">
                        <c:v>45170</c:v>
                      </c:pt>
                      <c:pt idx="7">
                        <c:v>45200</c:v>
                      </c:pt>
                      <c:pt idx="8">
                        <c:v>45231</c:v>
                      </c:pt>
                      <c:pt idx="9">
                        <c:v>45261</c:v>
                      </c:pt>
                      <c:pt idx="10">
                        <c:v>45292</c:v>
                      </c:pt>
                      <c:pt idx="11">
                        <c:v>45323</c:v>
                      </c:pt>
                      <c:pt idx="12">
                        <c:v>45352</c:v>
                      </c:pt>
                      <c:pt idx="13">
                        <c:v>45383</c:v>
                      </c:pt>
                      <c:pt idx="14">
                        <c:v>45413</c:v>
                      </c:pt>
                      <c:pt idx="15">
                        <c:v>45444</c:v>
                      </c:pt>
                      <c:pt idx="16">
                        <c:v>45474</c:v>
                      </c:pt>
                      <c:pt idx="17">
                        <c:v>45505</c:v>
                      </c:pt>
                      <c:pt idx="18">
                        <c:v>45536</c:v>
                      </c:pt>
                      <c:pt idx="19">
                        <c:v>45566</c:v>
                      </c:pt>
                      <c:pt idx="20">
                        <c:v>45597</c:v>
                      </c:pt>
                      <c:pt idx="21">
                        <c:v>45627</c:v>
                      </c:pt>
                      <c:pt idx="22">
                        <c:v>45658</c:v>
                      </c:pt>
                      <c:pt idx="23">
                        <c:v>45689</c:v>
                      </c:pt>
                      <c:pt idx="24">
                        <c:v>45717</c:v>
                      </c:pt>
                      <c:pt idx="25">
                        <c:v>45748</c:v>
                      </c:pt>
                      <c:pt idx="26">
                        <c:v>45778</c:v>
                      </c:pt>
                      <c:pt idx="27">
                        <c:v>45809</c:v>
                      </c:pt>
                      <c:pt idx="28">
                        <c:v>45839</c:v>
                      </c:pt>
                      <c:pt idx="29">
                        <c:v>45870</c:v>
                      </c:pt>
                      <c:pt idx="30">
                        <c:v>45901</c:v>
                      </c:pt>
                      <c:pt idx="31">
                        <c:v>45931</c:v>
                      </c:pt>
                      <c:pt idx="32">
                        <c:v>45962</c:v>
                      </c:pt>
                      <c:pt idx="33">
                        <c:v>45992</c:v>
                      </c:pt>
                      <c:pt idx="34">
                        <c:v>46023</c:v>
                      </c:pt>
                      <c:pt idx="35">
                        <c:v>46054</c:v>
                      </c:pt>
                      <c:pt idx="36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data'!$D$4:$AN$4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1.8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-1.3</c:v>
                      </c:pt>
                      <c:pt idx="11">
                        <c:v>-1.3</c:v>
                      </c:pt>
                      <c:pt idx="12">
                        <c:v>-1.3</c:v>
                      </c:pt>
                      <c:pt idx="13">
                        <c:v>-1.2</c:v>
                      </c:pt>
                      <c:pt idx="14">
                        <c:v>-1.2</c:v>
                      </c:pt>
                      <c:pt idx="15">
                        <c:v>-1.2</c:v>
                      </c:pt>
                      <c:pt idx="16">
                        <c:v>0.8</c:v>
                      </c:pt>
                      <c:pt idx="17">
                        <c:v>0.8</c:v>
                      </c:pt>
                      <c:pt idx="18">
                        <c:v>0.8</c:v>
                      </c:pt>
                      <c:pt idx="19">
                        <c:v>0.6</c:v>
                      </c:pt>
                      <c:pt idx="20">
                        <c:v>0.6</c:v>
                      </c:pt>
                      <c:pt idx="21">
                        <c:v>0.6</c:v>
                      </c:pt>
                      <c:pt idx="22">
                        <c:v>1.6</c:v>
                      </c:pt>
                      <c:pt idx="23">
                        <c:v>1.6</c:v>
                      </c:pt>
                      <c:pt idx="24">
                        <c:v>1.6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2</c:v>
                      </c:pt>
                      <c:pt idx="28">
                        <c:v>0.5</c:v>
                      </c:pt>
                      <c:pt idx="29">
                        <c:v>0.5</c:v>
                      </c:pt>
                      <c:pt idx="30">
                        <c:v>0.5</c:v>
                      </c:pt>
                      <c:pt idx="31">
                        <c:v>0.2</c:v>
                      </c:pt>
                      <c:pt idx="32">
                        <c:v>0.2</c:v>
                      </c:pt>
                      <c:pt idx="33">
                        <c:v>0.2</c:v>
                      </c:pt>
                      <c:pt idx="34">
                        <c:v>0.6</c:v>
                      </c:pt>
                      <c:pt idx="35">
                        <c:v>0.6</c:v>
                      </c:pt>
                      <c:pt idx="36">
                        <c:v>0.6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82C0-D342-8A75-8C8F3F20D52C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data'!$A$5</c15:sqref>
                        </c15:formulaRef>
                      </c:ext>
                    </c:extLst>
                    <c:strCache>
                      <c:ptCount val="1"/>
                      <c:pt idx="0">
                        <c:v>New Zealand</c:v>
                      </c:pt>
                    </c:strCache>
                  </c:strRef>
                </c:tx>
                <c:spPr>
                  <a:ln w="3492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data'!$D$1:$AN$1</c15:sqref>
                        </c15:formulaRef>
                      </c:ext>
                    </c:extLst>
                    <c:numCache>
                      <c:formatCode>[$-409]mmm\-yy;@</c:formatCode>
                      <c:ptCount val="37"/>
                      <c:pt idx="0">
                        <c:v>44986</c:v>
                      </c:pt>
                      <c:pt idx="1">
                        <c:v>45017</c:v>
                      </c:pt>
                      <c:pt idx="2">
                        <c:v>45047</c:v>
                      </c:pt>
                      <c:pt idx="3">
                        <c:v>45078</c:v>
                      </c:pt>
                      <c:pt idx="4">
                        <c:v>45108</c:v>
                      </c:pt>
                      <c:pt idx="5">
                        <c:v>45139</c:v>
                      </c:pt>
                      <c:pt idx="6">
                        <c:v>45170</c:v>
                      </c:pt>
                      <c:pt idx="7">
                        <c:v>45200</c:v>
                      </c:pt>
                      <c:pt idx="8">
                        <c:v>45231</c:v>
                      </c:pt>
                      <c:pt idx="9">
                        <c:v>45261</c:v>
                      </c:pt>
                      <c:pt idx="10">
                        <c:v>45292</c:v>
                      </c:pt>
                      <c:pt idx="11">
                        <c:v>45323</c:v>
                      </c:pt>
                      <c:pt idx="12">
                        <c:v>45352</c:v>
                      </c:pt>
                      <c:pt idx="13">
                        <c:v>45383</c:v>
                      </c:pt>
                      <c:pt idx="14">
                        <c:v>45413</c:v>
                      </c:pt>
                      <c:pt idx="15">
                        <c:v>45444</c:v>
                      </c:pt>
                      <c:pt idx="16">
                        <c:v>45474</c:v>
                      </c:pt>
                      <c:pt idx="17">
                        <c:v>45505</c:v>
                      </c:pt>
                      <c:pt idx="18">
                        <c:v>45536</c:v>
                      </c:pt>
                      <c:pt idx="19">
                        <c:v>45566</c:v>
                      </c:pt>
                      <c:pt idx="20">
                        <c:v>45597</c:v>
                      </c:pt>
                      <c:pt idx="21">
                        <c:v>45627</c:v>
                      </c:pt>
                      <c:pt idx="22">
                        <c:v>45658</c:v>
                      </c:pt>
                      <c:pt idx="23">
                        <c:v>45689</c:v>
                      </c:pt>
                      <c:pt idx="24">
                        <c:v>45717</c:v>
                      </c:pt>
                      <c:pt idx="25">
                        <c:v>45748</c:v>
                      </c:pt>
                      <c:pt idx="26">
                        <c:v>45778</c:v>
                      </c:pt>
                      <c:pt idx="27">
                        <c:v>45809</c:v>
                      </c:pt>
                      <c:pt idx="28">
                        <c:v>45839</c:v>
                      </c:pt>
                      <c:pt idx="29">
                        <c:v>45870</c:v>
                      </c:pt>
                      <c:pt idx="30">
                        <c:v>45901</c:v>
                      </c:pt>
                      <c:pt idx="31">
                        <c:v>45931</c:v>
                      </c:pt>
                      <c:pt idx="32">
                        <c:v>45962</c:v>
                      </c:pt>
                      <c:pt idx="33">
                        <c:v>45992</c:v>
                      </c:pt>
                      <c:pt idx="34">
                        <c:v>46023</c:v>
                      </c:pt>
                      <c:pt idx="35">
                        <c:v>46054</c:v>
                      </c:pt>
                      <c:pt idx="36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data'!$D$5:$AN$5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</c:v>
                      </c:pt>
                      <c:pt idx="1">
                        <c:v>3</c:v>
                      </c:pt>
                      <c:pt idx="2">
                        <c:v>3</c:v>
                      </c:pt>
                      <c:pt idx="3">
                        <c:v>3</c:v>
                      </c:pt>
                      <c:pt idx="4">
                        <c:v>1.2</c:v>
                      </c:pt>
                      <c:pt idx="5">
                        <c:v>1.2</c:v>
                      </c:pt>
                      <c:pt idx="6">
                        <c:v>1.2</c:v>
                      </c:pt>
                      <c:pt idx="7">
                        <c:v>1.4</c:v>
                      </c:pt>
                      <c:pt idx="8">
                        <c:v>1.4</c:v>
                      </c:pt>
                      <c:pt idx="9">
                        <c:v>1.4</c:v>
                      </c:pt>
                      <c:pt idx="10">
                        <c:v>1.6</c:v>
                      </c:pt>
                      <c:pt idx="11">
                        <c:v>1.6</c:v>
                      </c:pt>
                      <c:pt idx="12">
                        <c:v>1.6</c:v>
                      </c:pt>
                      <c:pt idx="13">
                        <c:v>0.1</c:v>
                      </c:pt>
                      <c:pt idx="14">
                        <c:v>0.1</c:v>
                      </c:pt>
                      <c:pt idx="15">
                        <c:v>0.1</c:v>
                      </c:pt>
                      <c:pt idx="16">
                        <c:v>-1.2</c:v>
                      </c:pt>
                      <c:pt idx="17">
                        <c:v>-1.2</c:v>
                      </c:pt>
                      <c:pt idx="18">
                        <c:v>-1.2</c:v>
                      </c:pt>
                      <c:pt idx="19">
                        <c:v>-1.6</c:v>
                      </c:pt>
                      <c:pt idx="20">
                        <c:v>-1.6</c:v>
                      </c:pt>
                      <c:pt idx="21">
                        <c:v>-1.6</c:v>
                      </c:pt>
                      <c:pt idx="22">
                        <c:v>-0.7</c:v>
                      </c:pt>
                      <c:pt idx="23">
                        <c:v>-0.7</c:v>
                      </c:pt>
                      <c:pt idx="24">
                        <c:v>-0.7</c:v>
                      </c:pt>
                      <c:pt idx="25">
                        <c:v>-1.1000000000000001</c:v>
                      </c:pt>
                      <c:pt idx="26">
                        <c:v>-1.1000000000000001</c:v>
                      </c:pt>
                      <c:pt idx="27">
                        <c:v>-1.1000000000000001</c:v>
                      </c:pt>
                      <c:pt idx="28">
                        <c:v>1.1000000000000001</c:v>
                      </c:pt>
                      <c:pt idx="29">
                        <c:v>1.1000000000000001</c:v>
                      </c:pt>
                      <c:pt idx="30">
                        <c:v>1.1000000000000001</c:v>
                      </c:pt>
                      <c:pt idx="31">
                        <c:v>1.3</c:v>
                      </c:pt>
                      <c:pt idx="32">
                        <c:v>1.3</c:v>
                      </c:pt>
                      <c:pt idx="33">
                        <c:v>1.3</c:v>
                      </c:pt>
                      <c:pt idx="34">
                        <c:v>1.5</c:v>
                      </c:pt>
                      <c:pt idx="35">
                        <c:v>1.5</c:v>
                      </c:pt>
                      <c:pt idx="36">
                        <c:v>1.5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82C0-D342-8A75-8C8F3F20D52C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data'!$A$7</c15:sqref>
                        </c15:formulaRef>
                      </c:ext>
                    </c:extLst>
                    <c:strCache>
                      <c:ptCount val="1"/>
                      <c:pt idx="0">
                        <c:v>United Kingdom</c:v>
                      </c:pt>
                    </c:strCache>
                  </c:strRef>
                </c:tx>
                <c:spPr>
                  <a:ln w="3492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data'!$D$1:$AN$1</c15:sqref>
                        </c15:formulaRef>
                      </c:ext>
                    </c:extLst>
                    <c:numCache>
                      <c:formatCode>[$-409]mmm\-yy;@</c:formatCode>
                      <c:ptCount val="37"/>
                      <c:pt idx="0">
                        <c:v>44986</c:v>
                      </c:pt>
                      <c:pt idx="1">
                        <c:v>45017</c:v>
                      </c:pt>
                      <c:pt idx="2">
                        <c:v>45047</c:v>
                      </c:pt>
                      <c:pt idx="3">
                        <c:v>45078</c:v>
                      </c:pt>
                      <c:pt idx="4">
                        <c:v>45108</c:v>
                      </c:pt>
                      <c:pt idx="5">
                        <c:v>45139</c:v>
                      </c:pt>
                      <c:pt idx="6">
                        <c:v>45170</c:v>
                      </c:pt>
                      <c:pt idx="7">
                        <c:v>45200</c:v>
                      </c:pt>
                      <c:pt idx="8">
                        <c:v>45231</c:v>
                      </c:pt>
                      <c:pt idx="9">
                        <c:v>45261</c:v>
                      </c:pt>
                      <c:pt idx="10">
                        <c:v>45292</c:v>
                      </c:pt>
                      <c:pt idx="11">
                        <c:v>45323</c:v>
                      </c:pt>
                      <c:pt idx="12">
                        <c:v>45352</c:v>
                      </c:pt>
                      <c:pt idx="13">
                        <c:v>45383</c:v>
                      </c:pt>
                      <c:pt idx="14">
                        <c:v>45413</c:v>
                      </c:pt>
                      <c:pt idx="15">
                        <c:v>45444</c:v>
                      </c:pt>
                      <c:pt idx="16">
                        <c:v>45474</c:v>
                      </c:pt>
                      <c:pt idx="17">
                        <c:v>45505</c:v>
                      </c:pt>
                      <c:pt idx="18">
                        <c:v>45536</c:v>
                      </c:pt>
                      <c:pt idx="19">
                        <c:v>45566</c:v>
                      </c:pt>
                      <c:pt idx="20">
                        <c:v>45597</c:v>
                      </c:pt>
                      <c:pt idx="21">
                        <c:v>45627</c:v>
                      </c:pt>
                      <c:pt idx="22">
                        <c:v>45658</c:v>
                      </c:pt>
                      <c:pt idx="23">
                        <c:v>45689</c:v>
                      </c:pt>
                      <c:pt idx="24">
                        <c:v>45717</c:v>
                      </c:pt>
                      <c:pt idx="25">
                        <c:v>45748</c:v>
                      </c:pt>
                      <c:pt idx="26">
                        <c:v>45778</c:v>
                      </c:pt>
                      <c:pt idx="27">
                        <c:v>45809</c:v>
                      </c:pt>
                      <c:pt idx="28">
                        <c:v>45839</c:v>
                      </c:pt>
                      <c:pt idx="29">
                        <c:v>45870</c:v>
                      </c:pt>
                      <c:pt idx="30">
                        <c:v>45901</c:v>
                      </c:pt>
                      <c:pt idx="31">
                        <c:v>45931</c:v>
                      </c:pt>
                      <c:pt idx="32">
                        <c:v>45962</c:v>
                      </c:pt>
                      <c:pt idx="33">
                        <c:v>45992</c:v>
                      </c:pt>
                      <c:pt idx="34">
                        <c:v>46023</c:v>
                      </c:pt>
                      <c:pt idx="35">
                        <c:v>46054</c:v>
                      </c:pt>
                      <c:pt idx="36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data'!$D$7:$AN$7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</c:v>
                      </c:pt>
                      <c:pt idx="1">
                        <c:v>0.5</c:v>
                      </c:pt>
                      <c:pt idx="2">
                        <c:v>0.5</c:v>
                      </c:pt>
                      <c:pt idx="3">
                        <c:v>0.5</c:v>
                      </c:pt>
                      <c:pt idx="4">
                        <c:v>0.1</c:v>
                      </c:pt>
                      <c:pt idx="5">
                        <c:v>0.1</c:v>
                      </c:pt>
                      <c:pt idx="6">
                        <c:v>0.1</c:v>
                      </c:pt>
                      <c:pt idx="7">
                        <c:v>-0.5</c:v>
                      </c:pt>
                      <c:pt idx="8">
                        <c:v>-0.5</c:v>
                      </c:pt>
                      <c:pt idx="9">
                        <c:v>-0.5</c:v>
                      </c:pt>
                      <c:pt idx="10">
                        <c:v>0.3</c:v>
                      </c:pt>
                      <c:pt idx="11">
                        <c:v>0.3</c:v>
                      </c:pt>
                      <c:pt idx="12">
                        <c:v>0.3</c:v>
                      </c:pt>
                      <c:pt idx="13">
                        <c:v>0.8</c:v>
                      </c:pt>
                      <c:pt idx="14">
                        <c:v>0.8</c:v>
                      </c:pt>
                      <c:pt idx="15">
                        <c:v>0.8</c:v>
                      </c:pt>
                      <c:pt idx="16">
                        <c:v>1.3</c:v>
                      </c:pt>
                      <c:pt idx="17">
                        <c:v>1.3</c:v>
                      </c:pt>
                      <c:pt idx="18">
                        <c:v>1.3</c:v>
                      </c:pt>
                      <c:pt idx="19">
                        <c:v>1.9</c:v>
                      </c:pt>
                      <c:pt idx="20">
                        <c:v>1.9</c:v>
                      </c:pt>
                      <c:pt idx="21">
                        <c:v>1.9</c:v>
                      </c:pt>
                      <c:pt idx="22">
                        <c:v>1.8</c:v>
                      </c:pt>
                      <c:pt idx="23">
                        <c:v>1.8</c:v>
                      </c:pt>
                      <c:pt idx="24">
                        <c:v>1.8</c:v>
                      </c:pt>
                      <c:pt idx="25">
                        <c:v>1.4</c:v>
                      </c:pt>
                      <c:pt idx="26">
                        <c:v>1.4</c:v>
                      </c:pt>
                      <c:pt idx="27">
                        <c:v>1.4</c:v>
                      </c:pt>
                      <c:pt idx="28">
                        <c:v>1.3</c:v>
                      </c:pt>
                      <c:pt idx="29">
                        <c:v>1.3</c:v>
                      </c:pt>
                      <c:pt idx="30">
                        <c:v>1.3</c:v>
                      </c:pt>
                      <c:pt idx="31">
                        <c:v>0.9</c:v>
                      </c:pt>
                      <c:pt idx="32">
                        <c:v>0.9</c:v>
                      </c:pt>
                      <c:pt idx="33">
                        <c:v>0.9</c:v>
                      </c:pt>
                      <c:pt idx="34">
                        <c:v>0.9</c:v>
                      </c:pt>
                      <c:pt idx="35">
                        <c:v>0.9</c:v>
                      </c:pt>
                      <c:pt idx="36">
                        <c:v>0.9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82C0-D342-8A75-8C8F3F20D52C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data'!$A$9</c15:sqref>
                        </c15:formulaRef>
                      </c:ext>
                    </c:extLst>
                    <c:strCache>
                      <c:ptCount val="1"/>
                      <c:pt idx="0">
                        <c:v>Euro area (19 countries)</c:v>
                      </c:pt>
                    </c:strCache>
                  </c:strRef>
                </c:tx>
                <c:spPr>
                  <a:ln w="3492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data'!$D$1:$AN$1</c15:sqref>
                        </c15:formulaRef>
                      </c:ext>
                    </c:extLst>
                    <c:numCache>
                      <c:formatCode>[$-409]mmm\-yy;@</c:formatCode>
                      <c:ptCount val="37"/>
                      <c:pt idx="0">
                        <c:v>44986</c:v>
                      </c:pt>
                      <c:pt idx="1">
                        <c:v>45017</c:v>
                      </c:pt>
                      <c:pt idx="2">
                        <c:v>45047</c:v>
                      </c:pt>
                      <c:pt idx="3">
                        <c:v>45078</c:v>
                      </c:pt>
                      <c:pt idx="4">
                        <c:v>45108</c:v>
                      </c:pt>
                      <c:pt idx="5">
                        <c:v>45139</c:v>
                      </c:pt>
                      <c:pt idx="6">
                        <c:v>45170</c:v>
                      </c:pt>
                      <c:pt idx="7">
                        <c:v>45200</c:v>
                      </c:pt>
                      <c:pt idx="8">
                        <c:v>45231</c:v>
                      </c:pt>
                      <c:pt idx="9">
                        <c:v>45261</c:v>
                      </c:pt>
                      <c:pt idx="10">
                        <c:v>45292</c:v>
                      </c:pt>
                      <c:pt idx="11">
                        <c:v>45323</c:v>
                      </c:pt>
                      <c:pt idx="12">
                        <c:v>45352</c:v>
                      </c:pt>
                      <c:pt idx="13">
                        <c:v>45383</c:v>
                      </c:pt>
                      <c:pt idx="14">
                        <c:v>45413</c:v>
                      </c:pt>
                      <c:pt idx="15">
                        <c:v>45444</c:v>
                      </c:pt>
                      <c:pt idx="16">
                        <c:v>45474</c:v>
                      </c:pt>
                      <c:pt idx="17">
                        <c:v>45505</c:v>
                      </c:pt>
                      <c:pt idx="18">
                        <c:v>45536</c:v>
                      </c:pt>
                      <c:pt idx="19">
                        <c:v>45566</c:v>
                      </c:pt>
                      <c:pt idx="20">
                        <c:v>45597</c:v>
                      </c:pt>
                      <c:pt idx="21">
                        <c:v>45627</c:v>
                      </c:pt>
                      <c:pt idx="22">
                        <c:v>45658</c:v>
                      </c:pt>
                      <c:pt idx="23">
                        <c:v>45689</c:v>
                      </c:pt>
                      <c:pt idx="24">
                        <c:v>45717</c:v>
                      </c:pt>
                      <c:pt idx="25">
                        <c:v>45748</c:v>
                      </c:pt>
                      <c:pt idx="26">
                        <c:v>45778</c:v>
                      </c:pt>
                      <c:pt idx="27">
                        <c:v>45809</c:v>
                      </c:pt>
                      <c:pt idx="28">
                        <c:v>45839</c:v>
                      </c:pt>
                      <c:pt idx="29">
                        <c:v>45870</c:v>
                      </c:pt>
                      <c:pt idx="30">
                        <c:v>45901</c:v>
                      </c:pt>
                      <c:pt idx="31">
                        <c:v>45931</c:v>
                      </c:pt>
                      <c:pt idx="32">
                        <c:v>45962</c:v>
                      </c:pt>
                      <c:pt idx="33">
                        <c:v>45992</c:v>
                      </c:pt>
                      <c:pt idx="34">
                        <c:v>46023</c:v>
                      </c:pt>
                      <c:pt idx="35">
                        <c:v>46054</c:v>
                      </c:pt>
                      <c:pt idx="36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data'!$D$9:$AN$9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1.3</c:v>
                      </c:pt>
                      <c:pt idx="1">
                        <c:v>0.6</c:v>
                      </c:pt>
                      <c:pt idx="2">
                        <c:v>0.6</c:v>
                      </c:pt>
                      <c:pt idx="3">
                        <c:v>0.6</c:v>
                      </c:pt>
                      <c:pt idx="4">
                        <c:v>0.1</c:v>
                      </c:pt>
                      <c:pt idx="5">
                        <c:v>0.1</c:v>
                      </c:pt>
                      <c:pt idx="6">
                        <c:v>0.1</c:v>
                      </c:pt>
                      <c:pt idx="7">
                        <c:v>0.2</c:v>
                      </c:pt>
                      <c:pt idx="8">
                        <c:v>0.2</c:v>
                      </c:pt>
                      <c:pt idx="9">
                        <c:v>0.2</c:v>
                      </c:pt>
                      <c:pt idx="10">
                        <c:v>0.6</c:v>
                      </c:pt>
                      <c:pt idx="11">
                        <c:v>0.6</c:v>
                      </c:pt>
                      <c:pt idx="12">
                        <c:v>0.6</c:v>
                      </c:pt>
                      <c:pt idx="13">
                        <c:v>0.6</c:v>
                      </c:pt>
                      <c:pt idx="14">
                        <c:v>0.6</c:v>
                      </c:pt>
                      <c:pt idx="15">
                        <c:v>0.6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1.3</c:v>
                      </c:pt>
                      <c:pt idx="20">
                        <c:v>1.3</c:v>
                      </c:pt>
                      <c:pt idx="21">
                        <c:v>1.3</c:v>
                      </c:pt>
                      <c:pt idx="22">
                        <c:v>1.6</c:v>
                      </c:pt>
                      <c:pt idx="23">
                        <c:v>1.6</c:v>
                      </c:pt>
                      <c:pt idx="24">
                        <c:v>1.6</c:v>
                      </c:pt>
                      <c:pt idx="25">
                        <c:v>1.4</c:v>
                      </c:pt>
                      <c:pt idx="26">
                        <c:v>1.4</c:v>
                      </c:pt>
                      <c:pt idx="27">
                        <c:v>1.4</c:v>
                      </c:pt>
                      <c:pt idx="28">
                        <c:v>1.2</c:v>
                      </c:pt>
                      <c:pt idx="29">
                        <c:v>1.2</c:v>
                      </c:pt>
                      <c:pt idx="30">
                        <c:v>1.2</c:v>
                      </c:pt>
                      <c:pt idx="31">
                        <c:v>1.1000000000000001</c:v>
                      </c:pt>
                      <c:pt idx="32">
                        <c:v>1.1000000000000001</c:v>
                      </c:pt>
                      <c:pt idx="33">
                        <c:v>1.1000000000000001</c:v>
                      </c:pt>
                      <c:pt idx="34">
                        <c:v>0.5</c:v>
                      </c:pt>
                      <c:pt idx="35">
                        <c:v>0.5</c:v>
                      </c:pt>
                      <c:pt idx="36">
                        <c:v>0.5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82C0-D342-8A75-8C8F3F20D52C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3492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data'!$D$1:$AN$1</c15:sqref>
                        </c15:formulaRef>
                      </c:ext>
                    </c:extLst>
                    <c:numCache>
                      <c:formatCode>[$-409]mmm\-yy;@</c:formatCode>
                      <c:ptCount val="37"/>
                      <c:pt idx="0">
                        <c:v>44986</c:v>
                      </c:pt>
                      <c:pt idx="1">
                        <c:v>45017</c:v>
                      </c:pt>
                      <c:pt idx="2">
                        <c:v>45047</c:v>
                      </c:pt>
                      <c:pt idx="3">
                        <c:v>45078</c:v>
                      </c:pt>
                      <c:pt idx="4">
                        <c:v>45108</c:v>
                      </c:pt>
                      <c:pt idx="5">
                        <c:v>45139</c:v>
                      </c:pt>
                      <c:pt idx="6">
                        <c:v>45170</c:v>
                      </c:pt>
                      <c:pt idx="7">
                        <c:v>45200</c:v>
                      </c:pt>
                      <c:pt idx="8">
                        <c:v>45231</c:v>
                      </c:pt>
                      <c:pt idx="9">
                        <c:v>45261</c:v>
                      </c:pt>
                      <c:pt idx="10">
                        <c:v>45292</c:v>
                      </c:pt>
                      <c:pt idx="11">
                        <c:v>45323</c:v>
                      </c:pt>
                      <c:pt idx="12">
                        <c:v>45352</c:v>
                      </c:pt>
                      <c:pt idx="13">
                        <c:v>45383</c:v>
                      </c:pt>
                      <c:pt idx="14">
                        <c:v>45413</c:v>
                      </c:pt>
                      <c:pt idx="15">
                        <c:v>45444</c:v>
                      </c:pt>
                      <c:pt idx="16">
                        <c:v>45474</c:v>
                      </c:pt>
                      <c:pt idx="17">
                        <c:v>45505</c:v>
                      </c:pt>
                      <c:pt idx="18">
                        <c:v>45536</c:v>
                      </c:pt>
                      <c:pt idx="19">
                        <c:v>45566</c:v>
                      </c:pt>
                      <c:pt idx="20">
                        <c:v>45597</c:v>
                      </c:pt>
                      <c:pt idx="21">
                        <c:v>45627</c:v>
                      </c:pt>
                      <c:pt idx="22">
                        <c:v>45658</c:v>
                      </c:pt>
                      <c:pt idx="23">
                        <c:v>45689</c:v>
                      </c:pt>
                      <c:pt idx="24">
                        <c:v>45717</c:v>
                      </c:pt>
                      <c:pt idx="25">
                        <c:v>45748</c:v>
                      </c:pt>
                      <c:pt idx="26">
                        <c:v>45778</c:v>
                      </c:pt>
                      <c:pt idx="27">
                        <c:v>45809</c:v>
                      </c:pt>
                      <c:pt idx="28">
                        <c:v>45839</c:v>
                      </c:pt>
                      <c:pt idx="29">
                        <c:v>45870</c:v>
                      </c:pt>
                      <c:pt idx="30">
                        <c:v>45901</c:v>
                      </c:pt>
                      <c:pt idx="31">
                        <c:v>45931</c:v>
                      </c:pt>
                      <c:pt idx="32">
                        <c:v>45962</c:v>
                      </c:pt>
                      <c:pt idx="33">
                        <c:v>45992</c:v>
                      </c:pt>
                      <c:pt idx="34">
                        <c:v>46023</c:v>
                      </c:pt>
                      <c:pt idx="35">
                        <c:v>46054</c:v>
                      </c:pt>
                      <c:pt idx="36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data'!$D$10:$AN$10</c15:sqref>
                        </c15:formulaRef>
                      </c:ext>
                    </c:extLst>
                    <c:numCache>
                      <c:formatCode>General</c:formatCode>
                      <c:ptCount val="37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82C0-D342-8A75-8C8F3F20D52C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3492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data'!$D$1:$AN$1</c15:sqref>
                        </c15:formulaRef>
                      </c:ext>
                    </c:extLst>
                    <c:numCache>
                      <c:formatCode>[$-409]mmm\-yy;@</c:formatCode>
                      <c:ptCount val="37"/>
                      <c:pt idx="0">
                        <c:v>44986</c:v>
                      </c:pt>
                      <c:pt idx="1">
                        <c:v>45017</c:v>
                      </c:pt>
                      <c:pt idx="2">
                        <c:v>45047</c:v>
                      </c:pt>
                      <c:pt idx="3">
                        <c:v>45078</c:v>
                      </c:pt>
                      <c:pt idx="4">
                        <c:v>45108</c:v>
                      </c:pt>
                      <c:pt idx="5">
                        <c:v>45139</c:v>
                      </c:pt>
                      <c:pt idx="6">
                        <c:v>45170</c:v>
                      </c:pt>
                      <c:pt idx="7">
                        <c:v>45200</c:v>
                      </c:pt>
                      <c:pt idx="8">
                        <c:v>45231</c:v>
                      </c:pt>
                      <c:pt idx="9">
                        <c:v>45261</c:v>
                      </c:pt>
                      <c:pt idx="10">
                        <c:v>45292</c:v>
                      </c:pt>
                      <c:pt idx="11">
                        <c:v>45323</c:v>
                      </c:pt>
                      <c:pt idx="12">
                        <c:v>45352</c:v>
                      </c:pt>
                      <c:pt idx="13">
                        <c:v>45383</c:v>
                      </c:pt>
                      <c:pt idx="14">
                        <c:v>45413</c:v>
                      </c:pt>
                      <c:pt idx="15">
                        <c:v>45444</c:v>
                      </c:pt>
                      <c:pt idx="16">
                        <c:v>45474</c:v>
                      </c:pt>
                      <c:pt idx="17">
                        <c:v>45505</c:v>
                      </c:pt>
                      <c:pt idx="18">
                        <c:v>45536</c:v>
                      </c:pt>
                      <c:pt idx="19">
                        <c:v>45566</c:v>
                      </c:pt>
                      <c:pt idx="20">
                        <c:v>45597</c:v>
                      </c:pt>
                      <c:pt idx="21">
                        <c:v>45627</c:v>
                      </c:pt>
                      <c:pt idx="22">
                        <c:v>45658</c:v>
                      </c:pt>
                      <c:pt idx="23">
                        <c:v>45689</c:v>
                      </c:pt>
                      <c:pt idx="24">
                        <c:v>45717</c:v>
                      </c:pt>
                      <c:pt idx="25">
                        <c:v>45748</c:v>
                      </c:pt>
                      <c:pt idx="26">
                        <c:v>45778</c:v>
                      </c:pt>
                      <c:pt idx="27">
                        <c:v>45809</c:v>
                      </c:pt>
                      <c:pt idx="28">
                        <c:v>45839</c:v>
                      </c:pt>
                      <c:pt idx="29">
                        <c:v>45870</c:v>
                      </c:pt>
                      <c:pt idx="30">
                        <c:v>45901</c:v>
                      </c:pt>
                      <c:pt idx="31">
                        <c:v>45931</c:v>
                      </c:pt>
                      <c:pt idx="32">
                        <c:v>45962</c:v>
                      </c:pt>
                      <c:pt idx="33">
                        <c:v>45992</c:v>
                      </c:pt>
                      <c:pt idx="34">
                        <c:v>46023</c:v>
                      </c:pt>
                      <c:pt idx="35">
                        <c:v>46054</c:v>
                      </c:pt>
                      <c:pt idx="36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data'!$D$11:$AN$11</c15:sqref>
                        </c15:formulaRef>
                      </c:ext>
                    </c:extLst>
                    <c:numCache>
                      <c:formatCode>[$-409]mmm\-yy;@</c:formatCode>
                      <c:ptCount val="37"/>
                      <c:pt idx="0">
                        <c:v>44986</c:v>
                      </c:pt>
                      <c:pt idx="1">
                        <c:v>45017</c:v>
                      </c:pt>
                      <c:pt idx="2">
                        <c:v>45047</c:v>
                      </c:pt>
                      <c:pt idx="3">
                        <c:v>45078</c:v>
                      </c:pt>
                      <c:pt idx="4">
                        <c:v>45108</c:v>
                      </c:pt>
                      <c:pt idx="5">
                        <c:v>45139</c:v>
                      </c:pt>
                      <c:pt idx="6">
                        <c:v>45170</c:v>
                      </c:pt>
                      <c:pt idx="7">
                        <c:v>45200</c:v>
                      </c:pt>
                      <c:pt idx="8">
                        <c:v>45231</c:v>
                      </c:pt>
                      <c:pt idx="9">
                        <c:v>45261</c:v>
                      </c:pt>
                      <c:pt idx="10">
                        <c:v>45292</c:v>
                      </c:pt>
                      <c:pt idx="11">
                        <c:v>45323</c:v>
                      </c:pt>
                      <c:pt idx="12">
                        <c:v>45352</c:v>
                      </c:pt>
                      <c:pt idx="13">
                        <c:v>45383</c:v>
                      </c:pt>
                      <c:pt idx="14">
                        <c:v>45413</c:v>
                      </c:pt>
                      <c:pt idx="15">
                        <c:v>45444</c:v>
                      </c:pt>
                      <c:pt idx="16">
                        <c:v>45474</c:v>
                      </c:pt>
                      <c:pt idx="17">
                        <c:v>45505</c:v>
                      </c:pt>
                      <c:pt idx="18">
                        <c:v>45536</c:v>
                      </c:pt>
                      <c:pt idx="19">
                        <c:v>45566</c:v>
                      </c:pt>
                      <c:pt idx="20">
                        <c:v>45597</c:v>
                      </c:pt>
                      <c:pt idx="21">
                        <c:v>45627</c:v>
                      </c:pt>
                      <c:pt idx="22">
                        <c:v>45658</c:v>
                      </c:pt>
                      <c:pt idx="23">
                        <c:v>45689</c:v>
                      </c:pt>
                      <c:pt idx="24">
                        <c:v>45717</c:v>
                      </c:pt>
                      <c:pt idx="25">
                        <c:v>45748</c:v>
                      </c:pt>
                      <c:pt idx="26">
                        <c:v>45778</c:v>
                      </c:pt>
                      <c:pt idx="27">
                        <c:v>45809</c:v>
                      </c:pt>
                      <c:pt idx="28">
                        <c:v>45839</c:v>
                      </c:pt>
                      <c:pt idx="29">
                        <c:v>45870</c:v>
                      </c:pt>
                      <c:pt idx="30">
                        <c:v>45901</c:v>
                      </c:pt>
                      <c:pt idx="31">
                        <c:v>45931</c:v>
                      </c:pt>
                      <c:pt idx="32">
                        <c:v>45962</c:v>
                      </c:pt>
                      <c:pt idx="33">
                        <c:v>45992</c:v>
                      </c:pt>
                      <c:pt idx="34">
                        <c:v>46023</c:v>
                      </c:pt>
                      <c:pt idx="35">
                        <c:v>46054</c:v>
                      </c:pt>
                      <c:pt idx="36">
                        <c:v>46082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82C0-D342-8A75-8C8F3F20D52C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3492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data'!$D$1:$AN$1</c15:sqref>
                        </c15:formulaRef>
                      </c:ext>
                    </c:extLst>
                    <c:numCache>
                      <c:formatCode>[$-409]mmm\-yy;@</c:formatCode>
                      <c:ptCount val="37"/>
                      <c:pt idx="0">
                        <c:v>44986</c:v>
                      </c:pt>
                      <c:pt idx="1">
                        <c:v>45017</c:v>
                      </c:pt>
                      <c:pt idx="2">
                        <c:v>45047</c:v>
                      </c:pt>
                      <c:pt idx="3">
                        <c:v>45078</c:v>
                      </c:pt>
                      <c:pt idx="4">
                        <c:v>45108</c:v>
                      </c:pt>
                      <c:pt idx="5">
                        <c:v>45139</c:v>
                      </c:pt>
                      <c:pt idx="6">
                        <c:v>45170</c:v>
                      </c:pt>
                      <c:pt idx="7">
                        <c:v>45200</c:v>
                      </c:pt>
                      <c:pt idx="8">
                        <c:v>45231</c:v>
                      </c:pt>
                      <c:pt idx="9">
                        <c:v>45261</c:v>
                      </c:pt>
                      <c:pt idx="10">
                        <c:v>45292</c:v>
                      </c:pt>
                      <c:pt idx="11">
                        <c:v>45323</c:v>
                      </c:pt>
                      <c:pt idx="12">
                        <c:v>45352</c:v>
                      </c:pt>
                      <c:pt idx="13">
                        <c:v>45383</c:v>
                      </c:pt>
                      <c:pt idx="14">
                        <c:v>45413</c:v>
                      </c:pt>
                      <c:pt idx="15">
                        <c:v>45444</c:v>
                      </c:pt>
                      <c:pt idx="16">
                        <c:v>45474</c:v>
                      </c:pt>
                      <c:pt idx="17">
                        <c:v>45505</c:v>
                      </c:pt>
                      <c:pt idx="18">
                        <c:v>45536</c:v>
                      </c:pt>
                      <c:pt idx="19">
                        <c:v>45566</c:v>
                      </c:pt>
                      <c:pt idx="20">
                        <c:v>45597</c:v>
                      </c:pt>
                      <c:pt idx="21">
                        <c:v>45627</c:v>
                      </c:pt>
                      <c:pt idx="22">
                        <c:v>45658</c:v>
                      </c:pt>
                      <c:pt idx="23">
                        <c:v>45689</c:v>
                      </c:pt>
                      <c:pt idx="24">
                        <c:v>45717</c:v>
                      </c:pt>
                      <c:pt idx="25">
                        <c:v>45748</c:v>
                      </c:pt>
                      <c:pt idx="26">
                        <c:v>45778</c:v>
                      </c:pt>
                      <c:pt idx="27">
                        <c:v>45809</c:v>
                      </c:pt>
                      <c:pt idx="28">
                        <c:v>45839</c:v>
                      </c:pt>
                      <c:pt idx="29">
                        <c:v>45870</c:v>
                      </c:pt>
                      <c:pt idx="30">
                        <c:v>45901</c:v>
                      </c:pt>
                      <c:pt idx="31">
                        <c:v>45931</c:v>
                      </c:pt>
                      <c:pt idx="32">
                        <c:v>45962</c:v>
                      </c:pt>
                      <c:pt idx="33">
                        <c:v>45992</c:v>
                      </c:pt>
                      <c:pt idx="34">
                        <c:v>46023</c:v>
                      </c:pt>
                      <c:pt idx="35">
                        <c:v>46054</c:v>
                      </c:pt>
                      <c:pt idx="36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data'!$D$12:$AN$12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-0.80000000000000027</c:v>
                      </c:pt>
                      <c:pt idx="1">
                        <c:v>0.69999999999999973</c:v>
                      </c:pt>
                      <c:pt idx="2">
                        <c:v>0.69999999999999973</c:v>
                      </c:pt>
                      <c:pt idx="3">
                        <c:v>0.69999999999999973</c:v>
                      </c:pt>
                      <c:pt idx="4">
                        <c:v>1.9000000000000001</c:v>
                      </c:pt>
                      <c:pt idx="5">
                        <c:v>1.9000000000000001</c:v>
                      </c:pt>
                      <c:pt idx="6">
                        <c:v>1.9000000000000001</c:v>
                      </c:pt>
                      <c:pt idx="7">
                        <c:v>2.0999999999999996</c:v>
                      </c:pt>
                      <c:pt idx="8">
                        <c:v>2.0999999999999996</c:v>
                      </c:pt>
                      <c:pt idx="9">
                        <c:v>2.0999999999999996</c:v>
                      </c:pt>
                      <c:pt idx="10">
                        <c:v>1.9</c:v>
                      </c:pt>
                      <c:pt idx="11">
                        <c:v>1.9</c:v>
                      </c:pt>
                      <c:pt idx="12">
                        <c:v>1.9</c:v>
                      </c:pt>
                      <c:pt idx="13">
                        <c:v>1.4000000000000001</c:v>
                      </c:pt>
                      <c:pt idx="14">
                        <c:v>1.4000000000000001</c:v>
                      </c:pt>
                      <c:pt idx="15">
                        <c:v>1.4000000000000001</c:v>
                      </c:pt>
                      <c:pt idx="16">
                        <c:v>0.39999999999999991</c:v>
                      </c:pt>
                      <c:pt idx="17">
                        <c:v>0.39999999999999991</c:v>
                      </c:pt>
                      <c:pt idx="18">
                        <c:v>0.39999999999999991</c:v>
                      </c:pt>
                      <c:pt idx="19">
                        <c:v>-0.70000000000000018</c:v>
                      </c:pt>
                      <c:pt idx="20">
                        <c:v>-0.70000000000000018</c:v>
                      </c:pt>
                      <c:pt idx="21">
                        <c:v>-0.70000000000000018</c:v>
                      </c:pt>
                      <c:pt idx="22">
                        <c:v>-0.89999999999999991</c:v>
                      </c:pt>
                      <c:pt idx="23">
                        <c:v>-0.89999999999999991</c:v>
                      </c:pt>
                      <c:pt idx="24">
                        <c:v>-0.89999999999999991</c:v>
                      </c:pt>
                      <c:pt idx="25">
                        <c:v>0.30000000000000004</c:v>
                      </c:pt>
                      <c:pt idx="26">
                        <c:v>0.30000000000000004</c:v>
                      </c:pt>
                      <c:pt idx="27">
                        <c:v>0.30000000000000004</c:v>
                      </c:pt>
                      <c:pt idx="28">
                        <c:v>0.69999999999999973</c:v>
                      </c:pt>
                      <c:pt idx="29">
                        <c:v>0.69999999999999973</c:v>
                      </c:pt>
                      <c:pt idx="30">
                        <c:v>0.69999999999999973</c:v>
                      </c:pt>
                      <c:pt idx="31">
                        <c:v>1.3</c:v>
                      </c:pt>
                      <c:pt idx="32">
                        <c:v>1.3</c:v>
                      </c:pt>
                      <c:pt idx="33">
                        <c:v>1.3</c:v>
                      </c:pt>
                      <c:pt idx="34">
                        <c:v>2.6</c:v>
                      </c:pt>
                      <c:pt idx="35">
                        <c:v>2.6</c:v>
                      </c:pt>
                      <c:pt idx="36">
                        <c:v>2.6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82C0-D342-8A75-8C8F3F20D52C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3492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data'!$D$1:$AN$1</c15:sqref>
                        </c15:formulaRef>
                      </c:ext>
                    </c:extLst>
                    <c:numCache>
                      <c:formatCode>[$-409]mmm\-yy;@</c:formatCode>
                      <c:ptCount val="37"/>
                      <c:pt idx="0">
                        <c:v>44986</c:v>
                      </c:pt>
                      <c:pt idx="1">
                        <c:v>45017</c:v>
                      </c:pt>
                      <c:pt idx="2">
                        <c:v>45047</c:v>
                      </c:pt>
                      <c:pt idx="3">
                        <c:v>45078</c:v>
                      </c:pt>
                      <c:pt idx="4">
                        <c:v>45108</c:v>
                      </c:pt>
                      <c:pt idx="5">
                        <c:v>45139</c:v>
                      </c:pt>
                      <c:pt idx="6">
                        <c:v>45170</c:v>
                      </c:pt>
                      <c:pt idx="7">
                        <c:v>45200</c:v>
                      </c:pt>
                      <c:pt idx="8">
                        <c:v>45231</c:v>
                      </c:pt>
                      <c:pt idx="9">
                        <c:v>45261</c:v>
                      </c:pt>
                      <c:pt idx="10">
                        <c:v>45292</c:v>
                      </c:pt>
                      <c:pt idx="11">
                        <c:v>45323</c:v>
                      </c:pt>
                      <c:pt idx="12">
                        <c:v>45352</c:v>
                      </c:pt>
                      <c:pt idx="13">
                        <c:v>45383</c:v>
                      </c:pt>
                      <c:pt idx="14">
                        <c:v>45413</c:v>
                      </c:pt>
                      <c:pt idx="15">
                        <c:v>45444</c:v>
                      </c:pt>
                      <c:pt idx="16">
                        <c:v>45474</c:v>
                      </c:pt>
                      <c:pt idx="17">
                        <c:v>45505</c:v>
                      </c:pt>
                      <c:pt idx="18">
                        <c:v>45536</c:v>
                      </c:pt>
                      <c:pt idx="19">
                        <c:v>45566</c:v>
                      </c:pt>
                      <c:pt idx="20">
                        <c:v>45597</c:v>
                      </c:pt>
                      <c:pt idx="21">
                        <c:v>45627</c:v>
                      </c:pt>
                      <c:pt idx="22">
                        <c:v>45658</c:v>
                      </c:pt>
                      <c:pt idx="23">
                        <c:v>45689</c:v>
                      </c:pt>
                      <c:pt idx="24">
                        <c:v>45717</c:v>
                      </c:pt>
                      <c:pt idx="25">
                        <c:v>45748</c:v>
                      </c:pt>
                      <c:pt idx="26">
                        <c:v>45778</c:v>
                      </c:pt>
                      <c:pt idx="27">
                        <c:v>45809</c:v>
                      </c:pt>
                      <c:pt idx="28">
                        <c:v>45839</c:v>
                      </c:pt>
                      <c:pt idx="29">
                        <c:v>45870</c:v>
                      </c:pt>
                      <c:pt idx="30">
                        <c:v>45901</c:v>
                      </c:pt>
                      <c:pt idx="31">
                        <c:v>45931</c:v>
                      </c:pt>
                      <c:pt idx="32">
                        <c:v>45962</c:v>
                      </c:pt>
                      <c:pt idx="33">
                        <c:v>45992</c:v>
                      </c:pt>
                      <c:pt idx="34">
                        <c:v>46023</c:v>
                      </c:pt>
                      <c:pt idx="35">
                        <c:v>46054</c:v>
                      </c:pt>
                      <c:pt idx="36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data'!$D$13:$AN$13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0.29999999999999982</c:v>
                      </c:pt>
                      <c:pt idx="1">
                        <c:v>1.7999999999999998</c:v>
                      </c:pt>
                      <c:pt idx="2">
                        <c:v>1.7999999999999998</c:v>
                      </c:pt>
                      <c:pt idx="3">
                        <c:v>1.7999999999999998</c:v>
                      </c:pt>
                      <c:pt idx="4">
                        <c:v>2.4000000000000004</c:v>
                      </c:pt>
                      <c:pt idx="5">
                        <c:v>2.4000000000000004</c:v>
                      </c:pt>
                      <c:pt idx="6">
                        <c:v>2.4000000000000004</c:v>
                      </c:pt>
                      <c:pt idx="7">
                        <c:v>2.2999999999999998</c:v>
                      </c:pt>
                      <c:pt idx="8">
                        <c:v>2.2999999999999998</c:v>
                      </c:pt>
                      <c:pt idx="9">
                        <c:v>2.2999999999999998</c:v>
                      </c:pt>
                      <c:pt idx="10">
                        <c:v>2.8</c:v>
                      </c:pt>
                      <c:pt idx="11">
                        <c:v>2.8</c:v>
                      </c:pt>
                      <c:pt idx="12">
                        <c:v>2.8</c:v>
                      </c:pt>
                      <c:pt idx="13">
                        <c:v>1.5</c:v>
                      </c:pt>
                      <c:pt idx="14">
                        <c:v>1.5</c:v>
                      </c:pt>
                      <c:pt idx="15">
                        <c:v>1.5</c:v>
                      </c:pt>
                      <c:pt idx="16">
                        <c:v>1.1999999999999997</c:v>
                      </c:pt>
                      <c:pt idx="17">
                        <c:v>1.1999999999999997</c:v>
                      </c:pt>
                      <c:pt idx="18">
                        <c:v>1.1999999999999997</c:v>
                      </c:pt>
                      <c:pt idx="19">
                        <c:v>1.0999999999999999</c:v>
                      </c:pt>
                      <c:pt idx="20">
                        <c:v>1.0999999999999999</c:v>
                      </c:pt>
                      <c:pt idx="21">
                        <c:v>1.0999999999999999</c:v>
                      </c:pt>
                      <c:pt idx="22">
                        <c:v>-0.5</c:v>
                      </c:pt>
                      <c:pt idx="23">
                        <c:v>-0.5</c:v>
                      </c:pt>
                      <c:pt idx="24">
                        <c:v>-0.5</c:v>
                      </c:pt>
                      <c:pt idx="25">
                        <c:v>0.5</c:v>
                      </c:pt>
                      <c:pt idx="26">
                        <c:v>0.5</c:v>
                      </c:pt>
                      <c:pt idx="27">
                        <c:v>0.5</c:v>
                      </c:pt>
                      <c:pt idx="28">
                        <c:v>1.5999999999999999</c:v>
                      </c:pt>
                      <c:pt idx="29">
                        <c:v>1.5999999999999999</c:v>
                      </c:pt>
                      <c:pt idx="30">
                        <c:v>1.5999999999999999</c:v>
                      </c:pt>
                      <c:pt idx="31">
                        <c:v>0.89999999999999991</c:v>
                      </c:pt>
                      <c:pt idx="32">
                        <c:v>0.89999999999999991</c:v>
                      </c:pt>
                      <c:pt idx="33">
                        <c:v>0.89999999999999991</c:v>
                      </c:pt>
                      <c:pt idx="34">
                        <c:v>2.4000000000000004</c:v>
                      </c:pt>
                      <c:pt idx="35">
                        <c:v>2.4000000000000004</c:v>
                      </c:pt>
                      <c:pt idx="36">
                        <c:v>2.4000000000000004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82C0-D342-8A75-8C8F3F20D52C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3492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data'!$D$1:$AN$1</c15:sqref>
                        </c15:formulaRef>
                      </c:ext>
                    </c:extLst>
                    <c:numCache>
                      <c:formatCode>[$-409]mmm\-yy;@</c:formatCode>
                      <c:ptCount val="37"/>
                      <c:pt idx="0">
                        <c:v>44986</c:v>
                      </c:pt>
                      <c:pt idx="1">
                        <c:v>45017</c:v>
                      </c:pt>
                      <c:pt idx="2">
                        <c:v>45047</c:v>
                      </c:pt>
                      <c:pt idx="3">
                        <c:v>45078</c:v>
                      </c:pt>
                      <c:pt idx="4">
                        <c:v>45108</c:v>
                      </c:pt>
                      <c:pt idx="5">
                        <c:v>45139</c:v>
                      </c:pt>
                      <c:pt idx="6">
                        <c:v>45170</c:v>
                      </c:pt>
                      <c:pt idx="7">
                        <c:v>45200</c:v>
                      </c:pt>
                      <c:pt idx="8">
                        <c:v>45231</c:v>
                      </c:pt>
                      <c:pt idx="9">
                        <c:v>45261</c:v>
                      </c:pt>
                      <c:pt idx="10">
                        <c:v>45292</c:v>
                      </c:pt>
                      <c:pt idx="11">
                        <c:v>45323</c:v>
                      </c:pt>
                      <c:pt idx="12">
                        <c:v>45352</c:v>
                      </c:pt>
                      <c:pt idx="13">
                        <c:v>45383</c:v>
                      </c:pt>
                      <c:pt idx="14">
                        <c:v>45413</c:v>
                      </c:pt>
                      <c:pt idx="15">
                        <c:v>45444</c:v>
                      </c:pt>
                      <c:pt idx="16">
                        <c:v>45474</c:v>
                      </c:pt>
                      <c:pt idx="17">
                        <c:v>45505</c:v>
                      </c:pt>
                      <c:pt idx="18">
                        <c:v>45536</c:v>
                      </c:pt>
                      <c:pt idx="19">
                        <c:v>45566</c:v>
                      </c:pt>
                      <c:pt idx="20">
                        <c:v>45597</c:v>
                      </c:pt>
                      <c:pt idx="21">
                        <c:v>45627</c:v>
                      </c:pt>
                      <c:pt idx="22">
                        <c:v>45658</c:v>
                      </c:pt>
                      <c:pt idx="23">
                        <c:v>45689</c:v>
                      </c:pt>
                      <c:pt idx="24">
                        <c:v>45717</c:v>
                      </c:pt>
                      <c:pt idx="25">
                        <c:v>45748</c:v>
                      </c:pt>
                      <c:pt idx="26">
                        <c:v>45778</c:v>
                      </c:pt>
                      <c:pt idx="27">
                        <c:v>45809</c:v>
                      </c:pt>
                      <c:pt idx="28">
                        <c:v>45839</c:v>
                      </c:pt>
                      <c:pt idx="29">
                        <c:v>45870</c:v>
                      </c:pt>
                      <c:pt idx="30">
                        <c:v>45901</c:v>
                      </c:pt>
                      <c:pt idx="31">
                        <c:v>45931</c:v>
                      </c:pt>
                      <c:pt idx="32">
                        <c:v>45962</c:v>
                      </c:pt>
                      <c:pt idx="33">
                        <c:v>45992</c:v>
                      </c:pt>
                      <c:pt idx="34">
                        <c:v>46023</c:v>
                      </c:pt>
                      <c:pt idx="35">
                        <c:v>46054</c:v>
                      </c:pt>
                      <c:pt idx="36">
                        <c:v>46082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'GDP data'!$D$14:$AN$14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-0.80000000000000027</c:v>
                      </c:pt>
                      <c:pt idx="1">
                        <c:v>0.69999999999999973</c:v>
                      </c:pt>
                      <c:pt idx="2">
                        <c:v>0.69999999999999973</c:v>
                      </c:pt>
                      <c:pt idx="3">
                        <c:v>0.69999999999999973</c:v>
                      </c:pt>
                      <c:pt idx="4">
                        <c:v>1.9000000000000001</c:v>
                      </c:pt>
                      <c:pt idx="5">
                        <c:v>1.9000000000000001</c:v>
                      </c:pt>
                      <c:pt idx="6">
                        <c:v>1.9000000000000001</c:v>
                      </c:pt>
                      <c:pt idx="7">
                        <c:v>2.0999999999999996</c:v>
                      </c:pt>
                      <c:pt idx="8">
                        <c:v>2.0999999999999996</c:v>
                      </c:pt>
                      <c:pt idx="9">
                        <c:v>2.0999999999999996</c:v>
                      </c:pt>
                      <c:pt idx="10">
                        <c:v>1.9</c:v>
                      </c:pt>
                      <c:pt idx="11">
                        <c:v>1.9</c:v>
                      </c:pt>
                      <c:pt idx="12">
                        <c:v>1.9</c:v>
                      </c:pt>
                      <c:pt idx="13">
                        <c:v>1.4000000000000001</c:v>
                      </c:pt>
                      <c:pt idx="14">
                        <c:v>1.4000000000000001</c:v>
                      </c:pt>
                      <c:pt idx="15">
                        <c:v>1.4000000000000001</c:v>
                      </c:pt>
                      <c:pt idx="16">
                        <c:v>0.39999999999999991</c:v>
                      </c:pt>
                      <c:pt idx="17">
                        <c:v>0.39999999999999991</c:v>
                      </c:pt>
                      <c:pt idx="18">
                        <c:v>0.39999999999999991</c:v>
                      </c:pt>
                      <c:pt idx="19">
                        <c:v>-0.70000000000000018</c:v>
                      </c:pt>
                      <c:pt idx="20">
                        <c:v>-0.70000000000000018</c:v>
                      </c:pt>
                      <c:pt idx="21">
                        <c:v>-0.70000000000000018</c:v>
                      </c:pt>
                      <c:pt idx="22">
                        <c:v>-0.89999999999999991</c:v>
                      </c:pt>
                      <c:pt idx="23">
                        <c:v>-0.89999999999999991</c:v>
                      </c:pt>
                      <c:pt idx="24">
                        <c:v>-0.89999999999999991</c:v>
                      </c:pt>
                      <c:pt idx="25">
                        <c:v>0.30000000000000004</c:v>
                      </c:pt>
                      <c:pt idx="26">
                        <c:v>0.30000000000000004</c:v>
                      </c:pt>
                      <c:pt idx="27">
                        <c:v>0.30000000000000004</c:v>
                      </c:pt>
                      <c:pt idx="28">
                        <c:v>0.69999999999999973</c:v>
                      </c:pt>
                      <c:pt idx="29">
                        <c:v>0.69999999999999973</c:v>
                      </c:pt>
                      <c:pt idx="30">
                        <c:v>0.69999999999999973</c:v>
                      </c:pt>
                      <c:pt idx="31">
                        <c:v>1.3</c:v>
                      </c:pt>
                      <c:pt idx="32">
                        <c:v>1.3</c:v>
                      </c:pt>
                      <c:pt idx="33">
                        <c:v>1.3</c:v>
                      </c:pt>
                      <c:pt idx="34">
                        <c:v>2.6</c:v>
                      </c:pt>
                      <c:pt idx="35">
                        <c:v>2.6</c:v>
                      </c:pt>
                      <c:pt idx="36">
                        <c:v>2.6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82C0-D342-8A75-8C8F3F20D52C}"/>
                  </c:ext>
                </c:extLst>
              </c15:ser>
            </c15:filteredLineSeries>
          </c:ext>
        </c:extLst>
      </c:lineChart>
      <c:dateAx>
        <c:axId val="443838832"/>
        <c:scaling>
          <c:orientation val="minMax"/>
          <c:max val="46357"/>
          <c:min val="36586"/>
        </c:scaling>
        <c:delete val="0"/>
        <c:axPos val="b"/>
        <c:numFmt formatCode="[$-409]mmm\-yy;@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43839920"/>
        <c:crosses val="autoZero"/>
        <c:auto val="1"/>
        <c:lblOffset val="100"/>
        <c:baseTimeUnit val="months"/>
      </c:dateAx>
      <c:valAx>
        <c:axId val="44383992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_ ;\-#,##0.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43838832"/>
        <c:crosses val="autoZero"/>
        <c:crossBetween val="between"/>
        <c:majorUnit val="1"/>
        <c:min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'GDP data'!$A$2</c:f>
              <c:strCache>
                <c:ptCount val="1"/>
                <c:pt idx="0">
                  <c:v>Australia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data'!$D$2:$AN$2</c:f>
              <c:numCache>
                <c:formatCode>#,##0.0_ ;\-#,##0.0\ </c:formatCode>
                <c:ptCount val="37"/>
                <c:pt idx="0">
                  <c:v>2.8</c:v>
                </c:pt>
                <c:pt idx="1">
                  <c:v>2.2999999999999998</c:v>
                </c:pt>
                <c:pt idx="2">
                  <c:v>2.2999999999999998</c:v>
                </c:pt>
                <c:pt idx="3">
                  <c:v>2.2999999999999998</c:v>
                </c:pt>
                <c:pt idx="4">
                  <c:v>2.2000000000000002</c:v>
                </c:pt>
                <c:pt idx="5">
                  <c:v>2.2000000000000002</c:v>
                </c:pt>
                <c:pt idx="6">
                  <c:v>2.2000000000000002</c:v>
                </c:pt>
                <c:pt idx="7">
                  <c:v>1.3</c:v>
                </c:pt>
                <c:pt idx="8">
                  <c:v>1.3</c:v>
                </c:pt>
                <c:pt idx="9">
                  <c:v>1.3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1.1000000000000001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1.3</c:v>
                </c:pt>
                <c:pt idx="23">
                  <c:v>1.3</c:v>
                </c:pt>
                <c:pt idx="24">
                  <c:v>1.3</c:v>
                </c:pt>
                <c:pt idx="25">
                  <c:v>1.9</c:v>
                </c:pt>
                <c:pt idx="26">
                  <c:v>1.9</c:v>
                </c:pt>
                <c:pt idx="27">
                  <c:v>1.9</c:v>
                </c:pt>
                <c:pt idx="28">
                  <c:v>2.1</c:v>
                </c:pt>
                <c:pt idx="29">
                  <c:v>2.1</c:v>
                </c:pt>
                <c:pt idx="30">
                  <c:v>2.1</c:v>
                </c:pt>
                <c:pt idx="31">
                  <c:v>2.6</c:v>
                </c:pt>
                <c:pt idx="32">
                  <c:v>2.6</c:v>
                </c:pt>
                <c:pt idx="33">
                  <c:v>2.6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10-FE44-A251-C50F38CA1E2F}"/>
            </c:ext>
          </c:extLst>
        </c:ser>
        <c:ser>
          <c:idx val="1"/>
          <c:order val="1"/>
          <c:tx>
            <c:strRef>
              <c:f>'GDP data'!$A$3</c:f>
              <c:strCache>
                <c:ptCount val="1"/>
                <c:pt idx="0">
                  <c:v>Canada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data'!$D$3:$AN$3</c:f>
              <c:numCache>
                <c:formatCode>General</c:formatCode>
                <c:ptCount val="37"/>
                <c:pt idx="0">
                  <c:v>3.1</c:v>
                </c:pt>
                <c:pt idx="1">
                  <c:v>2.1</c:v>
                </c:pt>
                <c:pt idx="2">
                  <c:v>2.1</c:v>
                </c:pt>
                <c:pt idx="3">
                  <c:v>2.1</c:v>
                </c:pt>
                <c:pt idx="4">
                  <c:v>1.3</c:v>
                </c:pt>
                <c:pt idx="5">
                  <c:v>1.3</c:v>
                </c:pt>
                <c:pt idx="6">
                  <c:v>1.3</c:v>
                </c:pt>
                <c:pt idx="7">
                  <c:v>1.3</c:v>
                </c:pt>
                <c:pt idx="8">
                  <c:v>1.3</c:v>
                </c:pt>
                <c:pt idx="9">
                  <c:v>1.3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1.7</c:v>
                </c:pt>
                <c:pt idx="14">
                  <c:v>1.7</c:v>
                </c:pt>
                <c:pt idx="15">
                  <c:v>1.7</c:v>
                </c:pt>
                <c:pt idx="16">
                  <c:v>2.4</c:v>
                </c:pt>
                <c:pt idx="17">
                  <c:v>2.4</c:v>
                </c:pt>
                <c:pt idx="18">
                  <c:v>2.4</c:v>
                </c:pt>
                <c:pt idx="19">
                  <c:v>3.1</c:v>
                </c:pt>
                <c:pt idx="20">
                  <c:v>3.1</c:v>
                </c:pt>
                <c:pt idx="21">
                  <c:v>3.1</c:v>
                </c:pt>
                <c:pt idx="22">
                  <c:v>2.9</c:v>
                </c:pt>
                <c:pt idx="23">
                  <c:v>2.9</c:v>
                </c:pt>
                <c:pt idx="24">
                  <c:v>2.9</c:v>
                </c:pt>
                <c:pt idx="25">
                  <c:v>1.8</c:v>
                </c:pt>
                <c:pt idx="26">
                  <c:v>1.8</c:v>
                </c:pt>
                <c:pt idx="27">
                  <c:v>1.8</c:v>
                </c:pt>
                <c:pt idx="28">
                  <c:v>1.6</c:v>
                </c:pt>
                <c:pt idx="29">
                  <c:v>1.6</c:v>
                </c:pt>
                <c:pt idx="30">
                  <c:v>1.6</c:v>
                </c:pt>
                <c:pt idx="31">
                  <c:v>0.7</c:v>
                </c:pt>
                <c:pt idx="32">
                  <c:v>0.7</c:v>
                </c:pt>
                <c:pt idx="33">
                  <c:v>0.7</c:v>
                </c:pt>
                <c:pt idx="34">
                  <c:v>0.1</c:v>
                </c:pt>
                <c:pt idx="35">
                  <c:v>0.1</c:v>
                </c:pt>
                <c:pt idx="36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10-FE44-A251-C50F38CA1E2F}"/>
            </c:ext>
          </c:extLst>
        </c:ser>
        <c:ser>
          <c:idx val="9"/>
          <c:order val="2"/>
          <c:tx>
            <c:strRef>
              <c:f>'GDP data'!$A$4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data'!$D$4:$AN$4</c:f>
              <c:numCache>
                <c:formatCode>General</c:formatCode>
                <c:ptCount val="37"/>
                <c:pt idx="0">
                  <c:v>1.8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-1.3</c:v>
                </c:pt>
                <c:pt idx="11">
                  <c:v>-1.3</c:v>
                </c:pt>
                <c:pt idx="12">
                  <c:v>-1.3</c:v>
                </c:pt>
                <c:pt idx="13">
                  <c:v>-1.2</c:v>
                </c:pt>
                <c:pt idx="14">
                  <c:v>-1.2</c:v>
                </c:pt>
                <c:pt idx="15">
                  <c:v>-1.2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1.6</c:v>
                </c:pt>
                <c:pt idx="23">
                  <c:v>1.6</c:v>
                </c:pt>
                <c:pt idx="24">
                  <c:v>1.6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10-FE44-A251-C50F38CA1E2F}"/>
            </c:ext>
          </c:extLst>
        </c:ser>
        <c:ser>
          <c:idx val="12"/>
          <c:order val="3"/>
          <c:tx>
            <c:strRef>
              <c:f>'GDP data'!$A$5</c:f>
              <c:strCache>
                <c:ptCount val="1"/>
                <c:pt idx="0">
                  <c:v>New Zealand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data'!$D$5:$AN$5</c:f>
              <c:numCache>
                <c:formatCode>General</c:formatCode>
                <c:ptCount val="37"/>
                <c:pt idx="0">
                  <c:v>3.1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1.2</c:v>
                </c:pt>
                <c:pt idx="5">
                  <c:v>1.2</c:v>
                </c:pt>
                <c:pt idx="6">
                  <c:v>1.2</c:v>
                </c:pt>
                <c:pt idx="7">
                  <c:v>1.4</c:v>
                </c:pt>
                <c:pt idx="8">
                  <c:v>1.4</c:v>
                </c:pt>
                <c:pt idx="9">
                  <c:v>1.4</c:v>
                </c:pt>
                <c:pt idx="10">
                  <c:v>1.6</c:v>
                </c:pt>
                <c:pt idx="11">
                  <c:v>1.6</c:v>
                </c:pt>
                <c:pt idx="12">
                  <c:v>1.6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-1.2</c:v>
                </c:pt>
                <c:pt idx="17">
                  <c:v>-1.2</c:v>
                </c:pt>
                <c:pt idx="18">
                  <c:v>-1.2</c:v>
                </c:pt>
                <c:pt idx="19">
                  <c:v>-1.6</c:v>
                </c:pt>
                <c:pt idx="20">
                  <c:v>-1.6</c:v>
                </c:pt>
                <c:pt idx="21">
                  <c:v>-1.6</c:v>
                </c:pt>
                <c:pt idx="22">
                  <c:v>-0.7</c:v>
                </c:pt>
                <c:pt idx="23">
                  <c:v>-0.7</c:v>
                </c:pt>
                <c:pt idx="24">
                  <c:v>-0.7</c:v>
                </c:pt>
                <c:pt idx="25">
                  <c:v>-1.1000000000000001</c:v>
                </c:pt>
                <c:pt idx="26">
                  <c:v>-1.1000000000000001</c:v>
                </c:pt>
                <c:pt idx="27">
                  <c:v>-1.1000000000000001</c:v>
                </c:pt>
                <c:pt idx="28">
                  <c:v>1.1000000000000001</c:v>
                </c:pt>
                <c:pt idx="29">
                  <c:v>1.1000000000000001</c:v>
                </c:pt>
                <c:pt idx="30">
                  <c:v>1.1000000000000001</c:v>
                </c:pt>
                <c:pt idx="31">
                  <c:v>1.3</c:v>
                </c:pt>
                <c:pt idx="32">
                  <c:v>1.3</c:v>
                </c:pt>
                <c:pt idx="33">
                  <c:v>1.3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10-FE44-A251-C50F38CA1E2F}"/>
            </c:ext>
          </c:extLst>
        </c:ser>
        <c:ser>
          <c:idx val="17"/>
          <c:order val="4"/>
          <c:tx>
            <c:strRef>
              <c:f>'GDP data'!$A$6</c:f>
              <c:strCache>
                <c:ptCount val="1"/>
                <c:pt idx="0">
                  <c:v>Switzerland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data'!$D$6:$AN$6</c:f>
              <c:numCache>
                <c:formatCode>General</c:formatCode>
                <c:ptCount val="37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1.6</c:v>
                </c:pt>
                <c:pt idx="14">
                  <c:v>1.6</c:v>
                </c:pt>
                <c:pt idx="15">
                  <c:v>1.6</c:v>
                </c:pt>
                <c:pt idx="16">
                  <c:v>1.6</c:v>
                </c:pt>
                <c:pt idx="17">
                  <c:v>1.6</c:v>
                </c:pt>
                <c:pt idx="18">
                  <c:v>1.6</c:v>
                </c:pt>
                <c:pt idx="19">
                  <c:v>1.3</c:v>
                </c:pt>
                <c:pt idx="20">
                  <c:v>1.3</c:v>
                </c:pt>
                <c:pt idx="21">
                  <c:v>1.3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1.6</c:v>
                </c:pt>
                <c:pt idx="26">
                  <c:v>1.6</c:v>
                </c:pt>
                <c:pt idx="27">
                  <c:v>1.6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  <c:pt idx="31">
                  <c:v>1.1000000000000001</c:v>
                </c:pt>
                <c:pt idx="32">
                  <c:v>1.1000000000000001</c:v>
                </c:pt>
                <c:pt idx="33">
                  <c:v>1.1000000000000001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10-FE44-A251-C50F38CA1E2F}"/>
            </c:ext>
          </c:extLst>
        </c:ser>
        <c:ser>
          <c:idx val="19"/>
          <c:order val="5"/>
          <c:tx>
            <c:strRef>
              <c:f>'GDP data'!$A$7</c:f>
              <c:strCache>
                <c:ptCount val="1"/>
                <c:pt idx="0">
                  <c:v>United Kingdom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data'!$D$7:$AN$7</c:f>
              <c:numCache>
                <c:formatCode>General</c:formatCode>
                <c:ptCount val="37"/>
                <c:pt idx="0">
                  <c:v>1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-0.5</c:v>
                </c:pt>
                <c:pt idx="8">
                  <c:v>-0.5</c:v>
                </c:pt>
                <c:pt idx="9">
                  <c:v>-0.5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1.3</c:v>
                </c:pt>
                <c:pt idx="17">
                  <c:v>1.3</c:v>
                </c:pt>
                <c:pt idx="18">
                  <c:v>1.3</c:v>
                </c:pt>
                <c:pt idx="19">
                  <c:v>1.9</c:v>
                </c:pt>
                <c:pt idx="20">
                  <c:v>1.9</c:v>
                </c:pt>
                <c:pt idx="21">
                  <c:v>1.9</c:v>
                </c:pt>
                <c:pt idx="22">
                  <c:v>1.8</c:v>
                </c:pt>
                <c:pt idx="23">
                  <c:v>1.8</c:v>
                </c:pt>
                <c:pt idx="24">
                  <c:v>1.8</c:v>
                </c:pt>
                <c:pt idx="25">
                  <c:v>1.4</c:v>
                </c:pt>
                <c:pt idx="26">
                  <c:v>1.4</c:v>
                </c:pt>
                <c:pt idx="27">
                  <c:v>1.4</c:v>
                </c:pt>
                <c:pt idx="28">
                  <c:v>1.3</c:v>
                </c:pt>
                <c:pt idx="29">
                  <c:v>1.3</c:v>
                </c:pt>
                <c:pt idx="30">
                  <c:v>1.3</c:v>
                </c:pt>
                <c:pt idx="31">
                  <c:v>0.9</c:v>
                </c:pt>
                <c:pt idx="32">
                  <c:v>0.9</c:v>
                </c:pt>
                <c:pt idx="33">
                  <c:v>0.9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10-FE44-A251-C50F38CA1E2F}"/>
            </c:ext>
          </c:extLst>
        </c:ser>
        <c:ser>
          <c:idx val="20"/>
          <c:order val="6"/>
          <c:tx>
            <c:strRef>
              <c:f>'GDP data'!$A$8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data'!$D$8:$AN$8</c:f>
              <c:numCache>
                <c:formatCode>General</c:formatCode>
                <c:ptCount val="37"/>
                <c:pt idx="0">
                  <c:v>2.2999999999999998</c:v>
                </c:pt>
                <c:pt idx="1">
                  <c:v>2.8</c:v>
                </c:pt>
                <c:pt idx="2">
                  <c:v>2.8</c:v>
                </c:pt>
                <c:pt idx="3">
                  <c:v>2.8</c:v>
                </c:pt>
                <c:pt idx="4">
                  <c:v>3.2</c:v>
                </c:pt>
                <c:pt idx="5">
                  <c:v>3.2</c:v>
                </c:pt>
                <c:pt idx="6">
                  <c:v>3.2</c:v>
                </c:pt>
                <c:pt idx="7">
                  <c:v>3.4</c:v>
                </c:pt>
                <c:pt idx="8">
                  <c:v>3.4</c:v>
                </c:pt>
                <c:pt idx="9">
                  <c:v>3.4</c:v>
                </c:pt>
                <c:pt idx="10">
                  <c:v>2.9</c:v>
                </c:pt>
                <c:pt idx="11">
                  <c:v>2.9</c:v>
                </c:pt>
                <c:pt idx="12">
                  <c:v>2.9</c:v>
                </c:pt>
                <c:pt idx="13">
                  <c:v>3.1</c:v>
                </c:pt>
                <c:pt idx="14">
                  <c:v>3.1</c:v>
                </c:pt>
                <c:pt idx="15">
                  <c:v>3.1</c:v>
                </c:pt>
                <c:pt idx="16">
                  <c:v>2.8</c:v>
                </c:pt>
                <c:pt idx="17">
                  <c:v>2.8</c:v>
                </c:pt>
                <c:pt idx="18">
                  <c:v>2.8</c:v>
                </c:pt>
                <c:pt idx="19">
                  <c:v>2.4</c:v>
                </c:pt>
                <c:pt idx="20">
                  <c:v>2.4</c:v>
                </c:pt>
                <c:pt idx="21">
                  <c:v>2.4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2.1</c:v>
                </c:pt>
                <c:pt idx="26">
                  <c:v>2.1</c:v>
                </c:pt>
                <c:pt idx="27">
                  <c:v>2.1</c:v>
                </c:pt>
                <c:pt idx="28">
                  <c:v>2.2999999999999998</c:v>
                </c:pt>
                <c:pt idx="29">
                  <c:v>2.2999999999999998</c:v>
                </c:pt>
                <c:pt idx="30">
                  <c:v>2.2999999999999998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2.7</c:v>
                </c:pt>
                <c:pt idx="35">
                  <c:v>2.7</c:v>
                </c:pt>
                <c:pt idx="36">
                  <c:v>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10-FE44-A251-C50F38CA1E2F}"/>
            </c:ext>
          </c:extLst>
        </c:ser>
        <c:ser>
          <c:idx val="21"/>
          <c:order val="7"/>
          <c:tx>
            <c:strRef>
              <c:f>'GDP data'!$A$9</c:f>
              <c:strCache>
                <c:ptCount val="1"/>
                <c:pt idx="0">
                  <c:v>Euro area (19 countries)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'GDP data'!$D$1:$AN$1</c:f>
              <c:numCache>
                <c:formatCode>[$-409]mmm\-yy;@</c:formatCode>
                <c:ptCount val="37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</c:numCache>
            </c:numRef>
          </c:cat>
          <c:val>
            <c:numRef>
              <c:f>'GDP data'!$D$9:$AN$9</c:f>
              <c:numCache>
                <c:formatCode>General</c:formatCode>
                <c:ptCount val="37"/>
                <c:pt idx="0">
                  <c:v>1.3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1.3</c:v>
                </c:pt>
                <c:pt idx="20">
                  <c:v>1.3</c:v>
                </c:pt>
                <c:pt idx="21">
                  <c:v>1.3</c:v>
                </c:pt>
                <c:pt idx="22">
                  <c:v>1.6</c:v>
                </c:pt>
                <c:pt idx="23">
                  <c:v>1.6</c:v>
                </c:pt>
                <c:pt idx="24">
                  <c:v>1.6</c:v>
                </c:pt>
                <c:pt idx="25">
                  <c:v>1.4</c:v>
                </c:pt>
                <c:pt idx="26">
                  <c:v>1.4</c:v>
                </c:pt>
                <c:pt idx="27">
                  <c:v>1.4</c:v>
                </c:pt>
                <c:pt idx="28">
                  <c:v>1.2</c:v>
                </c:pt>
                <c:pt idx="29">
                  <c:v>1.2</c:v>
                </c:pt>
                <c:pt idx="30">
                  <c:v>1.2</c:v>
                </c:pt>
                <c:pt idx="31">
                  <c:v>1.1000000000000001</c:v>
                </c:pt>
                <c:pt idx="32">
                  <c:v>1.1000000000000001</c:v>
                </c:pt>
                <c:pt idx="33">
                  <c:v>1.1000000000000001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10-FE44-A251-C50F38CA1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7686272"/>
        <c:axId val="387685376"/>
      </c:lineChart>
      <c:dateAx>
        <c:axId val="387686272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387685376"/>
        <c:crosses val="autoZero"/>
        <c:auto val="1"/>
        <c:lblOffset val="100"/>
        <c:baseTimeUnit val="months"/>
      </c:dateAx>
      <c:valAx>
        <c:axId val="38768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;\-#,##0.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38768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3099719490874916E-3"/>
          <c:y val="0.8276287866997466"/>
          <c:w val="0.99868998077991289"/>
          <c:h val="0.172371280070101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928499992957051E-2"/>
          <c:y val="4.7690188916499496E-2"/>
          <c:w val="0.95628794388179117"/>
          <c:h val="0.86510403880123354"/>
        </c:manualLayout>
      </c:layout>
      <c:areaChart>
        <c:grouping val="stacked"/>
        <c:varyColors val="0"/>
        <c:ser>
          <c:idx val="0"/>
          <c:order val="0"/>
          <c:tx>
            <c:strRef>
              <c:f>'GDP data'!$A$12</c:f>
              <c:strCache>
                <c:ptCount val="1"/>
                <c:pt idx="0">
                  <c:v>USD JPY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data'!$D$12:$AW$12</c:f>
              <c:numCache>
                <c:formatCode>General</c:formatCode>
                <c:ptCount val="46"/>
                <c:pt idx="0">
                  <c:v>-0.80000000000000027</c:v>
                </c:pt>
                <c:pt idx="1">
                  <c:v>0.69999999999999973</c:v>
                </c:pt>
                <c:pt idx="2">
                  <c:v>0.69999999999999973</c:v>
                </c:pt>
                <c:pt idx="3">
                  <c:v>0.69999999999999973</c:v>
                </c:pt>
                <c:pt idx="4">
                  <c:v>1.9000000000000001</c:v>
                </c:pt>
                <c:pt idx="5">
                  <c:v>1.9000000000000001</c:v>
                </c:pt>
                <c:pt idx="6">
                  <c:v>1.9000000000000001</c:v>
                </c:pt>
                <c:pt idx="7">
                  <c:v>2.0999999999999996</c:v>
                </c:pt>
                <c:pt idx="8">
                  <c:v>2.0999999999999996</c:v>
                </c:pt>
                <c:pt idx="9">
                  <c:v>2.0999999999999996</c:v>
                </c:pt>
                <c:pt idx="10">
                  <c:v>1.9</c:v>
                </c:pt>
                <c:pt idx="11">
                  <c:v>1.9</c:v>
                </c:pt>
                <c:pt idx="12">
                  <c:v>1.9</c:v>
                </c:pt>
                <c:pt idx="13">
                  <c:v>1.4000000000000001</c:v>
                </c:pt>
                <c:pt idx="14">
                  <c:v>1.4000000000000001</c:v>
                </c:pt>
                <c:pt idx="15">
                  <c:v>1.4000000000000001</c:v>
                </c:pt>
                <c:pt idx="16">
                  <c:v>0.39999999999999991</c:v>
                </c:pt>
                <c:pt idx="17">
                  <c:v>0.39999999999999991</c:v>
                </c:pt>
                <c:pt idx="18">
                  <c:v>0.39999999999999991</c:v>
                </c:pt>
                <c:pt idx="19">
                  <c:v>-0.70000000000000018</c:v>
                </c:pt>
                <c:pt idx="20">
                  <c:v>-0.70000000000000018</c:v>
                </c:pt>
                <c:pt idx="21">
                  <c:v>-0.70000000000000018</c:v>
                </c:pt>
                <c:pt idx="22">
                  <c:v>-0.89999999999999991</c:v>
                </c:pt>
                <c:pt idx="23">
                  <c:v>-0.89999999999999991</c:v>
                </c:pt>
                <c:pt idx="24">
                  <c:v>-0.89999999999999991</c:v>
                </c:pt>
                <c:pt idx="25">
                  <c:v>0.30000000000000004</c:v>
                </c:pt>
                <c:pt idx="26">
                  <c:v>0.30000000000000004</c:v>
                </c:pt>
                <c:pt idx="27">
                  <c:v>0.30000000000000004</c:v>
                </c:pt>
                <c:pt idx="28">
                  <c:v>0.69999999999999973</c:v>
                </c:pt>
                <c:pt idx="29">
                  <c:v>0.69999999999999973</c:v>
                </c:pt>
                <c:pt idx="30">
                  <c:v>0.69999999999999973</c:v>
                </c:pt>
                <c:pt idx="31">
                  <c:v>1.3</c:v>
                </c:pt>
                <c:pt idx="32">
                  <c:v>1.3</c:v>
                </c:pt>
                <c:pt idx="33">
                  <c:v>1.3</c:v>
                </c:pt>
                <c:pt idx="34">
                  <c:v>2.6</c:v>
                </c:pt>
                <c:pt idx="35">
                  <c:v>2.6</c:v>
                </c:pt>
                <c:pt idx="36">
                  <c:v>2.6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0.7</c:v>
                </c:pt>
                <c:pt idx="41">
                  <c:v>0.7</c:v>
                </c:pt>
                <c:pt idx="42">
                  <c:v>0.7</c:v>
                </c:pt>
                <c:pt idx="43">
                  <c:v>-0.29999999999999982</c:v>
                </c:pt>
                <c:pt idx="44">
                  <c:v>-0.29999999999999982</c:v>
                </c:pt>
                <c:pt idx="45">
                  <c:v>-0.29999999999999982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15-2847-BA5C-A7B2F969448B}"/>
            </c:ext>
          </c:extLst>
        </c:ser>
        <c:ser>
          <c:idx val="1"/>
          <c:order val="1"/>
          <c:tx>
            <c:strRef>
              <c:f>'GDP data'!$A$13</c:f>
              <c:strCache>
                <c:ptCount val="1"/>
                <c:pt idx="0">
                  <c:v>USD CHF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data'!$D$13:$AW$13</c:f>
              <c:numCache>
                <c:formatCode>General</c:formatCode>
                <c:ptCount val="46"/>
                <c:pt idx="0">
                  <c:v>0.29999999999999982</c:v>
                </c:pt>
                <c:pt idx="1">
                  <c:v>1.7999999999999998</c:v>
                </c:pt>
                <c:pt idx="2">
                  <c:v>1.7999999999999998</c:v>
                </c:pt>
                <c:pt idx="3">
                  <c:v>1.7999999999999998</c:v>
                </c:pt>
                <c:pt idx="4">
                  <c:v>2.4000000000000004</c:v>
                </c:pt>
                <c:pt idx="5">
                  <c:v>2.4000000000000004</c:v>
                </c:pt>
                <c:pt idx="6">
                  <c:v>2.4000000000000004</c:v>
                </c:pt>
                <c:pt idx="7">
                  <c:v>2.2999999999999998</c:v>
                </c:pt>
                <c:pt idx="8">
                  <c:v>2.2999999999999998</c:v>
                </c:pt>
                <c:pt idx="9">
                  <c:v>2.2999999999999998</c:v>
                </c:pt>
                <c:pt idx="10">
                  <c:v>2.8</c:v>
                </c:pt>
                <c:pt idx="11">
                  <c:v>2.8</c:v>
                </c:pt>
                <c:pt idx="12">
                  <c:v>2.8</c:v>
                </c:pt>
                <c:pt idx="13">
                  <c:v>1.5</c:v>
                </c:pt>
                <c:pt idx="14">
                  <c:v>1.5</c:v>
                </c:pt>
                <c:pt idx="15">
                  <c:v>1.5</c:v>
                </c:pt>
                <c:pt idx="16">
                  <c:v>1.1999999999999997</c:v>
                </c:pt>
                <c:pt idx="17">
                  <c:v>1.1999999999999997</c:v>
                </c:pt>
                <c:pt idx="18">
                  <c:v>1.1999999999999997</c:v>
                </c:pt>
                <c:pt idx="19">
                  <c:v>1.0999999999999999</c:v>
                </c:pt>
                <c:pt idx="20">
                  <c:v>1.0999999999999999</c:v>
                </c:pt>
                <c:pt idx="21">
                  <c:v>1.0999999999999999</c:v>
                </c:pt>
                <c:pt idx="22">
                  <c:v>-0.5</c:v>
                </c:pt>
                <c:pt idx="23">
                  <c:v>-0.5</c:v>
                </c:pt>
                <c:pt idx="24">
                  <c:v>-0.5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1.5999999999999999</c:v>
                </c:pt>
                <c:pt idx="29">
                  <c:v>1.5999999999999999</c:v>
                </c:pt>
                <c:pt idx="30">
                  <c:v>1.5999999999999999</c:v>
                </c:pt>
                <c:pt idx="31">
                  <c:v>0.89999999999999991</c:v>
                </c:pt>
                <c:pt idx="32">
                  <c:v>0.89999999999999991</c:v>
                </c:pt>
                <c:pt idx="33">
                  <c:v>0.89999999999999991</c:v>
                </c:pt>
                <c:pt idx="34">
                  <c:v>2.4000000000000004</c:v>
                </c:pt>
                <c:pt idx="35">
                  <c:v>2.4000000000000004</c:v>
                </c:pt>
                <c:pt idx="36">
                  <c:v>2.4000000000000004</c:v>
                </c:pt>
                <c:pt idx="37">
                  <c:v>-0.19999999999999973</c:v>
                </c:pt>
                <c:pt idx="38">
                  <c:v>-0.19999999999999973</c:v>
                </c:pt>
                <c:pt idx="39">
                  <c:v>-0.19999999999999973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0.60000000000000009</c:v>
                </c:pt>
                <c:pt idx="44">
                  <c:v>0.60000000000000009</c:v>
                </c:pt>
                <c:pt idx="45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15-2847-BA5C-A7B2F969448B}"/>
            </c:ext>
          </c:extLst>
        </c:ser>
        <c:ser>
          <c:idx val="2"/>
          <c:order val="2"/>
          <c:tx>
            <c:strRef>
              <c:f>'GDP data'!$A$14</c:f>
              <c:strCache>
                <c:ptCount val="1"/>
                <c:pt idx="0">
                  <c:v>USD CAD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data'!$D$14:$AW$14</c:f>
              <c:numCache>
                <c:formatCode>General</c:formatCode>
                <c:ptCount val="46"/>
                <c:pt idx="0">
                  <c:v>-0.80000000000000027</c:v>
                </c:pt>
                <c:pt idx="1">
                  <c:v>0.69999999999999973</c:v>
                </c:pt>
                <c:pt idx="2">
                  <c:v>0.69999999999999973</c:v>
                </c:pt>
                <c:pt idx="3">
                  <c:v>0.69999999999999973</c:v>
                </c:pt>
                <c:pt idx="4">
                  <c:v>1.9000000000000001</c:v>
                </c:pt>
                <c:pt idx="5">
                  <c:v>1.9000000000000001</c:v>
                </c:pt>
                <c:pt idx="6">
                  <c:v>1.9000000000000001</c:v>
                </c:pt>
                <c:pt idx="7">
                  <c:v>2.0999999999999996</c:v>
                </c:pt>
                <c:pt idx="8">
                  <c:v>2.0999999999999996</c:v>
                </c:pt>
                <c:pt idx="9">
                  <c:v>2.0999999999999996</c:v>
                </c:pt>
                <c:pt idx="10">
                  <c:v>1.9</c:v>
                </c:pt>
                <c:pt idx="11">
                  <c:v>1.9</c:v>
                </c:pt>
                <c:pt idx="12">
                  <c:v>1.9</c:v>
                </c:pt>
                <c:pt idx="13">
                  <c:v>1.4000000000000001</c:v>
                </c:pt>
                <c:pt idx="14">
                  <c:v>1.4000000000000001</c:v>
                </c:pt>
                <c:pt idx="15">
                  <c:v>1.4000000000000001</c:v>
                </c:pt>
                <c:pt idx="16">
                  <c:v>0.39999999999999991</c:v>
                </c:pt>
                <c:pt idx="17">
                  <c:v>0.39999999999999991</c:v>
                </c:pt>
                <c:pt idx="18">
                  <c:v>0.39999999999999991</c:v>
                </c:pt>
                <c:pt idx="19">
                  <c:v>-0.70000000000000018</c:v>
                </c:pt>
                <c:pt idx="20">
                  <c:v>-0.70000000000000018</c:v>
                </c:pt>
                <c:pt idx="21">
                  <c:v>-0.70000000000000018</c:v>
                </c:pt>
                <c:pt idx="22">
                  <c:v>-0.89999999999999991</c:v>
                </c:pt>
                <c:pt idx="23">
                  <c:v>-0.89999999999999991</c:v>
                </c:pt>
                <c:pt idx="24">
                  <c:v>-0.89999999999999991</c:v>
                </c:pt>
                <c:pt idx="25">
                  <c:v>0.30000000000000004</c:v>
                </c:pt>
                <c:pt idx="26">
                  <c:v>0.30000000000000004</c:v>
                </c:pt>
                <c:pt idx="27">
                  <c:v>0.30000000000000004</c:v>
                </c:pt>
                <c:pt idx="28">
                  <c:v>0.69999999999999973</c:v>
                </c:pt>
                <c:pt idx="29">
                  <c:v>0.69999999999999973</c:v>
                </c:pt>
                <c:pt idx="30">
                  <c:v>0.69999999999999973</c:v>
                </c:pt>
                <c:pt idx="31">
                  <c:v>1.3</c:v>
                </c:pt>
                <c:pt idx="32">
                  <c:v>1.3</c:v>
                </c:pt>
                <c:pt idx="33">
                  <c:v>1.3</c:v>
                </c:pt>
                <c:pt idx="34">
                  <c:v>2.6</c:v>
                </c:pt>
                <c:pt idx="35">
                  <c:v>2.6</c:v>
                </c:pt>
                <c:pt idx="36">
                  <c:v>2.6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0.7</c:v>
                </c:pt>
                <c:pt idx="41">
                  <c:v>0.7</c:v>
                </c:pt>
                <c:pt idx="42">
                  <c:v>0.7</c:v>
                </c:pt>
                <c:pt idx="43">
                  <c:v>-0.29999999999999982</c:v>
                </c:pt>
                <c:pt idx="44">
                  <c:v>-0.29999999999999982</c:v>
                </c:pt>
                <c:pt idx="45">
                  <c:v>-0.29999999999999982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15-2847-BA5C-A7B2F969448B}"/>
            </c:ext>
          </c:extLst>
        </c:ser>
        <c:ser>
          <c:idx val="3"/>
          <c:order val="3"/>
          <c:tx>
            <c:strRef>
              <c:f>'GDP data'!$A$15</c:f>
              <c:strCache>
                <c:ptCount val="1"/>
                <c:pt idx="0">
                  <c:v>EUR USD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data'!$D$15:$AW$15</c:f>
              <c:numCache>
                <c:formatCode>General</c:formatCode>
                <c:ptCount val="46"/>
                <c:pt idx="0">
                  <c:v>-0.99999999999999978</c:v>
                </c:pt>
                <c:pt idx="1">
                  <c:v>-2.1999999999999997</c:v>
                </c:pt>
                <c:pt idx="2">
                  <c:v>-2.1999999999999997</c:v>
                </c:pt>
                <c:pt idx="3">
                  <c:v>-2.1999999999999997</c:v>
                </c:pt>
                <c:pt idx="4">
                  <c:v>-3.1</c:v>
                </c:pt>
                <c:pt idx="5">
                  <c:v>-3.1</c:v>
                </c:pt>
                <c:pt idx="6">
                  <c:v>-3.1</c:v>
                </c:pt>
                <c:pt idx="7">
                  <c:v>-3.1999999999999997</c:v>
                </c:pt>
                <c:pt idx="8">
                  <c:v>-3.1999999999999997</c:v>
                </c:pt>
                <c:pt idx="9">
                  <c:v>-3.1999999999999997</c:v>
                </c:pt>
                <c:pt idx="10">
                  <c:v>-2.2999999999999998</c:v>
                </c:pt>
                <c:pt idx="11">
                  <c:v>-2.2999999999999998</c:v>
                </c:pt>
                <c:pt idx="12">
                  <c:v>-2.2999999999999998</c:v>
                </c:pt>
                <c:pt idx="13">
                  <c:v>-2.5</c:v>
                </c:pt>
                <c:pt idx="14">
                  <c:v>-2.5</c:v>
                </c:pt>
                <c:pt idx="15">
                  <c:v>-2.5</c:v>
                </c:pt>
                <c:pt idx="16">
                  <c:v>-1.7999999999999998</c:v>
                </c:pt>
                <c:pt idx="17">
                  <c:v>-1.7999999999999998</c:v>
                </c:pt>
                <c:pt idx="18">
                  <c:v>-1.7999999999999998</c:v>
                </c:pt>
                <c:pt idx="19">
                  <c:v>-1.0999999999999999</c:v>
                </c:pt>
                <c:pt idx="20">
                  <c:v>-1.0999999999999999</c:v>
                </c:pt>
                <c:pt idx="21">
                  <c:v>-1.0999999999999999</c:v>
                </c:pt>
                <c:pt idx="22">
                  <c:v>-0.39999999999999991</c:v>
                </c:pt>
                <c:pt idx="23">
                  <c:v>-0.39999999999999991</c:v>
                </c:pt>
                <c:pt idx="24">
                  <c:v>-0.39999999999999991</c:v>
                </c:pt>
                <c:pt idx="25">
                  <c:v>-0.70000000000000018</c:v>
                </c:pt>
                <c:pt idx="26">
                  <c:v>-0.70000000000000018</c:v>
                </c:pt>
                <c:pt idx="27">
                  <c:v>-0.70000000000000018</c:v>
                </c:pt>
                <c:pt idx="28">
                  <c:v>-1.0999999999999999</c:v>
                </c:pt>
                <c:pt idx="29">
                  <c:v>-1.0999999999999999</c:v>
                </c:pt>
                <c:pt idx="30">
                  <c:v>-1.0999999999999999</c:v>
                </c:pt>
                <c:pt idx="31">
                  <c:v>-0.89999999999999991</c:v>
                </c:pt>
                <c:pt idx="32">
                  <c:v>-0.89999999999999991</c:v>
                </c:pt>
                <c:pt idx="33">
                  <c:v>-0.89999999999999991</c:v>
                </c:pt>
                <c:pt idx="34">
                  <c:v>-2.2000000000000002</c:v>
                </c:pt>
                <c:pt idx="35">
                  <c:v>-2.2000000000000002</c:v>
                </c:pt>
                <c:pt idx="36">
                  <c:v>-2.2000000000000002</c:v>
                </c:pt>
                <c:pt idx="37">
                  <c:v>-0.90000000000000013</c:v>
                </c:pt>
                <c:pt idx="38">
                  <c:v>-0.90000000000000013</c:v>
                </c:pt>
                <c:pt idx="39">
                  <c:v>-0.90000000000000013</c:v>
                </c:pt>
                <c:pt idx="40">
                  <c:v>-0.8</c:v>
                </c:pt>
                <c:pt idx="41">
                  <c:v>-0.8</c:v>
                </c:pt>
                <c:pt idx="42">
                  <c:v>-0.8</c:v>
                </c:pt>
                <c:pt idx="43">
                  <c:v>-0.90000000000000013</c:v>
                </c:pt>
                <c:pt idx="44">
                  <c:v>-0.90000000000000013</c:v>
                </c:pt>
                <c:pt idx="45">
                  <c:v>-0.90000000000000013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15-2847-BA5C-A7B2F969448B}"/>
            </c:ext>
          </c:extLst>
        </c:ser>
        <c:ser>
          <c:idx val="4"/>
          <c:order val="4"/>
          <c:tx>
            <c:strRef>
              <c:f>'GDP data'!$A$16</c:f>
              <c:strCache>
                <c:ptCount val="1"/>
                <c:pt idx="0">
                  <c:v>EUR JPY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data'!$D$16:$AW$16</c:f>
              <c:numCache>
                <c:formatCode>General</c:formatCode>
                <c:ptCount val="46"/>
                <c:pt idx="0">
                  <c:v>-0.5</c:v>
                </c:pt>
                <c:pt idx="1">
                  <c:v>-0.4</c:v>
                </c:pt>
                <c:pt idx="2">
                  <c:v>-0.4</c:v>
                </c:pt>
                <c:pt idx="3">
                  <c:v>-0.4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1.9</c:v>
                </c:pt>
                <c:pt idx="11">
                  <c:v>1.9</c:v>
                </c:pt>
                <c:pt idx="12">
                  <c:v>1.9</c:v>
                </c:pt>
                <c:pt idx="13">
                  <c:v>1.7999999999999998</c:v>
                </c:pt>
                <c:pt idx="14">
                  <c:v>1.7999999999999998</c:v>
                </c:pt>
                <c:pt idx="15">
                  <c:v>1.7999999999999998</c:v>
                </c:pt>
                <c:pt idx="16">
                  <c:v>0.19999999999999996</c:v>
                </c:pt>
                <c:pt idx="17">
                  <c:v>0.19999999999999996</c:v>
                </c:pt>
                <c:pt idx="18">
                  <c:v>0.19999999999999996</c:v>
                </c:pt>
                <c:pt idx="19">
                  <c:v>0.70000000000000007</c:v>
                </c:pt>
                <c:pt idx="20">
                  <c:v>0.70000000000000007</c:v>
                </c:pt>
                <c:pt idx="21">
                  <c:v>0.70000000000000007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-0.60000000000000009</c:v>
                </c:pt>
                <c:pt idx="26">
                  <c:v>-0.60000000000000009</c:v>
                </c:pt>
                <c:pt idx="27">
                  <c:v>-0.60000000000000009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  <c:pt idx="31">
                  <c:v>0.90000000000000013</c:v>
                </c:pt>
                <c:pt idx="32">
                  <c:v>0.90000000000000013</c:v>
                </c:pt>
                <c:pt idx="33">
                  <c:v>0.90000000000000013</c:v>
                </c:pt>
                <c:pt idx="34">
                  <c:v>-9.9999999999999978E-2</c:v>
                </c:pt>
                <c:pt idx="35">
                  <c:v>-9.9999999999999978E-2</c:v>
                </c:pt>
                <c:pt idx="36">
                  <c:v>-9.9999999999999978E-2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9.9999999999999978E-2</c:v>
                </c:pt>
                <c:pt idx="41">
                  <c:v>9.9999999999999978E-2</c:v>
                </c:pt>
                <c:pt idx="42">
                  <c:v>9.9999999999999978E-2</c:v>
                </c:pt>
                <c:pt idx="43">
                  <c:v>-0.40000000000000013</c:v>
                </c:pt>
                <c:pt idx="44">
                  <c:v>-0.40000000000000013</c:v>
                </c:pt>
                <c:pt idx="45">
                  <c:v>-0.40000000000000013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15-2847-BA5C-A7B2F969448B}"/>
            </c:ext>
          </c:extLst>
        </c:ser>
        <c:ser>
          <c:idx val="5"/>
          <c:order val="5"/>
          <c:tx>
            <c:strRef>
              <c:f>'GDP data'!$A$17</c:f>
              <c:strCache>
                <c:ptCount val="1"/>
                <c:pt idx="0">
                  <c:v>EUR CHF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data'!$D$17:$AW$17</c:f>
              <c:numCache>
                <c:formatCode>General</c:formatCode>
                <c:ptCount val="46"/>
                <c:pt idx="0">
                  <c:v>-0.7</c:v>
                </c:pt>
                <c:pt idx="1">
                  <c:v>-0.4</c:v>
                </c:pt>
                <c:pt idx="2">
                  <c:v>-0.4</c:v>
                </c:pt>
                <c:pt idx="3">
                  <c:v>-0.4</c:v>
                </c:pt>
                <c:pt idx="4">
                  <c:v>-0.70000000000000007</c:v>
                </c:pt>
                <c:pt idx="5">
                  <c:v>-0.70000000000000007</c:v>
                </c:pt>
                <c:pt idx="6">
                  <c:v>-0.70000000000000007</c:v>
                </c:pt>
                <c:pt idx="7">
                  <c:v>-0.90000000000000013</c:v>
                </c:pt>
                <c:pt idx="8">
                  <c:v>-0.90000000000000013</c:v>
                </c:pt>
                <c:pt idx="9">
                  <c:v>-0.90000000000000013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-1</c:v>
                </c:pt>
                <c:pt idx="14">
                  <c:v>-1</c:v>
                </c:pt>
                <c:pt idx="15">
                  <c:v>-1</c:v>
                </c:pt>
                <c:pt idx="16">
                  <c:v>-0.60000000000000009</c:v>
                </c:pt>
                <c:pt idx="17">
                  <c:v>-0.60000000000000009</c:v>
                </c:pt>
                <c:pt idx="18">
                  <c:v>-0.60000000000000009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-0.89999999999999991</c:v>
                </c:pt>
                <c:pt idx="23">
                  <c:v>-0.89999999999999991</c:v>
                </c:pt>
                <c:pt idx="24">
                  <c:v>-0.89999999999999991</c:v>
                </c:pt>
                <c:pt idx="25">
                  <c:v>-0.20000000000000018</c:v>
                </c:pt>
                <c:pt idx="26">
                  <c:v>-0.20000000000000018</c:v>
                </c:pt>
                <c:pt idx="27">
                  <c:v>-0.20000000000000018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-1.0999999999999999</c:v>
                </c:pt>
                <c:pt idx="38">
                  <c:v>-1.0999999999999999</c:v>
                </c:pt>
                <c:pt idx="39">
                  <c:v>-1.0999999999999999</c:v>
                </c:pt>
                <c:pt idx="40">
                  <c:v>0.19999999999999996</c:v>
                </c:pt>
                <c:pt idx="41">
                  <c:v>0.19999999999999996</c:v>
                </c:pt>
                <c:pt idx="42">
                  <c:v>0.19999999999999996</c:v>
                </c:pt>
                <c:pt idx="43">
                  <c:v>-0.30000000000000004</c:v>
                </c:pt>
                <c:pt idx="44">
                  <c:v>-0.30000000000000004</c:v>
                </c:pt>
                <c:pt idx="45">
                  <c:v>-0.30000000000000004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15-2847-BA5C-A7B2F969448B}"/>
            </c:ext>
          </c:extLst>
        </c:ser>
        <c:ser>
          <c:idx val="6"/>
          <c:order val="6"/>
          <c:tx>
            <c:strRef>
              <c:f>'GDP data'!$A$18</c:f>
              <c:strCache>
                <c:ptCount val="1"/>
                <c:pt idx="0">
                  <c:v>EUR GBP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data'!$D$18:$AW$18</c:f>
              <c:numCache>
                <c:formatCode>General</c:formatCode>
                <c:ptCount val="46"/>
                <c:pt idx="0">
                  <c:v>0.30000000000000004</c:v>
                </c:pt>
                <c:pt idx="1">
                  <c:v>9.9999999999999978E-2</c:v>
                </c:pt>
                <c:pt idx="2">
                  <c:v>9.9999999999999978E-2</c:v>
                </c:pt>
                <c:pt idx="3">
                  <c:v>9.9999999999999978E-2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-0.20000000000000007</c:v>
                </c:pt>
                <c:pt idx="14">
                  <c:v>-0.20000000000000007</c:v>
                </c:pt>
                <c:pt idx="15">
                  <c:v>-0.20000000000000007</c:v>
                </c:pt>
                <c:pt idx="16">
                  <c:v>-0.30000000000000004</c:v>
                </c:pt>
                <c:pt idx="17">
                  <c:v>-0.30000000000000004</c:v>
                </c:pt>
                <c:pt idx="18">
                  <c:v>-0.30000000000000004</c:v>
                </c:pt>
                <c:pt idx="19">
                  <c:v>-0.59999999999999987</c:v>
                </c:pt>
                <c:pt idx="20">
                  <c:v>-0.59999999999999987</c:v>
                </c:pt>
                <c:pt idx="21">
                  <c:v>-0.59999999999999987</c:v>
                </c:pt>
                <c:pt idx="22">
                  <c:v>-0.19999999999999996</c:v>
                </c:pt>
                <c:pt idx="23">
                  <c:v>-0.19999999999999996</c:v>
                </c:pt>
                <c:pt idx="24">
                  <c:v>-0.19999999999999996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-0.10000000000000009</c:v>
                </c:pt>
                <c:pt idx="29">
                  <c:v>-0.10000000000000009</c:v>
                </c:pt>
                <c:pt idx="30">
                  <c:v>-0.10000000000000009</c:v>
                </c:pt>
                <c:pt idx="31">
                  <c:v>0.20000000000000007</c:v>
                </c:pt>
                <c:pt idx="32">
                  <c:v>0.20000000000000007</c:v>
                </c:pt>
                <c:pt idx="33">
                  <c:v>0.20000000000000007</c:v>
                </c:pt>
                <c:pt idx="34">
                  <c:v>-0.4</c:v>
                </c:pt>
                <c:pt idx="35">
                  <c:v>-0.4</c:v>
                </c:pt>
                <c:pt idx="36">
                  <c:v>-0.4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-0.5</c:v>
                </c:pt>
                <c:pt idx="41">
                  <c:v>-0.5</c:v>
                </c:pt>
                <c:pt idx="42">
                  <c:v>-0.5</c:v>
                </c:pt>
                <c:pt idx="43">
                  <c:v>-0.7</c:v>
                </c:pt>
                <c:pt idx="44">
                  <c:v>-0.7</c:v>
                </c:pt>
                <c:pt idx="45">
                  <c:v>-0.7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A15-2847-BA5C-A7B2F969448B}"/>
            </c:ext>
          </c:extLst>
        </c:ser>
        <c:ser>
          <c:idx val="7"/>
          <c:order val="7"/>
          <c:tx>
            <c:strRef>
              <c:f>'GDP data'!$A$19</c:f>
              <c:strCache>
                <c:ptCount val="1"/>
                <c:pt idx="0">
                  <c:v>EUR CAD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data'!$D$19:$AW$19</c:f>
              <c:numCache>
                <c:formatCode>General</c:formatCode>
                <c:ptCount val="46"/>
                <c:pt idx="0">
                  <c:v>-1.8</c:v>
                </c:pt>
                <c:pt idx="1">
                  <c:v>-1.5</c:v>
                </c:pt>
                <c:pt idx="2">
                  <c:v>-1.5</c:v>
                </c:pt>
                <c:pt idx="3">
                  <c:v>-1.5</c:v>
                </c:pt>
                <c:pt idx="4">
                  <c:v>-1.2</c:v>
                </c:pt>
                <c:pt idx="5">
                  <c:v>-1.2</c:v>
                </c:pt>
                <c:pt idx="6">
                  <c:v>-1.2</c:v>
                </c:pt>
                <c:pt idx="7">
                  <c:v>-1.1000000000000001</c:v>
                </c:pt>
                <c:pt idx="8">
                  <c:v>-1.1000000000000001</c:v>
                </c:pt>
                <c:pt idx="9">
                  <c:v>-1.1000000000000001</c:v>
                </c:pt>
                <c:pt idx="10">
                  <c:v>-0.4</c:v>
                </c:pt>
                <c:pt idx="11">
                  <c:v>-0.4</c:v>
                </c:pt>
                <c:pt idx="12">
                  <c:v>-0.4</c:v>
                </c:pt>
                <c:pt idx="13">
                  <c:v>-1.1000000000000001</c:v>
                </c:pt>
                <c:pt idx="14">
                  <c:v>-1.1000000000000001</c:v>
                </c:pt>
                <c:pt idx="15">
                  <c:v>-1.1000000000000001</c:v>
                </c:pt>
                <c:pt idx="16">
                  <c:v>-1.4</c:v>
                </c:pt>
                <c:pt idx="17">
                  <c:v>-1.4</c:v>
                </c:pt>
                <c:pt idx="18">
                  <c:v>-1.4</c:v>
                </c:pt>
                <c:pt idx="19">
                  <c:v>-1.8</c:v>
                </c:pt>
                <c:pt idx="20">
                  <c:v>-1.8</c:v>
                </c:pt>
                <c:pt idx="21">
                  <c:v>-1.8</c:v>
                </c:pt>
                <c:pt idx="22">
                  <c:v>-1.2999999999999998</c:v>
                </c:pt>
                <c:pt idx="23">
                  <c:v>-1.2999999999999998</c:v>
                </c:pt>
                <c:pt idx="24">
                  <c:v>-1.2999999999999998</c:v>
                </c:pt>
                <c:pt idx="25">
                  <c:v>-0.40000000000000013</c:v>
                </c:pt>
                <c:pt idx="26">
                  <c:v>-0.40000000000000013</c:v>
                </c:pt>
                <c:pt idx="27">
                  <c:v>-0.40000000000000013</c:v>
                </c:pt>
                <c:pt idx="28">
                  <c:v>-0.40000000000000013</c:v>
                </c:pt>
                <c:pt idx="29">
                  <c:v>-0.40000000000000013</c:v>
                </c:pt>
                <c:pt idx="30">
                  <c:v>-0.40000000000000013</c:v>
                </c:pt>
                <c:pt idx="31">
                  <c:v>0.40000000000000013</c:v>
                </c:pt>
                <c:pt idx="32">
                  <c:v>0.40000000000000013</c:v>
                </c:pt>
                <c:pt idx="33">
                  <c:v>0.40000000000000013</c:v>
                </c:pt>
                <c:pt idx="34">
                  <c:v>0.4</c:v>
                </c:pt>
                <c:pt idx="35">
                  <c:v>0.4</c:v>
                </c:pt>
                <c:pt idx="36">
                  <c:v>0.4</c:v>
                </c:pt>
                <c:pt idx="37">
                  <c:v>9.9999999999999867E-2</c:v>
                </c:pt>
                <c:pt idx="38">
                  <c:v>9.9999999999999867E-2</c:v>
                </c:pt>
                <c:pt idx="39">
                  <c:v>9.9999999999999867E-2</c:v>
                </c:pt>
                <c:pt idx="40">
                  <c:v>-0.10000000000000009</c:v>
                </c:pt>
                <c:pt idx="41">
                  <c:v>-0.10000000000000009</c:v>
                </c:pt>
                <c:pt idx="42">
                  <c:v>-0.10000000000000009</c:v>
                </c:pt>
                <c:pt idx="43">
                  <c:v>-1.2</c:v>
                </c:pt>
                <c:pt idx="44">
                  <c:v>-1.2</c:v>
                </c:pt>
                <c:pt idx="45">
                  <c:v>-1.2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A15-2847-BA5C-A7B2F969448B}"/>
            </c:ext>
          </c:extLst>
        </c:ser>
        <c:ser>
          <c:idx val="8"/>
          <c:order val="8"/>
          <c:tx>
            <c:strRef>
              <c:f>'GDP data'!$A$20</c:f>
              <c:strCache>
                <c:ptCount val="1"/>
                <c:pt idx="0">
                  <c:v>EUR AUD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data'!$D$20:$AW$20</c:f>
              <c:numCache>
                <c:formatCode>#,##0.0_ ;\-#,##0.0\ </c:formatCode>
                <c:ptCount val="46"/>
                <c:pt idx="0">
                  <c:v>-1.4999999999999998</c:v>
                </c:pt>
                <c:pt idx="1">
                  <c:v>-1.6999999999999997</c:v>
                </c:pt>
                <c:pt idx="2">
                  <c:v>-1.6999999999999997</c:v>
                </c:pt>
                <c:pt idx="3">
                  <c:v>-1.6999999999999997</c:v>
                </c:pt>
                <c:pt idx="4">
                  <c:v>-2.1</c:v>
                </c:pt>
                <c:pt idx="5">
                  <c:v>-2.1</c:v>
                </c:pt>
                <c:pt idx="6">
                  <c:v>-2.1</c:v>
                </c:pt>
                <c:pt idx="7">
                  <c:v>-1.1000000000000001</c:v>
                </c:pt>
                <c:pt idx="8">
                  <c:v>-1.1000000000000001</c:v>
                </c:pt>
                <c:pt idx="9">
                  <c:v>-1.1000000000000001</c:v>
                </c:pt>
                <c:pt idx="10">
                  <c:v>-0.50000000000000011</c:v>
                </c:pt>
                <c:pt idx="11">
                  <c:v>-0.50000000000000011</c:v>
                </c:pt>
                <c:pt idx="12">
                  <c:v>-0.50000000000000011</c:v>
                </c:pt>
                <c:pt idx="13">
                  <c:v>-0.30000000000000004</c:v>
                </c:pt>
                <c:pt idx="14">
                  <c:v>-0.30000000000000004</c:v>
                </c:pt>
                <c:pt idx="15">
                  <c:v>-0.30000000000000004</c:v>
                </c:pt>
                <c:pt idx="16">
                  <c:v>0.19999999999999996</c:v>
                </c:pt>
                <c:pt idx="17">
                  <c:v>0.19999999999999996</c:v>
                </c:pt>
                <c:pt idx="18">
                  <c:v>0.19999999999999996</c:v>
                </c:pt>
                <c:pt idx="19">
                  <c:v>0.10000000000000009</c:v>
                </c:pt>
                <c:pt idx="20">
                  <c:v>0.10000000000000009</c:v>
                </c:pt>
                <c:pt idx="21">
                  <c:v>0.10000000000000009</c:v>
                </c:pt>
                <c:pt idx="22">
                  <c:v>0.30000000000000004</c:v>
                </c:pt>
                <c:pt idx="23">
                  <c:v>0.30000000000000004</c:v>
                </c:pt>
                <c:pt idx="24">
                  <c:v>0.30000000000000004</c:v>
                </c:pt>
                <c:pt idx="25">
                  <c:v>-0.5</c:v>
                </c:pt>
                <c:pt idx="26">
                  <c:v>-0.5</c:v>
                </c:pt>
                <c:pt idx="27">
                  <c:v>-0.5</c:v>
                </c:pt>
                <c:pt idx="28">
                  <c:v>-0.90000000000000013</c:v>
                </c:pt>
                <c:pt idx="29">
                  <c:v>-0.90000000000000013</c:v>
                </c:pt>
                <c:pt idx="30">
                  <c:v>-0.90000000000000013</c:v>
                </c:pt>
                <c:pt idx="31">
                  <c:v>-1.5</c:v>
                </c:pt>
                <c:pt idx="32">
                  <c:v>-1.5</c:v>
                </c:pt>
                <c:pt idx="33">
                  <c:v>-1.5</c:v>
                </c:pt>
                <c:pt idx="34">
                  <c:v>-2</c:v>
                </c:pt>
                <c:pt idx="35">
                  <c:v>-2</c:v>
                </c:pt>
                <c:pt idx="36">
                  <c:v>-2</c:v>
                </c:pt>
                <c:pt idx="37">
                  <c:v>-0.90000000000000013</c:v>
                </c:pt>
                <c:pt idx="38">
                  <c:v>-0.90000000000000013</c:v>
                </c:pt>
                <c:pt idx="39">
                  <c:v>-0.90000000000000013</c:v>
                </c:pt>
                <c:pt idx="40">
                  <c:v>-0.39999999999999991</c:v>
                </c:pt>
                <c:pt idx="41">
                  <c:v>-0.39999999999999991</c:v>
                </c:pt>
                <c:pt idx="42">
                  <c:v>-0.39999999999999991</c:v>
                </c:pt>
                <c:pt idx="43">
                  <c:v>-0.10000000000000009</c:v>
                </c:pt>
                <c:pt idx="44">
                  <c:v>-0.10000000000000009</c:v>
                </c:pt>
                <c:pt idx="45">
                  <c:v>-0.10000000000000009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A15-2847-BA5C-A7B2F969448B}"/>
            </c:ext>
          </c:extLst>
        </c:ser>
        <c:ser>
          <c:idx val="9"/>
          <c:order val="9"/>
          <c:tx>
            <c:strRef>
              <c:f>'GDP data'!$A$21</c:f>
              <c:strCache>
                <c:ptCount val="1"/>
                <c:pt idx="0">
                  <c:v>EUR NZD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data'!$D$21:$AW$21</c:f>
              <c:numCache>
                <c:formatCode>General</c:formatCode>
                <c:ptCount val="46"/>
                <c:pt idx="0">
                  <c:v>-1.8</c:v>
                </c:pt>
                <c:pt idx="1">
                  <c:v>-2.4</c:v>
                </c:pt>
                <c:pt idx="2">
                  <c:v>-2.4</c:v>
                </c:pt>
                <c:pt idx="3">
                  <c:v>-2.4</c:v>
                </c:pt>
                <c:pt idx="4">
                  <c:v>-1.0999999999999999</c:v>
                </c:pt>
                <c:pt idx="5">
                  <c:v>-1.0999999999999999</c:v>
                </c:pt>
                <c:pt idx="6">
                  <c:v>-1.0999999999999999</c:v>
                </c:pt>
                <c:pt idx="7">
                  <c:v>-1.2</c:v>
                </c:pt>
                <c:pt idx="8">
                  <c:v>-1.2</c:v>
                </c:pt>
                <c:pt idx="9">
                  <c:v>-1.2</c:v>
                </c:pt>
                <c:pt idx="10">
                  <c:v>-1</c:v>
                </c:pt>
                <c:pt idx="11">
                  <c:v>-1</c:v>
                </c:pt>
                <c:pt idx="12">
                  <c:v>-1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2.2000000000000002</c:v>
                </c:pt>
                <c:pt idx="17">
                  <c:v>2.2000000000000002</c:v>
                </c:pt>
                <c:pt idx="18">
                  <c:v>2.2000000000000002</c:v>
                </c:pt>
                <c:pt idx="19">
                  <c:v>2.9000000000000004</c:v>
                </c:pt>
                <c:pt idx="20">
                  <c:v>2.9000000000000004</c:v>
                </c:pt>
                <c:pt idx="21">
                  <c:v>2.9000000000000004</c:v>
                </c:pt>
                <c:pt idx="22">
                  <c:v>2.2999999999999998</c:v>
                </c:pt>
                <c:pt idx="23">
                  <c:v>2.2999999999999998</c:v>
                </c:pt>
                <c:pt idx="24">
                  <c:v>2.2999999999999998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9.9999999999999867E-2</c:v>
                </c:pt>
                <c:pt idx="29">
                  <c:v>9.9999999999999867E-2</c:v>
                </c:pt>
                <c:pt idx="30">
                  <c:v>9.9999999999999867E-2</c:v>
                </c:pt>
                <c:pt idx="31">
                  <c:v>-0.19999999999999996</c:v>
                </c:pt>
                <c:pt idx="32">
                  <c:v>-0.19999999999999996</c:v>
                </c:pt>
                <c:pt idx="33">
                  <c:v>-0.19999999999999996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-0.60000000000000009</c:v>
                </c:pt>
                <c:pt idx="38">
                  <c:v>-0.60000000000000009</c:v>
                </c:pt>
                <c:pt idx="39">
                  <c:v>-0.60000000000000009</c:v>
                </c:pt>
                <c:pt idx="40">
                  <c:v>-0.8</c:v>
                </c:pt>
                <c:pt idx="41">
                  <c:v>-0.8</c:v>
                </c:pt>
                <c:pt idx="42">
                  <c:v>-0.8</c:v>
                </c:pt>
                <c:pt idx="43">
                  <c:v>-1.2</c:v>
                </c:pt>
                <c:pt idx="44">
                  <c:v>-1.2</c:v>
                </c:pt>
                <c:pt idx="45">
                  <c:v>-1.2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A15-2847-BA5C-A7B2F969448B}"/>
            </c:ext>
          </c:extLst>
        </c:ser>
        <c:ser>
          <c:idx val="10"/>
          <c:order val="10"/>
          <c:tx>
            <c:strRef>
              <c:f>'GDP data'!$A$22</c:f>
              <c:strCache>
                <c:ptCount val="1"/>
                <c:pt idx="0">
                  <c:v>GBP USD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data'!$D$22:$AW$22</c:f>
              <c:numCache>
                <c:formatCode>General</c:formatCode>
                <c:ptCount val="46"/>
                <c:pt idx="0">
                  <c:v>-1.2999999999999998</c:v>
                </c:pt>
                <c:pt idx="1">
                  <c:v>-2.2999999999999998</c:v>
                </c:pt>
                <c:pt idx="2">
                  <c:v>-2.2999999999999998</c:v>
                </c:pt>
                <c:pt idx="3">
                  <c:v>-2.2999999999999998</c:v>
                </c:pt>
                <c:pt idx="4">
                  <c:v>-3.1</c:v>
                </c:pt>
                <c:pt idx="5">
                  <c:v>-3.1</c:v>
                </c:pt>
                <c:pt idx="6">
                  <c:v>-3.1</c:v>
                </c:pt>
                <c:pt idx="7">
                  <c:v>-3.9</c:v>
                </c:pt>
                <c:pt idx="8">
                  <c:v>-3.9</c:v>
                </c:pt>
                <c:pt idx="9">
                  <c:v>-3.9</c:v>
                </c:pt>
                <c:pt idx="10">
                  <c:v>-2.6</c:v>
                </c:pt>
                <c:pt idx="11">
                  <c:v>-2.6</c:v>
                </c:pt>
                <c:pt idx="12">
                  <c:v>-2.6</c:v>
                </c:pt>
                <c:pt idx="13">
                  <c:v>-2.2999999999999998</c:v>
                </c:pt>
                <c:pt idx="14">
                  <c:v>-2.2999999999999998</c:v>
                </c:pt>
                <c:pt idx="15">
                  <c:v>-2.2999999999999998</c:v>
                </c:pt>
                <c:pt idx="16">
                  <c:v>-1.4999999999999998</c:v>
                </c:pt>
                <c:pt idx="17">
                  <c:v>-1.4999999999999998</c:v>
                </c:pt>
                <c:pt idx="18">
                  <c:v>-1.4999999999999998</c:v>
                </c:pt>
                <c:pt idx="19">
                  <c:v>-0.5</c:v>
                </c:pt>
                <c:pt idx="20">
                  <c:v>-0.5</c:v>
                </c:pt>
                <c:pt idx="21">
                  <c:v>-0.5</c:v>
                </c:pt>
                <c:pt idx="22">
                  <c:v>-0.19999999999999996</c:v>
                </c:pt>
                <c:pt idx="23">
                  <c:v>-0.19999999999999996</c:v>
                </c:pt>
                <c:pt idx="24">
                  <c:v>-0.19999999999999996</c:v>
                </c:pt>
                <c:pt idx="25">
                  <c:v>-0.70000000000000018</c:v>
                </c:pt>
                <c:pt idx="26">
                  <c:v>-0.70000000000000018</c:v>
                </c:pt>
                <c:pt idx="27">
                  <c:v>-0.70000000000000018</c:v>
                </c:pt>
                <c:pt idx="28">
                  <c:v>-0.99999999999999978</c:v>
                </c:pt>
                <c:pt idx="29">
                  <c:v>-0.99999999999999978</c:v>
                </c:pt>
                <c:pt idx="30">
                  <c:v>-0.99999999999999978</c:v>
                </c:pt>
                <c:pt idx="31">
                  <c:v>-1.1000000000000001</c:v>
                </c:pt>
                <c:pt idx="32">
                  <c:v>-1.1000000000000001</c:v>
                </c:pt>
                <c:pt idx="33">
                  <c:v>-1.1000000000000001</c:v>
                </c:pt>
                <c:pt idx="34">
                  <c:v>-1.8000000000000003</c:v>
                </c:pt>
                <c:pt idx="35">
                  <c:v>-1.8000000000000003</c:v>
                </c:pt>
                <c:pt idx="36">
                  <c:v>-1.8000000000000003</c:v>
                </c:pt>
                <c:pt idx="37">
                  <c:v>-0.90000000000000013</c:v>
                </c:pt>
                <c:pt idx="38">
                  <c:v>-0.90000000000000013</c:v>
                </c:pt>
                <c:pt idx="39">
                  <c:v>-0.90000000000000013</c:v>
                </c:pt>
                <c:pt idx="40">
                  <c:v>-0.30000000000000004</c:v>
                </c:pt>
                <c:pt idx="41">
                  <c:v>-0.30000000000000004</c:v>
                </c:pt>
                <c:pt idx="42">
                  <c:v>-0.30000000000000004</c:v>
                </c:pt>
                <c:pt idx="43">
                  <c:v>-0.20000000000000018</c:v>
                </c:pt>
                <c:pt idx="44">
                  <c:v>-0.20000000000000018</c:v>
                </c:pt>
                <c:pt idx="45">
                  <c:v>-0.20000000000000018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A15-2847-BA5C-A7B2F969448B}"/>
            </c:ext>
          </c:extLst>
        </c:ser>
        <c:ser>
          <c:idx val="11"/>
          <c:order val="11"/>
          <c:tx>
            <c:strRef>
              <c:f>'GDP data'!$A$23</c:f>
              <c:strCache>
                <c:ptCount val="1"/>
                <c:pt idx="0">
                  <c:v>GBP JPY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data'!$D$23:$AW$23</c:f>
              <c:numCache>
                <c:formatCode>General</c:formatCode>
                <c:ptCount val="46"/>
                <c:pt idx="0">
                  <c:v>-0.8</c:v>
                </c:pt>
                <c:pt idx="1">
                  <c:v>-0.5</c:v>
                </c:pt>
                <c:pt idx="2">
                  <c:v>-0.5</c:v>
                </c:pt>
                <c:pt idx="3">
                  <c:v>-0.5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-0.5</c:v>
                </c:pt>
                <c:pt idx="8">
                  <c:v>-0.5</c:v>
                </c:pt>
                <c:pt idx="9">
                  <c:v>-0.5</c:v>
                </c:pt>
                <c:pt idx="10">
                  <c:v>1.6</c:v>
                </c:pt>
                <c:pt idx="11">
                  <c:v>1.6</c:v>
                </c:pt>
                <c:pt idx="12">
                  <c:v>1.6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1.2999999999999998</c:v>
                </c:pt>
                <c:pt idx="20">
                  <c:v>1.2999999999999998</c:v>
                </c:pt>
                <c:pt idx="21">
                  <c:v>1.2999999999999998</c:v>
                </c:pt>
                <c:pt idx="22">
                  <c:v>0.19999999999999996</c:v>
                </c:pt>
                <c:pt idx="23">
                  <c:v>0.19999999999999996</c:v>
                </c:pt>
                <c:pt idx="24">
                  <c:v>0.19999999999999996</c:v>
                </c:pt>
                <c:pt idx="25">
                  <c:v>-0.60000000000000009</c:v>
                </c:pt>
                <c:pt idx="26">
                  <c:v>-0.60000000000000009</c:v>
                </c:pt>
                <c:pt idx="27">
                  <c:v>-0.60000000000000009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0.7</c:v>
                </c:pt>
                <c:pt idx="32">
                  <c:v>0.7</c:v>
                </c:pt>
                <c:pt idx="33">
                  <c:v>0.7</c:v>
                </c:pt>
                <c:pt idx="34">
                  <c:v>0.30000000000000004</c:v>
                </c:pt>
                <c:pt idx="35">
                  <c:v>0.30000000000000004</c:v>
                </c:pt>
                <c:pt idx="36">
                  <c:v>0.30000000000000004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0.29999999999999982</c:v>
                </c:pt>
                <c:pt idx="44">
                  <c:v>0.29999999999999982</c:v>
                </c:pt>
                <c:pt idx="45">
                  <c:v>0.29999999999999982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A15-2847-BA5C-A7B2F969448B}"/>
            </c:ext>
          </c:extLst>
        </c:ser>
        <c:ser>
          <c:idx val="12"/>
          <c:order val="12"/>
          <c:tx>
            <c:strRef>
              <c:f>'GDP data'!$A$24</c:f>
              <c:strCache>
                <c:ptCount val="1"/>
                <c:pt idx="0">
                  <c:v>GBP CHF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data'!$D$24:$AW$24</c:f>
              <c:numCache>
                <c:formatCode>General</c:formatCode>
                <c:ptCount val="46"/>
                <c:pt idx="0">
                  <c:v>-1</c:v>
                </c:pt>
                <c:pt idx="1">
                  <c:v>-0.5</c:v>
                </c:pt>
                <c:pt idx="2">
                  <c:v>-0.5</c:v>
                </c:pt>
                <c:pt idx="3">
                  <c:v>-0.5</c:v>
                </c:pt>
                <c:pt idx="4">
                  <c:v>-0.70000000000000007</c:v>
                </c:pt>
                <c:pt idx="5">
                  <c:v>-0.70000000000000007</c:v>
                </c:pt>
                <c:pt idx="6">
                  <c:v>-0.70000000000000007</c:v>
                </c:pt>
                <c:pt idx="7">
                  <c:v>-1.6</c:v>
                </c:pt>
                <c:pt idx="8">
                  <c:v>-1.6</c:v>
                </c:pt>
                <c:pt idx="9">
                  <c:v>-1.6</c:v>
                </c:pt>
                <c:pt idx="10">
                  <c:v>0.19999999999999998</c:v>
                </c:pt>
                <c:pt idx="11">
                  <c:v>0.19999999999999998</c:v>
                </c:pt>
                <c:pt idx="12">
                  <c:v>0.19999999999999998</c:v>
                </c:pt>
                <c:pt idx="13">
                  <c:v>-0.8</c:v>
                </c:pt>
                <c:pt idx="14">
                  <c:v>-0.8</c:v>
                </c:pt>
                <c:pt idx="15">
                  <c:v>-0.8</c:v>
                </c:pt>
                <c:pt idx="16">
                  <c:v>-0.30000000000000004</c:v>
                </c:pt>
                <c:pt idx="17">
                  <c:v>-0.30000000000000004</c:v>
                </c:pt>
                <c:pt idx="18">
                  <c:v>-0.30000000000000004</c:v>
                </c:pt>
                <c:pt idx="19">
                  <c:v>0.59999999999999987</c:v>
                </c:pt>
                <c:pt idx="20">
                  <c:v>0.59999999999999987</c:v>
                </c:pt>
                <c:pt idx="21">
                  <c:v>0.59999999999999987</c:v>
                </c:pt>
                <c:pt idx="22">
                  <c:v>-0.7</c:v>
                </c:pt>
                <c:pt idx="23">
                  <c:v>-0.7</c:v>
                </c:pt>
                <c:pt idx="24">
                  <c:v>-0.7</c:v>
                </c:pt>
                <c:pt idx="25">
                  <c:v>-0.20000000000000018</c:v>
                </c:pt>
                <c:pt idx="26">
                  <c:v>-0.20000000000000018</c:v>
                </c:pt>
                <c:pt idx="27">
                  <c:v>-0.20000000000000018</c:v>
                </c:pt>
                <c:pt idx="28">
                  <c:v>0.60000000000000009</c:v>
                </c:pt>
                <c:pt idx="29">
                  <c:v>0.60000000000000009</c:v>
                </c:pt>
                <c:pt idx="30">
                  <c:v>0.60000000000000009</c:v>
                </c:pt>
                <c:pt idx="31">
                  <c:v>-0.20000000000000007</c:v>
                </c:pt>
                <c:pt idx="32">
                  <c:v>-0.20000000000000007</c:v>
                </c:pt>
                <c:pt idx="33">
                  <c:v>-0.20000000000000007</c:v>
                </c:pt>
                <c:pt idx="34">
                  <c:v>0.60000000000000009</c:v>
                </c:pt>
                <c:pt idx="35">
                  <c:v>0.60000000000000009</c:v>
                </c:pt>
                <c:pt idx="36">
                  <c:v>0.60000000000000009</c:v>
                </c:pt>
                <c:pt idx="37">
                  <c:v>-1.0999999999999999</c:v>
                </c:pt>
                <c:pt idx="38">
                  <c:v>-1.0999999999999999</c:v>
                </c:pt>
                <c:pt idx="39">
                  <c:v>-1.0999999999999999</c:v>
                </c:pt>
                <c:pt idx="40">
                  <c:v>0.7</c:v>
                </c:pt>
                <c:pt idx="41">
                  <c:v>0.7</c:v>
                </c:pt>
                <c:pt idx="42">
                  <c:v>0.7</c:v>
                </c:pt>
                <c:pt idx="43">
                  <c:v>0.39999999999999991</c:v>
                </c:pt>
                <c:pt idx="44">
                  <c:v>0.39999999999999991</c:v>
                </c:pt>
                <c:pt idx="45">
                  <c:v>0.39999999999999991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A15-2847-BA5C-A7B2F969448B}"/>
            </c:ext>
          </c:extLst>
        </c:ser>
        <c:ser>
          <c:idx val="13"/>
          <c:order val="13"/>
          <c:tx>
            <c:strRef>
              <c:f>'GDP data'!$A$25</c:f>
              <c:strCache>
                <c:ptCount val="1"/>
                <c:pt idx="0">
                  <c:v>GBP CAD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data'!$D$25:$AW$25</c:f>
              <c:numCache>
                <c:formatCode>General</c:formatCode>
                <c:ptCount val="46"/>
                <c:pt idx="0">
                  <c:v>-2.1</c:v>
                </c:pt>
                <c:pt idx="1">
                  <c:v>-1.6</c:v>
                </c:pt>
                <c:pt idx="2">
                  <c:v>-1.6</c:v>
                </c:pt>
                <c:pt idx="3">
                  <c:v>-1.6</c:v>
                </c:pt>
                <c:pt idx="4">
                  <c:v>-1.2</c:v>
                </c:pt>
                <c:pt idx="5">
                  <c:v>-1.2</c:v>
                </c:pt>
                <c:pt idx="6">
                  <c:v>-1.2</c:v>
                </c:pt>
                <c:pt idx="7">
                  <c:v>-1.8</c:v>
                </c:pt>
                <c:pt idx="8">
                  <c:v>-1.8</c:v>
                </c:pt>
                <c:pt idx="9">
                  <c:v>-1.8</c:v>
                </c:pt>
                <c:pt idx="10">
                  <c:v>-0.7</c:v>
                </c:pt>
                <c:pt idx="11">
                  <c:v>-0.7</c:v>
                </c:pt>
                <c:pt idx="12">
                  <c:v>-0.7</c:v>
                </c:pt>
                <c:pt idx="13">
                  <c:v>-0.89999999999999991</c:v>
                </c:pt>
                <c:pt idx="14">
                  <c:v>-0.89999999999999991</c:v>
                </c:pt>
                <c:pt idx="15">
                  <c:v>-0.89999999999999991</c:v>
                </c:pt>
                <c:pt idx="16">
                  <c:v>-1.0999999999999999</c:v>
                </c:pt>
                <c:pt idx="17">
                  <c:v>-1.0999999999999999</c:v>
                </c:pt>
                <c:pt idx="18">
                  <c:v>-1.0999999999999999</c:v>
                </c:pt>
                <c:pt idx="19">
                  <c:v>-1.2000000000000002</c:v>
                </c:pt>
                <c:pt idx="20">
                  <c:v>-1.2000000000000002</c:v>
                </c:pt>
                <c:pt idx="21">
                  <c:v>-1.2000000000000002</c:v>
                </c:pt>
                <c:pt idx="22">
                  <c:v>-1.0999999999999999</c:v>
                </c:pt>
                <c:pt idx="23">
                  <c:v>-1.0999999999999999</c:v>
                </c:pt>
                <c:pt idx="24">
                  <c:v>-1.0999999999999999</c:v>
                </c:pt>
                <c:pt idx="25">
                  <c:v>-0.40000000000000013</c:v>
                </c:pt>
                <c:pt idx="26">
                  <c:v>-0.40000000000000013</c:v>
                </c:pt>
                <c:pt idx="27">
                  <c:v>-0.40000000000000013</c:v>
                </c:pt>
                <c:pt idx="28">
                  <c:v>-0.30000000000000004</c:v>
                </c:pt>
                <c:pt idx="29">
                  <c:v>-0.30000000000000004</c:v>
                </c:pt>
                <c:pt idx="30">
                  <c:v>-0.30000000000000004</c:v>
                </c:pt>
                <c:pt idx="31">
                  <c:v>0.20000000000000007</c:v>
                </c:pt>
                <c:pt idx="32">
                  <c:v>0.20000000000000007</c:v>
                </c:pt>
                <c:pt idx="33">
                  <c:v>0.20000000000000007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9.9999999999999867E-2</c:v>
                </c:pt>
                <c:pt idx="38">
                  <c:v>9.9999999999999867E-2</c:v>
                </c:pt>
                <c:pt idx="39">
                  <c:v>9.9999999999999867E-2</c:v>
                </c:pt>
                <c:pt idx="40">
                  <c:v>0.39999999999999991</c:v>
                </c:pt>
                <c:pt idx="41">
                  <c:v>0.39999999999999991</c:v>
                </c:pt>
                <c:pt idx="42">
                  <c:v>0.39999999999999991</c:v>
                </c:pt>
                <c:pt idx="43">
                  <c:v>-0.5</c:v>
                </c:pt>
                <c:pt idx="44">
                  <c:v>-0.5</c:v>
                </c:pt>
                <c:pt idx="45">
                  <c:v>-0.5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A15-2847-BA5C-A7B2F969448B}"/>
            </c:ext>
          </c:extLst>
        </c:ser>
        <c:ser>
          <c:idx val="14"/>
          <c:order val="14"/>
          <c:tx>
            <c:strRef>
              <c:f>'GDP data'!$A$26</c:f>
              <c:strCache>
                <c:ptCount val="1"/>
                <c:pt idx="0">
                  <c:v>GBP AUD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data'!$D$26:$AW$26</c:f>
              <c:numCache>
                <c:formatCode>#,##0.0_ ;\-#,##0.0\ </c:formatCode>
                <c:ptCount val="46"/>
                <c:pt idx="0">
                  <c:v>-1.7999999999999998</c:v>
                </c:pt>
                <c:pt idx="1">
                  <c:v>-1.7999999999999998</c:v>
                </c:pt>
                <c:pt idx="2">
                  <c:v>-1.7999999999999998</c:v>
                </c:pt>
                <c:pt idx="3">
                  <c:v>-1.7999999999999998</c:v>
                </c:pt>
                <c:pt idx="4">
                  <c:v>-2.1</c:v>
                </c:pt>
                <c:pt idx="5">
                  <c:v>-2.1</c:v>
                </c:pt>
                <c:pt idx="6">
                  <c:v>-2.1</c:v>
                </c:pt>
                <c:pt idx="7">
                  <c:v>-1.8</c:v>
                </c:pt>
                <c:pt idx="8">
                  <c:v>-1.8</c:v>
                </c:pt>
                <c:pt idx="9">
                  <c:v>-1.8</c:v>
                </c:pt>
                <c:pt idx="10">
                  <c:v>-0.8</c:v>
                </c:pt>
                <c:pt idx="11">
                  <c:v>-0.8</c:v>
                </c:pt>
                <c:pt idx="12">
                  <c:v>-0.8</c:v>
                </c:pt>
                <c:pt idx="13">
                  <c:v>-9.9999999999999978E-2</c:v>
                </c:pt>
                <c:pt idx="14">
                  <c:v>-9.9999999999999978E-2</c:v>
                </c:pt>
                <c:pt idx="15">
                  <c:v>-9.9999999999999978E-2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-0.5</c:v>
                </c:pt>
                <c:pt idx="26">
                  <c:v>-0.5</c:v>
                </c:pt>
                <c:pt idx="27">
                  <c:v>-0.5</c:v>
                </c:pt>
                <c:pt idx="28">
                  <c:v>-0.8</c:v>
                </c:pt>
                <c:pt idx="29">
                  <c:v>-0.8</c:v>
                </c:pt>
                <c:pt idx="30">
                  <c:v>-0.8</c:v>
                </c:pt>
                <c:pt idx="31">
                  <c:v>-1.7000000000000002</c:v>
                </c:pt>
                <c:pt idx="32">
                  <c:v>-1.7000000000000002</c:v>
                </c:pt>
                <c:pt idx="33">
                  <c:v>-1.7000000000000002</c:v>
                </c:pt>
                <c:pt idx="34">
                  <c:v>-1.6</c:v>
                </c:pt>
                <c:pt idx="35">
                  <c:v>-1.6</c:v>
                </c:pt>
                <c:pt idx="36">
                  <c:v>-1.6</c:v>
                </c:pt>
                <c:pt idx="37">
                  <c:v>-0.90000000000000013</c:v>
                </c:pt>
                <c:pt idx="38">
                  <c:v>-0.90000000000000013</c:v>
                </c:pt>
                <c:pt idx="39">
                  <c:v>-0.90000000000000013</c:v>
                </c:pt>
                <c:pt idx="40">
                  <c:v>0.10000000000000009</c:v>
                </c:pt>
                <c:pt idx="41">
                  <c:v>0.10000000000000009</c:v>
                </c:pt>
                <c:pt idx="42">
                  <c:v>0.10000000000000009</c:v>
                </c:pt>
                <c:pt idx="43">
                  <c:v>0.59999999999999987</c:v>
                </c:pt>
                <c:pt idx="44">
                  <c:v>0.59999999999999987</c:v>
                </c:pt>
                <c:pt idx="45">
                  <c:v>0.59999999999999987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A15-2847-BA5C-A7B2F969448B}"/>
            </c:ext>
          </c:extLst>
        </c:ser>
        <c:ser>
          <c:idx val="15"/>
          <c:order val="15"/>
          <c:tx>
            <c:strRef>
              <c:f>'GDP data'!$A$27</c:f>
              <c:strCache>
                <c:ptCount val="1"/>
                <c:pt idx="0">
                  <c:v>GBP NZD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data'!$D$27:$AW$27</c:f>
              <c:numCache>
                <c:formatCode>General</c:formatCode>
                <c:ptCount val="46"/>
                <c:pt idx="0">
                  <c:v>-2.1</c:v>
                </c:pt>
                <c:pt idx="1">
                  <c:v>-2.5</c:v>
                </c:pt>
                <c:pt idx="2">
                  <c:v>-2.5</c:v>
                </c:pt>
                <c:pt idx="3">
                  <c:v>-2.5</c:v>
                </c:pt>
                <c:pt idx="4">
                  <c:v>-1.0999999999999999</c:v>
                </c:pt>
                <c:pt idx="5">
                  <c:v>-1.0999999999999999</c:v>
                </c:pt>
                <c:pt idx="6">
                  <c:v>-1.0999999999999999</c:v>
                </c:pt>
                <c:pt idx="7">
                  <c:v>-1.9</c:v>
                </c:pt>
                <c:pt idx="8">
                  <c:v>-1.9</c:v>
                </c:pt>
                <c:pt idx="9">
                  <c:v>-1.9</c:v>
                </c:pt>
                <c:pt idx="10">
                  <c:v>-1.3</c:v>
                </c:pt>
                <c:pt idx="11">
                  <c:v>-1.3</c:v>
                </c:pt>
                <c:pt idx="12">
                  <c:v>-1.3</c:v>
                </c:pt>
                <c:pt idx="13">
                  <c:v>0.70000000000000007</c:v>
                </c:pt>
                <c:pt idx="14">
                  <c:v>0.70000000000000007</c:v>
                </c:pt>
                <c:pt idx="15">
                  <c:v>0.70000000000000007</c:v>
                </c:pt>
                <c:pt idx="16">
                  <c:v>2.5</c:v>
                </c:pt>
                <c:pt idx="17">
                  <c:v>2.5</c:v>
                </c:pt>
                <c:pt idx="18">
                  <c:v>2.5</c:v>
                </c:pt>
                <c:pt idx="19">
                  <c:v>3.5</c:v>
                </c:pt>
                <c:pt idx="20">
                  <c:v>3.5</c:v>
                </c:pt>
                <c:pt idx="21">
                  <c:v>3.5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0.19999999999999996</c:v>
                </c:pt>
                <c:pt idx="29">
                  <c:v>0.19999999999999996</c:v>
                </c:pt>
                <c:pt idx="30">
                  <c:v>0.19999999999999996</c:v>
                </c:pt>
                <c:pt idx="31">
                  <c:v>-0.4</c:v>
                </c:pt>
                <c:pt idx="32">
                  <c:v>-0.4</c:v>
                </c:pt>
                <c:pt idx="33">
                  <c:v>-0.4</c:v>
                </c:pt>
                <c:pt idx="34">
                  <c:v>-0.6</c:v>
                </c:pt>
                <c:pt idx="35">
                  <c:v>-0.6</c:v>
                </c:pt>
                <c:pt idx="36">
                  <c:v>-0.6</c:v>
                </c:pt>
                <c:pt idx="37">
                  <c:v>-0.60000000000000009</c:v>
                </c:pt>
                <c:pt idx="38">
                  <c:v>-0.60000000000000009</c:v>
                </c:pt>
                <c:pt idx="39">
                  <c:v>-0.60000000000000009</c:v>
                </c:pt>
                <c:pt idx="40">
                  <c:v>-0.30000000000000004</c:v>
                </c:pt>
                <c:pt idx="41">
                  <c:v>-0.30000000000000004</c:v>
                </c:pt>
                <c:pt idx="42">
                  <c:v>-0.30000000000000004</c:v>
                </c:pt>
                <c:pt idx="43">
                  <c:v>-0.5</c:v>
                </c:pt>
                <c:pt idx="44">
                  <c:v>-0.5</c:v>
                </c:pt>
                <c:pt idx="45">
                  <c:v>-0.5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A15-2847-BA5C-A7B2F969448B}"/>
            </c:ext>
          </c:extLst>
        </c:ser>
        <c:ser>
          <c:idx val="16"/>
          <c:order val="16"/>
          <c:tx>
            <c:strRef>
              <c:f>'GDP data'!$A$28</c:f>
              <c:strCache>
                <c:ptCount val="1"/>
                <c:pt idx="0">
                  <c:v>CHF JPY 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data'!$D$28:$AW$28</c:f>
              <c:numCache>
                <c:formatCode>General</c:formatCode>
                <c:ptCount val="46"/>
                <c:pt idx="0">
                  <c:v>0.19999999999999996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1.4000000000000001</c:v>
                </c:pt>
                <c:pt idx="11">
                  <c:v>1.4000000000000001</c:v>
                </c:pt>
                <c:pt idx="12">
                  <c:v>1.4000000000000001</c:v>
                </c:pt>
                <c:pt idx="13">
                  <c:v>2.8</c:v>
                </c:pt>
                <c:pt idx="14">
                  <c:v>2.8</c:v>
                </c:pt>
                <c:pt idx="15">
                  <c:v>2.8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0.70000000000000007</c:v>
                </c:pt>
                <c:pt idx="20">
                  <c:v>0.70000000000000007</c:v>
                </c:pt>
                <c:pt idx="21">
                  <c:v>0.70000000000000007</c:v>
                </c:pt>
                <c:pt idx="22">
                  <c:v>0.89999999999999991</c:v>
                </c:pt>
                <c:pt idx="23">
                  <c:v>0.89999999999999991</c:v>
                </c:pt>
                <c:pt idx="24">
                  <c:v>0.89999999999999991</c:v>
                </c:pt>
                <c:pt idx="25">
                  <c:v>-0.39999999999999991</c:v>
                </c:pt>
                <c:pt idx="26">
                  <c:v>-0.39999999999999991</c:v>
                </c:pt>
                <c:pt idx="27">
                  <c:v>-0.39999999999999991</c:v>
                </c:pt>
                <c:pt idx="28">
                  <c:v>0.19999999999999996</c:v>
                </c:pt>
                <c:pt idx="29">
                  <c:v>0.19999999999999996</c:v>
                </c:pt>
                <c:pt idx="30">
                  <c:v>0.19999999999999996</c:v>
                </c:pt>
                <c:pt idx="31">
                  <c:v>0.90000000000000013</c:v>
                </c:pt>
                <c:pt idx="32">
                  <c:v>0.90000000000000013</c:v>
                </c:pt>
                <c:pt idx="33">
                  <c:v>0.90000000000000013</c:v>
                </c:pt>
                <c:pt idx="34">
                  <c:v>-0.3</c:v>
                </c:pt>
                <c:pt idx="35">
                  <c:v>-0.3</c:v>
                </c:pt>
                <c:pt idx="36">
                  <c:v>-0.3</c:v>
                </c:pt>
                <c:pt idx="37">
                  <c:v>1.5999999999999999</c:v>
                </c:pt>
                <c:pt idx="38">
                  <c:v>1.5999999999999999</c:v>
                </c:pt>
                <c:pt idx="39">
                  <c:v>1.5999999999999999</c:v>
                </c:pt>
                <c:pt idx="40">
                  <c:v>-9.9999999999999978E-2</c:v>
                </c:pt>
                <c:pt idx="41">
                  <c:v>-9.9999999999999978E-2</c:v>
                </c:pt>
                <c:pt idx="42">
                  <c:v>-9.9999999999999978E-2</c:v>
                </c:pt>
                <c:pt idx="43">
                  <c:v>-0.10000000000000009</c:v>
                </c:pt>
                <c:pt idx="44">
                  <c:v>-0.10000000000000009</c:v>
                </c:pt>
                <c:pt idx="45">
                  <c:v>-0.10000000000000009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15-2847-BA5C-A7B2F969448B}"/>
            </c:ext>
          </c:extLst>
        </c:ser>
        <c:ser>
          <c:idx val="17"/>
          <c:order val="17"/>
          <c:tx>
            <c:strRef>
              <c:f>'GDP data'!$A$29</c:f>
              <c:strCache>
                <c:ptCount val="1"/>
                <c:pt idx="0">
                  <c:v>AUD USD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data'!$D$29:$AW$29</c:f>
              <c:numCache>
                <c:formatCode>#,##0.0_ ;\-#,##0.0\ </c:formatCode>
                <c:ptCount val="46"/>
                <c:pt idx="0">
                  <c:v>0.5</c:v>
                </c:pt>
                <c:pt idx="1">
                  <c:v>-0.5</c:v>
                </c:pt>
                <c:pt idx="2">
                  <c:v>-0.5</c:v>
                </c:pt>
                <c:pt idx="3">
                  <c:v>-0.5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-2.0999999999999996</c:v>
                </c:pt>
                <c:pt idx="8">
                  <c:v>-2.0999999999999996</c:v>
                </c:pt>
                <c:pt idx="9">
                  <c:v>-2.0999999999999996</c:v>
                </c:pt>
                <c:pt idx="10">
                  <c:v>-1.7999999999999998</c:v>
                </c:pt>
                <c:pt idx="11">
                  <c:v>-1.7999999999999998</c:v>
                </c:pt>
                <c:pt idx="12">
                  <c:v>-1.7999999999999998</c:v>
                </c:pt>
                <c:pt idx="13">
                  <c:v>-2.2000000000000002</c:v>
                </c:pt>
                <c:pt idx="14">
                  <c:v>-2.2000000000000002</c:v>
                </c:pt>
                <c:pt idx="15">
                  <c:v>-2.2000000000000002</c:v>
                </c:pt>
                <c:pt idx="16">
                  <c:v>-1.9999999999999998</c:v>
                </c:pt>
                <c:pt idx="17">
                  <c:v>-1.9999999999999998</c:v>
                </c:pt>
                <c:pt idx="18">
                  <c:v>-1.9999999999999998</c:v>
                </c:pt>
                <c:pt idx="19">
                  <c:v>-1.2</c:v>
                </c:pt>
                <c:pt idx="20">
                  <c:v>-1.2</c:v>
                </c:pt>
                <c:pt idx="21">
                  <c:v>-1.2</c:v>
                </c:pt>
                <c:pt idx="22">
                  <c:v>-0.7</c:v>
                </c:pt>
                <c:pt idx="23">
                  <c:v>-0.7</c:v>
                </c:pt>
                <c:pt idx="24">
                  <c:v>-0.7</c:v>
                </c:pt>
                <c:pt idx="25">
                  <c:v>-0.20000000000000018</c:v>
                </c:pt>
                <c:pt idx="26">
                  <c:v>-0.20000000000000018</c:v>
                </c:pt>
                <c:pt idx="27">
                  <c:v>-0.20000000000000018</c:v>
                </c:pt>
                <c:pt idx="28">
                  <c:v>-0.19999999999999973</c:v>
                </c:pt>
                <c:pt idx="29">
                  <c:v>-0.19999999999999973</c:v>
                </c:pt>
                <c:pt idx="30">
                  <c:v>-0.19999999999999973</c:v>
                </c:pt>
                <c:pt idx="31">
                  <c:v>0.60000000000000009</c:v>
                </c:pt>
                <c:pt idx="32">
                  <c:v>0.60000000000000009</c:v>
                </c:pt>
                <c:pt idx="33">
                  <c:v>0.60000000000000009</c:v>
                </c:pt>
                <c:pt idx="34">
                  <c:v>-0.20000000000000018</c:v>
                </c:pt>
                <c:pt idx="35">
                  <c:v>-0.20000000000000018</c:v>
                </c:pt>
                <c:pt idx="36">
                  <c:v>-0.20000000000000018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-0.40000000000000013</c:v>
                </c:pt>
                <c:pt idx="41">
                  <c:v>-0.40000000000000013</c:v>
                </c:pt>
                <c:pt idx="42">
                  <c:v>-0.40000000000000013</c:v>
                </c:pt>
                <c:pt idx="43">
                  <c:v>-0.8</c:v>
                </c:pt>
                <c:pt idx="44">
                  <c:v>-0.8</c:v>
                </c:pt>
                <c:pt idx="45">
                  <c:v>-0.8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FA15-2847-BA5C-A7B2F969448B}"/>
            </c:ext>
          </c:extLst>
        </c:ser>
        <c:ser>
          <c:idx val="18"/>
          <c:order val="18"/>
          <c:tx>
            <c:strRef>
              <c:f>'GDP data'!$A$30</c:f>
              <c:strCache>
                <c:ptCount val="1"/>
                <c:pt idx="0">
                  <c:v>AUD CHF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data'!$D$30:$AW$30</c:f>
              <c:numCache>
                <c:formatCode>#,##0.0_ ;\-#,##0.0\ </c:formatCode>
                <c:ptCount val="46"/>
                <c:pt idx="0">
                  <c:v>0.79999999999999982</c:v>
                </c:pt>
                <c:pt idx="1">
                  <c:v>1.2999999999999998</c:v>
                </c:pt>
                <c:pt idx="2">
                  <c:v>1.2999999999999998</c:v>
                </c:pt>
                <c:pt idx="3">
                  <c:v>1.2999999999999998</c:v>
                </c:pt>
                <c:pt idx="4">
                  <c:v>1.4000000000000001</c:v>
                </c:pt>
                <c:pt idx="5">
                  <c:v>1.4000000000000001</c:v>
                </c:pt>
                <c:pt idx="6">
                  <c:v>1.4000000000000001</c:v>
                </c:pt>
                <c:pt idx="7">
                  <c:v>0.19999999999999996</c:v>
                </c:pt>
                <c:pt idx="8">
                  <c:v>0.19999999999999996</c:v>
                </c:pt>
                <c:pt idx="9">
                  <c:v>0.19999999999999996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-0.70000000000000007</c:v>
                </c:pt>
                <c:pt idx="14">
                  <c:v>-0.70000000000000007</c:v>
                </c:pt>
                <c:pt idx="15">
                  <c:v>-0.70000000000000007</c:v>
                </c:pt>
                <c:pt idx="16">
                  <c:v>-0.8</c:v>
                </c:pt>
                <c:pt idx="17">
                  <c:v>-0.8</c:v>
                </c:pt>
                <c:pt idx="18">
                  <c:v>-0.8</c:v>
                </c:pt>
                <c:pt idx="19">
                  <c:v>-0.10000000000000009</c:v>
                </c:pt>
                <c:pt idx="20">
                  <c:v>-0.10000000000000009</c:v>
                </c:pt>
                <c:pt idx="21">
                  <c:v>-0.10000000000000009</c:v>
                </c:pt>
                <c:pt idx="22">
                  <c:v>-1.2</c:v>
                </c:pt>
                <c:pt idx="23">
                  <c:v>-1.2</c:v>
                </c:pt>
                <c:pt idx="24">
                  <c:v>-1.2</c:v>
                </c:pt>
                <c:pt idx="25">
                  <c:v>0.29999999999999982</c:v>
                </c:pt>
                <c:pt idx="26">
                  <c:v>0.29999999999999982</c:v>
                </c:pt>
                <c:pt idx="27">
                  <c:v>0.29999999999999982</c:v>
                </c:pt>
                <c:pt idx="28">
                  <c:v>1.4000000000000001</c:v>
                </c:pt>
                <c:pt idx="29">
                  <c:v>1.4000000000000001</c:v>
                </c:pt>
                <c:pt idx="30">
                  <c:v>1.4000000000000001</c:v>
                </c:pt>
                <c:pt idx="31">
                  <c:v>1.5</c:v>
                </c:pt>
                <c:pt idx="32">
                  <c:v>1.5</c:v>
                </c:pt>
                <c:pt idx="33">
                  <c:v>1.5</c:v>
                </c:pt>
                <c:pt idx="34">
                  <c:v>2.2000000000000002</c:v>
                </c:pt>
                <c:pt idx="35">
                  <c:v>2.2000000000000002</c:v>
                </c:pt>
                <c:pt idx="36">
                  <c:v>2.2000000000000002</c:v>
                </c:pt>
                <c:pt idx="37">
                  <c:v>-0.19999999999999973</c:v>
                </c:pt>
                <c:pt idx="38">
                  <c:v>-0.19999999999999973</c:v>
                </c:pt>
                <c:pt idx="39">
                  <c:v>-0.19999999999999973</c:v>
                </c:pt>
                <c:pt idx="40">
                  <c:v>0.59999999999999987</c:v>
                </c:pt>
                <c:pt idx="41">
                  <c:v>0.59999999999999987</c:v>
                </c:pt>
                <c:pt idx="42">
                  <c:v>0.59999999999999987</c:v>
                </c:pt>
                <c:pt idx="43">
                  <c:v>-0.19999999999999996</c:v>
                </c:pt>
                <c:pt idx="44">
                  <c:v>-0.19999999999999996</c:v>
                </c:pt>
                <c:pt idx="45">
                  <c:v>-0.19999999999999996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A15-2847-BA5C-A7B2F969448B}"/>
            </c:ext>
          </c:extLst>
        </c:ser>
        <c:ser>
          <c:idx val="19"/>
          <c:order val="19"/>
          <c:tx>
            <c:strRef>
              <c:f>'GDP data'!$A$31</c:f>
              <c:strCache>
                <c:ptCount val="1"/>
                <c:pt idx="0">
                  <c:v>AUD JPY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data'!$D$31:$AW$31</c:f>
              <c:numCache>
                <c:formatCode>#,##0.0_ ;\-#,##0.0\ </c:formatCode>
                <c:ptCount val="46"/>
                <c:pt idx="0">
                  <c:v>0.99999999999999978</c:v>
                </c:pt>
                <c:pt idx="1">
                  <c:v>1.2999999999999998</c:v>
                </c:pt>
                <c:pt idx="2">
                  <c:v>1.2999999999999998</c:v>
                </c:pt>
                <c:pt idx="3">
                  <c:v>1.2999999999999998</c:v>
                </c:pt>
                <c:pt idx="4">
                  <c:v>2.2000000000000002</c:v>
                </c:pt>
                <c:pt idx="5">
                  <c:v>2.2000000000000002</c:v>
                </c:pt>
                <c:pt idx="6">
                  <c:v>2.2000000000000002</c:v>
                </c:pt>
                <c:pt idx="7">
                  <c:v>1.3</c:v>
                </c:pt>
                <c:pt idx="8">
                  <c:v>1.3</c:v>
                </c:pt>
                <c:pt idx="9">
                  <c:v>1.3</c:v>
                </c:pt>
                <c:pt idx="10">
                  <c:v>2.4000000000000004</c:v>
                </c:pt>
                <c:pt idx="11">
                  <c:v>2.4000000000000004</c:v>
                </c:pt>
                <c:pt idx="12">
                  <c:v>2.4000000000000004</c:v>
                </c:pt>
                <c:pt idx="13">
                  <c:v>2.1</c:v>
                </c:pt>
                <c:pt idx="14">
                  <c:v>2.1</c:v>
                </c:pt>
                <c:pt idx="15">
                  <c:v>2.1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-0.30000000000000004</c:v>
                </c:pt>
                <c:pt idx="23">
                  <c:v>-0.30000000000000004</c:v>
                </c:pt>
                <c:pt idx="24">
                  <c:v>-0.30000000000000004</c:v>
                </c:pt>
                <c:pt idx="25">
                  <c:v>-0.10000000000000009</c:v>
                </c:pt>
                <c:pt idx="26">
                  <c:v>-0.10000000000000009</c:v>
                </c:pt>
                <c:pt idx="27">
                  <c:v>-0.10000000000000009</c:v>
                </c:pt>
                <c:pt idx="28">
                  <c:v>1.6</c:v>
                </c:pt>
                <c:pt idx="29">
                  <c:v>1.6</c:v>
                </c:pt>
                <c:pt idx="30">
                  <c:v>1.6</c:v>
                </c:pt>
                <c:pt idx="31">
                  <c:v>2.4</c:v>
                </c:pt>
                <c:pt idx="32">
                  <c:v>2.4</c:v>
                </c:pt>
                <c:pt idx="33">
                  <c:v>2.4</c:v>
                </c:pt>
                <c:pt idx="34">
                  <c:v>1.9</c:v>
                </c:pt>
                <c:pt idx="35">
                  <c:v>1.9</c:v>
                </c:pt>
                <c:pt idx="36">
                  <c:v>1.9</c:v>
                </c:pt>
                <c:pt idx="37">
                  <c:v>1.4000000000000001</c:v>
                </c:pt>
                <c:pt idx="38">
                  <c:v>1.4000000000000001</c:v>
                </c:pt>
                <c:pt idx="39">
                  <c:v>1.4000000000000001</c:v>
                </c:pt>
                <c:pt idx="40">
                  <c:v>0.49999999999999989</c:v>
                </c:pt>
                <c:pt idx="41">
                  <c:v>0.49999999999999989</c:v>
                </c:pt>
                <c:pt idx="42">
                  <c:v>0.49999999999999989</c:v>
                </c:pt>
                <c:pt idx="43">
                  <c:v>-0.30000000000000004</c:v>
                </c:pt>
                <c:pt idx="44">
                  <c:v>-0.30000000000000004</c:v>
                </c:pt>
                <c:pt idx="45">
                  <c:v>-0.30000000000000004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A15-2847-BA5C-A7B2F969448B}"/>
            </c:ext>
          </c:extLst>
        </c:ser>
        <c:ser>
          <c:idx val="20"/>
          <c:order val="20"/>
          <c:tx>
            <c:strRef>
              <c:f>'GDP data'!$A$32</c:f>
              <c:strCache>
                <c:ptCount val="1"/>
                <c:pt idx="0">
                  <c:v>AUD NZD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data'!$D$32:$AW$32</c:f>
              <c:numCache>
                <c:formatCode>#,##0.0_ ;\-#,##0.0\ </c:formatCode>
                <c:ptCount val="46"/>
                <c:pt idx="0">
                  <c:v>-0.30000000000000027</c:v>
                </c:pt>
                <c:pt idx="1">
                  <c:v>-0.70000000000000018</c:v>
                </c:pt>
                <c:pt idx="2">
                  <c:v>-0.70000000000000018</c:v>
                </c:pt>
                <c:pt idx="3">
                  <c:v>-0.70000000000000018</c:v>
                </c:pt>
                <c:pt idx="4">
                  <c:v>1.0000000000000002</c:v>
                </c:pt>
                <c:pt idx="5">
                  <c:v>1.0000000000000002</c:v>
                </c:pt>
                <c:pt idx="6">
                  <c:v>1.0000000000000002</c:v>
                </c:pt>
                <c:pt idx="7">
                  <c:v>-9.9999999999999867E-2</c:v>
                </c:pt>
                <c:pt idx="8">
                  <c:v>-9.9999999999999867E-2</c:v>
                </c:pt>
                <c:pt idx="9">
                  <c:v>-9.9999999999999867E-2</c:v>
                </c:pt>
                <c:pt idx="10">
                  <c:v>-0.5</c:v>
                </c:pt>
                <c:pt idx="11">
                  <c:v>-0.5</c:v>
                </c:pt>
                <c:pt idx="12">
                  <c:v>-0.5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2.8</c:v>
                </c:pt>
                <c:pt idx="20">
                  <c:v>2.8</c:v>
                </c:pt>
                <c:pt idx="21">
                  <c:v>2.8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1.3</c:v>
                </c:pt>
                <c:pt idx="32">
                  <c:v>1.3</c:v>
                </c:pt>
                <c:pt idx="33">
                  <c:v>1.3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0.30000000000000004</c:v>
                </c:pt>
                <c:pt idx="38">
                  <c:v>0.30000000000000004</c:v>
                </c:pt>
                <c:pt idx="39">
                  <c:v>0.30000000000000004</c:v>
                </c:pt>
                <c:pt idx="40">
                  <c:v>-0.40000000000000013</c:v>
                </c:pt>
                <c:pt idx="41">
                  <c:v>-0.40000000000000013</c:v>
                </c:pt>
                <c:pt idx="42">
                  <c:v>-0.40000000000000013</c:v>
                </c:pt>
                <c:pt idx="43">
                  <c:v>-1.0999999999999999</c:v>
                </c:pt>
                <c:pt idx="44">
                  <c:v>-1.0999999999999999</c:v>
                </c:pt>
                <c:pt idx="45">
                  <c:v>-1.0999999999999999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A15-2847-BA5C-A7B2F969448B}"/>
            </c:ext>
          </c:extLst>
        </c:ser>
        <c:ser>
          <c:idx val="21"/>
          <c:order val="21"/>
          <c:tx>
            <c:strRef>
              <c:f>'GDP data'!$A$33</c:f>
              <c:strCache>
                <c:ptCount val="1"/>
                <c:pt idx="0">
                  <c:v>AUD CAD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data'!$D$33:$AW$33</c:f>
              <c:numCache>
                <c:formatCode>#,##0.0_ ;\-#,##0.0\ </c:formatCode>
                <c:ptCount val="46"/>
                <c:pt idx="0">
                  <c:v>-0.30000000000000027</c:v>
                </c:pt>
                <c:pt idx="1">
                  <c:v>0.19999999999999973</c:v>
                </c:pt>
                <c:pt idx="2">
                  <c:v>0.19999999999999973</c:v>
                </c:pt>
                <c:pt idx="3">
                  <c:v>0.19999999999999973</c:v>
                </c:pt>
                <c:pt idx="4">
                  <c:v>0.90000000000000013</c:v>
                </c:pt>
                <c:pt idx="5">
                  <c:v>0.90000000000000013</c:v>
                </c:pt>
                <c:pt idx="6">
                  <c:v>0.90000000000000013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0.10000000000000009</c:v>
                </c:pt>
                <c:pt idx="11">
                  <c:v>0.10000000000000009</c:v>
                </c:pt>
                <c:pt idx="12">
                  <c:v>0.10000000000000009</c:v>
                </c:pt>
                <c:pt idx="13">
                  <c:v>-0.79999999999999993</c:v>
                </c:pt>
                <c:pt idx="14">
                  <c:v>-0.79999999999999993</c:v>
                </c:pt>
                <c:pt idx="15">
                  <c:v>-0.79999999999999993</c:v>
                </c:pt>
                <c:pt idx="16">
                  <c:v>-1.5999999999999999</c:v>
                </c:pt>
                <c:pt idx="17">
                  <c:v>-1.5999999999999999</c:v>
                </c:pt>
                <c:pt idx="18">
                  <c:v>-1.5999999999999999</c:v>
                </c:pt>
                <c:pt idx="19">
                  <c:v>-1.9000000000000001</c:v>
                </c:pt>
                <c:pt idx="20">
                  <c:v>-1.9000000000000001</c:v>
                </c:pt>
                <c:pt idx="21">
                  <c:v>-1.9000000000000001</c:v>
                </c:pt>
                <c:pt idx="22">
                  <c:v>-1.5999999999999999</c:v>
                </c:pt>
                <c:pt idx="23">
                  <c:v>-1.5999999999999999</c:v>
                </c:pt>
                <c:pt idx="24">
                  <c:v>-1.5999999999999999</c:v>
                </c:pt>
                <c:pt idx="25">
                  <c:v>9.9999999999999867E-2</c:v>
                </c:pt>
                <c:pt idx="26">
                  <c:v>9.9999999999999867E-2</c:v>
                </c:pt>
                <c:pt idx="27">
                  <c:v>9.9999999999999867E-2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1.9000000000000001</c:v>
                </c:pt>
                <c:pt idx="32">
                  <c:v>1.9000000000000001</c:v>
                </c:pt>
                <c:pt idx="33">
                  <c:v>1.9000000000000001</c:v>
                </c:pt>
                <c:pt idx="34">
                  <c:v>2.4</c:v>
                </c:pt>
                <c:pt idx="35">
                  <c:v>2.4</c:v>
                </c:pt>
                <c:pt idx="36">
                  <c:v>2.4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0.29999999999999982</c:v>
                </c:pt>
                <c:pt idx="41">
                  <c:v>0.29999999999999982</c:v>
                </c:pt>
                <c:pt idx="42">
                  <c:v>0.29999999999999982</c:v>
                </c:pt>
                <c:pt idx="43">
                  <c:v>-1.0999999999999999</c:v>
                </c:pt>
                <c:pt idx="44">
                  <c:v>-1.0999999999999999</c:v>
                </c:pt>
                <c:pt idx="45">
                  <c:v>-1.0999999999999999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A15-2847-BA5C-A7B2F969448B}"/>
            </c:ext>
          </c:extLst>
        </c:ser>
        <c:ser>
          <c:idx val="22"/>
          <c:order val="22"/>
          <c:tx>
            <c:strRef>
              <c:f>'GDP data'!$A$34</c:f>
              <c:strCache>
                <c:ptCount val="1"/>
                <c:pt idx="0">
                  <c:v>CAD JPY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cat>
            <c:numRef>
              <c:f>'GDP data'!$D$11:$AW$11</c:f>
              <c:numCache>
                <c:formatCode>[$-409]mmm\-yy;@</c:formatCode>
                <c:ptCount val="46"/>
                <c:pt idx="0">
                  <c:v>44986</c:v>
                </c:pt>
                <c:pt idx="1">
                  <c:v>45017</c:v>
                </c:pt>
                <c:pt idx="2">
                  <c:v>45047</c:v>
                </c:pt>
                <c:pt idx="3">
                  <c:v>45078</c:v>
                </c:pt>
                <c:pt idx="4">
                  <c:v>45108</c:v>
                </c:pt>
                <c:pt idx="5">
                  <c:v>45139</c:v>
                </c:pt>
                <c:pt idx="6">
                  <c:v>45170</c:v>
                </c:pt>
                <c:pt idx="7">
                  <c:v>45200</c:v>
                </c:pt>
                <c:pt idx="8">
                  <c:v>45231</c:v>
                </c:pt>
                <c:pt idx="9">
                  <c:v>45261</c:v>
                </c:pt>
                <c:pt idx="10">
                  <c:v>45292</c:v>
                </c:pt>
                <c:pt idx="11">
                  <c:v>45323</c:v>
                </c:pt>
                <c:pt idx="12">
                  <c:v>45352</c:v>
                </c:pt>
                <c:pt idx="13">
                  <c:v>45383</c:v>
                </c:pt>
                <c:pt idx="14">
                  <c:v>45413</c:v>
                </c:pt>
                <c:pt idx="15">
                  <c:v>45444</c:v>
                </c:pt>
                <c:pt idx="16">
                  <c:v>45474</c:v>
                </c:pt>
                <c:pt idx="17">
                  <c:v>45505</c:v>
                </c:pt>
                <c:pt idx="18">
                  <c:v>45536</c:v>
                </c:pt>
                <c:pt idx="19">
                  <c:v>45566</c:v>
                </c:pt>
                <c:pt idx="20">
                  <c:v>45597</c:v>
                </c:pt>
                <c:pt idx="21">
                  <c:v>45627</c:v>
                </c:pt>
                <c:pt idx="22">
                  <c:v>45658</c:v>
                </c:pt>
                <c:pt idx="23">
                  <c:v>45689</c:v>
                </c:pt>
                <c:pt idx="24">
                  <c:v>45717</c:v>
                </c:pt>
                <c:pt idx="25">
                  <c:v>45748</c:v>
                </c:pt>
                <c:pt idx="26">
                  <c:v>45778</c:v>
                </c:pt>
                <c:pt idx="27">
                  <c:v>45809</c:v>
                </c:pt>
                <c:pt idx="28">
                  <c:v>45839</c:v>
                </c:pt>
                <c:pt idx="29">
                  <c:v>45870</c:v>
                </c:pt>
                <c:pt idx="30">
                  <c:v>45901</c:v>
                </c:pt>
                <c:pt idx="31">
                  <c:v>45931</c:v>
                </c:pt>
                <c:pt idx="32">
                  <c:v>45962</c:v>
                </c:pt>
                <c:pt idx="33">
                  <c:v>45992</c:v>
                </c:pt>
                <c:pt idx="34">
                  <c:v>46023</c:v>
                </c:pt>
                <c:pt idx="35">
                  <c:v>46054</c:v>
                </c:pt>
                <c:pt idx="36">
                  <c:v>46082</c:v>
                </c:pt>
                <c:pt idx="37">
                  <c:v>46113</c:v>
                </c:pt>
                <c:pt idx="38">
                  <c:v>46143</c:v>
                </c:pt>
                <c:pt idx="39">
                  <c:v>46174</c:v>
                </c:pt>
                <c:pt idx="40">
                  <c:v>46204</c:v>
                </c:pt>
                <c:pt idx="41">
                  <c:v>46235</c:v>
                </c:pt>
                <c:pt idx="42">
                  <c:v>46266</c:v>
                </c:pt>
                <c:pt idx="43">
                  <c:v>46296</c:v>
                </c:pt>
                <c:pt idx="44">
                  <c:v>46327</c:v>
                </c:pt>
                <c:pt idx="45">
                  <c:v>46357</c:v>
                </c:pt>
              </c:numCache>
            </c:numRef>
          </c:cat>
          <c:val>
            <c:numRef>
              <c:f>'GDP data'!$D$34:$AW$34</c:f>
              <c:numCache>
                <c:formatCode>General</c:formatCode>
                <c:ptCount val="46"/>
                <c:pt idx="0">
                  <c:v>1.3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1.3</c:v>
                </c:pt>
                <c:pt idx="5">
                  <c:v>1.3</c:v>
                </c:pt>
                <c:pt idx="6">
                  <c:v>1.3</c:v>
                </c:pt>
                <c:pt idx="7">
                  <c:v>1.3</c:v>
                </c:pt>
                <c:pt idx="8">
                  <c:v>1.3</c:v>
                </c:pt>
                <c:pt idx="9">
                  <c:v>1.3</c:v>
                </c:pt>
                <c:pt idx="10">
                  <c:v>2.2999999999999998</c:v>
                </c:pt>
                <c:pt idx="11">
                  <c:v>2.2999999999999998</c:v>
                </c:pt>
                <c:pt idx="12">
                  <c:v>2.2999999999999998</c:v>
                </c:pt>
                <c:pt idx="13">
                  <c:v>2.9</c:v>
                </c:pt>
                <c:pt idx="14">
                  <c:v>2.9</c:v>
                </c:pt>
                <c:pt idx="15">
                  <c:v>2.9</c:v>
                </c:pt>
                <c:pt idx="16">
                  <c:v>1.5999999999999999</c:v>
                </c:pt>
                <c:pt idx="17">
                  <c:v>1.5999999999999999</c:v>
                </c:pt>
                <c:pt idx="18">
                  <c:v>1.5999999999999999</c:v>
                </c:pt>
                <c:pt idx="19">
                  <c:v>2.5</c:v>
                </c:pt>
                <c:pt idx="20">
                  <c:v>2.5</c:v>
                </c:pt>
                <c:pt idx="21">
                  <c:v>2.5</c:v>
                </c:pt>
                <c:pt idx="22">
                  <c:v>1.2999999999999998</c:v>
                </c:pt>
                <c:pt idx="23">
                  <c:v>1.2999999999999998</c:v>
                </c:pt>
                <c:pt idx="24">
                  <c:v>1.2999999999999998</c:v>
                </c:pt>
                <c:pt idx="25">
                  <c:v>-0.19999999999999996</c:v>
                </c:pt>
                <c:pt idx="26">
                  <c:v>-0.19999999999999996</c:v>
                </c:pt>
                <c:pt idx="27">
                  <c:v>-0.19999999999999996</c:v>
                </c:pt>
                <c:pt idx="28">
                  <c:v>1.1000000000000001</c:v>
                </c:pt>
                <c:pt idx="29">
                  <c:v>1.1000000000000001</c:v>
                </c:pt>
                <c:pt idx="30">
                  <c:v>1.1000000000000001</c:v>
                </c:pt>
                <c:pt idx="31">
                  <c:v>0.49999999999999994</c:v>
                </c:pt>
                <c:pt idx="32">
                  <c:v>0.49999999999999994</c:v>
                </c:pt>
                <c:pt idx="33">
                  <c:v>0.49999999999999994</c:v>
                </c:pt>
                <c:pt idx="34">
                  <c:v>-0.5</c:v>
                </c:pt>
                <c:pt idx="35">
                  <c:v>-0.5</c:v>
                </c:pt>
                <c:pt idx="36">
                  <c:v>-0.5</c:v>
                </c:pt>
                <c:pt idx="37">
                  <c:v>0.40000000000000013</c:v>
                </c:pt>
                <c:pt idx="38">
                  <c:v>0.40000000000000013</c:v>
                </c:pt>
                <c:pt idx="39">
                  <c:v>0.40000000000000013</c:v>
                </c:pt>
                <c:pt idx="40">
                  <c:v>0.20000000000000007</c:v>
                </c:pt>
                <c:pt idx="41">
                  <c:v>0.20000000000000007</c:v>
                </c:pt>
                <c:pt idx="42">
                  <c:v>0.20000000000000007</c:v>
                </c:pt>
                <c:pt idx="43">
                  <c:v>0.79999999999999982</c:v>
                </c:pt>
                <c:pt idx="44">
                  <c:v>0.79999999999999982</c:v>
                </c:pt>
                <c:pt idx="45">
                  <c:v>0.79999999999999982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A15-2847-BA5C-A7B2F9694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0702592"/>
        <c:axId val="610699008"/>
      </c:areaChart>
      <c:dateAx>
        <c:axId val="610702592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10699008"/>
        <c:crosses val="autoZero"/>
        <c:auto val="1"/>
        <c:lblOffset val="100"/>
        <c:baseTimeUnit val="months"/>
      </c:dateAx>
      <c:valAx>
        <c:axId val="6106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1070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'GDP data'!$D$11</c:f>
              <c:strCache>
                <c:ptCount val="1"/>
                <c:pt idx="0">
                  <c:v>Mar-23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data'!$D$12:$D$34</c:f>
              <c:numCache>
                <c:formatCode>General</c:formatCode>
                <c:ptCount val="23"/>
                <c:pt idx="0">
                  <c:v>-0.80000000000000027</c:v>
                </c:pt>
                <c:pt idx="1">
                  <c:v>0.29999999999999982</c:v>
                </c:pt>
                <c:pt idx="2">
                  <c:v>-0.80000000000000027</c:v>
                </c:pt>
                <c:pt idx="3">
                  <c:v>-0.99999999999999978</c:v>
                </c:pt>
                <c:pt idx="4">
                  <c:v>-0.5</c:v>
                </c:pt>
                <c:pt idx="5">
                  <c:v>-0.7</c:v>
                </c:pt>
                <c:pt idx="6">
                  <c:v>0.30000000000000004</c:v>
                </c:pt>
                <c:pt idx="7">
                  <c:v>-1.8</c:v>
                </c:pt>
                <c:pt idx="8" formatCode="#,##0.0_ ;\-#,##0.0\ ">
                  <c:v>-1.4999999999999998</c:v>
                </c:pt>
                <c:pt idx="9">
                  <c:v>-1.8</c:v>
                </c:pt>
                <c:pt idx="10">
                  <c:v>-1.2999999999999998</c:v>
                </c:pt>
                <c:pt idx="11">
                  <c:v>-0.8</c:v>
                </c:pt>
                <c:pt idx="12">
                  <c:v>-1</c:v>
                </c:pt>
                <c:pt idx="13">
                  <c:v>-2.1</c:v>
                </c:pt>
                <c:pt idx="14" formatCode="#,##0.0_ ;\-#,##0.0\ ">
                  <c:v>-1.7999999999999998</c:v>
                </c:pt>
                <c:pt idx="15">
                  <c:v>-2.1</c:v>
                </c:pt>
                <c:pt idx="16">
                  <c:v>0.19999999999999996</c:v>
                </c:pt>
                <c:pt idx="17" formatCode="#,##0.0_ ;\-#,##0.0\ ">
                  <c:v>0.5</c:v>
                </c:pt>
                <c:pt idx="18" formatCode="#,##0.0_ ;\-#,##0.0\ ">
                  <c:v>0.79999999999999982</c:v>
                </c:pt>
                <c:pt idx="19" formatCode="#,##0.0_ ;\-#,##0.0\ ">
                  <c:v>0.99999999999999978</c:v>
                </c:pt>
                <c:pt idx="20" formatCode="#,##0.0_ ;\-#,##0.0\ ">
                  <c:v>-0.30000000000000027</c:v>
                </c:pt>
                <c:pt idx="21" formatCode="#,##0.0_ ;\-#,##0.0\ ">
                  <c:v>-0.30000000000000027</c:v>
                </c:pt>
                <c:pt idx="22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C-9F49-8DFC-F0B7FB3E82BF}"/>
            </c:ext>
          </c:extLst>
        </c:ser>
        <c:ser>
          <c:idx val="1"/>
          <c:order val="1"/>
          <c:tx>
            <c:strRef>
              <c:f>'GDP data'!$G$11</c:f>
              <c:strCache>
                <c:ptCount val="1"/>
                <c:pt idx="0">
                  <c:v>Jun-23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data'!$G$12:$G$34</c:f>
              <c:numCache>
                <c:formatCode>General</c:formatCode>
                <c:ptCount val="23"/>
                <c:pt idx="0">
                  <c:v>0.69999999999999973</c:v>
                </c:pt>
                <c:pt idx="1">
                  <c:v>1.7999999999999998</c:v>
                </c:pt>
                <c:pt idx="2">
                  <c:v>0.69999999999999973</c:v>
                </c:pt>
                <c:pt idx="3">
                  <c:v>-2.1999999999999997</c:v>
                </c:pt>
                <c:pt idx="4">
                  <c:v>-0.4</c:v>
                </c:pt>
                <c:pt idx="5">
                  <c:v>-0.4</c:v>
                </c:pt>
                <c:pt idx="6">
                  <c:v>9.9999999999999978E-2</c:v>
                </c:pt>
                <c:pt idx="7">
                  <c:v>-1.5</c:v>
                </c:pt>
                <c:pt idx="8" formatCode="#,##0.0_ ;\-#,##0.0\ ">
                  <c:v>-1.6999999999999997</c:v>
                </c:pt>
                <c:pt idx="9">
                  <c:v>-2.4</c:v>
                </c:pt>
                <c:pt idx="10">
                  <c:v>-2.2999999999999998</c:v>
                </c:pt>
                <c:pt idx="11">
                  <c:v>-0.5</c:v>
                </c:pt>
                <c:pt idx="12">
                  <c:v>-0.5</c:v>
                </c:pt>
                <c:pt idx="13">
                  <c:v>-1.6</c:v>
                </c:pt>
                <c:pt idx="14" formatCode="#,##0.0_ ;\-#,##0.0\ ">
                  <c:v>-1.7999999999999998</c:v>
                </c:pt>
                <c:pt idx="15">
                  <c:v>-2.5</c:v>
                </c:pt>
                <c:pt idx="16">
                  <c:v>0</c:v>
                </c:pt>
                <c:pt idx="17" formatCode="#,##0.0_ ;\-#,##0.0\ ">
                  <c:v>-0.5</c:v>
                </c:pt>
                <c:pt idx="18" formatCode="#,##0.0_ ;\-#,##0.0\ ">
                  <c:v>1.2999999999999998</c:v>
                </c:pt>
                <c:pt idx="19" formatCode="#,##0.0_ ;\-#,##0.0\ ">
                  <c:v>1.2999999999999998</c:v>
                </c:pt>
                <c:pt idx="20" formatCode="#,##0.0_ ;\-#,##0.0\ ">
                  <c:v>-0.70000000000000018</c:v>
                </c:pt>
                <c:pt idx="21" formatCode="#,##0.0_ ;\-#,##0.0\ ">
                  <c:v>0.19999999999999973</c:v>
                </c:pt>
                <c:pt idx="22">
                  <c:v>1.1000000000000001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CC-9F49-8DFC-F0B7FB3E82BF}"/>
            </c:ext>
          </c:extLst>
        </c:ser>
        <c:ser>
          <c:idx val="2"/>
          <c:order val="2"/>
          <c:tx>
            <c:strRef>
              <c:f>'GDP data'!$J$11</c:f>
              <c:strCache>
                <c:ptCount val="1"/>
                <c:pt idx="0">
                  <c:v>Sep-23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data'!$J$12:$J$34</c:f>
              <c:numCache>
                <c:formatCode>General</c:formatCode>
                <c:ptCount val="23"/>
                <c:pt idx="0">
                  <c:v>1.9000000000000001</c:v>
                </c:pt>
                <c:pt idx="1">
                  <c:v>2.4000000000000004</c:v>
                </c:pt>
                <c:pt idx="2">
                  <c:v>1.9000000000000001</c:v>
                </c:pt>
                <c:pt idx="3">
                  <c:v>-3.1</c:v>
                </c:pt>
                <c:pt idx="4">
                  <c:v>0.1</c:v>
                </c:pt>
                <c:pt idx="5">
                  <c:v>-0.70000000000000007</c:v>
                </c:pt>
                <c:pt idx="6">
                  <c:v>0</c:v>
                </c:pt>
                <c:pt idx="7">
                  <c:v>-1.2</c:v>
                </c:pt>
                <c:pt idx="8" formatCode="#,##0.0_ ;\-#,##0.0\ ">
                  <c:v>-2.1</c:v>
                </c:pt>
                <c:pt idx="9">
                  <c:v>-1.0999999999999999</c:v>
                </c:pt>
                <c:pt idx="10">
                  <c:v>-3.1</c:v>
                </c:pt>
                <c:pt idx="11">
                  <c:v>0.1</c:v>
                </c:pt>
                <c:pt idx="12">
                  <c:v>-0.70000000000000007</c:v>
                </c:pt>
                <c:pt idx="13">
                  <c:v>-1.2</c:v>
                </c:pt>
                <c:pt idx="14" formatCode="#,##0.0_ ;\-#,##0.0\ ">
                  <c:v>-2.1</c:v>
                </c:pt>
                <c:pt idx="15">
                  <c:v>-1.0999999999999999</c:v>
                </c:pt>
                <c:pt idx="16">
                  <c:v>0.8</c:v>
                </c:pt>
                <c:pt idx="17" formatCode="#,##0.0_ ;\-#,##0.0\ ">
                  <c:v>-1</c:v>
                </c:pt>
                <c:pt idx="18" formatCode="#,##0.0_ ;\-#,##0.0\ ">
                  <c:v>1.4000000000000001</c:v>
                </c:pt>
                <c:pt idx="19" formatCode="#,##0.0_ ;\-#,##0.0\ ">
                  <c:v>2.2000000000000002</c:v>
                </c:pt>
                <c:pt idx="20" formatCode="#,##0.0_ ;\-#,##0.0\ ">
                  <c:v>1.0000000000000002</c:v>
                </c:pt>
                <c:pt idx="21" formatCode="#,##0.0_ ;\-#,##0.0\ ">
                  <c:v>0.90000000000000013</c:v>
                </c:pt>
                <c:pt idx="22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CC-9F49-8DFC-F0B7FB3E82BF}"/>
            </c:ext>
          </c:extLst>
        </c:ser>
        <c:ser>
          <c:idx val="3"/>
          <c:order val="3"/>
          <c:tx>
            <c:strRef>
              <c:f>'GDP data'!$M$11</c:f>
              <c:strCache>
                <c:ptCount val="1"/>
                <c:pt idx="0">
                  <c:v>Dec-23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data'!$M$12:$M$34</c:f>
              <c:numCache>
                <c:formatCode>General</c:formatCode>
                <c:ptCount val="23"/>
                <c:pt idx="0">
                  <c:v>2.0999999999999996</c:v>
                </c:pt>
                <c:pt idx="1">
                  <c:v>2.2999999999999998</c:v>
                </c:pt>
                <c:pt idx="2">
                  <c:v>2.0999999999999996</c:v>
                </c:pt>
                <c:pt idx="3">
                  <c:v>-3.1999999999999997</c:v>
                </c:pt>
                <c:pt idx="4">
                  <c:v>0.2</c:v>
                </c:pt>
                <c:pt idx="5">
                  <c:v>-0.90000000000000013</c:v>
                </c:pt>
                <c:pt idx="6">
                  <c:v>0.7</c:v>
                </c:pt>
                <c:pt idx="7">
                  <c:v>-1.1000000000000001</c:v>
                </c:pt>
                <c:pt idx="8" formatCode="#,##0.0_ ;\-#,##0.0\ ">
                  <c:v>-1.1000000000000001</c:v>
                </c:pt>
                <c:pt idx="9">
                  <c:v>-1.2</c:v>
                </c:pt>
                <c:pt idx="10">
                  <c:v>-3.9</c:v>
                </c:pt>
                <c:pt idx="11">
                  <c:v>-0.5</c:v>
                </c:pt>
                <c:pt idx="12">
                  <c:v>-1.6</c:v>
                </c:pt>
                <c:pt idx="13">
                  <c:v>-1.8</c:v>
                </c:pt>
                <c:pt idx="14" formatCode="#,##0.0_ ;\-#,##0.0\ ">
                  <c:v>-1.8</c:v>
                </c:pt>
                <c:pt idx="15">
                  <c:v>-1.9</c:v>
                </c:pt>
                <c:pt idx="16">
                  <c:v>1.1000000000000001</c:v>
                </c:pt>
                <c:pt idx="17" formatCode="#,##0.0_ ;\-#,##0.0\ ">
                  <c:v>-2.0999999999999996</c:v>
                </c:pt>
                <c:pt idx="18" formatCode="#,##0.0_ ;\-#,##0.0\ ">
                  <c:v>0.19999999999999996</c:v>
                </c:pt>
                <c:pt idx="19" formatCode="#,##0.0_ ;\-#,##0.0\ ">
                  <c:v>1.3</c:v>
                </c:pt>
                <c:pt idx="20" formatCode="#,##0.0_ ;\-#,##0.0\ ">
                  <c:v>-9.9999999999999867E-2</c:v>
                </c:pt>
                <c:pt idx="21" formatCode="#,##0.0_ ;\-#,##0.0\ ">
                  <c:v>0</c:v>
                </c:pt>
                <c:pt idx="22">
                  <c:v>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CC-9F49-8DFC-F0B7FB3E82BF}"/>
            </c:ext>
          </c:extLst>
        </c:ser>
        <c:ser>
          <c:idx val="4"/>
          <c:order val="4"/>
          <c:tx>
            <c:strRef>
              <c:f>'GDP data'!$P$11</c:f>
              <c:strCache>
                <c:ptCount val="1"/>
                <c:pt idx="0">
                  <c:v>Mar-24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data'!$P$12:$P$34</c:f>
              <c:numCache>
                <c:formatCode>General</c:formatCode>
                <c:ptCount val="23"/>
                <c:pt idx="0">
                  <c:v>1.9</c:v>
                </c:pt>
                <c:pt idx="1">
                  <c:v>2.8</c:v>
                </c:pt>
                <c:pt idx="2">
                  <c:v>1.9</c:v>
                </c:pt>
                <c:pt idx="3">
                  <c:v>-2.2999999999999998</c:v>
                </c:pt>
                <c:pt idx="4">
                  <c:v>1.9</c:v>
                </c:pt>
                <c:pt idx="5">
                  <c:v>0.5</c:v>
                </c:pt>
                <c:pt idx="6">
                  <c:v>0.3</c:v>
                </c:pt>
                <c:pt idx="7">
                  <c:v>-0.4</c:v>
                </c:pt>
                <c:pt idx="8" formatCode="#,##0.0_ ;\-#,##0.0\ ">
                  <c:v>-0.50000000000000011</c:v>
                </c:pt>
                <c:pt idx="9">
                  <c:v>-1</c:v>
                </c:pt>
                <c:pt idx="10">
                  <c:v>-2.6</c:v>
                </c:pt>
                <c:pt idx="11">
                  <c:v>1.6</c:v>
                </c:pt>
                <c:pt idx="12">
                  <c:v>0.19999999999999998</c:v>
                </c:pt>
                <c:pt idx="13">
                  <c:v>-0.7</c:v>
                </c:pt>
                <c:pt idx="14" formatCode="#,##0.0_ ;\-#,##0.0\ ">
                  <c:v>-0.8</c:v>
                </c:pt>
                <c:pt idx="15">
                  <c:v>-1.3</c:v>
                </c:pt>
                <c:pt idx="16">
                  <c:v>1.4000000000000001</c:v>
                </c:pt>
                <c:pt idx="17" formatCode="#,##0.0_ ;\-#,##0.0\ ">
                  <c:v>-1.7999999999999998</c:v>
                </c:pt>
                <c:pt idx="18" formatCode="#,##0.0_ ;\-#,##0.0\ ">
                  <c:v>1</c:v>
                </c:pt>
                <c:pt idx="19" formatCode="#,##0.0_ ;\-#,##0.0\ ">
                  <c:v>2.4000000000000004</c:v>
                </c:pt>
                <c:pt idx="20" formatCode="#,##0.0_ ;\-#,##0.0\ ">
                  <c:v>-0.5</c:v>
                </c:pt>
                <c:pt idx="21" formatCode="#,##0.0_ ;\-#,##0.0\ ">
                  <c:v>0.10000000000000009</c:v>
                </c:pt>
                <c:pt idx="22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FCC-9F49-8DFC-F0B7FB3E82BF}"/>
            </c:ext>
          </c:extLst>
        </c:ser>
        <c:ser>
          <c:idx val="5"/>
          <c:order val="5"/>
          <c:tx>
            <c:strRef>
              <c:f>'GDP data'!$S$11</c:f>
              <c:strCache>
                <c:ptCount val="1"/>
                <c:pt idx="0">
                  <c:v>Jun-24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data'!$S$12:$S$34</c:f>
              <c:numCache>
                <c:formatCode>General</c:formatCode>
                <c:ptCount val="23"/>
                <c:pt idx="0">
                  <c:v>1.4000000000000001</c:v>
                </c:pt>
                <c:pt idx="1">
                  <c:v>1.5</c:v>
                </c:pt>
                <c:pt idx="2">
                  <c:v>1.4000000000000001</c:v>
                </c:pt>
                <c:pt idx="3">
                  <c:v>-2.5</c:v>
                </c:pt>
                <c:pt idx="4">
                  <c:v>1.7999999999999998</c:v>
                </c:pt>
                <c:pt idx="5">
                  <c:v>-1</c:v>
                </c:pt>
                <c:pt idx="6">
                  <c:v>-0.20000000000000007</c:v>
                </c:pt>
                <c:pt idx="7">
                  <c:v>-1.1000000000000001</c:v>
                </c:pt>
                <c:pt idx="8" formatCode="#,##0.0_ ;\-#,##0.0\ ">
                  <c:v>-0.30000000000000004</c:v>
                </c:pt>
                <c:pt idx="9">
                  <c:v>0.5</c:v>
                </c:pt>
                <c:pt idx="10">
                  <c:v>-2.2999999999999998</c:v>
                </c:pt>
                <c:pt idx="11">
                  <c:v>2</c:v>
                </c:pt>
                <c:pt idx="12">
                  <c:v>-0.8</c:v>
                </c:pt>
                <c:pt idx="13">
                  <c:v>-0.89999999999999991</c:v>
                </c:pt>
                <c:pt idx="14" formatCode="#,##0.0_ ;\-#,##0.0\ ">
                  <c:v>-9.9999999999999978E-2</c:v>
                </c:pt>
                <c:pt idx="15">
                  <c:v>0.70000000000000007</c:v>
                </c:pt>
                <c:pt idx="16">
                  <c:v>2.8</c:v>
                </c:pt>
                <c:pt idx="17" formatCode="#,##0.0_ ;\-#,##0.0\ ">
                  <c:v>-2.2000000000000002</c:v>
                </c:pt>
                <c:pt idx="18" formatCode="#,##0.0_ ;\-#,##0.0\ ">
                  <c:v>-0.70000000000000007</c:v>
                </c:pt>
                <c:pt idx="19" formatCode="#,##0.0_ ;\-#,##0.0\ ">
                  <c:v>2.1</c:v>
                </c:pt>
                <c:pt idx="20" formatCode="#,##0.0_ ;\-#,##0.0\ ">
                  <c:v>0.8</c:v>
                </c:pt>
                <c:pt idx="21" formatCode="#,##0.0_ ;\-#,##0.0\ ">
                  <c:v>-0.79999999999999993</c:v>
                </c:pt>
                <c:pt idx="22">
                  <c:v>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FCC-9F49-8DFC-F0B7FB3E82BF}"/>
            </c:ext>
          </c:extLst>
        </c:ser>
        <c:ser>
          <c:idx val="6"/>
          <c:order val="6"/>
          <c:tx>
            <c:strRef>
              <c:f>'GDP data'!$V$11</c:f>
              <c:strCache>
                <c:ptCount val="1"/>
                <c:pt idx="0">
                  <c:v>Sep-24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data'!$V$12:$V$34</c:f>
              <c:numCache>
                <c:formatCode>General</c:formatCode>
                <c:ptCount val="23"/>
                <c:pt idx="0">
                  <c:v>0.39999999999999991</c:v>
                </c:pt>
                <c:pt idx="1">
                  <c:v>1.1999999999999997</c:v>
                </c:pt>
                <c:pt idx="2">
                  <c:v>0.39999999999999991</c:v>
                </c:pt>
                <c:pt idx="3">
                  <c:v>-1.7999999999999998</c:v>
                </c:pt>
                <c:pt idx="4">
                  <c:v>0.19999999999999996</c:v>
                </c:pt>
                <c:pt idx="5">
                  <c:v>-0.60000000000000009</c:v>
                </c:pt>
                <c:pt idx="6">
                  <c:v>-0.30000000000000004</c:v>
                </c:pt>
                <c:pt idx="7">
                  <c:v>-1.4</c:v>
                </c:pt>
                <c:pt idx="8" formatCode="#,##0.0_ ;\-#,##0.0\ ">
                  <c:v>0.19999999999999996</c:v>
                </c:pt>
                <c:pt idx="9">
                  <c:v>2.2000000000000002</c:v>
                </c:pt>
                <c:pt idx="10">
                  <c:v>-1.4999999999999998</c:v>
                </c:pt>
                <c:pt idx="11">
                  <c:v>0.5</c:v>
                </c:pt>
                <c:pt idx="12">
                  <c:v>-0.30000000000000004</c:v>
                </c:pt>
                <c:pt idx="13">
                  <c:v>-1.0999999999999999</c:v>
                </c:pt>
                <c:pt idx="14" formatCode="#,##0.0_ ;\-#,##0.0\ ">
                  <c:v>0.5</c:v>
                </c:pt>
                <c:pt idx="15">
                  <c:v>2.5</c:v>
                </c:pt>
                <c:pt idx="16">
                  <c:v>0.8</c:v>
                </c:pt>
                <c:pt idx="17" formatCode="#,##0.0_ ;\-#,##0.0\ ">
                  <c:v>-1.9999999999999998</c:v>
                </c:pt>
                <c:pt idx="18" formatCode="#,##0.0_ ;\-#,##0.0\ ">
                  <c:v>-0.8</c:v>
                </c:pt>
                <c:pt idx="19" formatCode="#,##0.0_ ;\-#,##0.0\ ">
                  <c:v>0</c:v>
                </c:pt>
                <c:pt idx="20" formatCode="#,##0.0_ ;\-#,##0.0\ ">
                  <c:v>2</c:v>
                </c:pt>
                <c:pt idx="21" formatCode="#,##0.0_ ;\-#,##0.0\ ">
                  <c:v>-1.5999999999999999</c:v>
                </c:pt>
                <c:pt idx="22">
                  <c:v>1.5999999999999999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FCC-9F49-8DFC-F0B7FB3E82BF}"/>
            </c:ext>
          </c:extLst>
        </c:ser>
        <c:ser>
          <c:idx val="7"/>
          <c:order val="7"/>
          <c:tx>
            <c:strRef>
              <c:f>'GDP data'!$Y$11</c:f>
              <c:strCache>
                <c:ptCount val="1"/>
                <c:pt idx="0">
                  <c:v>Dec-24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data'!$Y$12:$Y$34</c:f>
              <c:numCache>
                <c:formatCode>General</c:formatCode>
                <c:ptCount val="23"/>
                <c:pt idx="0">
                  <c:v>-0.70000000000000018</c:v>
                </c:pt>
                <c:pt idx="1">
                  <c:v>1.0999999999999999</c:v>
                </c:pt>
                <c:pt idx="2">
                  <c:v>-0.70000000000000018</c:v>
                </c:pt>
                <c:pt idx="3">
                  <c:v>-1.0999999999999999</c:v>
                </c:pt>
                <c:pt idx="4">
                  <c:v>0.70000000000000007</c:v>
                </c:pt>
                <c:pt idx="5">
                  <c:v>0</c:v>
                </c:pt>
                <c:pt idx="6">
                  <c:v>-0.59999999999999987</c:v>
                </c:pt>
                <c:pt idx="7">
                  <c:v>-1.8</c:v>
                </c:pt>
                <c:pt idx="8" formatCode="#,##0.0_ ;\-#,##0.0\ ">
                  <c:v>0.10000000000000009</c:v>
                </c:pt>
                <c:pt idx="9">
                  <c:v>2.9000000000000004</c:v>
                </c:pt>
                <c:pt idx="10">
                  <c:v>-0.5</c:v>
                </c:pt>
                <c:pt idx="11">
                  <c:v>1.2999999999999998</c:v>
                </c:pt>
                <c:pt idx="12">
                  <c:v>0.59999999999999987</c:v>
                </c:pt>
                <c:pt idx="13">
                  <c:v>-1.2000000000000002</c:v>
                </c:pt>
                <c:pt idx="14" formatCode="#,##0.0_ ;\-#,##0.0\ ">
                  <c:v>0.7</c:v>
                </c:pt>
                <c:pt idx="15">
                  <c:v>3.5</c:v>
                </c:pt>
                <c:pt idx="16">
                  <c:v>0.70000000000000007</c:v>
                </c:pt>
                <c:pt idx="17" formatCode="#,##0.0_ ;\-#,##0.0\ ">
                  <c:v>-1.2</c:v>
                </c:pt>
                <c:pt idx="18" formatCode="#,##0.0_ ;\-#,##0.0\ ">
                  <c:v>-0.10000000000000009</c:v>
                </c:pt>
                <c:pt idx="19" formatCode="#,##0.0_ ;\-#,##0.0\ ">
                  <c:v>0.6</c:v>
                </c:pt>
                <c:pt idx="20" formatCode="#,##0.0_ ;\-#,##0.0\ ">
                  <c:v>2.8</c:v>
                </c:pt>
                <c:pt idx="21" formatCode="#,##0.0_ ;\-#,##0.0\ ">
                  <c:v>-1.9000000000000001</c:v>
                </c:pt>
                <c:pt idx="22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FCC-9F49-8DFC-F0B7FB3E82BF}"/>
            </c:ext>
          </c:extLst>
        </c:ser>
        <c:ser>
          <c:idx val="8"/>
          <c:order val="8"/>
          <c:tx>
            <c:strRef>
              <c:f>'GDP data'!$AB$11</c:f>
              <c:strCache>
                <c:ptCount val="1"/>
                <c:pt idx="0">
                  <c:v>Mar-25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data'!$AB$12:$AB$34</c:f>
              <c:numCache>
                <c:formatCode>General</c:formatCode>
                <c:ptCount val="23"/>
                <c:pt idx="0">
                  <c:v>-0.89999999999999991</c:v>
                </c:pt>
                <c:pt idx="1">
                  <c:v>-0.5</c:v>
                </c:pt>
                <c:pt idx="2">
                  <c:v>-0.89999999999999991</c:v>
                </c:pt>
                <c:pt idx="3">
                  <c:v>-0.39999999999999991</c:v>
                </c:pt>
                <c:pt idx="4">
                  <c:v>0</c:v>
                </c:pt>
                <c:pt idx="5">
                  <c:v>-0.89999999999999991</c:v>
                </c:pt>
                <c:pt idx="6">
                  <c:v>-0.19999999999999996</c:v>
                </c:pt>
                <c:pt idx="7">
                  <c:v>-1.2999999999999998</c:v>
                </c:pt>
                <c:pt idx="8" formatCode="#,##0.0_ ;\-#,##0.0\ ">
                  <c:v>0.30000000000000004</c:v>
                </c:pt>
                <c:pt idx="9">
                  <c:v>2.2999999999999998</c:v>
                </c:pt>
                <c:pt idx="10">
                  <c:v>-0.19999999999999996</c:v>
                </c:pt>
                <c:pt idx="11">
                  <c:v>0.19999999999999996</c:v>
                </c:pt>
                <c:pt idx="12">
                  <c:v>-0.7</c:v>
                </c:pt>
                <c:pt idx="13">
                  <c:v>-1.0999999999999999</c:v>
                </c:pt>
                <c:pt idx="14" formatCode="#,##0.0_ ;\-#,##0.0\ ">
                  <c:v>0.5</c:v>
                </c:pt>
                <c:pt idx="15">
                  <c:v>2.5</c:v>
                </c:pt>
                <c:pt idx="16">
                  <c:v>0.89999999999999991</c:v>
                </c:pt>
                <c:pt idx="17" formatCode="#,##0.0_ ;\-#,##0.0\ ">
                  <c:v>-0.7</c:v>
                </c:pt>
                <c:pt idx="18" formatCode="#,##0.0_ ;\-#,##0.0\ ">
                  <c:v>-1.2</c:v>
                </c:pt>
                <c:pt idx="19" formatCode="#,##0.0_ ;\-#,##0.0\ ">
                  <c:v>-0.30000000000000004</c:v>
                </c:pt>
                <c:pt idx="20" formatCode="#,##0.0_ ;\-#,##0.0\ ">
                  <c:v>2</c:v>
                </c:pt>
                <c:pt idx="21" formatCode="#,##0.0_ ;\-#,##0.0\ ">
                  <c:v>-1.5999999999999999</c:v>
                </c:pt>
                <c:pt idx="22">
                  <c:v>1.2999999999999998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FCC-9F49-8DFC-F0B7FB3E82BF}"/>
            </c:ext>
          </c:extLst>
        </c:ser>
        <c:ser>
          <c:idx val="9"/>
          <c:order val="9"/>
          <c:tx>
            <c:strRef>
              <c:f>'GDP data'!$AE$11</c:f>
              <c:strCache>
                <c:ptCount val="1"/>
                <c:pt idx="0">
                  <c:v>Jun-25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data'!$AE$12:$AE$34</c:f>
              <c:numCache>
                <c:formatCode>General</c:formatCode>
                <c:ptCount val="23"/>
                <c:pt idx="0">
                  <c:v>0.30000000000000004</c:v>
                </c:pt>
                <c:pt idx="1">
                  <c:v>0.5</c:v>
                </c:pt>
                <c:pt idx="2">
                  <c:v>0.30000000000000004</c:v>
                </c:pt>
                <c:pt idx="3">
                  <c:v>-0.70000000000000018</c:v>
                </c:pt>
                <c:pt idx="4">
                  <c:v>-0.60000000000000009</c:v>
                </c:pt>
                <c:pt idx="5">
                  <c:v>-0.20000000000000018</c:v>
                </c:pt>
                <c:pt idx="6">
                  <c:v>0</c:v>
                </c:pt>
                <c:pt idx="7">
                  <c:v>-0.40000000000000013</c:v>
                </c:pt>
                <c:pt idx="8" formatCode="#,##0.0_ ;\-#,##0.0\ ">
                  <c:v>-0.5</c:v>
                </c:pt>
                <c:pt idx="9">
                  <c:v>2.5</c:v>
                </c:pt>
                <c:pt idx="10">
                  <c:v>-0.70000000000000018</c:v>
                </c:pt>
                <c:pt idx="11">
                  <c:v>-0.60000000000000009</c:v>
                </c:pt>
                <c:pt idx="12">
                  <c:v>-0.20000000000000018</c:v>
                </c:pt>
                <c:pt idx="13">
                  <c:v>-0.40000000000000013</c:v>
                </c:pt>
                <c:pt idx="14" formatCode="#,##0.0_ ;\-#,##0.0\ ">
                  <c:v>-0.5</c:v>
                </c:pt>
                <c:pt idx="15">
                  <c:v>2.5</c:v>
                </c:pt>
                <c:pt idx="16">
                  <c:v>-0.39999999999999991</c:v>
                </c:pt>
                <c:pt idx="17" formatCode="#,##0.0_ ;\-#,##0.0\ ">
                  <c:v>-0.20000000000000018</c:v>
                </c:pt>
                <c:pt idx="18" formatCode="#,##0.0_ ;\-#,##0.0\ ">
                  <c:v>0.29999999999999982</c:v>
                </c:pt>
                <c:pt idx="19" formatCode="#,##0.0_ ;\-#,##0.0\ ">
                  <c:v>-0.10000000000000009</c:v>
                </c:pt>
                <c:pt idx="20" formatCode="#,##0.0_ ;\-#,##0.0\ ">
                  <c:v>3</c:v>
                </c:pt>
                <c:pt idx="21" formatCode="#,##0.0_ ;\-#,##0.0\ ">
                  <c:v>9.9999999999999867E-2</c:v>
                </c:pt>
                <c:pt idx="22">
                  <c:v>-0.19999999999999996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FCC-9F49-8DFC-F0B7FB3E82BF}"/>
            </c:ext>
          </c:extLst>
        </c:ser>
        <c:ser>
          <c:idx val="10"/>
          <c:order val="10"/>
          <c:tx>
            <c:strRef>
              <c:f>'GDP data'!$AH$11</c:f>
              <c:strCache>
                <c:ptCount val="1"/>
                <c:pt idx="0">
                  <c:v>Sep-25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data'!$AH$12:$AH$34</c:f>
              <c:numCache>
                <c:formatCode>General</c:formatCode>
                <c:ptCount val="23"/>
                <c:pt idx="0">
                  <c:v>0.69999999999999973</c:v>
                </c:pt>
                <c:pt idx="1">
                  <c:v>1.5999999999999999</c:v>
                </c:pt>
                <c:pt idx="2">
                  <c:v>0.69999999999999973</c:v>
                </c:pt>
                <c:pt idx="3">
                  <c:v>-1.0999999999999999</c:v>
                </c:pt>
                <c:pt idx="4">
                  <c:v>0.7</c:v>
                </c:pt>
                <c:pt idx="5">
                  <c:v>0.5</c:v>
                </c:pt>
                <c:pt idx="6">
                  <c:v>-0.10000000000000009</c:v>
                </c:pt>
                <c:pt idx="7">
                  <c:v>-0.40000000000000013</c:v>
                </c:pt>
                <c:pt idx="8" formatCode="#,##0.0_ ;\-#,##0.0\ ">
                  <c:v>-0.90000000000000013</c:v>
                </c:pt>
                <c:pt idx="9">
                  <c:v>9.9999999999999867E-2</c:v>
                </c:pt>
                <c:pt idx="10">
                  <c:v>-0.99999999999999978</c:v>
                </c:pt>
                <c:pt idx="11">
                  <c:v>0.8</c:v>
                </c:pt>
                <c:pt idx="12">
                  <c:v>0.60000000000000009</c:v>
                </c:pt>
                <c:pt idx="13">
                  <c:v>-0.30000000000000004</c:v>
                </c:pt>
                <c:pt idx="14" formatCode="#,##0.0_ ;\-#,##0.0\ ">
                  <c:v>-0.8</c:v>
                </c:pt>
                <c:pt idx="15">
                  <c:v>0.19999999999999996</c:v>
                </c:pt>
                <c:pt idx="16">
                  <c:v>0.19999999999999996</c:v>
                </c:pt>
                <c:pt idx="17" formatCode="#,##0.0_ ;\-#,##0.0\ ">
                  <c:v>-0.19999999999999973</c:v>
                </c:pt>
                <c:pt idx="18" formatCode="#,##0.0_ ;\-#,##0.0\ ">
                  <c:v>1.4000000000000001</c:v>
                </c:pt>
                <c:pt idx="19" formatCode="#,##0.0_ ;\-#,##0.0\ ">
                  <c:v>1.6</c:v>
                </c:pt>
                <c:pt idx="20" formatCode="#,##0.0_ ;\-#,##0.0\ ">
                  <c:v>1</c:v>
                </c:pt>
                <c:pt idx="21" formatCode="#,##0.0_ ;\-#,##0.0\ ">
                  <c:v>0.5</c:v>
                </c:pt>
                <c:pt idx="22">
                  <c:v>1.1000000000000001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FCC-9F49-8DFC-F0B7FB3E82BF}"/>
            </c:ext>
          </c:extLst>
        </c:ser>
        <c:ser>
          <c:idx val="11"/>
          <c:order val="11"/>
          <c:tx>
            <c:strRef>
              <c:f>'GDP data'!$AK$11</c:f>
              <c:strCache>
                <c:ptCount val="1"/>
                <c:pt idx="0">
                  <c:v>Dec-25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data'!$AK$12:$AK$34</c:f>
              <c:numCache>
                <c:formatCode>General</c:formatCode>
                <c:ptCount val="23"/>
                <c:pt idx="0">
                  <c:v>1.3</c:v>
                </c:pt>
                <c:pt idx="1">
                  <c:v>0.89999999999999991</c:v>
                </c:pt>
                <c:pt idx="2">
                  <c:v>1.3</c:v>
                </c:pt>
                <c:pt idx="3">
                  <c:v>-0.89999999999999991</c:v>
                </c:pt>
                <c:pt idx="4">
                  <c:v>0.90000000000000013</c:v>
                </c:pt>
                <c:pt idx="5">
                  <c:v>0</c:v>
                </c:pt>
                <c:pt idx="6">
                  <c:v>0.20000000000000007</c:v>
                </c:pt>
                <c:pt idx="7">
                  <c:v>0.40000000000000013</c:v>
                </c:pt>
                <c:pt idx="8" formatCode="#,##0.0_ ;\-#,##0.0\ ">
                  <c:v>-1.5</c:v>
                </c:pt>
                <c:pt idx="9">
                  <c:v>-0.19999999999999996</c:v>
                </c:pt>
                <c:pt idx="10">
                  <c:v>-1.1000000000000001</c:v>
                </c:pt>
                <c:pt idx="11">
                  <c:v>0.7</c:v>
                </c:pt>
                <c:pt idx="12">
                  <c:v>-0.20000000000000007</c:v>
                </c:pt>
                <c:pt idx="13">
                  <c:v>0.20000000000000007</c:v>
                </c:pt>
                <c:pt idx="14" formatCode="#,##0.0_ ;\-#,##0.0\ ">
                  <c:v>-1.7000000000000002</c:v>
                </c:pt>
                <c:pt idx="15">
                  <c:v>-0.4</c:v>
                </c:pt>
                <c:pt idx="16">
                  <c:v>0.90000000000000013</c:v>
                </c:pt>
                <c:pt idx="17" formatCode="#,##0.0_ ;\-#,##0.0\ ">
                  <c:v>0.60000000000000009</c:v>
                </c:pt>
                <c:pt idx="18" formatCode="#,##0.0_ ;\-#,##0.0\ ">
                  <c:v>1.5</c:v>
                </c:pt>
                <c:pt idx="19" formatCode="#,##0.0_ ;\-#,##0.0\ ">
                  <c:v>2.4</c:v>
                </c:pt>
                <c:pt idx="20" formatCode="#,##0.0_ ;\-#,##0.0\ ">
                  <c:v>1.3</c:v>
                </c:pt>
                <c:pt idx="21" formatCode="#,##0.0_ ;\-#,##0.0\ ">
                  <c:v>1.9000000000000001</c:v>
                </c:pt>
                <c:pt idx="22">
                  <c:v>0.49999999999999994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FCC-9F49-8DFC-F0B7FB3E82BF}"/>
            </c:ext>
          </c:extLst>
        </c:ser>
        <c:ser>
          <c:idx val="12"/>
          <c:order val="12"/>
          <c:tx>
            <c:strRef>
              <c:f>'GDP data'!$AN$11</c:f>
              <c:strCache>
                <c:ptCount val="1"/>
                <c:pt idx="0">
                  <c:v>Mar-26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data'!$AN$12:$AN$34</c:f>
              <c:numCache>
                <c:formatCode>General</c:formatCode>
                <c:ptCount val="23"/>
                <c:pt idx="0">
                  <c:v>2.6</c:v>
                </c:pt>
                <c:pt idx="1">
                  <c:v>2.4000000000000004</c:v>
                </c:pt>
                <c:pt idx="2">
                  <c:v>2.6</c:v>
                </c:pt>
                <c:pt idx="3">
                  <c:v>-2.2000000000000002</c:v>
                </c:pt>
                <c:pt idx="4">
                  <c:v>-9.9999999999999978E-2</c:v>
                </c:pt>
                <c:pt idx="5">
                  <c:v>0.2</c:v>
                </c:pt>
                <c:pt idx="6">
                  <c:v>-0.4</c:v>
                </c:pt>
                <c:pt idx="7">
                  <c:v>0.4</c:v>
                </c:pt>
                <c:pt idx="8" formatCode="#,##0.0_ ;\-#,##0.0\ ">
                  <c:v>-2</c:v>
                </c:pt>
                <c:pt idx="9">
                  <c:v>-1</c:v>
                </c:pt>
                <c:pt idx="10">
                  <c:v>-1.8000000000000003</c:v>
                </c:pt>
                <c:pt idx="11">
                  <c:v>0.30000000000000004</c:v>
                </c:pt>
                <c:pt idx="12">
                  <c:v>0.60000000000000009</c:v>
                </c:pt>
                <c:pt idx="13">
                  <c:v>0.8</c:v>
                </c:pt>
                <c:pt idx="14" formatCode="#,##0.0_ ;\-#,##0.0\ ">
                  <c:v>-1.6</c:v>
                </c:pt>
                <c:pt idx="15">
                  <c:v>-0.6</c:v>
                </c:pt>
                <c:pt idx="16">
                  <c:v>-0.3</c:v>
                </c:pt>
                <c:pt idx="17" formatCode="#,##0.0_ ;\-#,##0.0\ ">
                  <c:v>-0.20000000000000018</c:v>
                </c:pt>
                <c:pt idx="18" formatCode="#,##0.0_ ;\-#,##0.0\ ">
                  <c:v>2.2000000000000002</c:v>
                </c:pt>
                <c:pt idx="19" formatCode="#,##0.0_ ;\-#,##0.0\ ">
                  <c:v>1.9</c:v>
                </c:pt>
                <c:pt idx="20" formatCode="#,##0.0_ ;\-#,##0.0\ ">
                  <c:v>1</c:v>
                </c:pt>
                <c:pt idx="21" formatCode="#,##0.0_ ;\-#,##0.0\ ">
                  <c:v>2.4</c:v>
                </c:pt>
                <c:pt idx="22">
                  <c:v>-0.5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FCC-9F49-8DFC-F0B7FB3E82BF}"/>
            </c:ext>
          </c:extLst>
        </c:ser>
        <c:ser>
          <c:idx val="13"/>
          <c:order val="13"/>
          <c:tx>
            <c:strRef>
              <c:f>'GDP data'!$AS$11</c:f>
              <c:strCache>
                <c:ptCount val="1"/>
                <c:pt idx="0">
                  <c:v>Aug-26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data'!$AS$12:$AS$34</c:f>
              <c:numCache>
                <c:formatCode>General</c:formatCode>
                <c:ptCount val="23"/>
                <c:pt idx="0">
                  <c:v>0.7</c:v>
                </c:pt>
                <c:pt idx="1">
                  <c:v>1</c:v>
                </c:pt>
                <c:pt idx="2">
                  <c:v>0.7</c:v>
                </c:pt>
                <c:pt idx="3">
                  <c:v>-0.8</c:v>
                </c:pt>
                <c:pt idx="4">
                  <c:v>9.9999999999999978E-2</c:v>
                </c:pt>
                <c:pt idx="5">
                  <c:v>0.19999999999999996</c:v>
                </c:pt>
                <c:pt idx="6">
                  <c:v>-0.5</c:v>
                </c:pt>
                <c:pt idx="7">
                  <c:v>-0.10000000000000009</c:v>
                </c:pt>
                <c:pt idx="8" formatCode="#,##0.0_ ;\-#,##0.0\ ">
                  <c:v>-0.39999999999999991</c:v>
                </c:pt>
                <c:pt idx="9">
                  <c:v>-0.8</c:v>
                </c:pt>
                <c:pt idx="10">
                  <c:v>-0.30000000000000004</c:v>
                </c:pt>
                <c:pt idx="11">
                  <c:v>0.6</c:v>
                </c:pt>
                <c:pt idx="12">
                  <c:v>0.7</c:v>
                </c:pt>
                <c:pt idx="13">
                  <c:v>0.39999999999999991</c:v>
                </c:pt>
                <c:pt idx="14" formatCode="#,##0.0_ ;\-#,##0.0\ ">
                  <c:v>0.10000000000000009</c:v>
                </c:pt>
                <c:pt idx="15">
                  <c:v>-0.30000000000000004</c:v>
                </c:pt>
                <c:pt idx="16">
                  <c:v>-9.9999999999999978E-2</c:v>
                </c:pt>
                <c:pt idx="17" formatCode="#,##0.0_ ;\-#,##0.0\ ">
                  <c:v>-0.40000000000000013</c:v>
                </c:pt>
                <c:pt idx="18" formatCode="#,##0.0_ ;\-#,##0.0\ ">
                  <c:v>0.59999999999999987</c:v>
                </c:pt>
                <c:pt idx="19" formatCode="#,##0.0_ ;\-#,##0.0\ ">
                  <c:v>0.49999999999999989</c:v>
                </c:pt>
                <c:pt idx="20" formatCode="#,##0.0_ ;\-#,##0.0\ ">
                  <c:v>-0.40000000000000013</c:v>
                </c:pt>
                <c:pt idx="21" formatCode="#,##0.0_ ;\-#,##0.0\ ">
                  <c:v>0.29999999999999982</c:v>
                </c:pt>
                <c:pt idx="22">
                  <c:v>0.20000000000000007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FCC-9F49-8DFC-F0B7FB3E82BF}"/>
            </c:ext>
          </c:extLst>
        </c:ser>
        <c:ser>
          <c:idx val="14"/>
          <c:order val="14"/>
          <c:tx>
            <c:strRef>
              <c:f>'GDP data'!$AV$11</c:f>
              <c:strCache>
                <c:ptCount val="1"/>
                <c:pt idx="0">
                  <c:v>Nov-26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data'!$AV$12:$AV$34</c:f>
              <c:numCache>
                <c:formatCode>General</c:formatCode>
                <c:ptCount val="23"/>
                <c:pt idx="0">
                  <c:v>-0.29999999999999982</c:v>
                </c:pt>
                <c:pt idx="1">
                  <c:v>0.60000000000000009</c:v>
                </c:pt>
                <c:pt idx="2">
                  <c:v>-0.29999999999999982</c:v>
                </c:pt>
                <c:pt idx="3">
                  <c:v>-0.90000000000000013</c:v>
                </c:pt>
                <c:pt idx="4">
                  <c:v>-0.40000000000000013</c:v>
                </c:pt>
                <c:pt idx="5">
                  <c:v>-0.30000000000000004</c:v>
                </c:pt>
                <c:pt idx="6">
                  <c:v>-0.7</c:v>
                </c:pt>
                <c:pt idx="7">
                  <c:v>-1.2</c:v>
                </c:pt>
                <c:pt idx="8" formatCode="#,##0.0_ ;\-#,##0.0\ ">
                  <c:v>-0.10000000000000009</c:v>
                </c:pt>
                <c:pt idx="9">
                  <c:v>-1.2</c:v>
                </c:pt>
                <c:pt idx="10">
                  <c:v>-0.20000000000000018</c:v>
                </c:pt>
                <c:pt idx="11">
                  <c:v>0.29999999999999982</c:v>
                </c:pt>
                <c:pt idx="12">
                  <c:v>0.39999999999999991</c:v>
                </c:pt>
                <c:pt idx="13">
                  <c:v>-0.5</c:v>
                </c:pt>
                <c:pt idx="14" formatCode="#,##0.0_ ;\-#,##0.0\ ">
                  <c:v>0.59999999999999987</c:v>
                </c:pt>
                <c:pt idx="15">
                  <c:v>-0.5</c:v>
                </c:pt>
                <c:pt idx="16">
                  <c:v>-0.10000000000000009</c:v>
                </c:pt>
                <c:pt idx="17" formatCode="#,##0.0_ ;\-#,##0.0\ ">
                  <c:v>-0.8</c:v>
                </c:pt>
                <c:pt idx="18" formatCode="#,##0.0_ ;\-#,##0.0\ ">
                  <c:v>-0.19999999999999996</c:v>
                </c:pt>
                <c:pt idx="19" formatCode="#,##0.0_ ;\-#,##0.0\ ">
                  <c:v>-0.30000000000000004</c:v>
                </c:pt>
                <c:pt idx="20" formatCode="#,##0.0_ ;\-#,##0.0\ ">
                  <c:v>-1.0999999999999999</c:v>
                </c:pt>
                <c:pt idx="21" formatCode="#,##0.0_ ;\-#,##0.0\ ">
                  <c:v>-1.0999999999999999</c:v>
                </c:pt>
                <c:pt idx="22">
                  <c:v>0.79999999999999982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FCC-9F49-8DFC-F0B7FB3E82BF}"/>
            </c:ext>
          </c:extLst>
        </c:ser>
        <c:ser>
          <c:idx val="15"/>
          <c:order val="15"/>
          <c:tx>
            <c:strRef>
              <c:f>'GDP data'!#REF!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'GDP data'!$A$12:$A$34</c:f>
              <c:strCache>
                <c:ptCount val="23"/>
                <c:pt idx="0">
                  <c:v>USD JPY</c:v>
                </c:pt>
                <c:pt idx="1">
                  <c:v>USD CHF</c:v>
                </c:pt>
                <c:pt idx="2">
                  <c:v>USD CAD</c:v>
                </c:pt>
                <c:pt idx="3">
                  <c:v>EUR USD</c:v>
                </c:pt>
                <c:pt idx="4">
                  <c:v>EUR JPY</c:v>
                </c:pt>
                <c:pt idx="5">
                  <c:v>EUR CHF</c:v>
                </c:pt>
                <c:pt idx="6">
                  <c:v>EUR GBP</c:v>
                </c:pt>
                <c:pt idx="7">
                  <c:v>EUR CAD</c:v>
                </c:pt>
                <c:pt idx="8">
                  <c:v>EUR AUD</c:v>
                </c:pt>
                <c:pt idx="9">
                  <c:v>EUR NZD</c:v>
                </c:pt>
                <c:pt idx="10">
                  <c:v>GBP USD</c:v>
                </c:pt>
                <c:pt idx="11">
                  <c:v>GBP JPY</c:v>
                </c:pt>
                <c:pt idx="12">
                  <c:v>GBP CHF</c:v>
                </c:pt>
                <c:pt idx="13">
                  <c:v>GBP CAD</c:v>
                </c:pt>
                <c:pt idx="14">
                  <c:v>GBP AUD</c:v>
                </c:pt>
                <c:pt idx="15">
                  <c:v>GBP NZD</c:v>
                </c:pt>
                <c:pt idx="16">
                  <c:v>CHF JPY </c:v>
                </c:pt>
                <c:pt idx="17">
                  <c:v>AUD USD</c:v>
                </c:pt>
                <c:pt idx="18">
                  <c:v>AUD CHF</c:v>
                </c:pt>
                <c:pt idx="19">
                  <c:v>AUD JPY</c:v>
                </c:pt>
                <c:pt idx="20">
                  <c:v>AUD NZD</c:v>
                </c:pt>
                <c:pt idx="21">
                  <c:v>AUD CAD</c:v>
                </c:pt>
                <c:pt idx="22">
                  <c:v>CAD JPY</c:v>
                </c:pt>
              </c:strCache>
            </c:strRef>
          </c:cat>
          <c:val>
            <c:numRef>
              <c:f>'GDP data'!#REF!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FCC-9F49-8DFC-F0B7FB3E82B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10982912"/>
        <c:axId val="610980672"/>
      </c:lineChart>
      <c:catAx>
        <c:axId val="61098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10980672"/>
        <c:crosses val="autoZero"/>
        <c:auto val="1"/>
        <c:lblAlgn val="ctr"/>
        <c:lblOffset val="100"/>
        <c:noMultiLvlLbl val="0"/>
      </c:catAx>
      <c:valAx>
        <c:axId val="61098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1098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'CA GDP DATA'!$A$15</c:f>
              <c:strCache>
                <c:ptCount val="1"/>
                <c:pt idx="0">
                  <c:v>USD JPY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DATA'!$B$15:$AK$15</c:f>
              <c:numCache>
                <c:formatCode>#,##0.00</c:formatCode>
                <c:ptCount val="36"/>
                <c:pt idx="0">
                  <c:v>-5.4600609999999996</c:v>
                </c:pt>
                <c:pt idx="1">
                  <c:v>-5.4600609999999996</c:v>
                </c:pt>
                <c:pt idx="2">
                  <c:v>-5.4600609999999996</c:v>
                </c:pt>
                <c:pt idx="3">
                  <c:v>-7.3422350000000005</c:v>
                </c:pt>
                <c:pt idx="4">
                  <c:v>-7.3422350000000005</c:v>
                </c:pt>
                <c:pt idx="5">
                  <c:v>-7.3422350000000005</c:v>
                </c:pt>
                <c:pt idx="6">
                  <c:v>-7.3527769999999997</c:v>
                </c:pt>
                <c:pt idx="7">
                  <c:v>-7.3527769999999997</c:v>
                </c:pt>
                <c:pt idx="8">
                  <c:v>-7.3527769999999997</c:v>
                </c:pt>
                <c:pt idx="9">
                  <c:v>-7.8277619999999999</c:v>
                </c:pt>
                <c:pt idx="10">
                  <c:v>-7.8277619999999999</c:v>
                </c:pt>
                <c:pt idx="11">
                  <c:v>-7.8277619999999999</c:v>
                </c:pt>
                <c:pt idx="12">
                  <c:v>-7.8532709999999994</c:v>
                </c:pt>
                <c:pt idx="13">
                  <c:v>-7.8532709999999994</c:v>
                </c:pt>
                <c:pt idx="14">
                  <c:v>-7.8532709999999994</c:v>
                </c:pt>
                <c:pt idx="15">
                  <c:v>-8.3400239999999997</c:v>
                </c:pt>
                <c:pt idx="16">
                  <c:v>-8.3400239999999997</c:v>
                </c:pt>
                <c:pt idx="17">
                  <c:v>-8.3400239999999997</c:v>
                </c:pt>
                <c:pt idx="18">
                  <c:v>-8.8170409999999997</c:v>
                </c:pt>
                <c:pt idx="19">
                  <c:v>-8.8170409999999997</c:v>
                </c:pt>
                <c:pt idx="20">
                  <c:v>-8.8170409999999997</c:v>
                </c:pt>
                <c:pt idx="21">
                  <c:v>-9.1260919999999999</c:v>
                </c:pt>
                <c:pt idx="22">
                  <c:v>-9.1260919999999999</c:v>
                </c:pt>
                <c:pt idx="23">
                  <c:v>-9.1260919999999999</c:v>
                </c:pt>
                <c:pt idx="24">
                  <c:v>-10.466132999999999</c:v>
                </c:pt>
                <c:pt idx="25">
                  <c:v>-10.466132999999999</c:v>
                </c:pt>
                <c:pt idx="26">
                  <c:v>-10.466132999999999</c:v>
                </c:pt>
                <c:pt idx="27">
                  <c:v>-7.5913909999999998</c:v>
                </c:pt>
                <c:pt idx="28">
                  <c:v>-7.5913909999999998</c:v>
                </c:pt>
                <c:pt idx="29">
                  <c:v>-7.5913909999999998</c:v>
                </c:pt>
                <c:pt idx="30">
                  <c:v>-8.0897170000000003</c:v>
                </c:pt>
                <c:pt idx="31">
                  <c:v>-8.0897170000000003</c:v>
                </c:pt>
                <c:pt idx="32">
                  <c:v>-8.0897170000000003</c:v>
                </c:pt>
                <c:pt idx="33">
                  <c:v>-7.76</c:v>
                </c:pt>
                <c:pt idx="34">
                  <c:v>-7.76</c:v>
                </c:pt>
                <c:pt idx="35">
                  <c:v>-7.76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0-BC4D-A5EF-99E695A3A775}"/>
            </c:ext>
          </c:extLst>
        </c:ser>
        <c:ser>
          <c:idx val="1"/>
          <c:order val="1"/>
          <c:tx>
            <c:strRef>
              <c:f>'CA GDP DATA'!$A$16</c:f>
              <c:strCache>
                <c:ptCount val="1"/>
                <c:pt idx="0">
                  <c:v>USD CHF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DATA'!$B$16:$AK$16</c:f>
              <c:numCache>
                <c:formatCode>#,##0.00</c:formatCode>
                <c:ptCount val="36"/>
                <c:pt idx="0">
                  <c:v>-9.7309739999999998</c:v>
                </c:pt>
                <c:pt idx="1">
                  <c:v>-9.7309739999999998</c:v>
                </c:pt>
                <c:pt idx="2">
                  <c:v>-9.7309739999999998</c:v>
                </c:pt>
                <c:pt idx="3">
                  <c:v>-10.744186000000001</c:v>
                </c:pt>
                <c:pt idx="4">
                  <c:v>-10.744186000000001</c:v>
                </c:pt>
                <c:pt idx="5">
                  <c:v>-10.744186000000001</c:v>
                </c:pt>
                <c:pt idx="6">
                  <c:v>-11.199446</c:v>
                </c:pt>
                <c:pt idx="7">
                  <c:v>-11.199446</c:v>
                </c:pt>
                <c:pt idx="8">
                  <c:v>-11.199446</c:v>
                </c:pt>
                <c:pt idx="9">
                  <c:v>-4.0971770000000003</c:v>
                </c:pt>
                <c:pt idx="10">
                  <c:v>-4.0971770000000003</c:v>
                </c:pt>
                <c:pt idx="11">
                  <c:v>-4.0971770000000003</c:v>
                </c:pt>
                <c:pt idx="12">
                  <c:v>-17.633742000000002</c:v>
                </c:pt>
                <c:pt idx="13">
                  <c:v>-17.633742000000002</c:v>
                </c:pt>
                <c:pt idx="14">
                  <c:v>-17.633742000000002</c:v>
                </c:pt>
                <c:pt idx="15">
                  <c:v>-14.999824</c:v>
                </c:pt>
                <c:pt idx="16">
                  <c:v>-14.999824</c:v>
                </c:pt>
                <c:pt idx="17">
                  <c:v>-14.999824</c:v>
                </c:pt>
                <c:pt idx="18">
                  <c:v>-6.4260409999999997</c:v>
                </c:pt>
                <c:pt idx="19">
                  <c:v>-6.4260409999999997</c:v>
                </c:pt>
                <c:pt idx="20">
                  <c:v>-6.4260409999999997</c:v>
                </c:pt>
                <c:pt idx="21">
                  <c:v>-14.493161000000001</c:v>
                </c:pt>
                <c:pt idx="22">
                  <c:v>-14.493161000000001</c:v>
                </c:pt>
                <c:pt idx="23">
                  <c:v>-14.493161000000001</c:v>
                </c:pt>
                <c:pt idx="24">
                  <c:v>-20.549463000000003</c:v>
                </c:pt>
                <c:pt idx="25">
                  <c:v>-20.549463000000003</c:v>
                </c:pt>
                <c:pt idx="26">
                  <c:v>-20.549463000000003</c:v>
                </c:pt>
                <c:pt idx="27">
                  <c:v>-7.4399499999999996</c:v>
                </c:pt>
                <c:pt idx="28">
                  <c:v>-7.4399499999999996</c:v>
                </c:pt>
                <c:pt idx="29">
                  <c:v>-7.4399499999999996</c:v>
                </c:pt>
                <c:pt idx="30">
                  <c:v>-7.62</c:v>
                </c:pt>
                <c:pt idx="31">
                  <c:v>-7.62</c:v>
                </c:pt>
                <c:pt idx="32">
                  <c:v>-7.62</c:v>
                </c:pt>
                <c:pt idx="33">
                  <c:v>-4.03</c:v>
                </c:pt>
                <c:pt idx="34">
                  <c:v>-4.03</c:v>
                </c:pt>
                <c:pt idx="35">
                  <c:v>0.48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80-BC4D-A5EF-99E695A3A775}"/>
            </c:ext>
          </c:extLst>
        </c:ser>
        <c:ser>
          <c:idx val="2"/>
          <c:order val="2"/>
          <c:tx>
            <c:strRef>
              <c:f>'CA GDP DATA'!$A$17</c:f>
              <c:strCache>
                <c:ptCount val="1"/>
                <c:pt idx="0">
                  <c:v>USD CAD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DATA'!$B$17:$AK$17</c:f>
              <c:numCache>
                <c:formatCode>#,##0.00</c:formatCode>
                <c:ptCount val="36"/>
                <c:pt idx="0">
                  <c:v>-2.4414913</c:v>
                </c:pt>
                <c:pt idx="1">
                  <c:v>-2.4414913</c:v>
                </c:pt>
                <c:pt idx="2">
                  <c:v>-2.4414913</c:v>
                </c:pt>
                <c:pt idx="3">
                  <c:v>-2.6371585</c:v>
                </c:pt>
                <c:pt idx="4">
                  <c:v>-2.6371585</c:v>
                </c:pt>
                <c:pt idx="5">
                  <c:v>-2.6371585</c:v>
                </c:pt>
                <c:pt idx="6">
                  <c:v>-2.3470077000000003</c:v>
                </c:pt>
                <c:pt idx="7">
                  <c:v>-2.3470077000000003</c:v>
                </c:pt>
                <c:pt idx="8">
                  <c:v>-2.3470077000000003</c:v>
                </c:pt>
                <c:pt idx="9">
                  <c:v>-3.1556991000000001</c:v>
                </c:pt>
                <c:pt idx="10">
                  <c:v>-3.1556991000000001</c:v>
                </c:pt>
                <c:pt idx="11">
                  <c:v>-3.1556991000000001</c:v>
                </c:pt>
                <c:pt idx="12">
                  <c:v>-2.8653382999999999</c:v>
                </c:pt>
                <c:pt idx="13">
                  <c:v>-2.8653382999999999</c:v>
                </c:pt>
                <c:pt idx="14">
                  <c:v>-2.8653382999999999</c:v>
                </c:pt>
                <c:pt idx="15">
                  <c:v>-3.4488947999999997</c:v>
                </c:pt>
                <c:pt idx="16">
                  <c:v>-3.4488947999999997</c:v>
                </c:pt>
                <c:pt idx="17">
                  <c:v>-3.4488947999999997</c:v>
                </c:pt>
                <c:pt idx="18">
                  <c:v>-3.8298188</c:v>
                </c:pt>
                <c:pt idx="19">
                  <c:v>-3.8298188</c:v>
                </c:pt>
                <c:pt idx="20">
                  <c:v>-3.8298188</c:v>
                </c:pt>
                <c:pt idx="21">
                  <c:v>-4.0834668000000001</c:v>
                </c:pt>
                <c:pt idx="22">
                  <c:v>-4.0834668000000001</c:v>
                </c:pt>
                <c:pt idx="23">
                  <c:v>-4.0834668000000001</c:v>
                </c:pt>
                <c:pt idx="24">
                  <c:v>-5.4775401000000006</c:v>
                </c:pt>
                <c:pt idx="25">
                  <c:v>-5.4775401000000006</c:v>
                </c:pt>
                <c:pt idx="26">
                  <c:v>-5.4775401000000006</c:v>
                </c:pt>
                <c:pt idx="27">
                  <c:v>-0.58278200000000036</c:v>
                </c:pt>
                <c:pt idx="28">
                  <c:v>-0.58278200000000036</c:v>
                </c:pt>
                <c:pt idx="29">
                  <c:v>-0.58278200000000036</c:v>
                </c:pt>
                <c:pt idx="30">
                  <c:v>-2.4300000000000002</c:v>
                </c:pt>
                <c:pt idx="31">
                  <c:v>-2.4300000000000002</c:v>
                </c:pt>
                <c:pt idx="32">
                  <c:v>-2.4300000000000002</c:v>
                </c:pt>
                <c:pt idx="33">
                  <c:v>-2.69</c:v>
                </c:pt>
                <c:pt idx="34">
                  <c:v>-2.69</c:v>
                </c:pt>
                <c:pt idx="35">
                  <c:v>-2.69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80-BC4D-A5EF-99E695A3A775}"/>
            </c:ext>
          </c:extLst>
        </c:ser>
        <c:ser>
          <c:idx val="3"/>
          <c:order val="3"/>
          <c:tx>
            <c:strRef>
              <c:f>'CA GDP DATA'!$A$18</c:f>
              <c:strCache>
                <c:ptCount val="1"/>
                <c:pt idx="0">
                  <c:v>EUR USD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DATA'!$B$18:$AK$18</c:f>
              <c:numCache>
                <c:formatCode>#,##0.00</c:formatCode>
                <c:ptCount val="36"/>
                <c:pt idx="0">
                  <c:v>4.4311290000000003</c:v>
                </c:pt>
                <c:pt idx="1">
                  <c:v>4.4311290000000003</c:v>
                </c:pt>
                <c:pt idx="2">
                  <c:v>4.4311290000000003</c:v>
                </c:pt>
                <c:pt idx="3">
                  <c:v>5.0986380000000002</c:v>
                </c:pt>
                <c:pt idx="4">
                  <c:v>5.0986380000000002</c:v>
                </c:pt>
                <c:pt idx="5">
                  <c:v>5.0986380000000002</c:v>
                </c:pt>
                <c:pt idx="6">
                  <c:v>5.3042879999999997</c:v>
                </c:pt>
                <c:pt idx="7">
                  <c:v>5.3042879999999997</c:v>
                </c:pt>
                <c:pt idx="8">
                  <c:v>5.3042879999999997</c:v>
                </c:pt>
                <c:pt idx="9">
                  <c:v>6.1138750000000002</c:v>
                </c:pt>
                <c:pt idx="10">
                  <c:v>6.1138750000000002</c:v>
                </c:pt>
                <c:pt idx="11">
                  <c:v>6.1138750000000002</c:v>
                </c:pt>
                <c:pt idx="12">
                  <c:v>6.7070869999999996</c:v>
                </c:pt>
                <c:pt idx="13">
                  <c:v>6.7070869999999996</c:v>
                </c:pt>
                <c:pt idx="14">
                  <c:v>6.7070869999999996</c:v>
                </c:pt>
                <c:pt idx="15">
                  <c:v>6.6331170000000004</c:v>
                </c:pt>
                <c:pt idx="16">
                  <c:v>6.6331170000000004</c:v>
                </c:pt>
                <c:pt idx="17">
                  <c:v>6.6331170000000004</c:v>
                </c:pt>
                <c:pt idx="18">
                  <c:v>6.5445060000000002</c:v>
                </c:pt>
                <c:pt idx="19">
                  <c:v>6.5445060000000002</c:v>
                </c:pt>
                <c:pt idx="20">
                  <c:v>6.5445060000000002</c:v>
                </c:pt>
                <c:pt idx="21">
                  <c:v>6.2697319999999994</c:v>
                </c:pt>
                <c:pt idx="22">
                  <c:v>6.2697319999999994</c:v>
                </c:pt>
                <c:pt idx="23">
                  <c:v>6.2697319999999994</c:v>
                </c:pt>
                <c:pt idx="24">
                  <c:v>8.1560729999999992</c:v>
                </c:pt>
                <c:pt idx="25">
                  <c:v>8.1560729999999992</c:v>
                </c:pt>
                <c:pt idx="26">
                  <c:v>8.1560729999999992</c:v>
                </c:pt>
                <c:pt idx="27">
                  <c:v>5.3699500000000002</c:v>
                </c:pt>
                <c:pt idx="28">
                  <c:v>5.3699500000000002</c:v>
                </c:pt>
                <c:pt idx="29">
                  <c:v>5.3699500000000002</c:v>
                </c:pt>
                <c:pt idx="30">
                  <c:v>4.88</c:v>
                </c:pt>
                <c:pt idx="31">
                  <c:v>4.88</c:v>
                </c:pt>
                <c:pt idx="32">
                  <c:v>4.88</c:v>
                </c:pt>
                <c:pt idx="33">
                  <c:v>4.51</c:v>
                </c:pt>
                <c:pt idx="34">
                  <c:v>4.51</c:v>
                </c:pt>
                <c:pt idx="35">
                  <c:v>4.51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80-BC4D-A5EF-99E695A3A775}"/>
            </c:ext>
          </c:extLst>
        </c:ser>
        <c:ser>
          <c:idx val="4"/>
          <c:order val="4"/>
          <c:tx>
            <c:strRef>
              <c:f>'CA GDP DATA'!$A$19</c:f>
              <c:strCache>
                <c:ptCount val="1"/>
                <c:pt idx="0">
                  <c:v>EUR JPY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DATA'!$B$19:$AK$19</c:f>
              <c:numCache>
                <c:formatCode>#,##0.00</c:formatCode>
                <c:ptCount val="36"/>
                <c:pt idx="0">
                  <c:v>-1.0289320000000002</c:v>
                </c:pt>
                <c:pt idx="1">
                  <c:v>-1.0289320000000002</c:v>
                </c:pt>
                <c:pt idx="2">
                  <c:v>-1.0289320000000002</c:v>
                </c:pt>
                <c:pt idx="3">
                  <c:v>-2.2435970000000003</c:v>
                </c:pt>
                <c:pt idx="4">
                  <c:v>-2.2435970000000003</c:v>
                </c:pt>
                <c:pt idx="5">
                  <c:v>-2.2435970000000003</c:v>
                </c:pt>
                <c:pt idx="6">
                  <c:v>-2.048489</c:v>
                </c:pt>
                <c:pt idx="7">
                  <c:v>-2.048489</c:v>
                </c:pt>
                <c:pt idx="8">
                  <c:v>-2.048489</c:v>
                </c:pt>
                <c:pt idx="9">
                  <c:v>-1.7138869999999997</c:v>
                </c:pt>
                <c:pt idx="10">
                  <c:v>-1.7138869999999997</c:v>
                </c:pt>
                <c:pt idx="11">
                  <c:v>-1.7138869999999997</c:v>
                </c:pt>
                <c:pt idx="12">
                  <c:v>-1.1461839999999994</c:v>
                </c:pt>
                <c:pt idx="13">
                  <c:v>-1.1461839999999994</c:v>
                </c:pt>
                <c:pt idx="14">
                  <c:v>-1.1461839999999994</c:v>
                </c:pt>
                <c:pt idx="15">
                  <c:v>-1.7069069999999997</c:v>
                </c:pt>
                <c:pt idx="16">
                  <c:v>-1.7069069999999997</c:v>
                </c:pt>
                <c:pt idx="17">
                  <c:v>-1.7069069999999997</c:v>
                </c:pt>
                <c:pt idx="18">
                  <c:v>-2.272535</c:v>
                </c:pt>
                <c:pt idx="19">
                  <c:v>-2.272535</c:v>
                </c:pt>
                <c:pt idx="20">
                  <c:v>-2.272535</c:v>
                </c:pt>
                <c:pt idx="21">
                  <c:v>-2.85636</c:v>
                </c:pt>
                <c:pt idx="22">
                  <c:v>-2.85636</c:v>
                </c:pt>
                <c:pt idx="23">
                  <c:v>-2.85636</c:v>
                </c:pt>
                <c:pt idx="24">
                  <c:v>-2.31006</c:v>
                </c:pt>
                <c:pt idx="25">
                  <c:v>-2.31006</c:v>
                </c:pt>
                <c:pt idx="26">
                  <c:v>-2.31006</c:v>
                </c:pt>
                <c:pt idx="27">
                  <c:v>-2.221441</c:v>
                </c:pt>
                <c:pt idx="28">
                  <c:v>-2.221441</c:v>
                </c:pt>
                <c:pt idx="29">
                  <c:v>-2.221441</c:v>
                </c:pt>
                <c:pt idx="30">
                  <c:v>-3.2097170000000004</c:v>
                </c:pt>
                <c:pt idx="31">
                  <c:v>-3.2097170000000004</c:v>
                </c:pt>
                <c:pt idx="32">
                  <c:v>-3.2097170000000004</c:v>
                </c:pt>
                <c:pt idx="33">
                  <c:v>-3.25</c:v>
                </c:pt>
                <c:pt idx="34">
                  <c:v>-3.25</c:v>
                </c:pt>
                <c:pt idx="35">
                  <c:v>-3.25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80-BC4D-A5EF-99E695A3A775}"/>
            </c:ext>
          </c:extLst>
        </c:ser>
        <c:ser>
          <c:idx val="5"/>
          <c:order val="5"/>
          <c:tx>
            <c:strRef>
              <c:f>'CA GDP DATA'!$A$20</c:f>
              <c:strCache>
                <c:ptCount val="1"/>
                <c:pt idx="0">
                  <c:v>EUR CHF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DATA'!$B$20:$AK$20</c:f>
              <c:numCache>
                <c:formatCode>#,##0.00</c:formatCode>
                <c:ptCount val="36"/>
                <c:pt idx="0">
                  <c:v>-5.2998450000000004</c:v>
                </c:pt>
                <c:pt idx="1">
                  <c:v>-5.2998450000000004</c:v>
                </c:pt>
                <c:pt idx="2">
                  <c:v>-5.2998450000000004</c:v>
                </c:pt>
                <c:pt idx="3">
                  <c:v>-5.6455480000000007</c:v>
                </c:pt>
                <c:pt idx="4">
                  <c:v>-5.6455480000000007</c:v>
                </c:pt>
                <c:pt idx="5">
                  <c:v>-5.6455480000000007</c:v>
                </c:pt>
                <c:pt idx="6">
                  <c:v>-5.8951579999999995</c:v>
                </c:pt>
                <c:pt idx="7">
                  <c:v>-5.8951579999999995</c:v>
                </c:pt>
                <c:pt idx="8">
                  <c:v>-5.8951579999999995</c:v>
                </c:pt>
                <c:pt idx="9">
                  <c:v>2.0166979999999999</c:v>
                </c:pt>
                <c:pt idx="10">
                  <c:v>2.0166979999999999</c:v>
                </c:pt>
                <c:pt idx="11">
                  <c:v>2.0166979999999999</c:v>
                </c:pt>
                <c:pt idx="12">
                  <c:v>-10.926655</c:v>
                </c:pt>
                <c:pt idx="13">
                  <c:v>-10.926655</c:v>
                </c:pt>
                <c:pt idx="14">
                  <c:v>-10.926655</c:v>
                </c:pt>
                <c:pt idx="15">
                  <c:v>-8.3667069999999999</c:v>
                </c:pt>
                <c:pt idx="16">
                  <c:v>-8.3667069999999999</c:v>
                </c:pt>
                <c:pt idx="17">
                  <c:v>-8.3667069999999999</c:v>
                </c:pt>
                <c:pt idx="18">
                  <c:v>0.11846500000000004</c:v>
                </c:pt>
                <c:pt idx="19">
                  <c:v>0.11846500000000004</c:v>
                </c:pt>
                <c:pt idx="20">
                  <c:v>0.11846500000000004</c:v>
                </c:pt>
                <c:pt idx="21">
                  <c:v>-8.2234289999999994</c:v>
                </c:pt>
                <c:pt idx="22">
                  <c:v>-8.2234289999999994</c:v>
                </c:pt>
                <c:pt idx="23">
                  <c:v>-8.2234289999999994</c:v>
                </c:pt>
                <c:pt idx="24">
                  <c:v>-12.39339</c:v>
                </c:pt>
                <c:pt idx="25">
                  <c:v>-12.39339</c:v>
                </c:pt>
                <c:pt idx="26">
                  <c:v>-12.39339</c:v>
                </c:pt>
                <c:pt idx="27">
                  <c:v>-2.0699999999999998</c:v>
                </c:pt>
                <c:pt idx="28">
                  <c:v>-2.0699999999999998</c:v>
                </c:pt>
                <c:pt idx="29">
                  <c:v>-2.0699999999999998</c:v>
                </c:pt>
                <c:pt idx="30">
                  <c:v>-2.74</c:v>
                </c:pt>
                <c:pt idx="31">
                  <c:v>-2.74</c:v>
                </c:pt>
                <c:pt idx="32">
                  <c:v>-2.74</c:v>
                </c:pt>
                <c:pt idx="33">
                  <c:v>0.48</c:v>
                </c:pt>
                <c:pt idx="34">
                  <c:v>0.48</c:v>
                </c:pt>
                <c:pt idx="35">
                  <c:v>0.48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80-BC4D-A5EF-99E695A3A775}"/>
            </c:ext>
          </c:extLst>
        </c:ser>
        <c:ser>
          <c:idx val="6"/>
          <c:order val="6"/>
          <c:tx>
            <c:strRef>
              <c:f>'CA GDP DATA'!$A$21</c:f>
              <c:strCache>
                <c:ptCount val="1"/>
                <c:pt idx="0">
                  <c:v>EUR GBP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DATA'!$B$21:$AK$21</c:f>
              <c:numCache>
                <c:formatCode>#,##0.00</c:formatCode>
                <c:ptCount val="36"/>
                <c:pt idx="0">
                  <c:v>3.9932270000000001</c:v>
                </c:pt>
                <c:pt idx="1">
                  <c:v>3.9932270000000001</c:v>
                </c:pt>
                <c:pt idx="2">
                  <c:v>3.9932270000000001</c:v>
                </c:pt>
                <c:pt idx="3">
                  <c:v>6.7148159999999999</c:v>
                </c:pt>
                <c:pt idx="4">
                  <c:v>6.7148159999999999</c:v>
                </c:pt>
                <c:pt idx="5">
                  <c:v>6.7148159999999999</c:v>
                </c:pt>
                <c:pt idx="6">
                  <c:v>4.4297240000000002</c:v>
                </c:pt>
                <c:pt idx="7">
                  <c:v>4.4297240000000002</c:v>
                </c:pt>
                <c:pt idx="8">
                  <c:v>4.4297240000000002</c:v>
                </c:pt>
                <c:pt idx="9">
                  <c:v>6.7390129999999999</c:v>
                </c:pt>
                <c:pt idx="10">
                  <c:v>6.7390129999999999</c:v>
                </c:pt>
                <c:pt idx="11">
                  <c:v>6.7390129999999999</c:v>
                </c:pt>
                <c:pt idx="12">
                  <c:v>6.0177550000000002</c:v>
                </c:pt>
                <c:pt idx="13">
                  <c:v>6.0177550000000002</c:v>
                </c:pt>
                <c:pt idx="14">
                  <c:v>6.0177550000000002</c:v>
                </c:pt>
                <c:pt idx="15">
                  <c:v>5.9639229999999994</c:v>
                </c:pt>
                <c:pt idx="16">
                  <c:v>5.9639229999999994</c:v>
                </c:pt>
                <c:pt idx="17">
                  <c:v>5.9639229999999994</c:v>
                </c:pt>
                <c:pt idx="18">
                  <c:v>0.19363700000000006</c:v>
                </c:pt>
                <c:pt idx="19">
                  <c:v>0.19363700000000006</c:v>
                </c:pt>
                <c:pt idx="20">
                  <c:v>0.19363700000000006</c:v>
                </c:pt>
                <c:pt idx="21">
                  <c:v>5.7357909999999999</c:v>
                </c:pt>
                <c:pt idx="22">
                  <c:v>5.7357909999999999</c:v>
                </c:pt>
                <c:pt idx="23">
                  <c:v>5.7357909999999999</c:v>
                </c:pt>
                <c:pt idx="24">
                  <c:v>5.4</c:v>
                </c:pt>
                <c:pt idx="25">
                  <c:v>5.4</c:v>
                </c:pt>
                <c:pt idx="26">
                  <c:v>5.4</c:v>
                </c:pt>
                <c:pt idx="27">
                  <c:v>5.33</c:v>
                </c:pt>
                <c:pt idx="28">
                  <c:v>5.33</c:v>
                </c:pt>
                <c:pt idx="29">
                  <c:v>5.33</c:v>
                </c:pt>
                <c:pt idx="30">
                  <c:v>4.43</c:v>
                </c:pt>
                <c:pt idx="31">
                  <c:v>4.43</c:v>
                </c:pt>
                <c:pt idx="32">
                  <c:v>4.43</c:v>
                </c:pt>
                <c:pt idx="33">
                  <c:v>5.24</c:v>
                </c:pt>
                <c:pt idx="34">
                  <c:v>5.24</c:v>
                </c:pt>
                <c:pt idx="35">
                  <c:v>5.24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80-BC4D-A5EF-99E695A3A775}"/>
            </c:ext>
          </c:extLst>
        </c:ser>
        <c:ser>
          <c:idx val="7"/>
          <c:order val="7"/>
          <c:tx>
            <c:strRef>
              <c:f>'CA GDP DATA'!$A$22</c:f>
              <c:strCache>
                <c:ptCount val="1"/>
                <c:pt idx="0">
                  <c:v>EUR CAD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DATA'!$B$22:$AK$22</c:f>
              <c:numCache>
                <c:formatCode>#,##0.00</c:formatCode>
                <c:ptCount val="36"/>
                <c:pt idx="0">
                  <c:v>1.9896376999999998</c:v>
                </c:pt>
                <c:pt idx="1">
                  <c:v>1.9896376999999998</c:v>
                </c:pt>
                <c:pt idx="2">
                  <c:v>1.9896376999999998</c:v>
                </c:pt>
                <c:pt idx="3">
                  <c:v>2.4614794999999998</c:v>
                </c:pt>
                <c:pt idx="4">
                  <c:v>2.4614794999999998</c:v>
                </c:pt>
                <c:pt idx="5">
                  <c:v>2.4614794999999998</c:v>
                </c:pt>
                <c:pt idx="6">
                  <c:v>2.9572802999999999</c:v>
                </c:pt>
                <c:pt idx="7">
                  <c:v>2.9572802999999999</c:v>
                </c:pt>
                <c:pt idx="8">
                  <c:v>2.9572802999999999</c:v>
                </c:pt>
                <c:pt idx="9">
                  <c:v>2.9581759000000001</c:v>
                </c:pt>
                <c:pt idx="10">
                  <c:v>2.9581759000000001</c:v>
                </c:pt>
                <c:pt idx="11">
                  <c:v>2.9581759000000001</c:v>
                </c:pt>
                <c:pt idx="12">
                  <c:v>3.8417487000000001</c:v>
                </c:pt>
                <c:pt idx="13">
                  <c:v>3.8417487000000001</c:v>
                </c:pt>
                <c:pt idx="14">
                  <c:v>3.8417487000000001</c:v>
                </c:pt>
                <c:pt idx="15">
                  <c:v>3.1842222000000002</c:v>
                </c:pt>
                <c:pt idx="16">
                  <c:v>3.1842222000000002</c:v>
                </c:pt>
                <c:pt idx="17">
                  <c:v>3.1842222000000002</c:v>
                </c:pt>
                <c:pt idx="18">
                  <c:v>2.7146872000000002</c:v>
                </c:pt>
                <c:pt idx="19">
                  <c:v>2.7146872000000002</c:v>
                </c:pt>
                <c:pt idx="20">
                  <c:v>2.7146872000000002</c:v>
                </c:pt>
                <c:pt idx="21">
                  <c:v>2.1862651999999998</c:v>
                </c:pt>
                <c:pt idx="22">
                  <c:v>2.1862651999999998</c:v>
                </c:pt>
                <c:pt idx="23">
                  <c:v>2.1862651999999998</c:v>
                </c:pt>
                <c:pt idx="24">
                  <c:v>2.6785329</c:v>
                </c:pt>
                <c:pt idx="25">
                  <c:v>2.6785329</c:v>
                </c:pt>
                <c:pt idx="26">
                  <c:v>2.6785329</c:v>
                </c:pt>
                <c:pt idx="27">
                  <c:v>4.7871679999999994</c:v>
                </c:pt>
                <c:pt idx="28">
                  <c:v>4.7871679999999994</c:v>
                </c:pt>
                <c:pt idx="29">
                  <c:v>4.7871679999999994</c:v>
                </c:pt>
                <c:pt idx="30">
                  <c:v>2.4500000000000002</c:v>
                </c:pt>
                <c:pt idx="31">
                  <c:v>2.4500000000000002</c:v>
                </c:pt>
                <c:pt idx="32">
                  <c:v>2.4500000000000002</c:v>
                </c:pt>
                <c:pt idx="33">
                  <c:v>1.8199999999999998</c:v>
                </c:pt>
                <c:pt idx="34">
                  <c:v>1.8199999999999998</c:v>
                </c:pt>
                <c:pt idx="35">
                  <c:v>1.8199999999999998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80-BC4D-A5EF-99E695A3A775}"/>
            </c:ext>
          </c:extLst>
        </c:ser>
        <c:ser>
          <c:idx val="8"/>
          <c:order val="8"/>
          <c:tx>
            <c:strRef>
              <c:f>'CA GDP DATA'!$A$23</c:f>
              <c:strCache>
                <c:ptCount val="1"/>
                <c:pt idx="0">
                  <c:v>EUR AUD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DATA'!$B$23:$AK$23</c:f>
              <c:numCache>
                <c:formatCode>#,##0.00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4.58</c:v>
                </c:pt>
                <c:pt idx="28">
                  <c:v>4.58</c:v>
                </c:pt>
                <c:pt idx="29">
                  <c:v>4.58</c:v>
                </c:pt>
                <c:pt idx="30">
                  <c:v>4.49</c:v>
                </c:pt>
                <c:pt idx="31">
                  <c:v>4.49</c:v>
                </c:pt>
                <c:pt idx="32">
                  <c:v>4.49</c:v>
                </c:pt>
                <c:pt idx="33">
                  <c:v>4.8499999999999996</c:v>
                </c:pt>
                <c:pt idx="34">
                  <c:v>4.8499999999999996</c:v>
                </c:pt>
                <c:pt idx="35">
                  <c:v>4.8499999999999996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480-BC4D-A5EF-99E695A3A775}"/>
            </c:ext>
          </c:extLst>
        </c:ser>
        <c:ser>
          <c:idx val="9"/>
          <c:order val="9"/>
          <c:tx>
            <c:strRef>
              <c:f>'CA GDP DATA'!$A$24</c:f>
              <c:strCache>
                <c:ptCount val="1"/>
                <c:pt idx="0">
                  <c:v>EUR NZD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DATA'!$B$24:$AK$24</c:f>
              <c:numCache>
                <c:formatCode>#,##0.00</c:formatCode>
                <c:ptCount val="36"/>
                <c:pt idx="0">
                  <c:v>8.5704209999999996</c:v>
                </c:pt>
                <c:pt idx="1">
                  <c:v>8.5704209999999996</c:v>
                </c:pt>
                <c:pt idx="2">
                  <c:v>8.5704209999999996</c:v>
                </c:pt>
                <c:pt idx="3">
                  <c:v>7.6310669999999998</c:v>
                </c:pt>
                <c:pt idx="4">
                  <c:v>7.6310669999999998</c:v>
                </c:pt>
                <c:pt idx="5">
                  <c:v>7.6310669999999998</c:v>
                </c:pt>
                <c:pt idx="6">
                  <c:v>8.2499830000000003</c:v>
                </c:pt>
                <c:pt idx="7">
                  <c:v>8.2499830000000003</c:v>
                </c:pt>
                <c:pt idx="8">
                  <c:v>8.2499830000000003</c:v>
                </c:pt>
                <c:pt idx="9">
                  <c:v>8.2161660000000012</c:v>
                </c:pt>
                <c:pt idx="10">
                  <c:v>8.2161660000000012</c:v>
                </c:pt>
                <c:pt idx="11">
                  <c:v>8.2161660000000012</c:v>
                </c:pt>
                <c:pt idx="12">
                  <c:v>8.3978850000000005</c:v>
                </c:pt>
                <c:pt idx="13">
                  <c:v>8.3978850000000005</c:v>
                </c:pt>
                <c:pt idx="14">
                  <c:v>8.3978850000000005</c:v>
                </c:pt>
                <c:pt idx="15">
                  <c:v>7.8575370000000007</c:v>
                </c:pt>
                <c:pt idx="16">
                  <c:v>7.8575370000000007</c:v>
                </c:pt>
                <c:pt idx="17">
                  <c:v>7.8575370000000007</c:v>
                </c:pt>
                <c:pt idx="18">
                  <c:v>6.8532150000000005</c:v>
                </c:pt>
                <c:pt idx="19">
                  <c:v>6.8532150000000005</c:v>
                </c:pt>
                <c:pt idx="20">
                  <c:v>6.8532150000000005</c:v>
                </c:pt>
                <c:pt idx="21">
                  <c:v>5.5944330000000004</c:v>
                </c:pt>
                <c:pt idx="22">
                  <c:v>5.5944330000000004</c:v>
                </c:pt>
                <c:pt idx="23">
                  <c:v>5.5944330000000004</c:v>
                </c:pt>
                <c:pt idx="24">
                  <c:v>6.0436079999999999</c:v>
                </c:pt>
                <c:pt idx="25">
                  <c:v>6.0436079999999999</c:v>
                </c:pt>
                <c:pt idx="26">
                  <c:v>6.0436079999999999</c:v>
                </c:pt>
                <c:pt idx="27">
                  <c:v>5.393688</c:v>
                </c:pt>
                <c:pt idx="28">
                  <c:v>5.393688</c:v>
                </c:pt>
                <c:pt idx="29">
                  <c:v>5.393688</c:v>
                </c:pt>
                <c:pt idx="30">
                  <c:v>-2.74</c:v>
                </c:pt>
                <c:pt idx="31">
                  <c:v>5.177225</c:v>
                </c:pt>
                <c:pt idx="32">
                  <c:v>5.177225</c:v>
                </c:pt>
                <c:pt idx="33">
                  <c:v>5.62</c:v>
                </c:pt>
                <c:pt idx="34">
                  <c:v>5.62</c:v>
                </c:pt>
                <c:pt idx="35">
                  <c:v>5.62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80-BC4D-A5EF-99E695A3A775}"/>
            </c:ext>
          </c:extLst>
        </c:ser>
        <c:ser>
          <c:idx val="10"/>
          <c:order val="10"/>
          <c:tx>
            <c:strRef>
              <c:f>'CA GDP DATA'!$A$25</c:f>
              <c:strCache>
                <c:ptCount val="1"/>
                <c:pt idx="0">
                  <c:v>GBP USD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DATA'!$B$25:$AK$25</c:f>
              <c:numCache>
                <c:formatCode>#,##0.00</c:formatCode>
                <c:ptCount val="36"/>
                <c:pt idx="0">
                  <c:v>0.43790199999999979</c:v>
                </c:pt>
                <c:pt idx="1">
                  <c:v>0.43790199999999979</c:v>
                </c:pt>
                <c:pt idx="2">
                  <c:v>0.43790199999999979</c:v>
                </c:pt>
                <c:pt idx="3">
                  <c:v>-1.6161780000000001</c:v>
                </c:pt>
                <c:pt idx="4">
                  <c:v>-1.6161780000000001</c:v>
                </c:pt>
                <c:pt idx="5">
                  <c:v>-1.6161780000000001</c:v>
                </c:pt>
                <c:pt idx="6">
                  <c:v>0.8745639999999999</c:v>
                </c:pt>
                <c:pt idx="7">
                  <c:v>0.8745639999999999</c:v>
                </c:pt>
                <c:pt idx="8">
                  <c:v>0.8745639999999999</c:v>
                </c:pt>
                <c:pt idx="9">
                  <c:v>-0.62513799999999975</c:v>
                </c:pt>
                <c:pt idx="10">
                  <c:v>-0.62513799999999975</c:v>
                </c:pt>
                <c:pt idx="11">
                  <c:v>-0.62513799999999975</c:v>
                </c:pt>
                <c:pt idx="12">
                  <c:v>0.68933199999999983</c:v>
                </c:pt>
                <c:pt idx="13">
                  <c:v>0.68933199999999983</c:v>
                </c:pt>
                <c:pt idx="14">
                  <c:v>0.68933199999999983</c:v>
                </c:pt>
                <c:pt idx="15">
                  <c:v>0.66919400000000007</c:v>
                </c:pt>
                <c:pt idx="16">
                  <c:v>0.66919400000000007</c:v>
                </c:pt>
                <c:pt idx="17">
                  <c:v>0.66919400000000007</c:v>
                </c:pt>
                <c:pt idx="18">
                  <c:v>6.3508689999999994</c:v>
                </c:pt>
                <c:pt idx="19">
                  <c:v>6.3508689999999994</c:v>
                </c:pt>
                <c:pt idx="20">
                  <c:v>6.3508689999999994</c:v>
                </c:pt>
                <c:pt idx="21">
                  <c:v>0.533941</c:v>
                </c:pt>
                <c:pt idx="22">
                  <c:v>0.533941</c:v>
                </c:pt>
                <c:pt idx="23">
                  <c:v>0.533941</c:v>
                </c:pt>
                <c:pt idx="24">
                  <c:v>2.7560730000000002</c:v>
                </c:pt>
                <c:pt idx="25">
                  <c:v>2.7560730000000002</c:v>
                </c:pt>
                <c:pt idx="26">
                  <c:v>2.7560730000000002</c:v>
                </c:pt>
                <c:pt idx="27">
                  <c:v>3.9950000000000152E-2</c:v>
                </c:pt>
                <c:pt idx="28">
                  <c:v>3.9950000000000152E-2</c:v>
                </c:pt>
                <c:pt idx="29">
                  <c:v>3.9950000000000152E-2</c:v>
                </c:pt>
                <c:pt idx="30">
                  <c:v>0.45000000000000018</c:v>
                </c:pt>
                <c:pt idx="31">
                  <c:v>0.45000000000000018</c:v>
                </c:pt>
                <c:pt idx="32">
                  <c:v>0.45000000000000018</c:v>
                </c:pt>
                <c:pt idx="33">
                  <c:v>-0.73</c:v>
                </c:pt>
                <c:pt idx="34">
                  <c:v>-0.73</c:v>
                </c:pt>
                <c:pt idx="35">
                  <c:v>-0.73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480-BC4D-A5EF-99E695A3A775}"/>
            </c:ext>
          </c:extLst>
        </c:ser>
        <c:ser>
          <c:idx val="11"/>
          <c:order val="11"/>
          <c:tx>
            <c:strRef>
              <c:f>'CA GDP DATA'!$A$26</c:f>
              <c:strCache>
                <c:ptCount val="1"/>
                <c:pt idx="0">
                  <c:v>GBP JPY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DATA'!$B$26:$AK$26</c:f>
              <c:numCache>
                <c:formatCode>#,##0.00</c:formatCode>
                <c:ptCount val="36"/>
                <c:pt idx="0">
                  <c:v>-5.0221590000000003</c:v>
                </c:pt>
                <c:pt idx="1">
                  <c:v>-5.0221590000000003</c:v>
                </c:pt>
                <c:pt idx="2">
                  <c:v>-5.0221590000000003</c:v>
                </c:pt>
                <c:pt idx="3">
                  <c:v>-8.9584130000000002</c:v>
                </c:pt>
                <c:pt idx="4">
                  <c:v>-8.9584130000000002</c:v>
                </c:pt>
                <c:pt idx="5">
                  <c:v>-8.9584130000000002</c:v>
                </c:pt>
                <c:pt idx="6">
                  <c:v>-6.4782130000000002</c:v>
                </c:pt>
                <c:pt idx="7">
                  <c:v>-6.4782130000000002</c:v>
                </c:pt>
                <c:pt idx="8">
                  <c:v>-6.4782130000000002</c:v>
                </c:pt>
                <c:pt idx="9">
                  <c:v>-8.4528999999999996</c:v>
                </c:pt>
                <c:pt idx="10">
                  <c:v>-8.4528999999999996</c:v>
                </c:pt>
                <c:pt idx="11">
                  <c:v>-8.4528999999999996</c:v>
                </c:pt>
                <c:pt idx="12">
                  <c:v>-7.1639389999999992</c:v>
                </c:pt>
                <c:pt idx="13">
                  <c:v>-7.1639389999999992</c:v>
                </c:pt>
                <c:pt idx="14">
                  <c:v>-7.1639389999999992</c:v>
                </c:pt>
                <c:pt idx="15">
                  <c:v>-7.6708299999999996</c:v>
                </c:pt>
                <c:pt idx="16">
                  <c:v>-7.6708299999999996</c:v>
                </c:pt>
                <c:pt idx="17">
                  <c:v>-7.6708299999999996</c:v>
                </c:pt>
                <c:pt idx="18">
                  <c:v>-2.4661720000000003</c:v>
                </c:pt>
                <c:pt idx="19">
                  <c:v>-2.4661720000000003</c:v>
                </c:pt>
                <c:pt idx="20">
                  <c:v>-2.4661720000000003</c:v>
                </c:pt>
                <c:pt idx="21">
                  <c:v>-8.5921509999999994</c:v>
                </c:pt>
                <c:pt idx="22">
                  <c:v>-8.5921509999999994</c:v>
                </c:pt>
                <c:pt idx="23">
                  <c:v>-8.5921509999999994</c:v>
                </c:pt>
                <c:pt idx="24">
                  <c:v>-7.7100600000000004</c:v>
                </c:pt>
                <c:pt idx="25">
                  <c:v>-7.7100600000000004</c:v>
                </c:pt>
                <c:pt idx="26">
                  <c:v>-7.7100600000000004</c:v>
                </c:pt>
                <c:pt idx="27">
                  <c:v>-7.5514410000000005</c:v>
                </c:pt>
                <c:pt idx="28">
                  <c:v>-7.5514410000000005</c:v>
                </c:pt>
                <c:pt idx="29">
                  <c:v>-7.5514410000000005</c:v>
                </c:pt>
                <c:pt idx="30">
                  <c:v>-7.6397170000000001</c:v>
                </c:pt>
                <c:pt idx="31">
                  <c:v>-7.6397170000000001</c:v>
                </c:pt>
                <c:pt idx="32">
                  <c:v>-7.6397170000000001</c:v>
                </c:pt>
                <c:pt idx="33">
                  <c:v>-8.49</c:v>
                </c:pt>
                <c:pt idx="34">
                  <c:v>-8.49</c:v>
                </c:pt>
                <c:pt idx="35">
                  <c:v>-8.49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80-BC4D-A5EF-99E695A3A775}"/>
            </c:ext>
          </c:extLst>
        </c:ser>
        <c:ser>
          <c:idx val="12"/>
          <c:order val="12"/>
          <c:tx>
            <c:strRef>
              <c:f>'CA GDP DATA'!$A$27</c:f>
              <c:strCache>
                <c:ptCount val="1"/>
                <c:pt idx="0">
                  <c:v>GBP CHF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DATA'!$B$27:$AK$27</c:f>
              <c:numCache>
                <c:formatCode>#,##0.00</c:formatCode>
                <c:ptCount val="36"/>
                <c:pt idx="0">
                  <c:v>-9.2930720000000004</c:v>
                </c:pt>
                <c:pt idx="1">
                  <c:v>-9.2930720000000004</c:v>
                </c:pt>
                <c:pt idx="2">
                  <c:v>-9.2930720000000004</c:v>
                </c:pt>
                <c:pt idx="3">
                  <c:v>-12.360364000000001</c:v>
                </c:pt>
                <c:pt idx="4">
                  <c:v>-12.360364000000001</c:v>
                </c:pt>
                <c:pt idx="5">
                  <c:v>-12.360364000000001</c:v>
                </c:pt>
                <c:pt idx="6">
                  <c:v>-10.324881999999999</c:v>
                </c:pt>
                <c:pt idx="7">
                  <c:v>-10.324881999999999</c:v>
                </c:pt>
                <c:pt idx="8">
                  <c:v>-10.324881999999999</c:v>
                </c:pt>
                <c:pt idx="9">
                  <c:v>-4.722315</c:v>
                </c:pt>
                <c:pt idx="10">
                  <c:v>-4.722315</c:v>
                </c:pt>
                <c:pt idx="11">
                  <c:v>-4.722315</c:v>
                </c:pt>
                <c:pt idx="12">
                  <c:v>-16.944410000000001</c:v>
                </c:pt>
                <c:pt idx="13">
                  <c:v>-16.944410000000001</c:v>
                </c:pt>
                <c:pt idx="14">
                  <c:v>-16.944410000000001</c:v>
                </c:pt>
                <c:pt idx="15">
                  <c:v>-14.330629999999999</c:v>
                </c:pt>
                <c:pt idx="16">
                  <c:v>-14.330629999999999</c:v>
                </c:pt>
                <c:pt idx="17">
                  <c:v>-14.330629999999999</c:v>
                </c:pt>
                <c:pt idx="18">
                  <c:v>-7.5172000000000017E-2</c:v>
                </c:pt>
                <c:pt idx="19">
                  <c:v>-7.5172000000000017E-2</c:v>
                </c:pt>
                <c:pt idx="20">
                  <c:v>-7.5172000000000017E-2</c:v>
                </c:pt>
                <c:pt idx="21">
                  <c:v>-13.95922</c:v>
                </c:pt>
                <c:pt idx="22">
                  <c:v>-13.95922</c:v>
                </c:pt>
                <c:pt idx="23">
                  <c:v>-13.95922</c:v>
                </c:pt>
                <c:pt idx="24">
                  <c:v>-17.793390000000002</c:v>
                </c:pt>
                <c:pt idx="25">
                  <c:v>-17.793390000000002</c:v>
                </c:pt>
                <c:pt idx="26">
                  <c:v>-17.793390000000002</c:v>
                </c:pt>
                <c:pt idx="27">
                  <c:v>-7.4</c:v>
                </c:pt>
                <c:pt idx="28">
                  <c:v>-7.4</c:v>
                </c:pt>
                <c:pt idx="29">
                  <c:v>-7.4</c:v>
                </c:pt>
                <c:pt idx="30">
                  <c:v>-7.17</c:v>
                </c:pt>
                <c:pt idx="31">
                  <c:v>-7.17</c:v>
                </c:pt>
                <c:pt idx="32">
                  <c:v>-7.17</c:v>
                </c:pt>
                <c:pt idx="33">
                  <c:v>-4.76</c:v>
                </c:pt>
                <c:pt idx="34">
                  <c:v>-4.76</c:v>
                </c:pt>
                <c:pt idx="35">
                  <c:v>-4.76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480-BC4D-A5EF-99E695A3A775}"/>
            </c:ext>
          </c:extLst>
        </c:ser>
        <c:ser>
          <c:idx val="13"/>
          <c:order val="13"/>
          <c:tx>
            <c:strRef>
              <c:f>'CA GDP DATA'!$A$28</c:f>
              <c:strCache>
                <c:ptCount val="1"/>
                <c:pt idx="0">
                  <c:v>GBP CAD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DATA'!$B$28:$AK$28</c:f>
              <c:numCache>
                <c:formatCode>#,##0.00</c:formatCode>
                <c:ptCount val="36"/>
                <c:pt idx="0">
                  <c:v>-2.0035893000000002</c:v>
                </c:pt>
                <c:pt idx="1">
                  <c:v>-2.0035893000000002</c:v>
                </c:pt>
                <c:pt idx="2">
                  <c:v>-2.0035893000000002</c:v>
                </c:pt>
                <c:pt idx="3">
                  <c:v>-4.2533365000000005</c:v>
                </c:pt>
                <c:pt idx="4">
                  <c:v>-4.2533365000000005</c:v>
                </c:pt>
                <c:pt idx="5">
                  <c:v>-4.2533365000000005</c:v>
                </c:pt>
                <c:pt idx="6">
                  <c:v>-1.4724437000000004</c:v>
                </c:pt>
                <c:pt idx="7">
                  <c:v>-1.4724437000000004</c:v>
                </c:pt>
                <c:pt idx="8">
                  <c:v>-1.4724437000000004</c:v>
                </c:pt>
                <c:pt idx="9">
                  <c:v>-3.7808370999999998</c:v>
                </c:pt>
                <c:pt idx="10">
                  <c:v>-3.7808370999999998</c:v>
                </c:pt>
                <c:pt idx="11">
                  <c:v>-3.7808370999999998</c:v>
                </c:pt>
                <c:pt idx="12">
                  <c:v>-2.1760063000000001</c:v>
                </c:pt>
                <c:pt idx="13">
                  <c:v>-2.1760063000000001</c:v>
                </c:pt>
                <c:pt idx="14">
                  <c:v>-2.1760063000000001</c:v>
                </c:pt>
                <c:pt idx="15">
                  <c:v>-2.7797007999999996</c:v>
                </c:pt>
                <c:pt idx="16">
                  <c:v>-2.7797007999999996</c:v>
                </c:pt>
                <c:pt idx="17">
                  <c:v>-2.7797007999999996</c:v>
                </c:pt>
                <c:pt idx="18">
                  <c:v>2.5210501999999999</c:v>
                </c:pt>
                <c:pt idx="19">
                  <c:v>2.5210501999999999</c:v>
                </c:pt>
                <c:pt idx="20">
                  <c:v>2.5210501999999999</c:v>
                </c:pt>
                <c:pt idx="21">
                  <c:v>-3.5495258000000001</c:v>
                </c:pt>
                <c:pt idx="22">
                  <c:v>-3.5495258000000001</c:v>
                </c:pt>
                <c:pt idx="23">
                  <c:v>-3.5495258000000001</c:v>
                </c:pt>
                <c:pt idx="24">
                  <c:v>-2.7214670999999999</c:v>
                </c:pt>
                <c:pt idx="25">
                  <c:v>-2.7214670999999999</c:v>
                </c:pt>
                <c:pt idx="26">
                  <c:v>-2.7214670999999999</c:v>
                </c:pt>
                <c:pt idx="27">
                  <c:v>-0.5428320000000002</c:v>
                </c:pt>
                <c:pt idx="28">
                  <c:v>-0.5428320000000002</c:v>
                </c:pt>
                <c:pt idx="29">
                  <c:v>-0.5428320000000002</c:v>
                </c:pt>
                <c:pt idx="30">
                  <c:v>-1.98</c:v>
                </c:pt>
                <c:pt idx="31">
                  <c:v>-1.98</c:v>
                </c:pt>
                <c:pt idx="32">
                  <c:v>-1.98</c:v>
                </c:pt>
                <c:pt idx="33">
                  <c:v>-3.42</c:v>
                </c:pt>
                <c:pt idx="34">
                  <c:v>-3.42</c:v>
                </c:pt>
                <c:pt idx="35">
                  <c:v>-3.42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480-BC4D-A5EF-99E695A3A775}"/>
            </c:ext>
          </c:extLst>
        </c:ser>
        <c:ser>
          <c:idx val="14"/>
          <c:order val="14"/>
          <c:tx>
            <c:strRef>
              <c:f>'CA GDP DATA'!$A$29</c:f>
              <c:strCache>
                <c:ptCount val="1"/>
                <c:pt idx="0">
                  <c:v>GBP AUD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DATA'!$B$29:$AK$29</c:f>
              <c:numCache>
                <c:formatCode>#,##0.00</c:formatCode>
                <c:ptCount val="36"/>
                <c:pt idx="0">
                  <c:v>-3.1344054000000003</c:v>
                </c:pt>
                <c:pt idx="1">
                  <c:v>-3.1344054000000003</c:v>
                </c:pt>
                <c:pt idx="2">
                  <c:v>-3.1344054000000003</c:v>
                </c:pt>
                <c:pt idx="3">
                  <c:v>-4.7791706000000005</c:v>
                </c:pt>
                <c:pt idx="4">
                  <c:v>-4.7791706000000005</c:v>
                </c:pt>
                <c:pt idx="5">
                  <c:v>-4.7791706000000005</c:v>
                </c:pt>
                <c:pt idx="6">
                  <c:v>-1.0062360000000001</c:v>
                </c:pt>
                <c:pt idx="7">
                  <c:v>-1.0062360000000001</c:v>
                </c:pt>
                <c:pt idx="8">
                  <c:v>-1.0062360000000001</c:v>
                </c:pt>
                <c:pt idx="9">
                  <c:v>-3.6497940999999998</c:v>
                </c:pt>
                <c:pt idx="10">
                  <c:v>-3.6497940999999998</c:v>
                </c:pt>
                <c:pt idx="11">
                  <c:v>-3.6497940999999998</c:v>
                </c:pt>
                <c:pt idx="12">
                  <c:v>-1.3873</c:v>
                </c:pt>
                <c:pt idx="13">
                  <c:v>-1.3873</c:v>
                </c:pt>
                <c:pt idx="14">
                  <c:v>-1.3873</c:v>
                </c:pt>
                <c:pt idx="15">
                  <c:v>-0.85945999999999989</c:v>
                </c:pt>
                <c:pt idx="16">
                  <c:v>-0.85945999999999989</c:v>
                </c:pt>
                <c:pt idx="17">
                  <c:v>-0.85945999999999989</c:v>
                </c:pt>
                <c:pt idx="18">
                  <c:v>4.2235610000000001</c:v>
                </c:pt>
                <c:pt idx="19">
                  <c:v>4.2235610000000001</c:v>
                </c:pt>
                <c:pt idx="20">
                  <c:v>4.2235610000000001</c:v>
                </c:pt>
                <c:pt idx="21">
                  <c:v>-1.183055</c:v>
                </c:pt>
                <c:pt idx="22">
                  <c:v>-1.183055</c:v>
                </c:pt>
                <c:pt idx="23">
                  <c:v>-1.183055</c:v>
                </c:pt>
                <c:pt idx="24">
                  <c:v>-0.66999999999999993</c:v>
                </c:pt>
                <c:pt idx="25">
                  <c:v>-0.66999999999999993</c:v>
                </c:pt>
                <c:pt idx="26">
                  <c:v>-0.66999999999999993</c:v>
                </c:pt>
                <c:pt idx="27">
                  <c:v>-0.75</c:v>
                </c:pt>
                <c:pt idx="28">
                  <c:v>-0.75</c:v>
                </c:pt>
                <c:pt idx="29">
                  <c:v>-0.75</c:v>
                </c:pt>
                <c:pt idx="30">
                  <c:v>6.0000000000000053E-2</c:v>
                </c:pt>
                <c:pt idx="31">
                  <c:v>6.0000000000000053E-2</c:v>
                </c:pt>
                <c:pt idx="32">
                  <c:v>6.0000000000000053E-2</c:v>
                </c:pt>
                <c:pt idx="33">
                  <c:v>-0.39000000000000012</c:v>
                </c:pt>
                <c:pt idx="34">
                  <c:v>-0.39000000000000012</c:v>
                </c:pt>
                <c:pt idx="35">
                  <c:v>-0.39000000000000012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480-BC4D-A5EF-99E695A3A775}"/>
            </c:ext>
          </c:extLst>
        </c:ser>
        <c:ser>
          <c:idx val="15"/>
          <c:order val="15"/>
          <c:tx>
            <c:strRef>
              <c:f>'CA GDP DATA'!$A$30</c:f>
              <c:strCache>
                <c:ptCount val="1"/>
                <c:pt idx="0">
                  <c:v>GBP NZD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DATA'!$B$30:$AK$30</c:f>
              <c:numCache>
                <c:formatCode>#,##0.00</c:formatCode>
                <c:ptCount val="36"/>
                <c:pt idx="0">
                  <c:v>4.5771939999999995</c:v>
                </c:pt>
                <c:pt idx="1">
                  <c:v>4.5771939999999995</c:v>
                </c:pt>
                <c:pt idx="2">
                  <c:v>4.5771939999999995</c:v>
                </c:pt>
                <c:pt idx="3">
                  <c:v>0.91625099999999993</c:v>
                </c:pt>
                <c:pt idx="4">
                  <c:v>0.91625099999999993</c:v>
                </c:pt>
                <c:pt idx="5">
                  <c:v>0.91625099999999993</c:v>
                </c:pt>
                <c:pt idx="6">
                  <c:v>3.8202590000000001</c:v>
                </c:pt>
                <c:pt idx="7">
                  <c:v>3.8202590000000001</c:v>
                </c:pt>
                <c:pt idx="8">
                  <c:v>3.8202590000000001</c:v>
                </c:pt>
                <c:pt idx="9">
                  <c:v>1.4771530000000004</c:v>
                </c:pt>
                <c:pt idx="10">
                  <c:v>1.4771530000000004</c:v>
                </c:pt>
                <c:pt idx="11">
                  <c:v>1.4771530000000004</c:v>
                </c:pt>
                <c:pt idx="12">
                  <c:v>2.3801299999999999</c:v>
                </c:pt>
                <c:pt idx="13">
                  <c:v>2.3801299999999999</c:v>
                </c:pt>
                <c:pt idx="14">
                  <c:v>2.3801299999999999</c:v>
                </c:pt>
                <c:pt idx="15">
                  <c:v>1.8936140000000004</c:v>
                </c:pt>
                <c:pt idx="16">
                  <c:v>1.8936140000000004</c:v>
                </c:pt>
                <c:pt idx="17">
                  <c:v>1.8936140000000004</c:v>
                </c:pt>
                <c:pt idx="18">
                  <c:v>6.6595779999999998</c:v>
                </c:pt>
                <c:pt idx="19">
                  <c:v>6.6595779999999998</c:v>
                </c:pt>
                <c:pt idx="20">
                  <c:v>6.6595779999999998</c:v>
                </c:pt>
                <c:pt idx="21">
                  <c:v>-0.14135799999999987</c:v>
                </c:pt>
                <c:pt idx="22">
                  <c:v>-0.14135799999999987</c:v>
                </c:pt>
                <c:pt idx="23">
                  <c:v>-0.14135799999999987</c:v>
                </c:pt>
                <c:pt idx="24">
                  <c:v>0.64360799999999996</c:v>
                </c:pt>
                <c:pt idx="25">
                  <c:v>0.64360799999999996</c:v>
                </c:pt>
                <c:pt idx="26">
                  <c:v>0.64360799999999996</c:v>
                </c:pt>
                <c:pt idx="27">
                  <c:v>6.3687999999999967E-2</c:v>
                </c:pt>
                <c:pt idx="28">
                  <c:v>6.3687999999999967E-2</c:v>
                </c:pt>
                <c:pt idx="29">
                  <c:v>6.3687999999999967E-2</c:v>
                </c:pt>
                <c:pt idx="30">
                  <c:v>-7.17</c:v>
                </c:pt>
                <c:pt idx="31">
                  <c:v>0.74722500000000025</c:v>
                </c:pt>
                <c:pt idx="32">
                  <c:v>0.74722500000000025</c:v>
                </c:pt>
                <c:pt idx="33">
                  <c:v>0.37999999999999989</c:v>
                </c:pt>
                <c:pt idx="34">
                  <c:v>0.37999999999999989</c:v>
                </c:pt>
                <c:pt idx="35">
                  <c:v>0.37999999999999989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480-BC4D-A5EF-99E695A3A775}"/>
            </c:ext>
          </c:extLst>
        </c:ser>
        <c:ser>
          <c:idx val="16"/>
          <c:order val="16"/>
          <c:tx>
            <c:strRef>
              <c:f>'CA GDP DATA'!$A$31</c:f>
              <c:strCache>
                <c:ptCount val="1"/>
                <c:pt idx="0">
                  <c:v>CHF JPY 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DATA'!$B$31:$AK$31</c:f>
              <c:numCache>
                <c:formatCode>#,##0.00</c:formatCode>
                <c:ptCount val="36"/>
                <c:pt idx="0">
                  <c:v>4.2709130000000002</c:v>
                </c:pt>
                <c:pt idx="1">
                  <c:v>4.2709130000000002</c:v>
                </c:pt>
                <c:pt idx="2">
                  <c:v>4.2709130000000002</c:v>
                </c:pt>
                <c:pt idx="3">
                  <c:v>3.4019510000000004</c:v>
                </c:pt>
                <c:pt idx="4">
                  <c:v>3.4019510000000004</c:v>
                </c:pt>
                <c:pt idx="5">
                  <c:v>3.4019510000000004</c:v>
                </c:pt>
                <c:pt idx="6">
                  <c:v>3.8466689999999994</c:v>
                </c:pt>
                <c:pt idx="7">
                  <c:v>3.8466689999999994</c:v>
                </c:pt>
                <c:pt idx="8">
                  <c:v>3.8466689999999994</c:v>
                </c:pt>
                <c:pt idx="9">
                  <c:v>-3.7305849999999996</c:v>
                </c:pt>
                <c:pt idx="10">
                  <c:v>-3.7305849999999996</c:v>
                </c:pt>
                <c:pt idx="11">
                  <c:v>-3.7305849999999996</c:v>
                </c:pt>
                <c:pt idx="12">
                  <c:v>9.7804710000000021</c:v>
                </c:pt>
                <c:pt idx="13">
                  <c:v>9.7804710000000021</c:v>
                </c:pt>
                <c:pt idx="14">
                  <c:v>9.7804710000000021</c:v>
                </c:pt>
                <c:pt idx="15">
                  <c:v>6.6597999999999997</c:v>
                </c:pt>
                <c:pt idx="16">
                  <c:v>6.6597999999999997</c:v>
                </c:pt>
                <c:pt idx="17">
                  <c:v>6.6597999999999997</c:v>
                </c:pt>
                <c:pt idx="18">
                  <c:v>-2.391</c:v>
                </c:pt>
                <c:pt idx="19">
                  <c:v>-2.391</c:v>
                </c:pt>
                <c:pt idx="20">
                  <c:v>-2.391</c:v>
                </c:pt>
                <c:pt idx="21">
                  <c:v>5.3670689999999999</c:v>
                </c:pt>
                <c:pt idx="22">
                  <c:v>5.3670689999999999</c:v>
                </c:pt>
                <c:pt idx="23">
                  <c:v>5.3670689999999999</c:v>
                </c:pt>
                <c:pt idx="24">
                  <c:v>10.08333</c:v>
                </c:pt>
                <c:pt idx="25">
                  <c:v>10.08333</c:v>
                </c:pt>
                <c:pt idx="26">
                  <c:v>10.08333</c:v>
                </c:pt>
                <c:pt idx="27">
                  <c:v>-0.15144100000000016</c:v>
                </c:pt>
                <c:pt idx="28">
                  <c:v>-0.15144100000000016</c:v>
                </c:pt>
                <c:pt idx="29">
                  <c:v>-0.15144100000000016</c:v>
                </c:pt>
                <c:pt idx="30">
                  <c:v>-0.46971700000000016</c:v>
                </c:pt>
                <c:pt idx="31">
                  <c:v>-0.46971700000000016</c:v>
                </c:pt>
                <c:pt idx="32">
                  <c:v>-0.46971700000000016</c:v>
                </c:pt>
                <c:pt idx="33">
                  <c:v>-3.7300000000000004</c:v>
                </c:pt>
                <c:pt idx="34">
                  <c:v>-3.7300000000000004</c:v>
                </c:pt>
                <c:pt idx="35">
                  <c:v>-3.7300000000000004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480-BC4D-A5EF-99E695A3A775}"/>
            </c:ext>
          </c:extLst>
        </c:ser>
        <c:ser>
          <c:idx val="17"/>
          <c:order val="17"/>
          <c:tx>
            <c:strRef>
              <c:f>'CA GDP DATA'!$A$32</c:f>
              <c:strCache>
                <c:ptCount val="1"/>
                <c:pt idx="0">
                  <c:v>AUD USD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DATA'!$B$32:$AK$32</c:f>
              <c:numCache>
                <c:formatCode>#,##0.00</c:formatCode>
                <c:ptCount val="36"/>
                <c:pt idx="0">
                  <c:v>3.5723073999999997</c:v>
                </c:pt>
                <c:pt idx="1">
                  <c:v>3.5723073999999997</c:v>
                </c:pt>
                <c:pt idx="2">
                  <c:v>3.5723073999999997</c:v>
                </c:pt>
                <c:pt idx="3">
                  <c:v>3.1629925999999999</c:v>
                </c:pt>
                <c:pt idx="4">
                  <c:v>3.1629925999999999</c:v>
                </c:pt>
                <c:pt idx="5">
                  <c:v>3.1629925999999999</c:v>
                </c:pt>
                <c:pt idx="6">
                  <c:v>1.8808</c:v>
                </c:pt>
                <c:pt idx="7">
                  <c:v>1.8808</c:v>
                </c:pt>
                <c:pt idx="8">
                  <c:v>1.8808</c:v>
                </c:pt>
                <c:pt idx="9">
                  <c:v>3.0246561000000001</c:v>
                </c:pt>
                <c:pt idx="10">
                  <c:v>3.0246561000000001</c:v>
                </c:pt>
                <c:pt idx="11">
                  <c:v>3.0246561000000001</c:v>
                </c:pt>
                <c:pt idx="12">
                  <c:v>2.076632</c:v>
                </c:pt>
                <c:pt idx="13">
                  <c:v>2.076632</c:v>
                </c:pt>
                <c:pt idx="14">
                  <c:v>2.076632</c:v>
                </c:pt>
                <c:pt idx="15">
                  <c:v>1.528654</c:v>
                </c:pt>
                <c:pt idx="16">
                  <c:v>1.528654</c:v>
                </c:pt>
                <c:pt idx="17">
                  <c:v>1.528654</c:v>
                </c:pt>
                <c:pt idx="18">
                  <c:v>2.1273079999999998</c:v>
                </c:pt>
                <c:pt idx="19">
                  <c:v>2.1273079999999998</c:v>
                </c:pt>
                <c:pt idx="20">
                  <c:v>2.1273079999999998</c:v>
                </c:pt>
                <c:pt idx="21">
                  <c:v>1.716996</c:v>
                </c:pt>
                <c:pt idx="22">
                  <c:v>1.716996</c:v>
                </c:pt>
                <c:pt idx="23">
                  <c:v>1.716996</c:v>
                </c:pt>
                <c:pt idx="24">
                  <c:v>3.4260730000000001</c:v>
                </c:pt>
                <c:pt idx="25">
                  <c:v>3.4260730000000001</c:v>
                </c:pt>
                <c:pt idx="26">
                  <c:v>3.4260730000000001</c:v>
                </c:pt>
                <c:pt idx="27">
                  <c:v>0.78995000000000015</c:v>
                </c:pt>
                <c:pt idx="28">
                  <c:v>0.78995000000000015</c:v>
                </c:pt>
                <c:pt idx="29">
                  <c:v>0.78995000000000015</c:v>
                </c:pt>
                <c:pt idx="30">
                  <c:v>0.39000000000000012</c:v>
                </c:pt>
                <c:pt idx="31">
                  <c:v>0.39000000000000012</c:v>
                </c:pt>
                <c:pt idx="32">
                  <c:v>0.39000000000000012</c:v>
                </c:pt>
                <c:pt idx="33">
                  <c:v>-0.33999999999999986</c:v>
                </c:pt>
                <c:pt idx="34">
                  <c:v>-0.33999999999999986</c:v>
                </c:pt>
                <c:pt idx="35">
                  <c:v>-0.33999999999999986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480-BC4D-A5EF-99E695A3A775}"/>
            </c:ext>
          </c:extLst>
        </c:ser>
        <c:ser>
          <c:idx val="18"/>
          <c:order val="18"/>
          <c:tx>
            <c:strRef>
              <c:f>'CA GDP DATA'!$A$33</c:f>
              <c:strCache>
                <c:ptCount val="1"/>
                <c:pt idx="0">
                  <c:v>AUD CHF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DATA'!$B$33:$AK$33</c:f>
              <c:numCache>
                <c:formatCode>#,##0.00</c:formatCode>
                <c:ptCount val="36"/>
                <c:pt idx="0">
                  <c:v>-6.1586666000000001</c:v>
                </c:pt>
                <c:pt idx="1">
                  <c:v>-6.1586666000000001</c:v>
                </c:pt>
                <c:pt idx="2">
                  <c:v>-6.1586666000000001</c:v>
                </c:pt>
                <c:pt idx="3">
                  <c:v>-7.5811934000000001</c:v>
                </c:pt>
                <c:pt idx="4">
                  <c:v>-7.5811934000000001</c:v>
                </c:pt>
                <c:pt idx="5">
                  <c:v>-7.5811934000000001</c:v>
                </c:pt>
                <c:pt idx="6">
                  <c:v>-9.3186459999999993</c:v>
                </c:pt>
                <c:pt idx="7">
                  <c:v>-9.3186459999999993</c:v>
                </c:pt>
                <c:pt idx="8">
                  <c:v>-9.3186459999999993</c:v>
                </c:pt>
                <c:pt idx="9">
                  <c:v>-1.0725209</c:v>
                </c:pt>
                <c:pt idx="10">
                  <c:v>-1.0725209</c:v>
                </c:pt>
                <c:pt idx="11">
                  <c:v>-1.0725209</c:v>
                </c:pt>
                <c:pt idx="12">
                  <c:v>-15.557110000000002</c:v>
                </c:pt>
                <c:pt idx="13">
                  <c:v>-15.557110000000002</c:v>
                </c:pt>
                <c:pt idx="14">
                  <c:v>-15.557110000000002</c:v>
                </c:pt>
                <c:pt idx="15">
                  <c:v>-13.471169999999999</c:v>
                </c:pt>
                <c:pt idx="16">
                  <c:v>-13.471169999999999</c:v>
                </c:pt>
                <c:pt idx="17">
                  <c:v>-13.471169999999999</c:v>
                </c:pt>
                <c:pt idx="18">
                  <c:v>-4.2987330000000004</c:v>
                </c:pt>
                <c:pt idx="19">
                  <c:v>-4.2987330000000004</c:v>
                </c:pt>
                <c:pt idx="20">
                  <c:v>-4.2987330000000004</c:v>
                </c:pt>
                <c:pt idx="21">
                  <c:v>-12.776164999999999</c:v>
                </c:pt>
                <c:pt idx="22">
                  <c:v>-12.776164999999999</c:v>
                </c:pt>
                <c:pt idx="23">
                  <c:v>-12.776164999999999</c:v>
                </c:pt>
                <c:pt idx="24">
                  <c:v>-17.123390000000001</c:v>
                </c:pt>
                <c:pt idx="25">
                  <c:v>-17.123390000000001</c:v>
                </c:pt>
                <c:pt idx="26">
                  <c:v>-17.123390000000001</c:v>
                </c:pt>
                <c:pt idx="27">
                  <c:v>-6.65</c:v>
                </c:pt>
                <c:pt idx="28">
                  <c:v>-6.65</c:v>
                </c:pt>
                <c:pt idx="29">
                  <c:v>-6.65</c:v>
                </c:pt>
                <c:pt idx="30">
                  <c:v>-7.23</c:v>
                </c:pt>
                <c:pt idx="31">
                  <c:v>-7.23</c:v>
                </c:pt>
                <c:pt idx="32">
                  <c:v>-7.23</c:v>
                </c:pt>
                <c:pt idx="33">
                  <c:v>-4.37</c:v>
                </c:pt>
                <c:pt idx="34">
                  <c:v>-4.37</c:v>
                </c:pt>
                <c:pt idx="35">
                  <c:v>-4.37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480-BC4D-A5EF-99E695A3A775}"/>
            </c:ext>
          </c:extLst>
        </c:ser>
        <c:ser>
          <c:idx val="19"/>
          <c:order val="19"/>
          <c:tx>
            <c:strRef>
              <c:f>'CA GDP DATA'!$A$34</c:f>
              <c:strCache>
                <c:ptCount val="1"/>
                <c:pt idx="0">
                  <c:v>AUD JPY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DATA'!$B$34:$AK$34</c:f>
              <c:numCache>
                <c:formatCode>#,##0.00</c:formatCode>
                <c:ptCount val="36"/>
                <c:pt idx="0">
                  <c:v>-1.8877536000000001</c:v>
                </c:pt>
                <c:pt idx="1">
                  <c:v>-1.8877536000000001</c:v>
                </c:pt>
                <c:pt idx="2">
                  <c:v>-1.8877536000000001</c:v>
                </c:pt>
                <c:pt idx="3">
                  <c:v>-4.1792423999999997</c:v>
                </c:pt>
                <c:pt idx="4">
                  <c:v>-4.1792423999999997</c:v>
                </c:pt>
                <c:pt idx="5">
                  <c:v>-4.1792423999999997</c:v>
                </c:pt>
                <c:pt idx="6">
                  <c:v>-5.4719769999999999</c:v>
                </c:pt>
                <c:pt idx="7">
                  <c:v>-5.4719769999999999</c:v>
                </c:pt>
                <c:pt idx="8">
                  <c:v>-5.4719769999999999</c:v>
                </c:pt>
                <c:pt idx="9">
                  <c:v>-4.8031058999999994</c:v>
                </c:pt>
                <c:pt idx="10">
                  <c:v>-4.8031058999999994</c:v>
                </c:pt>
                <c:pt idx="11">
                  <c:v>-4.8031058999999994</c:v>
                </c:pt>
                <c:pt idx="12">
                  <c:v>-5.7766389999999994</c:v>
                </c:pt>
                <c:pt idx="13">
                  <c:v>-5.7766389999999994</c:v>
                </c:pt>
                <c:pt idx="14">
                  <c:v>-5.7766389999999994</c:v>
                </c:pt>
                <c:pt idx="15">
                  <c:v>-6.8113700000000001</c:v>
                </c:pt>
                <c:pt idx="16">
                  <c:v>-6.8113700000000001</c:v>
                </c:pt>
                <c:pt idx="17">
                  <c:v>-6.8113700000000001</c:v>
                </c:pt>
                <c:pt idx="18">
                  <c:v>-6.6897330000000004</c:v>
                </c:pt>
                <c:pt idx="19">
                  <c:v>-6.6897330000000004</c:v>
                </c:pt>
                <c:pt idx="20">
                  <c:v>-6.6897330000000004</c:v>
                </c:pt>
                <c:pt idx="21">
                  <c:v>-7.4090959999999999</c:v>
                </c:pt>
                <c:pt idx="22">
                  <c:v>-7.4090959999999999</c:v>
                </c:pt>
                <c:pt idx="23">
                  <c:v>-7.4090959999999999</c:v>
                </c:pt>
                <c:pt idx="24">
                  <c:v>-7.0400600000000004</c:v>
                </c:pt>
                <c:pt idx="25">
                  <c:v>-7.0400600000000004</c:v>
                </c:pt>
                <c:pt idx="26">
                  <c:v>-7.0400600000000004</c:v>
                </c:pt>
                <c:pt idx="27">
                  <c:v>-6.8014410000000005</c:v>
                </c:pt>
                <c:pt idx="28">
                  <c:v>-6.8014410000000005</c:v>
                </c:pt>
                <c:pt idx="29">
                  <c:v>-6.8014410000000005</c:v>
                </c:pt>
                <c:pt idx="30">
                  <c:v>-7.6997169999999997</c:v>
                </c:pt>
                <c:pt idx="31">
                  <c:v>-7.6997169999999997</c:v>
                </c:pt>
                <c:pt idx="32">
                  <c:v>-7.6997169999999997</c:v>
                </c:pt>
                <c:pt idx="33">
                  <c:v>-8.1</c:v>
                </c:pt>
                <c:pt idx="34">
                  <c:v>-8.1</c:v>
                </c:pt>
                <c:pt idx="35">
                  <c:v>-8.1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480-BC4D-A5EF-99E695A3A775}"/>
            </c:ext>
          </c:extLst>
        </c:ser>
        <c:ser>
          <c:idx val="20"/>
          <c:order val="20"/>
          <c:tx>
            <c:strRef>
              <c:f>'CA GDP DATA'!$A$35</c:f>
              <c:strCache>
                <c:ptCount val="1"/>
                <c:pt idx="0">
                  <c:v>AUD NZD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DATA'!$B$35:$AK$35</c:f>
              <c:numCache>
                <c:formatCode>#,##0.00</c:formatCode>
                <c:ptCount val="36"/>
                <c:pt idx="0">
                  <c:v>7.7115993999999999</c:v>
                </c:pt>
                <c:pt idx="1">
                  <c:v>7.7115993999999999</c:v>
                </c:pt>
                <c:pt idx="2">
                  <c:v>7.7115993999999999</c:v>
                </c:pt>
                <c:pt idx="3">
                  <c:v>5.6954216000000004</c:v>
                </c:pt>
                <c:pt idx="4">
                  <c:v>5.6954216000000004</c:v>
                </c:pt>
                <c:pt idx="5">
                  <c:v>5.6954216000000004</c:v>
                </c:pt>
                <c:pt idx="6">
                  <c:v>4.8264950000000004</c:v>
                </c:pt>
                <c:pt idx="7">
                  <c:v>4.8264950000000004</c:v>
                </c:pt>
                <c:pt idx="8">
                  <c:v>4.8264950000000004</c:v>
                </c:pt>
                <c:pt idx="9">
                  <c:v>5.1269471000000006</c:v>
                </c:pt>
                <c:pt idx="10">
                  <c:v>5.1269471000000006</c:v>
                </c:pt>
                <c:pt idx="11">
                  <c:v>5.1269471000000006</c:v>
                </c:pt>
                <c:pt idx="12">
                  <c:v>3.7674300000000001</c:v>
                </c:pt>
                <c:pt idx="13">
                  <c:v>3.7674300000000001</c:v>
                </c:pt>
                <c:pt idx="14">
                  <c:v>3.7674300000000001</c:v>
                </c:pt>
                <c:pt idx="15">
                  <c:v>2.7530740000000002</c:v>
                </c:pt>
                <c:pt idx="16">
                  <c:v>2.7530740000000002</c:v>
                </c:pt>
                <c:pt idx="17">
                  <c:v>2.7530740000000002</c:v>
                </c:pt>
                <c:pt idx="18">
                  <c:v>2.4360170000000001</c:v>
                </c:pt>
                <c:pt idx="19">
                  <c:v>2.4360170000000001</c:v>
                </c:pt>
                <c:pt idx="20">
                  <c:v>2.4360170000000001</c:v>
                </c:pt>
                <c:pt idx="21">
                  <c:v>1.0416970000000001</c:v>
                </c:pt>
                <c:pt idx="22">
                  <c:v>1.0416970000000001</c:v>
                </c:pt>
                <c:pt idx="23">
                  <c:v>1.0416970000000001</c:v>
                </c:pt>
                <c:pt idx="24">
                  <c:v>1.3136079999999999</c:v>
                </c:pt>
                <c:pt idx="25">
                  <c:v>1.3136079999999999</c:v>
                </c:pt>
                <c:pt idx="26">
                  <c:v>1.3136079999999999</c:v>
                </c:pt>
                <c:pt idx="27">
                  <c:v>0.81368799999999997</c:v>
                </c:pt>
                <c:pt idx="28">
                  <c:v>0.81368799999999997</c:v>
                </c:pt>
                <c:pt idx="29">
                  <c:v>0.81368799999999997</c:v>
                </c:pt>
                <c:pt idx="30">
                  <c:v>-7.23</c:v>
                </c:pt>
                <c:pt idx="31">
                  <c:v>0.6872250000000002</c:v>
                </c:pt>
                <c:pt idx="32">
                  <c:v>0.6872250000000002</c:v>
                </c:pt>
                <c:pt idx="33">
                  <c:v>0.77</c:v>
                </c:pt>
                <c:pt idx="34">
                  <c:v>0.77</c:v>
                </c:pt>
                <c:pt idx="35">
                  <c:v>0.77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480-BC4D-A5EF-99E695A3A775}"/>
            </c:ext>
          </c:extLst>
        </c:ser>
        <c:ser>
          <c:idx val="21"/>
          <c:order val="21"/>
          <c:tx>
            <c:strRef>
              <c:f>'CA GDP DATA'!$A$36</c:f>
              <c:strCache>
                <c:ptCount val="1"/>
                <c:pt idx="0">
                  <c:v>AUD CAD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DATA'!$B$36:$AK$36</c:f>
              <c:numCache>
                <c:formatCode>#,##0.00</c:formatCode>
                <c:ptCount val="36"/>
                <c:pt idx="0">
                  <c:v>1.1308161000000001</c:v>
                </c:pt>
                <c:pt idx="1">
                  <c:v>1.1308161000000001</c:v>
                </c:pt>
                <c:pt idx="2">
                  <c:v>1.1308161000000001</c:v>
                </c:pt>
                <c:pt idx="3">
                  <c:v>0.52583409999999997</c:v>
                </c:pt>
                <c:pt idx="4">
                  <c:v>0.52583409999999997</c:v>
                </c:pt>
                <c:pt idx="5">
                  <c:v>0.52583409999999997</c:v>
                </c:pt>
                <c:pt idx="6">
                  <c:v>-0.46620770000000011</c:v>
                </c:pt>
                <c:pt idx="7">
                  <c:v>-0.46620770000000011</c:v>
                </c:pt>
                <c:pt idx="8">
                  <c:v>-0.46620770000000011</c:v>
                </c:pt>
                <c:pt idx="9">
                  <c:v>-0.13104300000000002</c:v>
                </c:pt>
                <c:pt idx="10">
                  <c:v>-0.13104300000000002</c:v>
                </c:pt>
                <c:pt idx="11">
                  <c:v>-0.13104300000000002</c:v>
                </c:pt>
                <c:pt idx="12">
                  <c:v>-0.78870630000000008</c:v>
                </c:pt>
                <c:pt idx="13">
                  <c:v>-0.78870630000000008</c:v>
                </c:pt>
                <c:pt idx="14">
                  <c:v>-0.78870630000000008</c:v>
                </c:pt>
                <c:pt idx="15">
                  <c:v>-1.9202408</c:v>
                </c:pt>
                <c:pt idx="16">
                  <c:v>-1.9202408</c:v>
                </c:pt>
                <c:pt idx="17">
                  <c:v>-1.9202408</c:v>
                </c:pt>
                <c:pt idx="18">
                  <c:v>-1.7025108</c:v>
                </c:pt>
                <c:pt idx="19">
                  <c:v>-1.7025108</c:v>
                </c:pt>
                <c:pt idx="20">
                  <c:v>-1.7025108</c:v>
                </c:pt>
                <c:pt idx="21">
                  <c:v>-2.3664708000000001</c:v>
                </c:pt>
                <c:pt idx="22">
                  <c:v>-2.3664708000000001</c:v>
                </c:pt>
                <c:pt idx="23">
                  <c:v>-2.3664708000000001</c:v>
                </c:pt>
                <c:pt idx="24">
                  <c:v>-2.0514671</c:v>
                </c:pt>
                <c:pt idx="25">
                  <c:v>-2.0514671</c:v>
                </c:pt>
                <c:pt idx="26">
                  <c:v>-2.0514671</c:v>
                </c:pt>
                <c:pt idx="27">
                  <c:v>0.2071679999999998</c:v>
                </c:pt>
                <c:pt idx="28">
                  <c:v>0.2071679999999998</c:v>
                </c:pt>
                <c:pt idx="29">
                  <c:v>0.2071679999999998</c:v>
                </c:pt>
                <c:pt idx="30">
                  <c:v>-2.04</c:v>
                </c:pt>
                <c:pt idx="31">
                  <c:v>-2.04</c:v>
                </c:pt>
                <c:pt idx="32">
                  <c:v>-2.04</c:v>
                </c:pt>
                <c:pt idx="33">
                  <c:v>-3.03</c:v>
                </c:pt>
                <c:pt idx="34">
                  <c:v>-3.03</c:v>
                </c:pt>
                <c:pt idx="35">
                  <c:v>-3.03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480-BC4D-A5EF-99E695A3A775}"/>
            </c:ext>
          </c:extLst>
        </c:ser>
        <c:ser>
          <c:idx val="22"/>
          <c:order val="22"/>
          <c:tx>
            <c:strRef>
              <c:f>'CA GDP DATA'!$A$37</c:f>
              <c:strCache>
                <c:ptCount val="1"/>
                <c:pt idx="0">
                  <c:v>CAD JPY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cat>
            <c:numRef>
              <c:f>'CA GDP DATA'!$B$14:$AK$14</c:f>
              <c:numCache>
                <c:formatCode>[$-409]mmm\-yy;@</c:formatCode>
                <c:ptCount val="36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</c:numCache>
            </c:numRef>
          </c:cat>
          <c:val>
            <c:numRef>
              <c:f>'CA GDP DATA'!$B$37:$AK$37</c:f>
              <c:numCache>
                <c:formatCode>#,##0.00</c:formatCode>
                <c:ptCount val="36"/>
                <c:pt idx="0">
                  <c:v>-3.0185697</c:v>
                </c:pt>
                <c:pt idx="1">
                  <c:v>-3.0185697</c:v>
                </c:pt>
                <c:pt idx="2">
                  <c:v>-3.0185697</c:v>
                </c:pt>
                <c:pt idx="3">
                  <c:v>-4.7050764999999997</c:v>
                </c:pt>
                <c:pt idx="4">
                  <c:v>-4.7050764999999997</c:v>
                </c:pt>
                <c:pt idx="5">
                  <c:v>-4.7050764999999997</c:v>
                </c:pt>
                <c:pt idx="6">
                  <c:v>-5.0057692999999999</c:v>
                </c:pt>
                <c:pt idx="7">
                  <c:v>-5.0057692999999999</c:v>
                </c:pt>
                <c:pt idx="8">
                  <c:v>-5.0057692999999999</c:v>
                </c:pt>
                <c:pt idx="9">
                  <c:v>-4.6720628999999994</c:v>
                </c:pt>
                <c:pt idx="10">
                  <c:v>-4.6720628999999994</c:v>
                </c:pt>
                <c:pt idx="11">
                  <c:v>-4.6720628999999994</c:v>
                </c:pt>
                <c:pt idx="12">
                  <c:v>-4.9879327</c:v>
                </c:pt>
                <c:pt idx="13">
                  <c:v>-4.9879327</c:v>
                </c:pt>
                <c:pt idx="14">
                  <c:v>-4.9879327</c:v>
                </c:pt>
                <c:pt idx="15">
                  <c:v>-4.8911292</c:v>
                </c:pt>
                <c:pt idx="16">
                  <c:v>-4.8911292</c:v>
                </c:pt>
                <c:pt idx="17">
                  <c:v>-4.8911292</c:v>
                </c:pt>
                <c:pt idx="18">
                  <c:v>-4.9872221999999997</c:v>
                </c:pt>
                <c:pt idx="19">
                  <c:v>-4.9872221999999997</c:v>
                </c:pt>
                <c:pt idx="20">
                  <c:v>-4.9872221999999997</c:v>
                </c:pt>
                <c:pt idx="21">
                  <c:v>-5.0426251999999998</c:v>
                </c:pt>
                <c:pt idx="22">
                  <c:v>-5.0426251999999998</c:v>
                </c:pt>
                <c:pt idx="23">
                  <c:v>-5.0426251999999998</c:v>
                </c:pt>
                <c:pt idx="24">
                  <c:v>-4.9885928999999996</c:v>
                </c:pt>
                <c:pt idx="25">
                  <c:v>-4.9885928999999996</c:v>
                </c:pt>
                <c:pt idx="26">
                  <c:v>-4.9885928999999996</c:v>
                </c:pt>
                <c:pt idx="27">
                  <c:v>-7.0086089999999999</c:v>
                </c:pt>
                <c:pt idx="28">
                  <c:v>-7.0086089999999999</c:v>
                </c:pt>
                <c:pt idx="29">
                  <c:v>-7.0086089999999999</c:v>
                </c:pt>
                <c:pt idx="30">
                  <c:v>-5.6597170000000006</c:v>
                </c:pt>
                <c:pt idx="31">
                  <c:v>-5.6597170000000006</c:v>
                </c:pt>
                <c:pt idx="32">
                  <c:v>-5.6597170000000006</c:v>
                </c:pt>
                <c:pt idx="33">
                  <c:v>-5.07</c:v>
                </c:pt>
                <c:pt idx="34">
                  <c:v>-5.07</c:v>
                </c:pt>
                <c:pt idx="35">
                  <c:v>-5.07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80-BC4D-A5EF-99E695A3A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825024"/>
        <c:axId val="556824576"/>
      </c:areaChart>
      <c:dateAx>
        <c:axId val="556825024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56824576"/>
        <c:crosses val="autoZero"/>
        <c:auto val="1"/>
        <c:lblOffset val="100"/>
        <c:baseTimeUnit val="months"/>
      </c:dateAx>
      <c:valAx>
        <c:axId val="55682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56825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'FX RESERVE DATA'!$A$37</c:f>
              <c:strCache>
                <c:ptCount val="1"/>
                <c:pt idx="0">
                  <c:v>USD JPY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DATA'!$N$37:$AX$37</c:f>
              <c:numCache>
                <c:formatCode>#,##0.00</c:formatCode>
                <c:ptCount val="37"/>
                <c:pt idx="0">
                  <c:v>11231.525275005833</c:v>
                </c:pt>
                <c:pt idx="1">
                  <c:v>12419.417960127499</c:v>
                </c:pt>
                <c:pt idx="2">
                  <c:v>7902.3945315791671</c:v>
                </c:pt>
                <c:pt idx="3">
                  <c:v>4825.4137741266659</c:v>
                </c:pt>
                <c:pt idx="4">
                  <c:v>6282.1498178733327</c:v>
                </c:pt>
                <c:pt idx="5">
                  <c:v>5598.1127279741668</c:v>
                </c:pt>
                <c:pt idx="6">
                  <c:v>6458.0095418199999</c:v>
                </c:pt>
                <c:pt idx="7">
                  <c:v>3802.0794475341672</c:v>
                </c:pt>
                <c:pt idx="8">
                  <c:v>577.85079450749981</c:v>
                </c:pt>
                <c:pt idx="9">
                  <c:v>-2779.0647856408332</c:v>
                </c:pt>
                <c:pt idx="10">
                  <c:v>-3056.003302235833</c:v>
                </c:pt>
                <c:pt idx="11">
                  <c:v>-5178.3558881049994</c:v>
                </c:pt>
                <c:pt idx="12">
                  <c:v>-3662.883238379166</c:v>
                </c:pt>
                <c:pt idx="13">
                  <c:v>-4389.6755902558334</c:v>
                </c:pt>
                <c:pt idx="14">
                  <c:v>-2590.9734449116663</c:v>
                </c:pt>
                <c:pt idx="15">
                  <c:v>-783.13978910583319</c:v>
                </c:pt>
                <c:pt idx="16">
                  <c:v>2612.3012904799998</c:v>
                </c:pt>
                <c:pt idx="17">
                  <c:v>2001.0073445950002</c:v>
                </c:pt>
                <c:pt idx="18">
                  <c:v>3747.6307072899999</c:v>
                </c:pt>
                <c:pt idx="19">
                  <c:v>2996.8678569441663</c:v>
                </c:pt>
                <c:pt idx="20">
                  <c:v>775.69260572500025</c:v>
                </c:pt>
                <c:pt idx="21">
                  <c:v>1892.9637592974996</c:v>
                </c:pt>
                <c:pt idx="22">
                  <c:v>3930.7937533541663</c:v>
                </c:pt>
                <c:pt idx="23">
                  <c:v>6306.6279494983337</c:v>
                </c:pt>
                <c:pt idx="24">
                  <c:v>5957.256055125833</c:v>
                </c:pt>
                <c:pt idx="25">
                  <c:v>4133.4884667091665</c:v>
                </c:pt>
                <c:pt idx="26">
                  <c:v>3761.3671618008329</c:v>
                </c:pt>
                <c:pt idx="27">
                  <c:v>1318.2359436324998</c:v>
                </c:pt>
                <c:pt idx="28">
                  <c:v>-2856.0289266816667</c:v>
                </c:pt>
                <c:pt idx="29">
                  <c:v>-3897.7208100266666</c:v>
                </c:pt>
                <c:pt idx="30">
                  <c:v>-4759.8640782383336</c:v>
                </c:pt>
                <c:pt idx="31">
                  <c:v>-4949.492293788333</c:v>
                </c:pt>
                <c:pt idx="32">
                  <c:v>-4227.3498545041666</c:v>
                </c:pt>
                <c:pt idx="33">
                  <c:v>-5762.1689451966668</c:v>
                </c:pt>
                <c:pt idx="34">
                  <c:v>-6008.1795207758332</c:v>
                </c:pt>
                <c:pt idx="35">
                  <c:v>-7034.9175417616661</c:v>
                </c:pt>
                <c:pt idx="36">
                  <c:v>-7137.8099029441664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6D-3049-9CA8-8A31968A609F}"/>
            </c:ext>
          </c:extLst>
        </c:ser>
        <c:ser>
          <c:idx val="1"/>
          <c:order val="1"/>
          <c:tx>
            <c:strRef>
              <c:f>'FX RESERVE DATA'!$A$38</c:f>
              <c:strCache>
                <c:ptCount val="1"/>
                <c:pt idx="0">
                  <c:v>USD CHF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DATA'!$N$38:$AX$38</c:f>
              <c:numCache>
                <c:formatCode>#,##0.00</c:formatCode>
                <c:ptCount val="37"/>
                <c:pt idx="0">
                  <c:v>13657.750852658337</c:v>
                </c:pt>
                <c:pt idx="1">
                  <c:v>16213.808172444167</c:v>
                </c:pt>
                <c:pt idx="2">
                  <c:v>14192.61310092458</c:v>
                </c:pt>
                <c:pt idx="3">
                  <c:v>11193.040562735998</c:v>
                </c:pt>
                <c:pt idx="4">
                  <c:v>13148.596254570923</c:v>
                </c:pt>
                <c:pt idx="5">
                  <c:v>6635.7040753269139</c:v>
                </c:pt>
                <c:pt idx="6">
                  <c:v>7084.1701923208338</c:v>
                </c:pt>
                <c:pt idx="7">
                  <c:v>7764.8111605674967</c:v>
                </c:pt>
                <c:pt idx="8">
                  <c:v>6887.6731669550054</c:v>
                </c:pt>
                <c:pt idx="9">
                  <c:v>7619.1405679575009</c:v>
                </c:pt>
                <c:pt idx="10">
                  <c:v>8325.8419671216616</c:v>
                </c:pt>
                <c:pt idx="11">
                  <c:v>5720.5422805491617</c:v>
                </c:pt>
                <c:pt idx="12">
                  <c:v>6327.1471318308304</c:v>
                </c:pt>
                <c:pt idx="13">
                  <c:v>4259.666154775</c:v>
                </c:pt>
                <c:pt idx="14">
                  <c:v>1528.122869934173</c:v>
                </c:pt>
                <c:pt idx="15">
                  <c:v>2509.6841470116692</c:v>
                </c:pt>
                <c:pt idx="16">
                  <c:v>800.77542849166093</c:v>
                </c:pt>
                <c:pt idx="17">
                  <c:v>1263.8666438916687</c:v>
                </c:pt>
                <c:pt idx="18">
                  <c:v>41.166734538337558</c:v>
                </c:pt>
                <c:pt idx="19">
                  <c:v>-2511.7871307849978</c:v>
                </c:pt>
                <c:pt idx="20">
                  <c:v>-8662.1298490874997</c:v>
                </c:pt>
                <c:pt idx="21">
                  <c:v>-8817.6570192091713</c:v>
                </c:pt>
                <c:pt idx="22">
                  <c:v>-7406.1219607983303</c:v>
                </c:pt>
                <c:pt idx="23">
                  <c:v>-2542.0956855991662</c:v>
                </c:pt>
                <c:pt idx="24">
                  <c:v>-3067.3315663899971</c:v>
                </c:pt>
                <c:pt idx="25">
                  <c:v>-3686.6575114258321</c:v>
                </c:pt>
                <c:pt idx="26">
                  <c:v>-2381.2721095166726</c:v>
                </c:pt>
                <c:pt idx="27">
                  <c:v>-5314.2055906266633</c:v>
                </c:pt>
                <c:pt idx="28">
                  <c:v>-4661.6915856875012</c:v>
                </c:pt>
                <c:pt idx="29">
                  <c:v>-8198.5978012341639</c:v>
                </c:pt>
                <c:pt idx="30">
                  <c:v>-6348.0414923899989</c:v>
                </c:pt>
                <c:pt idx="31">
                  <c:v>-6182.9272492841701</c:v>
                </c:pt>
                <c:pt idx="32">
                  <c:v>-5229.5714675616673</c:v>
                </c:pt>
                <c:pt idx="33">
                  <c:v>-5723.2851753741652</c:v>
                </c:pt>
                <c:pt idx="34">
                  <c:v>-6587.370180320002</c:v>
                </c:pt>
                <c:pt idx="35">
                  <c:v>-8571.4316816033279</c:v>
                </c:pt>
                <c:pt idx="36">
                  <c:v>-9371.9413502599946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6D-3049-9CA8-8A31968A609F}"/>
            </c:ext>
          </c:extLst>
        </c:ser>
        <c:ser>
          <c:idx val="2"/>
          <c:order val="2"/>
          <c:tx>
            <c:strRef>
              <c:f>'FX RESERVE DATA'!$A$39</c:f>
              <c:strCache>
                <c:ptCount val="1"/>
                <c:pt idx="0">
                  <c:v>USD CAD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DATA'!$N$39:$AX$39</c:f>
              <c:numCache>
                <c:formatCode>#,##0.00</c:formatCode>
                <c:ptCount val="37"/>
                <c:pt idx="0">
                  <c:v>-713.47472499416654</c:v>
                </c:pt>
                <c:pt idx="1">
                  <c:v>-853.99870653916696</c:v>
                </c:pt>
                <c:pt idx="2">
                  <c:v>-677.85546842083329</c:v>
                </c:pt>
                <c:pt idx="3">
                  <c:v>-639.08622587333343</c:v>
                </c:pt>
                <c:pt idx="4">
                  <c:v>-578.26684879333334</c:v>
                </c:pt>
                <c:pt idx="5">
                  <c:v>-590.55393869249986</c:v>
                </c:pt>
                <c:pt idx="6">
                  <c:v>-488.5737915133335</c:v>
                </c:pt>
                <c:pt idx="7">
                  <c:v>-353.00388579916643</c:v>
                </c:pt>
                <c:pt idx="8">
                  <c:v>-544.73253882583356</c:v>
                </c:pt>
                <c:pt idx="9">
                  <c:v>-527.06478564083295</c:v>
                </c:pt>
                <c:pt idx="10">
                  <c:v>-630.00330223583296</c:v>
                </c:pt>
                <c:pt idx="11">
                  <c:v>-839.77255477166671</c:v>
                </c:pt>
                <c:pt idx="12">
                  <c:v>-630.21657171249956</c:v>
                </c:pt>
                <c:pt idx="13">
                  <c:v>-652.67559025583307</c:v>
                </c:pt>
                <c:pt idx="14">
                  <c:v>-801.3067782449998</c:v>
                </c:pt>
                <c:pt idx="15">
                  <c:v>-803.30645577249982</c:v>
                </c:pt>
                <c:pt idx="16">
                  <c:v>-822.19870952000019</c:v>
                </c:pt>
                <c:pt idx="17">
                  <c:v>-824.15932207166645</c:v>
                </c:pt>
                <c:pt idx="18">
                  <c:v>-849.78595937666671</c:v>
                </c:pt>
                <c:pt idx="19">
                  <c:v>-811.13214305583347</c:v>
                </c:pt>
                <c:pt idx="20">
                  <c:v>-1022.5573942749999</c:v>
                </c:pt>
                <c:pt idx="21">
                  <c:v>-705.78624070250044</c:v>
                </c:pt>
                <c:pt idx="22">
                  <c:v>-623.12291331250037</c:v>
                </c:pt>
                <c:pt idx="23">
                  <c:v>-534.70538383499968</c:v>
                </c:pt>
                <c:pt idx="24">
                  <c:v>-261.24394487416669</c:v>
                </c:pt>
                <c:pt idx="25">
                  <c:v>-332.67819995750023</c:v>
                </c:pt>
                <c:pt idx="26">
                  <c:v>-609.04950486583346</c:v>
                </c:pt>
                <c:pt idx="27">
                  <c:v>88.485943632499868</c:v>
                </c:pt>
                <c:pt idx="28">
                  <c:v>149.5544066516668</c:v>
                </c:pt>
                <c:pt idx="29">
                  <c:v>55.195856639999533</c:v>
                </c:pt>
                <c:pt idx="30">
                  <c:v>13.969255095000335</c:v>
                </c:pt>
                <c:pt idx="31">
                  <c:v>48.674372878333074</c:v>
                </c:pt>
                <c:pt idx="32">
                  <c:v>278.9001454958331</c:v>
                </c:pt>
                <c:pt idx="33">
                  <c:v>-253.0022785300001</c:v>
                </c:pt>
                <c:pt idx="34">
                  <c:v>-131.51285410916657</c:v>
                </c:pt>
                <c:pt idx="35">
                  <c:v>-61.750875095000083</c:v>
                </c:pt>
                <c:pt idx="36">
                  <c:v>-388.05990294416677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6D-3049-9CA8-8A31968A609F}"/>
            </c:ext>
          </c:extLst>
        </c:ser>
        <c:ser>
          <c:idx val="3"/>
          <c:order val="3"/>
          <c:tx>
            <c:strRef>
              <c:f>'FX RESERVE DATA'!$A$40</c:f>
              <c:strCache>
                <c:ptCount val="1"/>
                <c:pt idx="0">
                  <c:v>EUR USD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DATA'!$N$40:$AX$40</c:f>
              <c:numCache>
                <c:formatCode>#,##0.00</c:formatCode>
                <c:ptCount val="37"/>
                <c:pt idx="0">
                  <c:v>83.391391660833193</c:v>
                </c:pt>
                <c:pt idx="1">
                  <c:v>-1315.6679601274998</c:v>
                </c:pt>
                <c:pt idx="2">
                  <c:v>-822.47786491250008</c:v>
                </c:pt>
                <c:pt idx="3">
                  <c:v>-888.66377412666657</c:v>
                </c:pt>
                <c:pt idx="4">
                  <c:v>-1158.0664845399999</c:v>
                </c:pt>
                <c:pt idx="5">
                  <c:v>-1106.0293946408335</c:v>
                </c:pt>
                <c:pt idx="6">
                  <c:v>-1285.5928751533331</c:v>
                </c:pt>
                <c:pt idx="7">
                  <c:v>-1245.8294475341668</c:v>
                </c:pt>
                <c:pt idx="8">
                  <c:v>-1634.3507945074998</c:v>
                </c:pt>
                <c:pt idx="9">
                  <c:v>-1513.0185476925005</c:v>
                </c:pt>
                <c:pt idx="10">
                  <c:v>-1206.4133644308338</c:v>
                </c:pt>
                <c:pt idx="11">
                  <c:v>-1165.2274452283334</c:v>
                </c:pt>
                <c:pt idx="12">
                  <c:v>-877.36676162083381</c:v>
                </c:pt>
                <c:pt idx="13">
                  <c:v>451.25892358916644</c:v>
                </c:pt>
                <c:pt idx="14">
                  <c:v>164.14011157833315</c:v>
                </c:pt>
                <c:pt idx="15">
                  <c:v>223.97312243916653</c:v>
                </c:pt>
                <c:pt idx="16">
                  <c:v>564.19870952000019</c:v>
                </c:pt>
                <c:pt idx="17">
                  <c:v>801.65932207166645</c:v>
                </c:pt>
                <c:pt idx="18">
                  <c:v>610.28595937666671</c:v>
                </c:pt>
                <c:pt idx="19">
                  <c:v>633.21547638916672</c:v>
                </c:pt>
                <c:pt idx="20">
                  <c:v>1365.140727608333</c:v>
                </c:pt>
                <c:pt idx="21">
                  <c:v>900.11957403583381</c:v>
                </c:pt>
                <c:pt idx="22">
                  <c:v>475.70624664583374</c:v>
                </c:pt>
                <c:pt idx="23">
                  <c:v>136.53871716833297</c:v>
                </c:pt>
                <c:pt idx="24">
                  <c:v>19.243944874166729</c:v>
                </c:pt>
                <c:pt idx="25">
                  <c:v>319.01153329083354</c:v>
                </c:pt>
                <c:pt idx="26">
                  <c:v>503.2995048658334</c:v>
                </c:pt>
                <c:pt idx="27">
                  <c:v>987.76405636750019</c:v>
                </c:pt>
                <c:pt idx="28">
                  <c:v>934.86226001499995</c:v>
                </c:pt>
                <c:pt idx="29">
                  <c:v>906.63747669333384</c:v>
                </c:pt>
                <c:pt idx="30">
                  <c:v>943.69741157166629</c:v>
                </c:pt>
                <c:pt idx="31">
                  <c:v>1181.1589604550002</c:v>
                </c:pt>
                <c:pt idx="32">
                  <c:v>1461.8498545041668</c:v>
                </c:pt>
                <c:pt idx="33">
                  <c:v>1749.3356118633333</c:v>
                </c:pt>
                <c:pt idx="34">
                  <c:v>1878.7628541091665</c:v>
                </c:pt>
                <c:pt idx="35">
                  <c:v>2500.2508750950001</c:v>
                </c:pt>
                <c:pt idx="36">
                  <c:v>3406.8099029441669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6D-3049-9CA8-8A31968A609F}"/>
            </c:ext>
          </c:extLst>
        </c:ser>
        <c:ser>
          <c:idx val="4"/>
          <c:order val="4"/>
          <c:tx>
            <c:strRef>
              <c:f>'FX RESERVE DATA'!$A$41</c:f>
              <c:strCache>
                <c:ptCount val="1"/>
                <c:pt idx="0">
                  <c:v>EUR JPY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DATA'!$N$41:$AX$41</c:f>
              <c:numCache>
                <c:formatCode>#,##0.00</c:formatCode>
                <c:ptCount val="37"/>
                <c:pt idx="0">
                  <c:v>11314.916666666666</c:v>
                </c:pt>
                <c:pt idx="1">
                  <c:v>11103.75</c:v>
                </c:pt>
                <c:pt idx="2">
                  <c:v>7079.916666666667</c:v>
                </c:pt>
                <c:pt idx="3">
                  <c:v>3936.7499999999995</c:v>
                </c:pt>
                <c:pt idx="4">
                  <c:v>5124.083333333333</c:v>
                </c:pt>
                <c:pt idx="5">
                  <c:v>4492.083333333333</c:v>
                </c:pt>
                <c:pt idx="6">
                  <c:v>5172.416666666667</c:v>
                </c:pt>
                <c:pt idx="7">
                  <c:v>2556.25</c:v>
                </c:pt>
                <c:pt idx="8">
                  <c:v>-1056.5</c:v>
                </c:pt>
                <c:pt idx="9">
                  <c:v>-4292.0833333333339</c:v>
                </c:pt>
                <c:pt idx="10">
                  <c:v>-4262.4166666666661</c:v>
                </c:pt>
                <c:pt idx="11">
                  <c:v>-6343.583333333333</c:v>
                </c:pt>
                <c:pt idx="12">
                  <c:v>-4540.25</c:v>
                </c:pt>
                <c:pt idx="13">
                  <c:v>-3938.416666666667</c:v>
                </c:pt>
                <c:pt idx="14">
                  <c:v>-2426.833333333333</c:v>
                </c:pt>
                <c:pt idx="15">
                  <c:v>-559.16666666666663</c:v>
                </c:pt>
                <c:pt idx="16">
                  <c:v>3176.5</c:v>
                </c:pt>
                <c:pt idx="17">
                  <c:v>2802.6666666666665</c:v>
                </c:pt>
                <c:pt idx="18">
                  <c:v>4357.9166666666661</c:v>
                </c:pt>
                <c:pt idx="19">
                  <c:v>3630.083333333333</c:v>
                </c:pt>
                <c:pt idx="20">
                  <c:v>2140.8333333333335</c:v>
                </c:pt>
                <c:pt idx="21">
                  <c:v>2793.083333333333</c:v>
                </c:pt>
                <c:pt idx="22">
                  <c:v>4406.5</c:v>
                </c:pt>
                <c:pt idx="23">
                  <c:v>6443.166666666667</c:v>
                </c:pt>
                <c:pt idx="24">
                  <c:v>5976.5</c:v>
                </c:pt>
                <c:pt idx="25">
                  <c:v>4452.5</c:v>
                </c:pt>
                <c:pt idx="26">
                  <c:v>4264.6666666666661</c:v>
                </c:pt>
                <c:pt idx="27">
                  <c:v>2306</c:v>
                </c:pt>
                <c:pt idx="28">
                  <c:v>-1921.1666666666667</c:v>
                </c:pt>
                <c:pt idx="29">
                  <c:v>-2991.083333333333</c:v>
                </c:pt>
                <c:pt idx="30">
                  <c:v>-3816.166666666667</c:v>
                </c:pt>
                <c:pt idx="31">
                  <c:v>-3768.333333333333</c:v>
                </c:pt>
                <c:pt idx="32">
                  <c:v>-2765.5</c:v>
                </c:pt>
                <c:pt idx="33">
                  <c:v>-4012.8333333333339</c:v>
                </c:pt>
                <c:pt idx="34">
                  <c:v>-4129.4166666666661</c:v>
                </c:pt>
                <c:pt idx="35">
                  <c:v>-4534.6666666666661</c:v>
                </c:pt>
                <c:pt idx="36">
                  <c:v>-3730.9999999999995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6D-3049-9CA8-8A31968A609F}"/>
            </c:ext>
          </c:extLst>
        </c:ser>
        <c:ser>
          <c:idx val="5"/>
          <c:order val="5"/>
          <c:tx>
            <c:strRef>
              <c:f>'FX RESERVE DATA'!$A$42</c:f>
              <c:strCache>
                <c:ptCount val="1"/>
                <c:pt idx="0">
                  <c:v>EUR CHF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DATA'!$N$42:$AX$42</c:f>
              <c:numCache>
                <c:formatCode>#,##0.00</c:formatCode>
                <c:ptCount val="37"/>
                <c:pt idx="0">
                  <c:v>13741.14224431917</c:v>
                </c:pt>
                <c:pt idx="1">
                  <c:v>14898.140212316668</c:v>
                </c:pt>
                <c:pt idx="2">
                  <c:v>13370.13523601208</c:v>
                </c:pt>
                <c:pt idx="3">
                  <c:v>10304.37678860933</c:v>
                </c:pt>
                <c:pt idx="4">
                  <c:v>11990.529770030922</c:v>
                </c:pt>
                <c:pt idx="5">
                  <c:v>5529.6746806860801</c:v>
                </c:pt>
                <c:pt idx="6">
                  <c:v>5798.577317167501</c:v>
                </c:pt>
                <c:pt idx="7">
                  <c:v>6518.9817130333304</c:v>
                </c:pt>
                <c:pt idx="8">
                  <c:v>5253.3223724475056</c:v>
                </c:pt>
                <c:pt idx="9">
                  <c:v>6106.1220202650002</c:v>
                </c:pt>
                <c:pt idx="10">
                  <c:v>7119.4286026908285</c:v>
                </c:pt>
                <c:pt idx="11">
                  <c:v>4555.314835320828</c:v>
                </c:pt>
                <c:pt idx="12">
                  <c:v>5449.7803702099973</c:v>
                </c:pt>
                <c:pt idx="13">
                  <c:v>4710.9250783641664</c:v>
                </c:pt>
                <c:pt idx="14">
                  <c:v>1692.262981512506</c:v>
                </c:pt>
                <c:pt idx="15">
                  <c:v>2733.6572694508359</c:v>
                </c:pt>
                <c:pt idx="16">
                  <c:v>1364.9741380116611</c:v>
                </c:pt>
                <c:pt idx="17">
                  <c:v>2065.5259659633352</c:v>
                </c:pt>
                <c:pt idx="18">
                  <c:v>651.45269391500426</c:v>
                </c:pt>
                <c:pt idx="19">
                  <c:v>-1878.571654395831</c:v>
                </c:pt>
                <c:pt idx="20">
                  <c:v>-7296.989121479166</c:v>
                </c:pt>
                <c:pt idx="21">
                  <c:v>-7917.5374451733369</c:v>
                </c:pt>
                <c:pt idx="22">
                  <c:v>-6930.4157141524965</c:v>
                </c:pt>
                <c:pt idx="23">
                  <c:v>-2405.5569684308334</c:v>
                </c:pt>
                <c:pt idx="24">
                  <c:v>-3048.0876215158305</c:v>
                </c:pt>
                <c:pt idx="25">
                  <c:v>-3367.6459781349986</c:v>
                </c:pt>
                <c:pt idx="26">
                  <c:v>-1877.972604650839</c:v>
                </c:pt>
                <c:pt idx="27">
                  <c:v>-4326.4415342591628</c:v>
                </c:pt>
                <c:pt idx="28">
                  <c:v>-3726.829325672501</c:v>
                </c:pt>
                <c:pt idx="29">
                  <c:v>-7291.9603245408307</c:v>
                </c:pt>
                <c:pt idx="30">
                  <c:v>-5404.3440808183323</c:v>
                </c:pt>
                <c:pt idx="31">
                  <c:v>-5001.7682888291702</c:v>
                </c:pt>
                <c:pt idx="32">
                  <c:v>-3767.7216130575007</c:v>
                </c:pt>
                <c:pt idx="33">
                  <c:v>-3973.9495635108324</c:v>
                </c:pt>
                <c:pt idx="34">
                  <c:v>-4708.6073262108348</c:v>
                </c:pt>
                <c:pt idx="35">
                  <c:v>-6071.1808065083278</c:v>
                </c:pt>
                <c:pt idx="36">
                  <c:v>-5965.1314473158272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76D-3049-9CA8-8A31968A609F}"/>
            </c:ext>
          </c:extLst>
        </c:ser>
        <c:ser>
          <c:idx val="6"/>
          <c:order val="6"/>
          <c:tx>
            <c:strRef>
              <c:f>'FX RESERVE DATA'!$A$43</c:f>
              <c:strCache>
                <c:ptCount val="1"/>
                <c:pt idx="0">
                  <c:v>EUR GBP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DATA'!$N$43:$AX$43</c:f>
              <c:numCache>
                <c:formatCode>#,##0.00</c:formatCode>
                <c:ptCount val="37"/>
                <c:pt idx="0">
                  <c:v>865.84532990733226</c:v>
                </c:pt>
                <c:pt idx="1">
                  <c:v>-151.67118201199992</c:v>
                </c:pt>
                <c:pt idx="2">
                  <c:v>541.87438746574958</c:v>
                </c:pt>
                <c:pt idx="3">
                  <c:v>-229.66529580641759</c:v>
                </c:pt>
                <c:pt idx="4">
                  <c:v>-542.30346958475036</c:v>
                </c:pt>
                <c:pt idx="5">
                  <c:v>-717.3147866295003</c:v>
                </c:pt>
                <c:pt idx="6">
                  <c:v>-1347.0999407643333</c:v>
                </c:pt>
                <c:pt idx="7">
                  <c:v>-1249.5809440264165</c:v>
                </c:pt>
                <c:pt idx="8">
                  <c:v>-2021.525873314275</c:v>
                </c:pt>
                <c:pt idx="9">
                  <c:v>-1547.7888062717502</c:v>
                </c:pt>
                <c:pt idx="10">
                  <c:v>-969.44135704800044</c:v>
                </c:pt>
                <c:pt idx="11">
                  <c:v>-1029.5609306706672</c:v>
                </c:pt>
                <c:pt idx="12">
                  <c:v>-759.89497231874952</c:v>
                </c:pt>
                <c:pt idx="13">
                  <c:v>247.85203543666648</c:v>
                </c:pt>
                <c:pt idx="14">
                  <c:v>-4.4482921386661474</c:v>
                </c:pt>
                <c:pt idx="15">
                  <c:v>665.84063026750061</c:v>
                </c:pt>
                <c:pt idx="16">
                  <c:v>549.81959234891713</c:v>
                </c:pt>
                <c:pt idx="17">
                  <c:v>1009.2789033159994</c:v>
                </c:pt>
                <c:pt idx="18">
                  <c:v>869.81472556775043</c:v>
                </c:pt>
                <c:pt idx="19">
                  <c:v>806.09490535233272</c:v>
                </c:pt>
                <c:pt idx="20">
                  <c:v>1312.106506481917</c:v>
                </c:pt>
                <c:pt idx="21">
                  <c:v>949.45303026991678</c:v>
                </c:pt>
                <c:pt idx="22">
                  <c:v>549.00731780700028</c:v>
                </c:pt>
                <c:pt idx="23">
                  <c:v>439.08684954975007</c:v>
                </c:pt>
                <c:pt idx="24">
                  <c:v>164.91656351983329</c:v>
                </c:pt>
                <c:pt idx="25">
                  <c:v>322.30438849649966</c:v>
                </c:pt>
                <c:pt idx="26">
                  <c:v>482.05846859624944</c:v>
                </c:pt>
                <c:pt idx="27">
                  <c:v>331.48318546891699</c:v>
                </c:pt>
                <c:pt idx="28">
                  <c:v>400.31712725591694</c:v>
                </c:pt>
                <c:pt idx="29">
                  <c:v>29.595046054000704</c:v>
                </c:pt>
                <c:pt idx="30">
                  <c:v>287.10069224474989</c:v>
                </c:pt>
                <c:pt idx="31">
                  <c:v>448.26849254625029</c:v>
                </c:pt>
                <c:pt idx="32">
                  <c:v>304.52434653516684</c:v>
                </c:pt>
                <c:pt idx="33">
                  <c:v>516.15482298183269</c:v>
                </c:pt>
                <c:pt idx="34">
                  <c:v>565.45372050133278</c:v>
                </c:pt>
                <c:pt idx="35">
                  <c:v>1055.9975334319167</c:v>
                </c:pt>
                <c:pt idx="36">
                  <c:v>1973.9639126649165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76D-3049-9CA8-8A31968A609F}"/>
            </c:ext>
          </c:extLst>
        </c:ser>
        <c:ser>
          <c:idx val="7"/>
          <c:order val="7"/>
          <c:tx>
            <c:strRef>
              <c:f>'FX RESERVE DATA'!$A$44</c:f>
              <c:strCache>
                <c:ptCount val="1"/>
                <c:pt idx="0">
                  <c:v>EUR CAD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DATA'!$N$44:$AX$44</c:f>
              <c:numCache>
                <c:formatCode>#,##0.00</c:formatCode>
                <c:ptCount val="37"/>
                <c:pt idx="0">
                  <c:v>-630.08333333333337</c:v>
                </c:pt>
                <c:pt idx="1">
                  <c:v>-2169.666666666667</c:v>
                </c:pt>
                <c:pt idx="2">
                  <c:v>-1500.3333333333335</c:v>
                </c:pt>
                <c:pt idx="3">
                  <c:v>-1527.75</c:v>
                </c:pt>
                <c:pt idx="4">
                  <c:v>-1736.3333333333333</c:v>
                </c:pt>
                <c:pt idx="5">
                  <c:v>-1696.5833333333335</c:v>
                </c:pt>
                <c:pt idx="6">
                  <c:v>-1774.1666666666665</c:v>
                </c:pt>
                <c:pt idx="7">
                  <c:v>-1598.8333333333333</c:v>
                </c:pt>
                <c:pt idx="8">
                  <c:v>-2179.0833333333335</c:v>
                </c:pt>
                <c:pt idx="9">
                  <c:v>-2040.0833333333335</c:v>
                </c:pt>
                <c:pt idx="10">
                  <c:v>-1836.4166666666665</c:v>
                </c:pt>
                <c:pt idx="11">
                  <c:v>-2005</c:v>
                </c:pt>
                <c:pt idx="12">
                  <c:v>-1507.5833333333335</c:v>
                </c:pt>
                <c:pt idx="13">
                  <c:v>-201.41666666666663</c:v>
                </c:pt>
                <c:pt idx="14">
                  <c:v>-637.16666666666663</c:v>
                </c:pt>
                <c:pt idx="15">
                  <c:v>-579.33333333333326</c:v>
                </c:pt>
                <c:pt idx="16">
                  <c:v>-258</c:v>
                </c:pt>
                <c:pt idx="17">
                  <c:v>-22.5</c:v>
                </c:pt>
                <c:pt idx="18">
                  <c:v>-239.5</c:v>
                </c:pt>
                <c:pt idx="19">
                  <c:v>-177.91666666666674</c:v>
                </c:pt>
                <c:pt idx="20">
                  <c:v>342.58333333333326</c:v>
                </c:pt>
                <c:pt idx="21">
                  <c:v>194.33333333333337</c:v>
                </c:pt>
                <c:pt idx="22">
                  <c:v>-147.41666666666663</c:v>
                </c:pt>
                <c:pt idx="23">
                  <c:v>-398.16666666666669</c:v>
                </c:pt>
                <c:pt idx="24">
                  <c:v>-242</c:v>
                </c:pt>
                <c:pt idx="25">
                  <c:v>-13.666666666666686</c:v>
                </c:pt>
                <c:pt idx="26">
                  <c:v>-105.75</c:v>
                </c:pt>
                <c:pt idx="27">
                  <c:v>1076.25</c:v>
                </c:pt>
                <c:pt idx="28">
                  <c:v>1084.4166666666667</c:v>
                </c:pt>
                <c:pt idx="29">
                  <c:v>961.83333333333326</c:v>
                </c:pt>
                <c:pt idx="30">
                  <c:v>957.66666666666663</c:v>
                </c:pt>
                <c:pt idx="31">
                  <c:v>1229.8333333333333</c:v>
                </c:pt>
                <c:pt idx="32">
                  <c:v>1740.75</c:v>
                </c:pt>
                <c:pt idx="33">
                  <c:v>1496.3333333333333</c:v>
                </c:pt>
                <c:pt idx="34">
                  <c:v>1747.2499999999998</c:v>
                </c:pt>
                <c:pt idx="35">
                  <c:v>2438.5</c:v>
                </c:pt>
                <c:pt idx="36">
                  <c:v>3018.75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6D-3049-9CA8-8A31968A609F}"/>
            </c:ext>
          </c:extLst>
        </c:ser>
        <c:ser>
          <c:idx val="8"/>
          <c:order val="8"/>
          <c:tx>
            <c:strRef>
              <c:f>'FX RESERVE DATA'!$A$45</c:f>
              <c:strCache>
                <c:ptCount val="1"/>
                <c:pt idx="0">
                  <c:v>EUR AUD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DATA'!$N$45:$AX$45</c:f>
              <c:numCache>
                <c:formatCode>#,##0.00</c:formatCode>
                <c:ptCount val="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751.16666666666674</c:v>
                </c:pt>
                <c:pt idx="28">
                  <c:v>649.33333333333348</c:v>
                </c:pt>
                <c:pt idx="29">
                  <c:v>1065.1666666666667</c:v>
                </c:pt>
                <c:pt idx="30">
                  <c:v>868.58333333333337</c:v>
                </c:pt>
                <c:pt idx="31">
                  <c:v>1325.8333333333333</c:v>
                </c:pt>
                <c:pt idx="32">
                  <c:v>1393.6666666666667</c:v>
                </c:pt>
                <c:pt idx="33">
                  <c:v>1709.75</c:v>
                </c:pt>
                <c:pt idx="34">
                  <c:v>1797.9166666666665</c:v>
                </c:pt>
                <c:pt idx="35">
                  <c:v>2366.083333333333</c:v>
                </c:pt>
                <c:pt idx="36">
                  <c:v>3725.166666666667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6D-3049-9CA8-8A31968A609F}"/>
            </c:ext>
          </c:extLst>
        </c:ser>
        <c:ser>
          <c:idx val="9"/>
          <c:order val="9"/>
          <c:tx>
            <c:strRef>
              <c:f>'FX RESERVE DATA'!$A$46</c:f>
              <c:strCache>
                <c:ptCount val="1"/>
                <c:pt idx="0">
                  <c:v>EUR NZD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DATA'!$N$46:$AX$46</c:f>
              <c:numCache>
                <c:formatCode>#,##0.00</c:formatCode>
                <c:ptCount val="37"/>
                <c:pt idx="0">
                  <c:v>-157</c:v>
                </c:pt>
                <c:pt idx="1">
                  <c:v>-1835.0833333333335</c:v>
                </c:pt>
                <c:pt idx="2">
                  <c:v>-843.83333333333337</c:v>
                </c:pt>
                <c:pt idx="3">
                  <c:v>-1173.0833333333335</c:v>
                </c:pt>
                <c:pt idx="4">
                  <c:v>-1376.3333333333333</c:v>
                </c:pt>
                <c:pt idx="5">
                  <c:v>-1142.4166666666667</c:v>
                </c:pt>
                <c:pt idx="6">
                  <c:v>-1486.75</c:v>
                </c:pt>
                <c:pt idx="7">
                  <c:v>-1487.9166666666665</c:v>
                </c:pt>
                <c:pt idx="8">
                  <c:v>-1950.9166666666667</c:v>
                </c:pt>
                <c:pt idx="9">
                  <c:v>-1885.4166666666667</c:v>
                </c:pt>
                <c:pt idx="10">
                  <c:v>-1533.6666666666667</c:v>
                </c:pt>
                <c:pt idx="11">
                  <c:v>-1243.9166666666667</c:v>
                </c:pt>
                <c:pt idx="12">
                  <c:v>-1276.5833333333335</c:v>
                </c:pt>
                <c:pt idx="13">
                  <c:v>197.83333333333334</c:v>
                </c:pt>
                <c:pt idx="14">
                  <c:v>-94.416666666666657</c:v>
                </c:pt>
                <c:pt idx="15">
                  <c:v>-233.49999999999997</c:v>
                </c:pt>
                <c:pt idx="16">
                  <c:v>329.41666666666663</c:v>
                </c:pt>
                <c:pt idx="17">
                  <c:v>305.66666666666663</c:v>
                </c:pt>
                <c:pt idx="18">
                  <c:v>207.75</c:v>
                </c:pt>
                <c:pt idx="19">
                  <c:v>362.74999999999994</c:v>
                </c:pt>
                <c:pt idx="20">
                  <c:v>1247.0833333333333</c:v>
                </c:pt>
                <c:pt idx="21">
                  <c:v>352.25</c:v>
                </c:pt>
                <c:pt idx="22">
                  <c:v>168.66666666666669</c:v>
                </c:pt>
                <c:pt idx="23">
                  <c:v>-628</c:v>
                </c:pt>
                <c:pt idx="24">
                  <c:v>-790.5</c:v>
                </c:pt>
                <c:pt idx="25">
                  <c:v>-468.91666666666669</c:v>
                </c:pt>
                <c:pt idx="26">
                  <c:v>-256.33333333333337</c:v>
                </c:pt>
                <c:pt idx="27">
                  <c:v>618.91666666666663</c:v>
                </c:pt>
                <c:pt idx="28">
                  <c:v>332.58333333333337</c:v>
                </c:pt>
                <c:pt idx="29">
                  <c:v>439.41666666666663</c:v>
                </c:pt>
                <c:pt idx="30">
                  <c:v>474.08333333333337</c:v>
                </c:pt>
                <c:pt idx="31">
                  <c:v>682.33333333333337</c:v>
                </c:pt>
                <c:pt idx="32">
                  <c:v>1021</c:v>
                </c:pt>
                <c:pt idx="33">
                  <c:v>1586.8333333333333</c:v>
                </c:pt>
                <c:pt idx="34">
                  <c:v>1301.833333333333</c:v>
                </c:pt>
                <c:pt idx="35">
                  <c:v>2319.5</c:v>
                </c:pt>
                <c:pt idx="36">
                  <c:v>3391.166666666667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6D-3049-9CA8-8A31968A609F}"/>
            </c:ext>
          </c:extLst>
        </c:ser>
        <c:ser>
          <c:idx val="10"/>
          <c:order val="10"/>
          <c:tx>
            <c:strRef>
              <c:f>'FX RESERVE DATA'!$A$47</c:f>
              <c:strCache>
                <c:ptCount val="1"/>
                <c:pt idx="0">
                  <c:v>GBP USD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DATA'!$N$47:$AX$47</c:f>
              <c:numCache>
                <c:formatCode>#,##0.00</c:formatCode>
                <c:ptCount val="37"/>
                <c:pt idx="0">
                  <c:v>-782.45393824649909</c:v>
                </c:pt>
                <c:pt idx="1">
                  <c:v>-1163.9967781154999</c:v>
                </c:pt>
                <c:pt idx="2">
                  <c:v>-1364.3522523782497</c:v>
                </c:pt>
                <c:pt idx="3">
                  <c:v>-658.99847832024898</c:v>
                </c:pt>
                <c:pt idx="4">
                  <c:v>-615.76301495524967</c:v>
                </c:pt>
                <c:pt idx="5">
                  <c:v>-388.71460801133315</c:v>
                </c:pt>
                <c:pt idx="6">
                  <c:v>61.507065611000144</c:v>
                </c:pt>
                <c:pt idx="7">
                  <c:v>3.751496492249629</c:v>
                </c:pt>
                <c:pt idx="8">
                  <c:v>387.17507880677533</c:v>
                </c:pt>
                <c:pt idx="9">
                  <c:v>34.770258579249756</c:v>
                </c:pt>
                <c:pt idx="10">
                  <c:v>-236.97200738283328</c:v>
                </c:pt>
                <c:pt idx="11">
                  <c:v>-135.66651455766623</c:v>
                </c:pt>
                <c:pt idx="12">
                  <c:v>-117.47178930208428</c:v>
                </c:pt>
                <c:pt idx="13">
                  <c:v>203.40688815249996</c:v>
                </c:pt>
                <c:pt idx="14">
                  <c:v>168.5884037169993</c:v>
                </c:pt>
                <c:pt idx="15">
                  <c:v>-441.86750782833406</c:v>
                </c:pt>
                <c:pt idx="16">
                  <c:v>14.379117171083031</c:v>
                </c:pt>
                <c:pt idx="17">
                  <c:v>-207.61958124433295</c:v>
                </c:pt>
                <c:pt idx="18">
                  <c:v>-259.52876619108366</c:v>
                </c:pt>
                <c:pt idx="19">
                  <c:v>-172.87942896316599</c:v>
                </c:pt>
                <c:pt idx="20">
                  <c:v>53.034221126416014</c:v>
                </c:pt>
                <c:pt idx="21">
                  <c:v>-49.333456234083016</c:v>
                </c:pt>
                <c:pt idx="22">
                  <c:v>-73.301071161166576</c:v>
                </c:pt>
                <c:pt idx="23">
                  <c:v>-302.54813238141708</c:v>
                </c:pt>
                <c:pt idx="24">
                  <c:v>-145.67261864566657</c:v>
                </c:pt>
                <c:pt idx="25">
                  <c:v>-3.2928552056661573</c:v>
                </c:pt>
                <c:pt idx="26">
                  <c:v>21.241036269583979</c:v>
                </c:pt>
                <c:pt idx="27">
                  <c:v>656.28087089858309</c:v>
                </c:pt>
                <c:pt idx="28">
                  <c:v>534.545132759083</c:v>
                </c:pt>
                <c:pt idx="29">
                  <c:v>877.04243063933313</c:v>
                </c:pt>
                <c:pt idx="30">
                  <c:v>656.5967193269164</c:v>
                </c:pt>
                <c:pt idx="31">
                  <c:v>732.89046790875</c:v>
                </c:pt>
                <c:pt idx="32">
                  <c:v>1157.325507969</c:v>
                </c:pt>
                <c:pt idx="33">
                  <c:v>1233.1807888815006</c:v>
                </c:pt>
                <c:pt idx="34">
                  <c:v>1313.3091336078337</c:v>
                </c:pt>
                <c:pt idx="35">
                  <c:v>1444.2533416630831</c:v>
                </c:pt>
                <c:pt idx="36">
                  <c:v>1432.8459902792504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6D-3049-9CA8-8A31968A609F}"/>
            </c:ext>
          </c:extLst>
        </c:ser>
        <c:ser>
          <c:idx val="11"/>
          <c:order val="11"/>
          <c:tx>
            <c:strRef>
              <c:f>'FX RESERVE DATA'!$A$48</c:f>
              <c:strCache>
                <c:ptCount val="1"/>
                <c:pt idx="0">
                  <c:v>GBP JPY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DATA'!$N$48:$AX$48</c:f>
              <c:numCache>
                <c:formatCode>#,##0.00</c:formatCode>
                <c:ptCount val="37"/>
                <c:pt idx="0">
                  <c:v>10449.071336759334</c:v>
                </c:pt>
                <c:pt idx="1">
                  <c:v>11255.421182012</c:v>
                </c:pt>
                <c:pt idx="2">
                  <c:v>6538.0422792009176</c:v>
                </c:pt>
                <c:pt idx="3">
                  <c:v>4166.4152958064169</c:v>
                </c:pt>
                <c:pt idx="4">
                  <c:v>5666.386802918083</c:v>
                </c:pt>
                <c:pt idx="5">
                  <c:v>5209.3981199628333</c:v>
                </c:pt>
                <c:pt idx="6">
                  <c:v>6519.516607431</c:v>
                </c:pt>
                <c:pt idx="7">
                  <c:v>3805.8309440264165</c:v>
                </c:pt>
                <c:pt idx="8">
                  <c:v>965.02587331427515</c:v>
                </c:pt>
                <c:pt idx="9">
                  <c:v>-2744.2945270615833</c:v>
                </c:pt>
                <c:pt idx="10">
                  <c:v>-3292.975309618666</c:v>
                </c:pt>
                <c:pt idx="11">
                  <c:v>-5314.0224026626656</c:v>
                </c:pt>
                <c:pt idx="12">
                  <c:v>-3780.3550276812502</c:v>
                </c:pt>
                <c:pt idx="13">
                  <c:v>-4186.2687021033335</c:v>
                </c:pt>
                <c:pt idx="14">
                  <c:v>-2422.3850411946669</c:v>
                </c:pt>
                <c:pt idx="15">
                  <c:v>-1225.0072969341672</c:v>
                </c:pt>
                <c:pt idx="16">
                  <c:v>2626.680407651083</c:v>
                </c:pt>
                <c:pt idx="17">
                  <c:v>1793.3877633506672</c:v>
                </c:pt>
                <c:pt idx="18">
                  <c:v>3488.1019410989161</c:v>
                </c:pt>
                <c:pt idx="19">
                  <c:v>2823.9884279810003</c:v>
                </c:pt>
                <c:pt idx="20">
                  <c:v>828.72682685141626</c:v>
                </c:pt>
                <c:pt idx="21">
                  <c:v>1843.6303030634165</c:v>
                </c:pt>
                <c:pt idx="22">
                  <c:v>3857.4926821929998</c:v>
                </c:pt>
                <c:pt idx="23">
                  <c:v>6004.0798171169172</c:v>
                </c:pt>
                <c:pt idx="24">
                  <c:v>5811.5834364801667</c:v>
                </c:pt>
                <c:pt idx="25">
                  <c:v>4130.1956115035009</c:v>
                </c:pt>
                <c:pt idx="26">
                  <c:v>3782.6081980704171</c:v>
                </c:pt>
                <c:pt idx="27">
                  <c:v>1974.5168145310831</c:v>
                </c:pt>
                <c:pt idx="28">
                  <c:v>-2321.4837939225836</c:v>
                </c:pt>
                <c:pt idx="29">
                  <c:v>-3020.6783793873337</c:v>
                </c:pt>
                <c:pt idx="30">
                  <c:v>-4103.2673589114165</c:v>
                </c:pt>
                <c:pt idx="31">
                  <c:v>-4216.601825879583</c:v>
                </c:pt>
                <c:pt idx="32">
                  <c:v>-3070.0243465351668</c:v>
                </c:pt>
                <c:pt idx="33">
                  <c:v>-4528.9881563151666</c:v>
                </c:pt>
                <c:pt idx="34">
                  <c:v>-4694.8703871679991</c:v>
                </c:pt>
                <c:pt idx="35">
                  <c:v>-5590.664200098583</c:v>
                </c:pt>
                <c:pt idx="36">
                  <c:v>-5704.9639126649163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6D-3049-9CA8-8A31968A609F}"/>
            </c:ext>
          </c:extLst>
        </c:ser>
        <c:ser>
          <c:idx val="12"/>
          <c:order val="12"/>
          <c:tx>
            <c:strRef>
              <c:f>'FX RESERVE DATA'!$A$49</c:f>
              <c:strCache>
                <c:ptCount val="1"/>
                <c:pt idx="0">
                  <c:v>GBP CHF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DATA'!$N$49:$AX$49</c:f>
              <c:numCache>
                <c:formatCode>#,##0.00</c:formatCode>
                <c:ptCount val="37"/>
                <c:pt idx="0">
                  <c:v>12875.296914411838</c:v>
                </c:pt>
                <c:pt idx="1">
                  <c:v>15049.811394328668</c:v>
                </c:pt>
                <c:pt idx="2">
                  <c:v>12828.26084854633</c:v>
                </c:pt>
                <c:pt idx="3">
                  <c:v>10534.042084415749</c:v>
                </c:pt>
                <c:pt idx="4">
                  <c:v>12532.833239615673</c:v>
                </c:pt>
                <c:pt idx="5">
                  <c:v>6246.9894673155804</c:v>
                </c:pt>
                <c:pt idx="6">
                  <c:v>7145.677257931834</c:v>
                </c:pt>
                <c:pt idx="7">
                  <c:v>7768.5626570597469</c:v>
                </c:pt>
                <c:pt idx="8">
                  <c:v>7274.8482457617811</c:v>
                </c:pt>
                <c:pt idx="9">
                  <c:v>7653.9108265367504</c:v>
                </c:pt>
                <c:pt idx="10">
                  <c:v>8088.8699597388286</c:v>
                </c:pt>
                <c:pt idx="11">
                  <c:v>5584.8757659914954</c:v>
                </c:pt>
                <c:pt idx="12">
                  <c:v>6209.6753425287461</c:v>
                </c:pt>
                <c:pt idx="13">
                  <c:v>4463.0730429275</c:v>
                </c:pt>
                <c:pt idx="14">
                  <c:v>1696.7112736511722</c:v>
                </c:pt>
                <c:pt idx="15">
                  <c:v>2067.8166391833352</c:v>
                </c:pt>
                <c:pt idx="16">
                  <c:v>815.154545662744</c:v>
                </c:pt>
                <c:pt idx="17">
                  <c:v>1056.2470626473357</c:v>
                </c:pt>
                <c:pt idx="18">
                  <c:v>-218.36203165274611</c:v>
                </c:pt>
                <c:pt idx="19">
                  <c:v>-2684.6665597481638</c:v>
                </c:pt>
                <c:pt idx="20">
                  <c:v>-8609.0956279610837</c:v>
                </c:pt>
                <c:pt idx="21">
                  <c:v>-8866.9904754432537</c:v>
                </c:pt>
                <c:pt idx="22">
                  <c:v>-7479.4230319594972</c:v>
                </c:pt>
                <c:pt idx="23">
                  <c:v>-2844.6438179805837</c:v>
                </c:pt>
                <c:pt idx="24">
                  <c:v>-3213.0041850356638</c:v>
                </c:pt>
                <c:pt idx="25">
                  <c:v>-3689.9503666314986</c:v>
                </c:pt>
                <c:pt idx="26">
                  <c:v>-2360.0310732470884</c:v>
                </c:pt>
                <c:pt idx="27">
                  <c:v>-4657.9247197280802</c:v>
                </c:pt>
                <c:pt idx="28">
                  <c:v>-4127.1464529284185</c:v>
                </c:pt>
                <c:pt idx="29">
                  <c:v>-7321.5553705948314</c:v>
                </c:pt>
                <c:pt idx="30">
                  <c:v>-5691.4447730630818</c:v>
                </c:pt>
                <c:pt idx="31">
                  <c:v>-5450.0367813754201</c:v>
                </c:pt>
                <c:pt idx="32">
                  <c:v>-4072.2459595926675</c:v>
                </c:pt>
                <c:pt idx="33">
                  <c:v>-4490.1043864926651</c:v>
                </c:pt>
                <c:pt idx="34">
                  <c:v>-5274.0610467121678</c:v>
                </c:pt>
                <c:pt idx="35">
                  <c:v>-7127.1783399402439</c:v>
                </c:pt>
                <c:pt idx="36">
                  <c:v>-7939.0953599807444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76D-3049-9CA8-8A31968A609F}"/>
            </c:ext>
          </c:extLst>
        </c:ser>
        <c:ser>
          <c:idx val="13"/>
          <c:order val="13"/>
          <c:tx>
            <c:strRef>
              <c:f>'FX RESERVE DATA'!$A$50</c:f>
              <c:strCache>
                <c:ptCount val="1"/>
                <c:pt idx="0">
                  <c:v>GBP CAD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DATA'!$N$50:$AX$50</c:f>
              <c:numCache>
                <c:formatCode>#,##0.00</c:formatCode>
                <c:ptCount val="37"/>
                <c:pt idx="0">
                  <c:v>-1495.9286632406656</c:v>
                </c:pt>
                <c:pt idx="1">
                  <c:v>-2017.9954846546668</c:v>
                </c:pt>
                <c:pt idx="2">
                  <c:v>-2042.2077207990828</c:v>
                </c:pt>
                <c:pt idx="3">
                  <c:v>-1298.0847041935824</c:v>
                </c:pt>
                <c:pt idx="4">
                  <c:v>-1194.029863748583</c:v>
                </c:pt>
                <c:pt idx="5">
                  <c:v>-979.26854670383295</c:v>
                </c:pt>
                <c:pt idx="6">
                  <c:v>-427.06672590233336</c:v>
                </c:pt>
                <c:pt idx="7">
                  <c:v>-349.25238930691677</c:v>
                </c:pt>
                <c:pt idx="8">
                  <c:v>-157.55746001905823</c:v>
                </c:pt>
                <c:pt idx="9">
                  <c:v>-492.29452706158315</c:v>
                </c:pt>
                <c:pt idx="10">
                  <c:v>-866.97530961866619</c:v>
                </c:pt>
                <c:pt idx="11">
                  <c:v>-975.43906932933294</c:v>
                </c:pt>
                <c:pt idx="12">
                  <c:v>-747.68836101458385</c:v>
                </c:pt>
                <c:pt idx="13">
                  <c:v>-449.26870210333311</c:v>
                </c:pt>
                <c:pt idx="14">
                  <c:v>-632.71837452800048</c:v>
                </c:pt>
                <c:pt idx="15">
                  <c:v>-1245.1739636008338</c:v>
                </c:pt>
                <c:pt idx="16">
                  <c:v>-807.81959234891713</c:v>
                </c:pt>
                <c:pt idx="17">
                  <c:v>-1031.7789033159993</c:v>
                </c:pt>
                <c:pt idx="18">
                  <c:v>-1109.3147255677504</c:v>
                </c:pt>
                <c:pt idx="19">
                  <c:v>-984.01157201899946</c:v>
                </c:pt>
                <c:pt idx="20">
                  <c:v>-969.52317314858385</c:v>
                </c:pt>
                <c:pt idx="21">
                  <c:v>-755.11969693658341</c:v>
                </c:pt>
                <c:pt idx="22">
                  <c:v>-696.42398447366691</c:v>
                </c:pt>
                <c:pt idx="23">
                  <c:v>-837.25351621641676</c:v>
                </c:pt>
                <c:pt idx="24">
                  <c:v>-406.91656351983329</c:v>
                </c:pt>
                <c:pt idx="25">
                  <c:v>-335.97105516316634</c:v>
                </c:pt>
                <c:pt idx="26">
                  <c:v>-587.80846859624944</c:v>
                </c:pt>
                <c:pt idx="27">
                  <c:v>744.76681453108301</c:v>
                </c:pt>
                <c:pt idx="28">
                  <c:v>684.0995394107498</c:v>
                </c:pt>
                <c:pt idx="29">
                  <c:v>932.23828727933255</c:v>
                </c:pt>
                <c:pt idx="30">
                  <c:v>670.56597442191674</c:v>
                </c:pt>
                <c:pt idx="31">
                  <c:v>781.56484078708309</c:v>
                </c:pt>
                <c:pt idx="32">
                  <c:v>1436.2256534648332</c:v>
                </c:pt>
                <c:pt idx="33">
                  <c:v>980.17851035150056</c:v>
                </c:pt>
                <c:pt idx="34">
                  <c:v>1181.796279498667</c:v>
                </c:pt>
                <c:pt idx="35">
                  <c:v>1382.502466568083</c:v>
                </c:pt>
                <c:pt idx="36">
                  <c:v>1044.7860873350837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76D-3049-9CA8-8A31968A609F}"/>
            </c:ext>
          </c:extLst>
        </c:ser>
        <c:ser>
          <c:idx val="14"/>
          <c:order val="14"/>
          <c:tx>
            <c:strRef>
              <c:f>'FX RESERVE DATA'!$A$51</c:f>
              <c:strCache>
                <c:ptCount val="1"/>
                <c:pt idx="0">
                  <c:v>GBP AUD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DATA'!$N$51:$AX$51</c:f>
              <c:numCache>
                <c:formatCode>#,##0.00</c:formatCode>
                <c:ptCount val="37"/>
                <c:pt idx="0">
                  <c:v>-1186.1786632406656</c:v>
                </c:pt>
                <c:pt idx="1">
                  <c:v>-1412.5788179880001</c:v>
                </c:pt>
                <c:pt idx="2">
                  <c:v>-1513.1243874657496</c:v>
                </c:pt>
                <c:pt idx="3">
                  <c:v>-950.50137086024915</c:v>
                </c:pt>
                <c:pt idx="4">
                  <c:v>-796.69653041524964</c:v>
                </c:pt>
                <c:pt idx="5">
                  <c:v>-563.1852133704997</c:v>
                </c:pt>
                <c:pt idx="6">
                  <c:v>-56.316725902333332</c:v>
                </c:pt>
                <c:pt idx="7">
                  <c:v>-93.085722640250125</c:v>
                </c:pt>
                <c:pt idx="8">
                  <c:v>468.10920664760846</c:v>
                </c:pt>
                <c:pt idx="9">
                  <c:v>169.53880627175022</c:v>
                </c:pt>
                <c:pt idx="10">
                  <c:v>-94.141976285332916</c:v>
                </c:pt>
                <c:pt idx="11">
                  <c:v>-328.10573599599957</c:v>
                </c:pt>
                <c:pt idx="12">
                  <c:v>33.061638985416124</c:v>
                </c:pt>
                <c:pt idx="13">
                  <c:v>175.56463123000017</c:v>
                </c:pt>
                <c:pt idx="14">
                  <c:v>217.53162547199949</c:v>
                </c:pt>
                <c:pt idx="15">
                  <c:v>-228.17396360083393</c:v>
                </c:pt>
                <c:pt idx="16">
                  <c:v>-2.6529256822504976</c:v>
                </c:pt>
                <c:pt idx="17">
                  <c:v>-385.44556998266609</c:v>
                </c:pt>
                <c:pt idx="18">
                  <c:v>-198.73139223441711</c:v>
                </c:pt>
                <c:pt idx="19">
                  <c:v>-281.7615720189994</c:v>
                </c:pt>
                <c:pt idx="20">
                  <c:v>-115.43983981525039</c:v>
                </c:pt>
                <c:pt idx="21">
                  <c:v>-217.53636360325009</c:v>
                </c:pt>
                <c:pt idx="22">
                  <c:v>-221.25731780700033</c:v>
                </c:pt>
                <c:pt idx="23">
                  <c:v>-396.75351621641676</c:v>
                </c:pt>
                <c:pt idx="24">
                  <c:v>-726.91656351983329</c:v>
                </c:pt>
                <c:pt idx="25">
                  <c:v>-613.55438849649977</c:v>
                </c:pt>
                <c:pt idx="26">
                  <c:v>-502.89180192958281</c:v>
                </c:pt>
                <c:pt idx="27">
                  <c:v>419.6834811977497</c:v>
                </c:pt>
                <c:pt idx="28">
                  <c:v>249.01620607741648</c:v>
                </c:pt>
                <c:pt idx="29">
                  <c:v>1035.571620612666</c:v>
                </c:pt>
                <c:pt idx="30">
                  <c:v>581.48264108858348</c:v>
                </c:pt>
                <c:pt idx="31">
                  <c:v>877.56484078708309</c:v>
                </c:pt>
                <c:pt idx="32">
                  <c:v>1089.1423201314999</c:v>
                </c:pt>
                <c:pt idx="33">
                  <c:v>1193.5951770181673</c:v>
                </c:pt>
                <c:pt idx="34">
                  <c:v>1232.4629461653337</c:v>
                </c:pt>
                <c:pt idx="35">
                  <c:v>1310.0857999014165</c:v>
                </c:pt>
                <c:pt idx="36">
                  <c:v>1751.2027540017502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76D-3049-9CA8-8A31968A609F}"/>
            </c:ext>
          </c:extLst>
        </c:ser>
        <c:ser>
          <c:idx val="15"/>
          <c:order val="15"/>
          <c:tx>
            <c:strRef>
              <c:f>'FX RESERVE DATA'!$A$52</c:f>
              <c:strCache>
                <c:ptCount val="1"/>
                <c:pt idx="0">
                  <c:v>GBP NZD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DATA'!$N$52:$AX$52</c:f>
              <c:numCache>
                <c:formatCode>#,##0.00</c:formatCode>
                <c:ptCount val="37"/>
                <c:pt idx="0">
                  <c:v>-1022.8453299073323</c:v>
                </c:pt>
                <c:pt idx="1">
                  <c:v>-1683.4121513213336</c:v>
                </c:pt>
                <c:pt idx="2">
                  <c:v>-1385.7077207990828</c:v>
                </c:pt>
                <c:pt idx="3">
                  <c:v>-943.41803752691578</c:v>
                </c:pt>
                <c:pt idx="4">
                  <c:v>-834.02986374858301</c:v>
                </c:pt>
                <c:pt idx="5">
                  <c:v>-425.10188003716638</c:v>
                </c:pt>
                <c:pt idx="6">
                  <c:v>-139.65005923566667</c:v>
                </c:pt>
                <c:pt idx="7">
                  <c:v>-238.33572264025008</c:v>
                </c:pt>
                <c:pt idx="8">
                  <c:v>70.60920664760846</c:v>
                </c:pt>
                <c:pt idx="9">
                  <c:v>-337.62786039491647</c:v>
                </c:pt>
                <c:pt idx="10">
                  <c:v>-564.2253096186663</c:v>
                </c:pt>
                <c:pt idx="11">
                  <c:v>-214.35573599599957</c:v>
                </c:pt>
                <c:pt idx="12">
                  <c:v>-516.68836101458385</c:v>
                </c:pt>
                <c:pt idx="13">
                  <c:v>-50.01870210333314</c:v>
                </c:pt>
                <c:pt idx="14">
                  <c:v>-89.96837452800051</c:v>
                </c:pt>
                <c:pt idx="15">
                  <c:v>-899.3406302675005</c:v>
                </c:pt>
                <c:pt idx="16">
                  <c:v>-220.4029256822505</c:v>
                </c:pt>
                <c:pt idx="17">
                  <c:v>-703.61223664933277</c:v>
                </c:pt>
                <c:pt idx="18">
                  <c:v>-662.06472556775043</c:v>
                </c:pt>
                <c:pt idx="19">
                  <c:v>-443.34490535233272</c:v>
                </c:pt>
                <c:pt idx="20">
                  <c:v>-65.023173148583766</c:v>
                </c:pt>
                <c:pt idx="21">
                  <c:v>-597.20303026991678</c:v>
                </c:pt>
                <c:pt idx="22">
                  <c:v>-380.34065114033365</c:v>
                </c:pt>
                <c:pt idx="23">
                  <c:v>-1067.08684954975</c:v>
                </c:pt>
                <c:pt idx="24">
                  <c:v>-955.41656351983329</c:v>
                </c:pt>
                <c:pt idx="25">
                  <c:v>-791.2210551631664</c:v>
                </c:pt>
                <c:pt idx="26">
                  <c:v>-738.39180192958281</c:v>
                </c:pt>
                <c:pt idx="27">
                  <c:v>287.43348119774964</c:v>
                </c:pt>
                <c:pt idx="28">
                  <c:v>-67.733793922583573</c:v>
                </c:pt>
                <c:pt idx="29">
                  <c:v>409.82162061266592</c:v>
                </c:pt>
                <c:pt idx="30">
                  <c:v>186.98264108858348</c:v>
                </c:pt>
                <c:pt idx="31">
                  <c:v>234.06484078708309</c:v>
                </c:pt>
                <c:pt idx="32">
                  <c:v>716.47565346483316</c:v>
                </c:pt>
                <c:pt idx="33">
                  <c:v>1070.6785103515006</c:v>
                </c:pt>
                <c:pt idx="34">
                  <c:v>736.37961283200036</c:v>
                </c:pt>
                <c:pt idx="35">
                  <c:v>1263.502466568083</c:v>
                </c:pt>
                <c:pt idx="36">
                  <c:v>1417.2027540017502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76D-3049-9CA8-8A31968A609F}"/>
            </c:ext>
          </c:extLst>
        </c:ser>
        <c:ser>
          <c:idx val="16"/>
          <c:order val="16"/>
          <c:tx>
            <c:strRef>
              <c:f>'FX RESERVE DATA'!$A$53</c:f>
              <c:strCache>
                <c:ptCount val="1"/>
                <c:pt idx="0">
                  <c:v>CHF JPY 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DATA'!$N$53:$AX$53</c:f>
              <c:numCache>
                <c:formatCode>#,##0.00</c:formatCode>
                <c:ptCount val="37"/>
                <c:pt idx="0">
                  <c:v>-2426.2255776525035</c:v>
                </c:pt>
                <c:pt idx="1">
                  <c:v>-3794.3902123166681</c:v>
                </c:pt>
                <c:pt idx="2">
                  <c:v>-6290.218569345413</c:v>
                </c:pt>
                <c:pt idx="3">
                  <c:v>-6367.626788609331</c:v>
                </c:pt>
                <c:pt idx="4">
                  <c:v>-6866.446436697589</c:v>
                </c:pt>
                <c:pt idx="5">
                  <c:v>-1037.5913473527471</c:v>
                </c:pt>
                <c:pt idx="6">
                  <c:v>-626.16065050083398</c:v>
                </c:pt>
                <c:pt idx="7">
                  <c:v>-3962.7317130333299</c:v>
                </c:pt>
                <c:pt idx="8">
                  <c:v>-6309.8223724475056</c:v>
                </c:pt>
                <c:pt idx="9">
                  <c:v>-10398.205353598334</c:v>
                </c:pt>
                <c:pt idx="10">
                  <c:v>-11381.845269357495</c:v>
                </c:pt>
                <c:pt idx="11">
                  <c:v>-10898.898168654161</c:v>
                </c:pt>
                <c:pt idx="12">
                  <c:v>-9990.0303702099973</c:v>
                </c:pt>
                <c:pt idx="13">
                  <c:v>-8649.3417450308334</c:v>
                </c:pt>
                <c:pt idx="14">
                  <c:v>-4119.0963148458395</c:v>
                </c:pt>
                <c:pt idx="15">
                  <c:v>-3292.8239361175024</c:v>
                </c:pt>
                <c:pt idx="16">
                  <c:v>1811.5258619883389</c:v>
                </c:pt>
                <c:pt idx="17">
                  <c:v>737.1407007033315</c:v>
                </c:pt>
                <c:pt idx="18">
                  <c:v>3706.4639727516624</c:v>
                </c:pt>
                <c:pt idx="19">
                  <c:v>5508.6549877291636</c:v>
                </c:pt>
                <c:pt idx="20">
                  <c:v>9437.8224548124999</c:v>
                </c:pt>
                <c:pt idx="21">
                  <c:v>10710.620778506671</c:v>
                </c:pt>
                <c:pt idx="22">
                  <c:v>11336.915714152496</c:v>
                </c:pt>
                <c:pt idx="23">
                  <c:v>8848.7236350974999</c:v>
                </c:pt>
                <c:pt idx="24">
                  <c:v>9024.5876215158296</c:v>
                </c:pt>
                <c:pt idx="25">
                  <c:v>7820.1459781349986</c:v>
                </c:pt>
                <c:pt idx="26">
                  <c:v>6142.6392713175055</c:v>
                </c:pt>
                <c:pt idx="27">
                  <c:v>6632.4415342591628</c:v>
                </c:pt>
                <c:pt idx="28">
                  <c:v>1805.6626590058345</c:v>
                </c:pt>
                <c:pt idx="29">
                  <c:v>4300.8769912074977</c:v>
                </c:pt>
                <c:pt idx="30">
                  <c:v>1588.1774141516653</c:v>
                </c:pt>
                <c:pt idx="31">
                  <c:v>1233.4349554958371</c:v>
                </c:pt>
                <c:pt idx="32">
                  <c:v>1002.2216130575007</c:v>
                </c:pt>
                <c:pt idx="33">
                  <c:v>-38.883769822501563</c:v>
                </c:pt>
                <c:pt idx="34">
                  <c:v>579.19065954416874</c:v>
                </c:pt>
                <c:pt idx="35">
                  <c:v>1536.5141398416608</c:v>
                </c:pt>
                <c:pt idx="36">
                  <c:v>2234.1314473158282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76D-3049-9CA8-8A31968A609F}"/>
            </c:ext>
          </c:extLst>
        </c:ser>
        <c:ser>
          <c:idx val="17"/>
          <c:order val="17"/>
          <c:tx>
            <c:strRef>
              <c:f>'FX RESERVE DATA'!$A$54</c:f>
              <c:strCache>
                <c:ptCount val="1"/>
                <c:pt idx="0">
                  <c:v>AUD USD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DATA'!$N$54:$AX$54</c:f>
              <c:numCache>
                <c:formatCode>#,##0.00</c:formatCode>
                <c:ptCount val="37"/>
                <c:pt idx="0">
                  <c:v>403.72472499416654</c:v>
                </c:pt>
                <c:pt idx="1">
                  <c:v>248.58203987250027</c:v>
                </c:pt>
                <c:pt idx="2">
                  <c:v>148.77213508749992</c:v>
                </c:pt>
                <c:pt idx="3">
                  <c:v>291.50289254000018</c:v>
                </c:pt>
                <c:pt idx="4">
                  <c:v>180.93351546000002</c:v>
                </c:pt>
                <c:pt idx="5">
                  <c:v>174.47060535916657</c:v>
                </c:pt>
                <c:pt idx="6">
                  <c:v>117.82379151333348</c:v>
                </c:pt>
                <c:pt idx="7">
                  <c:v>96.837219132499754</c:v>
                </c:pt>
                <c:pt idx="8">
                  <c:v>-80.934127840833156</c:v>
                </c:pt>
                <c:pt idx="9">
                  <c:v>-134.76854769250048</c:v>
                </c:pt>
                <c:pt idx="10">
                  <c:v>-142.83003109750038</c:v>
                </c:pt>
                <c:pt idx="11">
                  <c:v>192.43922143833333</c:v>
                </c:pt>
                <c:pt idx="12">
                  <c:v>-150.53342828750039</c:v>
                </c:pt>
                <c:pt idx="13">
                  <c:v>27.842256922499775</c:v>
                </c:pt>
                <c:pt idx="14">
                  <c:v>-48.943221755000195</c:v>
                </c:pt>
                <c:pt idx="15">
                  <c:v>-213.69354422750013</c:v>
                </c:pt>
                <c:pt idx="16">
                  <c:v>17.032042853333529</c:v>
                </c:pt>
                <c:pt idx="17">
                  <c:v>177.82598873833317</c:v>
                </c:pt>
                <c:pt idx="18">
                  <c:v>-60.797373956666583</c:v>
                </c:pt>
                <c:pt idx="19">
                  <c:v>108.8821430558334</c:v>
                </c:pt>
                <c:pt idx="20">
                  <c:v>168.47406094166641</c:v>
                </c:pt>
                <c:pt idx="21">
                  <c:v>168.20290736916706</c:v>
                </c:pt>
                <c:pt idx="22">
                  <c:v>147.95624664583374</c:v>
                </c:pt>
                <c:pt idx="23">
                  <c:v>94.205383834999637</c:v>
                </c:pt>
                <c:pt idx="24">
                  <c:v>581.2439448741668</c:v>
                </c:pt>
                <c:pt idx="25">
                  <c:v>610.26153329083354</c:v>
                </c:pt>
                <c:pt idx="26">
                  <c:v>524.13283819916683</c:v>
                </c:pt>
                <c:pt idx="27">
                  <c:v>236.59738970083345</c:v>
                </c:pt>
                <c:pt idx="28">
                  <c:v>285.52892668166652</c:v>
                </c:pt>
                <c:pt idx="29">
                  <c:v>-158.52918997333288</c:v>
                </c:pt>
                <c:pt idx="30">
                  <c:v>75.114078238332979</c:v>
                </c:pt>
                <c:pt idx="31">
                  <c:v>-144.67437287833309</c:v>
                </c:pt>
                <c:pt idx="32">
                  <c:v>68.183187837500256</c:v>
                </c:pt>
                <c:pt idx="33">
                  <c:v>39.58561186333344</c:v>
                </c:pt>
                <c:pt idx="34">
                  <c:v>80.846187442499883</c:v>
                </c:pt>
                <c:pt idx="35">
                  <c:v>134.16754176166671</c:v>
                </c:pt>
                <c:pt idx="36">
                  <c:v>-318.35676372249992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76D-3049-9CA8-8A31968A609F}"/>
            </c:ext>
          </c:extLst>
        </c:ser>
        <c:ser>
          <c:idx val="18"/>
          <c:order val="18"/>
          <c:tx>
            <c:strRef>
              <c:f>'FX RESERVE DATA'!$A$55</c:f>
              <c:strCache>
                <c:ptCount val="1"/>
                <c:pt idx="0">
                  <c:v>AUD CHF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DATA'!$N$55:$AX$55</c:f>
              <c:numCache>
                <c:formatCode>#,##0.00</c:formatCode>
                <c:ptCount val="37"/>
                <c:pt idx="0">
                  <c:v>14061.475577652503</c:v>
                </c:pt>
                <c:pt idx="1">
                  <c:v>16462.390212316666</c:v>
                </c:pt>
                <c:pt idx="2">
                  <c:v>14341.38523601208</c:v>
                </c:pt>
                <c:pt idx="3">
                  <c:v>11484.543455275998</c:v>
                </c:pt>
                <c:pt idx="4">
                  <c:v>13329.529770030922</c:v>
                </c:pt>
                <c:pt idx="5">
                  <c:v>6810.1746806860801</c:v>
                </c:pt>
                <c:pt idx="6">
                  <c:v>7201.993983834167</c:v>
                </c:pt>
                <c:pt idx="7">
                  <c:v>7861.6483796999964</c:v>
                </c:pt>
                <c:pt idx="8">
                  <c:v>6806.7390391141726</c:v>
                </c:pt>
                <c:pt idx="9">
                  <c:v>7484.3720202650002</c:v>
                </c:pt>
                <c:pt idx="10">
                  <c:v>8183.0119360241615</c:v>
                </c:pt>
                <c:pt idx="11">
                  <c:v>5912.981501987495</c:v>
                </c:pt>
                <c:pt idx="12">
                  <c:v>6176.6137035433303</c:v>
                </c:pt>
                <c:pt idx="13">
                  <c:v>4287.5084116974995</c:v>
                </c:pt>
                <c:pt idx="14">
                  <c:v>1479.1796481791728</c:v>
                </c:pt>
                <c:pt idx="15">
                  <c:v>2295.9906027841689</c:v>
                </c:pt>
                <c:pt idx="16">
                  <c:v>817.8074713449945</c:v>
                </c:pt>
                <c:pt idx="17">
                  <c:v>1441.6926326300018</c:v>
                </c:pt>
                <c:pt idx="18">
                  <c:v>-19.630639418329025</c:v>
                </c:pt>
                <c:pt idx="19">
                  <c:v>-2402.9049877291641</c:v>
                </c:pt>
                <c:pt idx="20">
                  <c:v>-8493.655788145832</c:v>
                </c:pt>
                <c:pt idx="21">
                  <c:v>-8649.454111840003</c:v>
                </c:pt>
                <c:pt idx="22">
                  <c:v>-7258.1657141524965</c:v>
                </c:pt>
                <c:pt idx="23">
                  <c:v>-2447.8903017641669</c:v>
                </c:pt>
                <c:pt idx="24">
                  <c:v>-2486.0876215158305</c:v>
                </c:pt>
                <c:pt idx="25">
                  <c:v>-3076.3959781349986</c:v>
                </c:pt>
                <c:pt idx="26">
                  <c:v>-1857.1392713175055</c:v>
                </c:pt>
                <c:pt idx="27">
                  <c:v>-5077.6082009258298</c:v>
                </c:pt>
                <c:pt idx="28">
                  <c:v>-4376.1626590058349</c:v>
                </c:pt>
                <c:pt idx="29">
                  <c:v>-8357.1269912074968</c:v>
                </c:pt>
                <c:pt idx="30">
                  <c:v>-6272.9274141516653</c:v>
                </c:pt>
                <c:pt idx="31">
                  <c:v>-6327.6016221625032</c:v>
                </c:pt>
                <c:pt idx="32">
                  <c:v>-5161.3882797241677</c:v>
                </c:pt>
                <c:pt idx="33">
                  <c:v>-5683.6995635108324</c:v>
                </c:pt>
                <c:pt idx="34">
                  <c:v>-6506.5239928775018</c:v>
                </c:pt>
                <c:pt idx="35">
                  <c:v>-8437.2641398416599</c:v>
                </c:pt>
                <c:pt idx="36">
                  <c:v>-9690.2981139824951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76D-3049-9CA8-8A31968A609F}"/>
            </c:ext>
          </c:extLst>
        </c:ser>
        <c:ser>
          <c:idx val="19"/>
          <c:order val="19"/>
          <c:tx>
            <c:strRef>
              <c:f>'FX RESERVE DATA'!$A$56</c:f>
              <c:strCache>
                <c:ptCount val="1"/>
                <c:pt idx="0">
                  <c:v>AUD JPY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DATA'!$N$56:$AX$56</c:f>
              <c:numCache>
                <c:formatCode>#,##0.00</c:formatCode>
                <c:ptCount val="37"/>
                <c:pt idx="0">
                  <c:v>11635.25</c:v>
                </c:pt>
                <c:pt idx="1">
                  <c:v>12668</c:v>
                </c:pt>
                <c:pt idx="2">
                  <c:v>8051.166666666667</c:v>
                </c:pt>
                <c:pt idx="3">
                  <c:v>5116.9166666666661</c:v>
                </c:pt>
                <c:pt idx="4">
                  <c:v>6463.083333333333</c:v>
                </c:pt>
                <c:pt idx="5">
                  <c:v>5772.583333333333</c:v>
                </c:pt>
                <c:pt idx="6">
                  <c:v>6575.833333333333</c:v>
                </c:pt>
                <c:pt idx="7">
                  <c:v>3898.916666666667</c:v>
                </c:pt>
                <c:pt idx="8">
                  <c:v>496.91666666666669</c:v>
                </c:pt>
                <c:pt idx="9">
                  <c:v>-2913.8333333333335</c:v>
                </c:pt>
                <c:pt idx="10">
                  <c:v>-3198.833333333333</c:v>
                </c:pt>
                <c:pt idx="11">
                  <c:v>-4985.9166666666661</c:v>
                </c:pt>
                <c:pt idx="12">
                  <c:v>-3813.4166666666665</c:v>
                </c:pt>
                <c:pt idx="13">
                  <c:v>-4361.8333333333339</c:v>
                </c:pt>
                <c:pt idx="14">
                  <c:v>-2639.9166666666665</c:v>
                </c:pt>
                <c:pt idx="15">
                  <c:v>-996.83333333333326</c:v>
                </c:pt>
                <c:pt idx="16">
                  <c:v>2629.3333333333335</c:v>
                </c:pt>
                <c:pt idx="17">
                  <c:v>2178.8333333333335</c:v>
                </c:pt>
                <c:pt idx="18">
                  <c:v>3686.833333333333</c:v>
                </c:pt>
                <c:pt idx="19">
                  <c:v>3105.75</c:v>
                </c:pt>
                <c:pt idx="20">
                  <c:v>944.16666666666674</c:v>
                </c:pt>
                <c:pt idx="21">
                  <c:v>2061.1666666666665</c:v>
                </c:pt>
                <c:pt idx="22">
                  <c:v>4078.75</c:v>
                </c:pt>
                <c:pt idx="23">
                  <c:v>6400.8333333333339</c:v>
                </c:pt>
                <c:pt idx="24">
                  <c:v>6538.5</c:v>
                </c:pt>
                <c:pt idx="25">
                  <c:v>4743.75</c:v>
                </c:pt>
                <c:pt idx="26">
                  <c:v>4285.5</c:v>
                </c:pt>
                <c:pt idx="27">
                  <c:v>1554.8333333333333</c:v>
                </c:pt>
                <c:pt idx="28">
                  <c:v>-2570.5</c:v>
                </c:pt>
                <c:pt idx="29">
                  <c:v>-4056.2499999999995</c:v>
                </c:pt>
                <c:pt idx="30">
                  <c:v>-4684.75</c:v>
                </c:pt>
                <c:pt idx="31">
                  <c:v>-5094.1666666666661</c:v>
                </c:pt>
                <c:pt idx="32">
                  <c:v>-4159.166666666667</c:v>
                </c:pt>
                <c:pt idx="33">
                  <c:v>-5722.5833333333339</c:v>
                </c:pt>
                <c:pt idx="34">
                  <c:v>-5927.333333333333</c:v>
                </c:pt>
                <c:pt idx="35">
                  <c:v>-6900.75</c:v>
                </c:pt>
                <c:pt idx="36">
                  <c:v>-7456.1666666666661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76D-3049-9CA8-8A31968A609F}"/>
            </c:ext>
          </c:extLst>
        </c:ser>
        <c:ser>
          <c:idx val="20"/>
          <c:order val="20"/>
          <c:tx>
            <c:strRef>
              <c:f>'FX RESERVE DATA'!$A$57</c:f>
              <c:strCache>
                <c:ptCount val="1"/>
                <c:pt idx="0">
                  <c:v>AUD NZD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DATA'!$N$57:$AX$57</c:f>
              <c:numCache>
                <c:formatCode>#,##0.00</c:formatCode>
                <c:ptCount val="37"/>
                <c:pt idx="0">
                  <c:v>163.33333333333334</c:v>
                </c:pt>
                <c:pt idx="1">
                  <c:v>-270.83333333333331</c:v>
                </c:pt>
                <c:pt idx="2">
                  <c:v>127.41666666666667</c:v>
                </c:pt>
                <c:pt idx="3">
                  <c:v>7.0833333333333144</c:v>
                </c:pt>
                <c:pt idx="4">
                  <c:v>-37.333333333333329</c:v>
                </c:pt>
                <c:pt idx="5">
                  <c:v>138.08333333333334</c:v>
                </c:pt>
                <c:pt idx="6">
                  <c:v>-83.333333333333343</c:v>
                </c:pt>
                <c:pt idx="7">
                  <c:v>-145.24999999999997</c:v>
                </c:pt>
                <c:pt idx="8">
                  <c:v>-397.5</c:v>
                </c:pt>
                <c:pt idx="9">
                  <c:v>-507.16666666666669</c:v>
                </c:pt>
                <c:pt idx="10">
                  <c:v>-470.08333333333337</c:v>
                </c:pt>
                <c:pt idx="11">
                  <c:v>113.74999999999999</c:v>
                </c:pt>
                <c:pt idx="12">
                  <c:v>-549.75</c:v>
                </c:pt>
                <c:pt idx="13">
                  <c:v>-225.58333333333331</c:v>
                </c:pt>
                <c:pt idx="14">
                  <c:v>-307.5</c:v>
                </c:pt>
                <c:pt idx="15">
                  <c:v>-671.16666666666663</c:v>
                </c:pt>
                <c:pt idx="16">
                  <c:v>-217.75</c:v>
                </c:pt>
                <c:pt idx="17">
                  <c:v>-318.16666666666669</c:v>
                </c:pt>
                <c:pt idx="18">
                  <c:v>-463.33333333333331</c:v>
                </c:pt>
                <c:pt idx="19">
                  <c:v>-161.58333333333334</c:v>
                </c:pt>
                <c:pt idx="20">
                  <c:v>50.416666666666629</c:v>
                </c:pt>
                <c:pt idx="21">
                  <c:v>-379.66666666666669</c:v>
                </c:pt>
                <c:pt idx="22">
                  <c:v>-159.08333333333331</c:v>
                </c:pt>
                <c:pt idx="23">
                  <c:v>-670.33333333333337</c:v>
                </c:pt>
                <c:pt idx="24">
                  <c:v>-228.49999999999994</c:v>
                </c:pt>
                <c:pt idx="25">
                  <c:v>-177.66666666666663</c:v>
                </c:pt>
                <c:pt idx="26">
                  <c:v>-235.5</c:v>
                </c:pt>
                <c:pt idx="27">
                  <c:v>-132.25000000000006</c:v>
                </c:pt>
                <c:pt idx="28">
                  <c:v>-316.75000000000006</c:v>
                </c:pt>
                <c:pt idx="29">
                  <c:v>-625.75</c:v>
                </c:pt>
                <c:pt idx="30">
                  <c:v>-394.5</c:v>
                </c:pt>
                <c:pt idx="31">
                  <c:v>-643.5</c:v>
                </c:pt>
                <c:pt idx="32">
                  <c:v>-372.66666666666663</c:v>
                </c:pt>
                <c:pt idx="33">
                  <c:v>-122.91666666666666</c:v>
                </c:pt>
                <c:pt idx="34">
                  <c:v>-496.08333333333337</c:v>
                </c:pt>
                <c:pt idx="35">
                  <c:v>-46.583333333333371</c:v>
                </c:pt>
                <c:pt idx="36">
                  <c:v>-334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76D-3049-9CA8-8A31968A609F}"/>
            </c:ext>
          </c:extLst>
        </c:ser>
        <c:ser>
          <c:idx val="21"/>
          <c:order val="21"/>
          <c:tx>
            <c:strRef>
              <c:f>'FX RESERVE DATA'!$A$58</c:f>
              <c:strCache>
                <c:ptCount val="1"/>
                <c:pt idx="0">
                  <c:v>AUD CAD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DATA'!$N$58:$AX$58</c:f>
              <c:numCache>
                <c:formatCode>#,##0.00</c:formatCode>
                <c:ptCount val="37"/>
                <c:pt idx="0">
                  <c:v>-309.75</c:v>
                </c:pt>
                <c:pt idx="1">
                  <c:v>-605.41666666666663</c:v>
                </c:pt>
                <c:pt idx="2">
                  <c:v>-529.08333333333337</c:v>
                </c:pt>
                <c:pt idx="3">
                  <c:v>-347.58333333333331</c:v>
                </c:pt>
                <c:pt idx="4">
                  <c:v>-397.33333333333331</c:v>
                </c:pt>
                <c:pt idx="5">
                  <c:v>-416.08333333333326</c:v>
                </c:pt>
                <c:pt idx="6">
                  <c:v>-370.75</c:v>
                </c:pt>
                <c:pt idx="7">
                  <c:v>-256.16666666666663</c:v>
                </c:pt>
                <c:pt idx="8">
                  <c:v>-625.66666666666674</c:v>
                </c:pt>
                <c:pt idx="9">
                  <c:v>-661.83333333333337</c:v>
                </c:pt>
                <c:pt idx="10">
                  <c:v>-772.83333333333326</c:v>
                </c:pt>
                <c:pt idx="11">
                  <c:v>-647.33333333333337</c:v>
                </c:pt>
                <c:pt idx="12">
                  <c:v>-780.75</c:v>
                </c:pt>
                <c:pt idx="13">
                  <c:v>-624.83333333333326</c:v>
                </c:pt>
                <c:pt idx="14">
                  <c:v>-850.25</c:v>
                </c:pt>
                <c:pt idx="15">
                  <c:v>-1017</c:v>
                </c:pt>
                <c:pt idx="16">
                  <c:v>-805.16666666666663</c:v>
                </c:pt>
                <c:pt idx="17">
                  <c:v>-646.33333333333326</c:v>
                </c:pt>
                <c:pt idx="18">
                  <c:v>-910.58333333333337</c:v>
                </c:pt>
                <c:pt idx="19">
                  <c:v>-702.25</c:v>
                </c:pt>
                <c:pt idx="20">
                  <c:v>-854.08333333333348</c:v>
                </c:pt>
                <c:pt idx="21">
                  <c:v>-537.58333333333326</c:v>
                </c:pt>
                <c:pt idx="22">
                  <c:v>-475.16666666666663</c:v>
                </c:pt>
                <c:pt idx="23">
                  <c:v>-440.5</c:v>
                </c:pt>
                <c:pt idx="24">
                  <c:v>320</c:v>
                </c:pt>
                <c:pt idx="25">
                  <c:v>277.58333333333337</c:v>
                </c:pt>
                <c:pt idx="26">
                  <c:v>-84.916666666666629</c:v>
                </c:pt>
                <c:pt idx="27">
                  <c:v>325.08333333333331</c:v>
                </c:pt>
                <c:pt idx="28">
                  <c:v>435.08333333333331</c:v>
                </c:pt>
                <c:pt idx="29">
                  <c:v>-103.33333333333334</c:v>
                </c:pt>
                <c:pt idx="30">
                  <c:v>89.083333333333314</c:v>
                </c:pt>
                <c:pt idx="31">
                  <c:v>-96</c:v>
                </c:pt>
                <c:pt idx="32">
                  <c:v>347.08333333333337</c:v>
                </c:pt>
                <c:pt idx="33">
                  <c:v>-213.41666666666666</c:v>
                </c:pt>
                <c:pt idx="34">
                  <c:v>-50.666666666666686</c:v>
                </c:pt>
                <c:pt idx="35">
                  <c:v>72.416666666666629</c:v>
                </c:pt>
                <c:pt idx="36">
                  <c:v>-706.41666666666674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76D-3049-9CA8-8A31968A609F}"/>
            </c:ext>
          </c:extLst>
        </c:ser>
        <c:ser>
          <c:idx val="22"/>
          <c:order val="22"/>
          <c:tx>
            <c:strRef>
              <c:f>'FX RESERVE DATA'!$A$59</c:f>
              <c:strCache>
                <c:ptCount val="1"/>
                <c:pt idx="0">
                  <c:v>CAD JPY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cat>
            <c:numRef>
              <c:f>'FX RESERVE DATA'!$N$36:$AX$36</c:f>
              <c:numCache>
                <c:formatCode>[$-409]mmm\-yy;@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'FX RESERVE DATA'!$N$59:$AX$59</c:f>
              <c:numCache>
                <c:formatCode>#,##0.00</c:formatCode>
                <c:ptCount val="37"/>
                <c:pt idx="0">
                  <c:v>11945</c:v>
                </c:pt>
                <c:pt idx="1">
                  <c:v>13273.416666666666</c:v>
                </c:pt>
                <c:pt idx="2">
                  <c:v>8580.25</c:v>
                </c:pt>
                <c:pt idx="3">
                  <c:v>5464.5</c:v>
                </c:pt>
                <c:pt idx="4">
                  <c:v>6860.4166666666661</c:v>
                </c:pt>
                <c:pt idx="5">
                  <c:v>6188.666666666667</c:v>
                </c:pt>
                <c:pt idx="6">
                  <c:v>6946.583333333333</c:v>
                </c:pt>
                <c:pt idx="7">
                  <c:v>4155.0833333333339</c:v>
                </c:pt>
                <c:pt idx="8">
                  <c:v>1122.5833333333335</c:v>
                </c:pt>
                <c:pt idx="9">
                  <c:v>-2252</c:v>
                </c:pt>
                <c:pt idx="10">
                  <c:v>-2426</c:v>
                </c:pt>
                <c:pt idx="11">
                  <c:v>-4338.583333333333</c:v>
                </c:pt>
                <c:pt idx="12">
                  <c:v>-3032.6666666666665</c:v>
                </c:pt>
                <c:pt idx="13">
                  <c:v>-3737.0000000000005</c:v>
                </c:pt>
                <c:pt idx="14">
                  <c:v>-1789.6666666666665</c:v>
                </c:pt>
                <c:pt idx="15">
                  <c:v>20.166666666666629</c:v>
                </c:pt>
                <c:pt idx="16">
                  <c:v>3434.5</c:v>
                </c:pt>
                <c:pt idx="17">
                  <c:v>2825.1666666666665</c:v>
                </c:pt>
                <c:pt idx="18">
                  <c:v>4597.4166666666661</c:v>
                </c:pt>
                <c:pt idx="19">
                  <c:v>3808</c:v>
                </c:pt>
                <c:pt idx="20">
                  <c:v>1798.25</c:v>
                </c:pt>
                <c:pt idx="21">
                  <c:v>2598.75</c:v>
                </c:pt>
                <c:pt idx="22">
                  <c:v>4553.916666666667</c:v>
                </c:pt>
                <c:pt idx="23">
                  <c:v>6841.3333333333339</c:v>
                </c:pt>
                <c:pt idx="24">
                  <c:v>6218.5</c:v>
                </c:pt>
                <c:pt idx="25">
                  <c:v>4466.166666666667</c:v>
                </c:pt>
                <c:pt idx="26">
                  <c:v>4370.4166666666661</c:v>
                </c:pt>
                <c:pt idx="27">
                  <c:v>1229.75</c:v>
                </c:pt>
                <c:pt idx="28">
                  <c:v>-3005.5833333333335</c:v>
                </c:pt>
                <c:pt idx="29">
                  <c:v>-3952.9166666666665</c:v>
                </c:pt>
                <c:pt idx="30">
                  <c:v>-4773.8333333333339</c:v>
                </c:pt>
                <c:pt idx="31">
                  <c:v>-4998.1666666666661</c:v>
                </c:pt>
                <c:pt idx="32">
                  <c:v>-4506.25</c:v>
                </c:pt>
                <c:pt idx="33">
                  <c:v>-5509.166666666667</c:v>
                </c:pt>
                <c:pt idx="34">
                  <c:v>-5876.6666666666661</c:v>
                </c:pt>
                <c:pt idx="35">
                  <c:v>-6973.1666666666661</c:v>
                </c:pt>
                <c:pt idx="36">
                  <c:v>-6749.75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76D-3049-9CA8-8A31968A6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825024"/>
        <c:axId val="556824576"/>
      </c:areaChart>
      <c:dateAx>
        <c:axId val="556825024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56824576"/>
        <c:crosses val="autoZero"/>
        <c:auto val="1"/>
        <c:lblOffset val="100"/>
        <c:baseTimeUnit val="months"/>
      </c:dateAx>
      <c:valAx>
        <c:axId val="55682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556825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JAPAN FX Reserve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marker>
            <c:symbol val="none"/>
          </c:marker>
          <c:cat>
            <c:numRef>
              <c:f>'FX RESERVE DATA'!$B$2:$BD$2</c:f>
              <c:numCache>
                <c:formatCode>[$-409]mmm\-yy;@</c:formatCode>
                <c:ptCount val="55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  <c:pt idx="54">
                  <c:v>46204</c:v>
                </c:pt>
              </c:numCache>
            </c:numRef>
          </c:cat>
          <c:val>
            <c:numRef>
              <c:f>'FX RESERVE DATA'!$B$5:$BC$5</c:f>
              <c:numCache>
                <c:formatCode>_(* #,##0.00_);_(* \(#,##0.00\);_(* "-"??_);_(@_)</c:formatCode>
                <c:ptCount val="54"/>
                <c:pt idx="0">
                  <c:v>1264244</c:v>
                </c:pt>
                <c:pt idx="1">
                  <c:v>1259159</c:v>
                </c:pt>
                <c:pt idx="2">
                  <c:v>1230520</c:v>
                </c:pt>
                <c:pt idx="3">
                  <c:v>1199561</c:v>
                </c:pt>
                <c:pt idx="4">
                  <c:v>1208699</c:v>
                </c:pt>
                <c:pt idx="5">
                  <c:v>1192911</c:v>
                </c:pt>
                <c:pt idx="6">
                  <c:v>1206630</c:v>
                </c:pt>
                <c:pt idx="7">
                  <c:v>1176896</c:v>
                </c:pt>
                <c:pt idx="8">
                  <c:v>1125304</c:v>
                </c:pt>
                <c:pt idx="9">
                  <c:v>1082452</c:v>
                </c:pt>
                <c:pt idx="10">
                  <c:v>1109364</c:v>
                </c:pt>
                <c:pt idx="11">
                  <c:v>1108189</c:v>
                </c:pt>
                <c:pt idx="12">
                  <c:v>1126868</c:v>
                </c:pt>
                <c:pt idx="13">
                  <c:v>1106343</c:v>
                </c:pt>
                <c:pt idx="14">
                  <c:v>1134005</c:v>
                </c:pt>
                <c:pt idx="15">
                  <c:v>1142230</c:v>
                </c:pt>
                <c:pt idx="16">
                  <c:v>1132162</c:v>
                </c:pt>
                <c:pt idx="17">
                  <c:v>1126104</c:v>
                </c:pt>
                <c:pt idx="18">
                  <c:v>1130301</c:v>
                </c:pt>
                <c:pt idx="19">
                  <c:v>1132621</c:v>
                </c:pt>
                <c:pt idx="20">
                  <c:v>1120048</c:v>
                </c:pt>
                <c:pt idx="21">
                  <c:v>1117193</c:v>
                </c:pt>
                <c:pt idx="22">
                  <c:v>1146719</c:v>
                </c:pt>
                <c:pt idx="23">
                  <c:v>1170437</c:v>
                </c:pt>
                <c:pt idx="24">
                  <c:v>1169506</c:v>
                </c:pt>
                <c:pt idx="25">
                  <c:v>1158491</c:v>
                </c:pt>
                <c:pt idx="26">
                  <c:v>1163521</c:v>
                </c:pt>
                <c:pt idx="27">
                  <c:v>1149316</c:v>
                </c:pt>
                <c:pt idx="28">
                  <c:v>1100113</c:v>
                </c:pt>
                <c:pt idx="29">
                  <c:v>1100691</c:v>
                </c:pt>
                <c:pt idx="30">
                  <c:v>1084573</c:v>
                </c:pt>
                <c:pt idx="31">
                  <c:v>1097528</c:v>
                </c:pt>
                <c:pt idx="32">
                  <c:v>1112931</c:v>
                </c:pt>
                <c:pt idx="33">
                  <c:v>1095601</c:v>
                </c:pt>
                <c:pt idx="34">
                  <c:v>1099052</c:v>
                </c:pt>
                <c:pt idx="35">
                  <c:v>1092306</c:v>
                </c:pt>
                <c:pt idx="36">
                  <c:v>1096788</c:v>
                </c:pt>
                <c:pt idx="37">
                  <c:v>1108410</c:v>
                </c:pt>
                <c:pt idx="38">
                  <c:v>1118981</c:v>
                </c:pt>
                <c:pt idx="39">
                  <c:v>1136746</c:v>
                </c:pt>
                <c:pt idx="40">
                  <c:v>1137098</c:v>
                </c:pt>
                <c:pt idx="41">
                  <c:v>1151692</c:v>
                </c:pt>
                <c:pt idx="42">
                  <c:v>1143537</c:v>
                </c:pt>
                <c:pt idx="43">
                  <c:v>1158765</c:v>
                </c:pt>
                <c:pt idx="44">
                  <c:v>1165059</c:v>
                </c:pt>
                <c:pt idx="45">
                  <c:v>1166724</c:v>
                </c:pt>
                <c:pt idx="46">
                  <c:v>1173675</c:v>
                </c:pt>
                <c:pt idx="47">
                  <c:v>1180501</c:v>
                </c:pt>
                <c:pt idx="48">
                  <c:v>1186456</c:v>
                </c:pt>
                <c:pt idx="49">
                  <c:v>1196112</c:v>
                </c:pt>
                <c:pt idx="50">
                  <c:v>1177804</c:v>
                </c:pt>
                <c:pt idx="51">
                  <c:v>1185242</c:v>
                </c:pt>
                <c:pt idx="52">
                  <c:v>1109822</c:v>
                </c:pt>
                <c:pt idx="53">
                  <c:v>1106270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E42-EC47-A048-6D79BE19900A}"/>
            </c:ext>
          </c:extLst>
        </c:ser>
        <c:ser>
          <c:idx val="3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'FX RESERVE DATA'!$B$2:$BD$2</c:f>
              <c:numCache>
                <c:formatCode>[$-409]mmm\-yy;@</c:formatCode>
                <c:ptCount val="55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  <c:pt idx="54">
                  <c:v>46204</c:v>
                </c:pt>
              </c:numCache>
            </c:numRef>
          </c:cat>
          <c:val>
            <c:numRef>
              <c:f>'FX RESERVE DATA'!$B$5:$BC$5</c:f>
              <c:numCache>
                <c:formatCode>_(* #,##0.00_);_(* \(#,##0.00\);_(* "-"??_);_(@_)</c:formatCode>
                <c:ptCount val="54"/>
                <c:pt idx="0">
                  <c:v>1264244</c:v>
                </c:pt>
                <c:pt idx="1">
                  <c:v>1259159</c:v>
                </c:pt>
                <c:pt idx="2">
                  <c:v>1230520</c:v>
                </c:pt>
                <c:pt idx="3">
                  <c:v>1199561</c:v>
                </c:pt>
                <c:pt idx="4">
                  <c:v>1208699</c:v>
                </c:pt>
                <c:pt idx="5">
                  <c:v>1192911</c:v>
                </c:pt>
                <c:pt idx="6">
                  <c:v>1206630</c:v>
                </c:pt>
                <c:pt idx="7">
                  <c:v>1176896</c:v>
                </c:pt>
                <c:pt idx="8">
                  <c:v>1125304</c:v>
                </c:pt>
                <c:pt idx="9">
                  <c:v>1082452</c:v>
                </c:pt>
                <c:pt idx="10">
                  <c:v>1109364</c:v>
                </c:pt>
                <c:pt idx="11">
                  <c:v>1108189</c:v>
                </c:pt>
                <c:pt idx="12">
                  <c:v>1126868</c:v>
                </c:pt>
                <c:pt idx="13">
                  <c:v>1106343</c:v>
                </c:pt>
                <c:pt idx="14">
                  <c:v>1134005</c:v>
                </c:pt>
                <c:pt idx="15">
                  <c:v>1142230</c:v>
                </c:pt>
                <c:pt idx="16">
                  <c:v>1132162</c:v>
                </c:pt>
                <c:pt idx="17">
                  <c:v>1126104</c:v>
                </c:pt>
                <c:pt idx="18">
                  <c:v>1130301</c:v>
                </c:pt>
                <c:pt idx="19">
                  <c:v>1132621</c:v>
                </c:pt>
                <c:pt idx="20">
                  <c:v>1120048</c:v>
                </c:pt>
                <c:pt idx="21">
                  <c:v>1117193</c:v>
                </c:pt>
                <c:pt idx="22">
                  <c:v>1146719</c:v>
                </c:pt>
                <c:pt idx="23">
                  <c:v>1170437</c:v>
                </c:pt>
                <c:pt idx="24">
                  <c:v>1169506</c:v>
                </c:pt>
                <c:pt idx="25">
                  <c:v>1158491</c:v>
                </c:pt>
                <c:pt idx="26">
                  <c:v>1163521</c:v>
                </c:pt>
                <c:pt idx="27">
                  <c:v>1149316</c:v>
                </c:pt>
                <c:pt idx="28">
                  <c:v>1100113</c:v>
                </c:pt>
                <c:pt idx="29">
                  <c:v>1100691</c:v>
                </c:pt>
                <c:pt idx="30">
                  <c:v>1084573</c:v>
                </c:pt>
                <c:pt idx="31">
                  <c:v>1097528</c:v>
                </c:pt>
                <c:pt idx="32">
                  <c:v>1112931</c:v>
                </c:pt>
                <c:pt idx="33">
                  <c:v>1095601</c:v>
                </c:pt>
                <c:pt idx="34">
                  <c:v>1099052</c:v>
                </c:pt>
                <c:pt idx="35">
                  <c:v>1092306</c:v>
                </c:pt>
                <c:pt idx="36">
                  <c:v>1096788</c:v>
                </c:pt>
                <c:pt idx="37">
                  <c:v>1108410</c:v>
                </c:pt>
                <c:pt idx="38">
                  <c:v>1118981</c:v>
                </c:pt>
                <c:pt idx="39">
                  <c:v>1136746</c:v>
                </c:pt>
                <c:pt idx="40">
                  <c:v>1137098</c:v>
                </c:pt>
                <c:pt idx="41">
                  <c:v>1151692</c:v>
                </c:pt>
                <c:pt idx="42">
                  <c:v>1143537</c:v>
                </c:pt>
                <c:pt idx="43">
                  <c:v>1158765</c:v>
                </c:pt>
                <c:pt idx="44">
                  <c:v>1165059</c:v>
                </c:pt>
                <c:pt idx="45">
                  <c:v>1166724</c:v>
                </c:pt>
                <c:pt idx="46">
                  <c:v>1173675</c:v>
                </c:pt>
                <c:pt idx="47">
                  <c:v>1180501</c:v>
                </c:pt>
                <c:pt idx="48">
                  <c:v>1186456</c:v>
                </c:pt>
                <c:pt idx="49">
                  <c:v>1196112</c:v>
                </c:pt>
                <c:pt idx="50">
                  <c:v>1177804</c:v>
                </c:pt>
                <c:pt idx="51">
                  <c:v>1185242</c:v>
                </c:pt>
                <c:pt idx="52">
                  <c:v>1109822</c:v>
                </c:pt>
                <c:pt idx="53">
                  <c:v>1106270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E42-EC47-A048-6D79BE19900A}"/>
            </c:ext>
          </c:extLst>
        </c:ser>
        <c:ser>
          <c:idx val="1"/>
          <c:order val="2"/>
          <c:marker>
            <c:symbol val="none"/>
          </c:marker>
          <c:cat>
            <c:numRef>
              <c:f>'FX RESERVE DATA'!$B$2:$BD$2</c:f>
              <c:numCache>
                <c:formatCode>[$-409]mmm\-yy;@</c:formatCode>
                <c:ptCount val="55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  <c:pt idx="54">
                  <c:v>46204</c:v>
                </c:pt>
              </c:numCache>
            </c:numRef>
          </c:cat>
          <c:val>
            <c:numRef>
              <c:f>'FX RESERVE DATA'!$B$5:$BC$5</c:f>
              <c:numCache>
                <c:formatCode>_(* #,##0.00_);_(* \(#,##0.00\);_(* "-"??_);_(@_)</c:formatCode>
                <c:ptCount val="54"/>
                <c:pt idx="0">
                  <c:v>1264244</c:v>
                </c:pt>
                <c:pt idx="1">
                  <c:v>1259159</c:v>
                </c:pt>
                <c:pt idx="2">
                  <c:v>1230520</c:v>
                </c:pt>
                <c:pt idx="3">
                  <c:v>1199561</c:v>
                </c:pt>
                <c:pt idx="4">
                  <c:v>1208699</c:v>
                </c:pt>
                <c:pt idx="5">
                  <c:v>1192911</c:v>
                </c:pt>
                <c:pt idx="6">
                  <c:v>1206630</c:v>
                </c:pt>
                <c:pt idx="7">
                  <c:v>1176896</c:v>
                </c:pt>
                <c:pt idx="8">
                  <c:v>1125304</c:v>
                </c:pt>
                <c:pt idx="9">
                  <c:v>1082452</c:v>
                </c:pt>
                <c:pt idx="10">
                  <c:v>1109364</c:v>
                </c:pt>
                <c:pt idx="11">
                  <c:v>1108189</c:v>
                </c:pt>
                <c:pt idx="12">
                  <c:v>1126868</c:v>
                </c:pt>
                <c:pt idx="13">
                  <c:v>1106343</c:v>
                </c:pt>
                <c:pt idx="14">
                  <c:v>1134005</c:v>
                </c:pt>
                <c:pt idx="15">
                  <c:v>1142230</c:v>
                </c:pt>
                <c:pt idx="16">
                  <c:v>1132162</c:v>
                </c:pt>
                <c:pt idx="17">
                  <c:v>1126104</c:v>
                </c:pt>
                <c:pt idx="18">
                  <c:v>1130301</c:v>
                </c:pt>
                <c:pt idx="19">
                  <c:v>1132621</c:v>
                </c:pt>
                <c:pt idx="20">
                  <c:v>1120048</c:v>
                </c:pt>
                <c:pt idx="21">
                  <c:v>1117193</c:v>
                </c:pt>
                <c:pt idx="22">
                  <c:v>1146719</c:v>
                </c:pt>
                <c:pt idx="23">
                  <c:v>1170437</c:v>
                </c:pt>
                <c:pt idx="24">
                  <c:v>1169506</c:v>
                </c:pt>
                <c:pt idx="25">
                  <c:v>1158491</c:v>
                </c:pt>
                <c:pt idx="26">
                  <c:v>1163521</c:v>
                </c:pt>
                <c:pt idx="27">
                  <c:v>1149316</c:v>
                </c:pt>
                <c:pt idx="28">
                  <c:v>1100113</c:v>
                </c:pt>
                <c:pt idx="29">
                  <c:v>1100691</c:v>
                </c:pt>
                <c:pt idx="30">
                  <c:v>1084573</c:v>
                </c:pt>
                <c:pt idx="31">
                  <c:v>1097528</c:v>
                </c:pt>
                <c:pt idx="32">
                  <c:v>1112931</c:v>
                </c:pt>
                <c:pt idx="33">
                  <c:v>1095601</c:v>
                </c:pt>
                <c:pt idx="34">
                  <c:v>1099052</c:v>
                </c:pt>
                <c:pt idx="35">
                  <c:v>1092306</c:v>
                </c:pt>
                <c:pt idx="36">
                  <c:v>1096788</c:v>
                </c:pt>
                <c:pt idx="37">
                  <c:v>1108410</c:v>
                </c:pt>
                <c:pt idx="38">
                  <c:v>1118981</c:v>
                </c:pt>
                <c:pt idx="39">
                  <c:v>1136746</c:v>
                </c:pt>
                <c:pt idx="40">
                  <c:v>1137098</c:v>
                </c:pt>
                <c:pt idx="41">
                  <c:v>1151692</c:v>
                </c:pt>
                <c:pt idx="42">
                  <c:v>1143537</c:v>
                </c:pt>
                <c:pt idx="43">
                  <c:v>1158765</c:v>
                </c:pt>
                <c:pt idx="44">
                  <c:v>1165059</c:v>
                </c:pt>
                <c:pt idx="45">
                  <c:v>1166724</c:v>
                </c:pt>
                <c:pt idx="46">
                  <c:v>1173675</c:v>
                </c:pt>
                <c:pt idx="47">
                  <c:v>1180501</c:v>
                </c:pt>
                <c:pt idx="48">
                  <c:v>1186456</c:v>
                </c:pt>
                <c:pt idx="49">
                  <c:v>1196112</c:v>
                </c:pt>
                <c:pt idx="50">
                  <c:v>1177804</c:v>
                </c:pt>
                <c:pt idx="51">
                  <c:v>1185242</c:v>
                </c:pt>
                <c:pt idx="52">
                  <c:v>1109822</c:v>
                </c:pt>
                <c:pt idx="53">
                  <c:v>1106270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E42-EC47-A048-6D79BE19900A}"/>
            </c:ext>
          </c:extLst>
        </c:ser>
        <c:ser>
          <c:idx val="0"/>
          <c:order val="3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'FX RESERVE DATA'!$B$2:$BD$2</c:f>
              <c:numCache>
                <c:formatCode>[$-409]mmm\-yy;@</c:formatCode>
                <c:ptCount val="55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  <c:pt idx="54">
                  <c:v>46204</c:v>
                </c:pt>
              </c:numCache>
            </c:numRef>
          </c:cat>
          <c:val>
            <c:numRef>
              <c:f>'FX RESERVE DATA'!$B$5:$BC$5</c:f>
              <c:numCache>
                <c:formatCode>_(* #,##0.00_);_(* \(#,##0.00\);_(* "-"??_);_(@_)</c:formatCode>
                <c:ptCount val="54"/>
                <c:pt idx="0">
                  <c:v>1264244</c:v>
                </c:pt>
                <c:pt idx="1">
                  <c:v>1259159</c:v>
                </c:pt>
                <c:pt idx="2">
                  <c:v>1230520</c:v>
                </c:pt>
                <c:pt idx="3">
                  <c:v>1199561</c:v>
                </c:pt>
                <c:pt idx="4">
                  <c:v>1208699</c:v>
                </c:pt>
                <c:pt idx="5">
                  <c:v>1192911</c:v>
                </c:pt>
                <c:pt idx="6">
                  <c:v>1206630</c:v>
                </c:pt>
                <c:pt idx="7">
                  <c:v>1176896</c:v>
                </c:pt>
                <c:pt idx="8">
                  <c:v>1125304</c:v>
                </c:pt>
                <c:pt idx="9">
                  <c:v>1082452</c:v>
                </c:pt>
                <c:pt idx="10">
                  <c:v>1109364</c:v>
                </c:pt>
                <c:pt idx="11">
                  <c:v>1108189</c:v>
                </c:pt>
                <c:pt idx="12">
                  <c:v>1126868</c:v>
                </c:pt>
                <c:pt idx="13">
                  <c:v>1106343</c:v>
                </c:pt>
                <c:pt idx="14">
                  <c:v>1134005</c:v>
                </c:pt>
                <c:pt idx="15">
                  <c:v>1142230</c:v>
                </c:pt>
                <c:pt idx="16">
                  <c:v>1132162</c:v>
                </c:pt>
                <c:pt idx="17">
                  <c:v>1126104</c:v>
                </c:pt>
                <c:pt idx="18">
                  <c:v>1130301</c:v>
                </c:pt>
                <c:pt idx="19">
                  <c:v>1132621</c:v>
                </c:pt>
                <c:pt idx="20">
                  <c:v>1120048</c:v>
                </c:pt>
                <c:pt idx="21">
                  <c:v>1117193</c:v>
                </c:pt>
                <c:pt idx="22">
                  <c:v>1146719</c:v>
                </c:pt>
                <c:pt idx="23">
                  <c:v>1170437</c:v>
                </c:pt>
                <c:pt idx="24">
                  <c:v>1169506</c:v>
                </c:pt>
                <c:pt idx="25">
                  <c:v>1158491</c:v>
                </c:pt>
                <c:pt idx="26">
                  <c:v>1163521</c:v>
                </c:pt>
                <c:pt idx="27">
                  <c:v>1149316</c:v>
                </c:pt>
                <c:pt idx="28">
                  <c:v>1100113</c:v>
                </c:pt>
                <c:pt idx="29">
                  <c:v>1100691</c:v>
                </c:pt>
                <c:pt idx="30">
                  <c:v>1084573</c:v>
                </c:pt>
                <c:pt idx="31">
                  <c:v>1097528</c:v>
                </c:pt>
                <c:pt idx="32">
                  <c:v>1112931</c:v>
                </c:pt>
                <c:pt idx="33">
                  <c:v>1095601</c:v>
                </c:pt>
                <c:pt idx="34">
                  <c:v>1099052</c:v>
                </c:pt>
                <c:pt idx="35">
                  <c:v>1092306</c:v>
                </c:pt>
                <c:pt idx="36">
                  <c:v>1096788</c:v>
                </c:pt>
                <c:pt idx="37">
                  <c:v>1108410</c:v>
                </c:pt>
                <c:pt idx="38">
                  <c:v>1118981</c:v>
                </c:pt>
                <c:pt idx="39">
                  <c:v>1136746</c:v>
                </c:pt>
                <c:pt idx="40">
                  <c:v>1137098</c:v>
                </c:pt>
                <c:pt idx="41">
                  <c:v>1151692</c:v>
                </c:pt>
                <c:pt idx="42">
                  <c:v>1143537</c:v>
                </c:pt>
                <c:pt idx="43">
                  <c:v>1158765</c:v>
                </c:pt>
                <c:pt idx="44">
                  <c:v>1165059</c:v>
                </c:pt>
                <c:pt idx="45">
                  <c:v>1166724</c:v>
                </c:pt>
                <c:pt idx="46">
                  <c:v>1173675</c:v>
                </c:pt>
                <c:pt idx="47">
                  <c:v>1180501</c:v>
                </c:pt>
                <c:pt idx="48">
                  <c:v>1186456</c:v>
                </c:pt>
                <c:pt idx="49">
                  <c:v>1196112</c:v>
                </c:pt>
                <c:pt idx="50">
                  <c:v>1177804</c:v>
                </c:pt>
                <c:pt idx="51">
                  <c:v>1185242</c:v>
                </c:pt>
                <c:pt idx="52">
                  <c:v>1109822</c:v>
                </c:pt>
                <c:pt idx="53">
                  <c:v>1106270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E42-EC47-A048-6D79BE199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0108480"/>
        <c:axId val="1620108928"/>
      </c:lineChart>
      <c:dateAx>
        <c:axId val="1620108480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20108928"/>
        <c:crosses val="autoZero"/>
        <c:auto val="1"/>
        <c:lblOffset val="100"/>
        <c:baseTimeUnit val="months"/>
      </c:dateAx>
      <c:valAx>
        <c:axId val="162010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2010848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</a:t>
            </a:r>
            <a:r>
              <a:rPr lang="en-US" baseline="0"/>
              <a:t> FX RESERVE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'FX RESERVE DATA'!$B$2:$BD$2</c:f>
              <c:numCache>
                <c:formatCode>[$-409]mmm\-yy;@</c:formatCode>
                <c:ptCount val="55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  <c:pt idx="54">
                  <c:v>46204</c:v>
                </c:pt>
              </c:numCache>
            </c:numRef>
          </c:cat>
          <c:val>
            <c:numRef>
              <c:f>'FX RESERVE DATA'!$B$9:$BD$9</c:f>
              <c:numCache>
                <c:formatCode>_(* #,##0.00_);_(* \(#,##0.00\);_(* "-"??_);_(@_)</c:formatCode>
                <c:ptCount val="55"/>
                <c:pt idx="0">
                  <c:v>40353.170634299997</c:v>
                </c:pt>
                <c:pt idx="1">
                  <c:v>40387.912338230002</c:v>
                </c:pt>
                <c:pt idx="2">
                  <c:v>39252.166932009997</c:v>
                </c:pt>
                <c:pt idx="3">
                  <c:v>37053.644965500003</c:v>
                </c:pt>
                <c:pt idx="4">
                  <c:v>37610.209968980002</c:v>
                </c:pt>
                <c:pt idx="5">
                  <c:v>36273.389466619999</c:v>
                </c:pt>
                <c:pt idx="6">
                  <c:v>35946.73222559</c:v>
                </c:pt>
                <c:pt idx="7">
                  <c:v>35098.677035649998</c:v>
                </c:pt>
                <c:pt idx="8">
                  <c:v>33935.23095782</c:v>
                </c:pt>
                <c:pt idx="9">
                  <c:v>33821.295939249998</c:v>
                </c:pt>
                <c:pt idx="10">
                  <c:v>35619.668835889999</c:v>
                </c:pt>
                <c:pt idx="11">
                  <c:v>37208.745764419997</c:v>
                </c:pt>
                <c:pt idx="12">
                  <c:v>37755.473934369998</c:v>
                </c:pt>
                <c:pt idx="13">
                  <c:v>36604.927859759999</c:v>
                </c:pt>
                <c:pt idx="14">
                  <c:v>37565.901310959998</c:v>
                </c:pt>
                <c:pt idx="15">
                  <c:v>37627.610255020001</c:v>
                </c:pt>
                <c:pt idx="16">
                  <c:v>36459.007783460002</c:v>
                </c:pt>
                <c:pt idx="17">
                  <c:v>36643.742202310001</c:v>
                </c:pt>
                <c:pt idx="18">
                  <c:v>37113.846727429998</c:v>
                </c:pt>
                <c:pt idx="19">
                  <c:v>36448.630406060001</c:v>
                </c:pt>
                <c:pt idx="20">
                  <c:v>35613.440491909998</c:v>
                </c:pt>
                <c:pt idx="21">
                  <c:v>35213.518511560003</c:v>
                </c:pt>
                <c:pt idx="22">
                  <c:v>36302.629209060004</c:v>
                </c:pt>
                <c:pt idx="23">
                  <c:v>37316.475107159997</c:v>
                </c:pt>
                <c:pt idx="24">
                  <c:v>36438.875073820003</c:v>
                </c:pt>
                <c:pt idx="25">
                  <c:v>36076.820776690001</c:v>
                </c:pt>
                <c:pt idx="26">
                  <c:v>35990.219972020001</c:v>
                </c:pt>
                <c:pt idx="27">
                  <c:v>35315.932785750003</c:v>
                </c:pt>
                <c:pt idx="28">
                  <c:v>35757.623269219999</c:v>
                </c:pt>
                <c:pt idx="29">
                  <c:v>35242.830337450003</c:v>
                </c:pt>
                <c:pt idx="30">
                  <c:v>36357.415214909997</c:v>
                </c:pt>
                <c:pt idx="31">
                  <c:v>37318.044689390001</c:v>
                </c:pt>
                <c:pt idx="32">
                  <c:v>37804.751760610001</c:v>
                </c:pt>
                <c:pt idx="33">
                  <c:v>36337.083623129998</c:v>
                </c:pt>
                <c:pt idx="34">
                  <c:v>35805.154249309999</c:v>
                </c:pt>
                <c:pt idx="35">
                  <c:v>34865.010501140001</c:v>
                </c:pt>
                <c:pt idx="36">
                  <c:v>35207.947735330003</c:v>
                </c:pt>
                <c:pt idx="37">
                  <c:v>35597.682377199999</c:v>
                </c:pt>
                <c:pt idx="38">
                  <c:v>36586.62591363</c:v>
                </c:pt>
                <c:pt idx="39">
                  <c:v>38564.764109340002</c:v>
                </c:pt>
                <c:pt idx="40">
                  <c:v>38470.276149040001</c:v>
                </c:pt>
                <c:pt idx="41">
                  <c:v>39471.180617129998</c:v>
                </c:pt>
                <c:pt idx="42">
                  <c:v>38203.046276050001</c:v>
                </c:pt>
                <c:pt idx="43">
                  <c:v>39161.137163929998</c:v>
                </c:pt>
                <c:pt idx="44">
                  <c:v>39204.553506559998</c:v>
                </c:pt>
                <c:pt idx="45">
                  <c:v>38314.056280769997</c:v>
                </c:pt>
                <c:pt idx="46">
                  <c:v>38330</c:v>
                </c:pt>
                <c:pt idx="47">
                  <c:v>38641</c:v>
                </c:pt>
                <c:pt idx="48">
                  <c:v>39222.228900000002</c:v>
                </c:pt>
                <c:pt idx="49">
                  <c:v>38992.339999999997</c:v>
                </c:pt>
                <c:pt idx="50">
                  <c:v>38121</c:v>
                </c:pt>
                <c:pt idx="51">
                  <c:v>38121</c:v>
                </c:pt>
                <c:pt idx="52">
                  <c:v>39000</c:v>
                </c:pt>
                <c:pt idx="53">
                  <c:v>38591</c:v>
                </c:pt>
                <c:pt idx="54">
                  <c:v>38992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8C-4148-B96B-BF5B7229F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9344704"/>
        <c:axId val="1583163456"/>
      </c:lineChart>
      <c:dateAx>
        <c:axId val="1619344704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583163456"/>
        <c:crosses val="autoZero"/>
        <c:auto val="1"/>
        <c:lblOffset val="100"/>
        <c:baseTimeUnit val="months"/>
      </c:dateAx>
      <c:valAx>
        <c:axId val="1583163456"/>
        <c:scaling>
          <c:orientation val="minMax"/>
          <c:max val="45000"/>
          <c:min val="3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619344704"/>
        <c:crosses val="autoZero"/>
        <c:crossBetween val="between"/>
        <c:majorUnit val="50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7909629978051547"/>
          <c:y val="0.10036789432528682"/>
          <c:w val="0.82086290936122575"/>
          <c:h val="0.77031611471702455"/>
        </c:manualLayout>
      </c:layout>
      <c:lineChart>
        <c:grouping val="standard"/>
        <c:varyColors val="0"/>
        <c:ser>
          <c:idx val="0"/>
          <c:order val="0"/>
          <c:tx>
            <c:strRef>
              <c:f>'Interest Rates data'!$B$3</c:f>
              <c:strCache>
                <c:ptCount val="1"/>
                <c:pt idx="0">
                  <c:v>Australia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data'!$O$3:$S$3</c:f>
              <c:numCache>
                <c:formatCode>0.00</c:formatCode>
                <c:ptCount val="5"/>
                <c:pt idx="0">
                  <c:v>4.3499999999999996</c:v>
                </c:pt>
                <c:pt idx="1">
                  <c:v>4.3499999999999996</c:v>
                </c:pt>
                <c:pt idx="2">
                  <c:v>4.3499999999999996</c:v>
                </c:pt>
                <c:pt idx="3">
                  <c:v>4.3499999999999996</c:v>
                </c:pt>
                <c:pt idx="4">
                  <c:v>4.3499999999999996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D8-0541-B354-D57CB3E3F36B}"/>
            </c:ext>
          </c:extLst>
        </c:ser>
        <c:ser>
          <c:idx val="7"/>
          <c:order val="7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E8D8-0541-B354-D57CB3E3F36B}"/>
            </c:ext>
          </c:extLst>
        </c:ser>
        <c:ser>
          <c:idx val="8"/>
          <c:order val="8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E8D8-0541-B354-D57CB3E3F36B}"/>
            </c:ext>
          </c:extLst>
        </c:ser>
        <c:ser>
          <c:idx val="9"/>
          <c:order val="9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E8D8-0541-B354-D57CB3E3F36B}"/>
            </c:ext>
          </c:extLst>
        </c:ser>
        <c:ser>
          <c:idx val="10"/>
          <c:order val="10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E8D8-0541-B354-D57CB3E3F36B}"/>
            </c:ext>
          </c:extLst>
        </c:ser>
        <c:ser>
          <c:idx val="11"/>
          <c:order val="11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E8D8-0541-B354-D57CB3E3F36B}"/>
            </c:ext>
          </c:extLst>
        </c:ser>
        <c:ser>
          <c:idx val="12"/>
          <c:order val="12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E8D8-0541-B354-D57CB3E3F36B}"/>
            </c:ext>
          </c:extLst>
        </c:ser>
        <c:ser>
          <c:idx val="13"/>
          <c:order val="13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E8D8-0541-B354-D57CB3E3F36B}"/>
            </c:ext>
          </c:extLst>
        </c:ser>
        <c:ser>
          <c:idx val="14"/>
          <c:order val="14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E8D8-0541-B354-D57CB3E3F36B}"/>
            </c:ext>
          </c:extLst>
        </c:ser>
        <c:ser>
          <c:idx val="15"/>
          <c:order val="15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E8D8-0541-B354-D57CB3E3F36B}"/>
            </c:ext>
          </c:extLst>
        </c:ser>
        <c:ser>
          <c:idx val="16"/>
          <c:order val="16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E8D8-0541-B354-D57CB3E3F36B}"/>
            </c:ext>
          </c:extLst>
        </c:ser>
        <c:ser>
          <c:idx val="17"/>
          <c:order val="17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E8D8-0541-B354-D57CB3E3F36B}"/>
            </c:ext>
          </c:extLst>
        </c:ser>
        <c:ser>
          <c:idx val="18"/>
          <c:order val="18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E8D8-0541-B354-D57CB3E3F36B}"/>
            </c:ext>
          </c:extLst>
        </c:ser>
        <c:ser>
          <c:idx val="19"/>
          <c:order val="19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E8D8-0541-B354-D57CB3E3F36B}"/>
            </c:ext>
          </c:extLst>
        </c:ser>
        <c:ser>
          <c:idx val="20"/>
          <c:order val="20"/>
          <c:tx>
            <c:strRef>
              <c:f>'Interest Rates data'!#REF!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'Interest Rates data'!$O$2:$S$2</c:f>
              <c:numCache>
                <c:formatCode>m/d/yy</c:formatCode>
                <c:ptCount val="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</c:numCache>
            </c:numRef>
          </c:cat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D8-0541-B354-D57CB3E3F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462160"/>
        <c:axId val="614461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'Interest Rates data'!$B$4</c15:sqref>
                        </c15:formulaRef>
                      </c:ext>
                    </c:extLst>
                    <c:strCache>
                      <c:ptCount val="1"/>
                      <c:pt idx="0">
                        <c:v>Canada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'Interest Rates data'!$O$2:$S$2</c15:sqref>
                        </c15:formulaRef>
                      </c:ext>
                    </c:extLst>
                    <c:numCache>
                      <c:formatCode>m/d/yy</c:formatCode>
                      <c:ptCount val="5"/>
                      <c:pt idx="0">
                        <c:v>45292</c:v>
                      </c:pt>
                      <c:pt idx="1">
                        <c:v>45323</c:v>
                      </c:pt>
                      <c:pt idx="2">
                        <c:v>45352</c:v>
                      </c:pt>
                      <c:pt idx="3">
                        <c:v>45383</c:v>
                      </c:pt>
                      <c:pt idx="4">
                        <c:v>45413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'Interest Rates data'!$O$4:$S$4</c15:sqref>
                        </c15:formulaRef>
                      </c:ext>
                    </c:extLst>
                    <c:numCache>
                      <c:formatCode>0.00</c:formatCode>
                      <c:ptCount val="5"/>
                      <c:pt idx="0">
                        <c:v>5</c:v>
                      </c:pt>
                      <c:pt idx="1">
                        <c:v>5</c:v>
                      </c:pt>
                      <c:pt idx="2">
                        <c:v>5</c:v>
                      </c:pt>
                      <c:pt idx="3">
                        <c:v>5</c:v>
                      </c:pt>
                      <c:pt idx="4">
                        <c:v>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E8D8-0541-B354-D57CB3E3F36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data'!$B$5</c15:sqref>
                        </c15:formulaRef>
                      </c:ext>
                    </c:extLst>
                    <c:strCache>
                      <c:ptCount val="1"/>
                      <c:pt idx="0">
                        <c:v>Japan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data'!$O$2:$S$2</c15:sqref>
                        </c15:formulaRef>
                      </c:ext>
                    </c:extLst>
                    <c:numCache>
                      <c:formatCode>m/d/yy</c:formatCode>
                      <c:ptCount val="5"/>
                      <c:pt idx="0">
                        <c:v>45292</c:v>
                      </c:pt>
                      <c:pt idx="1">
                        <c:v>45323</c:v>
                      </c:pt>
                      <c:pt idx="2">
                        <c:v>45352</c:v>
                      </c:pt>
                      <c:pt idx="3">
                        <c:v>45383</c:v>
                      </c:pt>
                      <c:pt idx="4">
                        <c:v>45413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data'!$O$5:$S$5</c15:sqref>
                        </c15:formulaRef>
                      </c:ext>
                    </c:extLst>
                    <c:numCache>
                      <c:formatCode>0.00</c:formatCode>
                      <c:ptCount val="5"/>
                      <c:pt idx="0">
                        <c:v>-0.1</c:v>
                      </c:pt>
                      <c:pt idx="1">
                        <c:v>-0.1</c:v>
                      </c:pt>
                      <c:pt idx="2">
                        <c:v>0.1</c:v>
                      </c:pt>
                      <c:pt idx="3">
                        <c:v>0.1</c:v>
                      </c:pt>
                      <c:pt idx="4">
                        <c:v>0.1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8D8-0541-B354-D57CB3E3F36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data'!$B$6</c15:sqref>
                        </c15:formulaRef>
                      </c:ext>
                    </c:extLst>
                    <c:strCache>
                      <c:ptCount val="1"/>
                      <c:pt idx="0">
                        <c:v>Switzerland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data'!$O$2:$S$2</c15:sqref>
                        </c15:formulaRef>
                      </c:ext>
                    </c:extLst>
                    <c:numCache>
                      <c:formatCode>m/d/yy</c:formatCode>
                      <c:ptCount val="5"/>
                      <c:pt idx="0">
                        <c:v>45292</c:v>
                      </c:pt>
                      <c:pt idx="1">
                        <c:v>45323</c:v>
                      </c:pt>
                      <c:pt idx="2">
                        <c:v>45352</c:v>
                      </c:pt>
                      <c:pt idx="3">
                        <c:v>45383</c:v>
                      </c:pt>
                      <c:pt idx="4">
                        <c:v>45413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data'!$O$6:$S$6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1.75</c:v>
                      </c:pt>
                      <c:pt idx="1">
                        <c:v>1.75</c:v>
                      </c:pt>
                      <c:pt idx="2">
                        <c:v>1.5</c:v>
                      </c:pt>
                      <c:pt idx="3">
                        <c:v>1.5</c:v>
                      </c:pt>
                      <c:pt idx="4">
                        <c:v>1.5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8D8-0541-B354-D57CB3E3F36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data'!$B$8</c15:sqref>
                        </c15:formulaRef>
                      </c:ext>
                    </c:extLst>
                    <c:strCache>
                      <c:ptCount val="1"/>
                      <c:pt idx="0">
                        <c:v>United Kingdom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data'!$O$2:$S$2</c15:sqref>
                        </c15:formulaRef>
                      </c:ext>
                    </c:extLst>
                    <c:numCache>
                      <c:formatCode>m/d/yy</c:formatCode>
                      <c:ptCount val="5"/>
                      <c:pt idx="0">
                        <c:v>45292</c:v>
                      </c:pt>
                      <c:pt idx="1">
                        <c:v>45323</c:v>
                      </c:pt>
                      <c:pt idx="2">
                        <c:v>45352</c:v>
                      </c:pt>
                      <c:pt idx="3">
                        <c:v>45383</c:v>
                      </c:pt>
                      <c:pt idx="4">
                        <c:v>45413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data'!$O$8:$S$8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5.25</c:v>
                      </c:pt>
                      <c:pt idx="1">
                        <c:v>5.25</c:v>
                      </c:pt>
                      <c:pt idx="2">
                        <c:v>5.25</c:v>
                      </c:pt>
                      <c:pt idx="3">
                        <c:v>5.25</c:v>
                      </c:pt>
                      <c:pt idx="4">
                        <c:v>5.25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8D8-0541-B354-D57CB3E3F36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data'!$B$9</c15:sqref>
                        </c15:formulaRef>
                      </c:ext>
                    </c:extLst>
                    <c:strCache>
                      <c:ptCount val="1"/>
                      <c:pt idx="0">
                        <c:v>United States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data'!$O$2:$S$2</c15:sqref>
                        </c15:formulaRef>
                      </c:ext>
                    </c:extLst>
                    <c:numCache>
                      <c:formatCode>m/d/yy</c:formatCode>
                      <c:ptCount val="5"/>
                      <c:pt idx="0">
                        <c:v>45292</c:v>
                      </c:pt>
                      <c:pt idx="1">
                        <c:v>45323</c:v>
                      </c:pt>
                      <c:pt idx="2">
                        <c:v>45352</c:v>
                      </c:pt>
                      <c:pt idx="3">
                        <c:v>45383</c:v>
                      </c:pt>
                      <c:pt idx="4">
                        <c:v>45413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data'!$O$9:$S$9</c15:sqref>
                        </c15:formulaRef>
                      </c:ext>
                    </c:extLst>
                    <c:numCache>
                      <c:formatCode>0.00</c:formatCode>
                      <c:ptCount val="5"/>
                      <c:pt idx="0">
                        <c:v>5.5</c:v>
                      </c:pt>
                      <c:pt idx="1">
                        <c:v>5.5</c:v>
                      </c:pt>
                      <c:pt idx="2">
                        <c:v>5.5</c:v>
                      </c:pt>
                      <c:pt idx="3">
                        <c:v>5.5</c:v>
                      </c:pt>
                      <c:pt idx="4">
                        <c:v>5.5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8D8-0541-B354-D57CB3E3F36B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data'!$B$10</c15:sqref>
                        </c15:formulaRef>
                      </c:ext>
                    </c:extLst>
                    <c:strCache>
                      <c:ptCount val="1"/>
                      <c:pt idx="0">
                        <c:v>EURO AREA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data'!$O$2:$S$2</c15:sqref>
                        </c15:formulaRef>
                      </c:ext>
                    </c:extLst>
                    <c:numCache>
                      <c:formatCode>m/d/yy</c:formatCode>
                      <c:ptCount val="5"/>
                      <c:pt idx="0">
                        <c:v>45292</c:v>
                      </c:pt>
                      <c:pt idx="1">
                        <c:v>45323</c:v>
                      </c:pt>
                      <c:pt idx="2">
                        <c:v>45352</c:v>
                      </c:pt>
                      <c:pt idx="3">
                        <c:v>45383</c:v>
                      </c:pt>
                      <c:pt idx="4">
                        <c:v>45413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data'!$O$10:$S$10</c15:sqref>
                        </c15:formulaRef>
                      </c:ext>
                    </c:extLst>
                    <c:numCache>
                      <c:formatCode>0.00</c:formatCode>
                      <c:ptCount val="5"/>
                      <c:pt idx="0">
                        <c:v>4.5</c:v>
                      </c:pt>
                      <c:pt idx="1">
                        <c:v>4.5</c:v>
                      </c:pt>
                      <c:pt idx="2">
                        <c:v>4.5</c:v>
                      </c:pt>
                      <c:pt idx="3">
                        <c:v>4.5</c:v>
                      </c:pt>
                      <c:pt idx="4">
                        <c:v>4.5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8D8-0541-B354-D57CB3E3F36B}"/>
                  </c:ext>
                </c:extLst>
              </c15:ser>
            </c15:filteredLineSeries>
          </c:ext>
        </c:extLst>
      </c:lineChart>
      <c:dateAx>
        <c:axId val="61446216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4461072"/>
        <c:crosses val="autoZero"/>
        <c:auto val="1"/>
        <c:lblOffset val="100"/>
        <c:baseTimeUnit val="months"/>
      </c:dateAx>
      <c:valAx>
        <c:axId val="61446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446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interest</a:t>
            </a:r>
            <a:r>
              <a:rPr lang="fr-FR" baseline="0"/>
              <a:t> rates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3.9747466106029958E-2"/>
          <c:y val="0.12124265323257767"/>
          <c:w val="0.66131297481522755"/>
          <c:h val="0.80493702770780862"/>
        </c:manualLayout>
      </c:layout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14459984"/>
        <c:axId val="61444475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'Interest Rates data'!$B$3</c15:sqref>
                        </c15:formulaRef>
                      </c:ext>
                    </c:extLst>
                    <c:strCache>
                      <c:ptCount val="1"/>
                      <c:pt idx="0">
                        <c:v>Australia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mc:AlternateContent xmlns:mc="http://schemas.openxmlformats.org/markup-compatibility/2006">
                    <mc:Choice xmlns:c16ac="http://schemas.microsoft.com/office/drawing/2014/chart/ac" Requires="c16ac">
                      <c16ac:multiLvlStrLit>
                        <c:ptCount val="0"/>
                      </c16ac:multiLvlStrLit>
                    </mc:Choice>
                    <mc:Fallback>
                      <c:strLit/>
                    </mc:Fallback>
                  </mc:AlternateContent>
                </c:cat>
                <c:val>
                  <c:numLit>
                    <c:ptCount val="0"/>
                  </c:numLit>
                </c:val>
                <c:extLst>
                  <c:ext xmlns:c16="http://schemas.microsoft.com/office/drawing/2014/chart" uri="{C3380CC4-5D6E-409C-BE32-E72D297353CC}">
                    <c16:uniqueId val="{00000000-EE54-4B46-9F9F-B56262BEF9A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data'!$B$4</c15:sqref>
                        </c15:formulaRef>
                      </c:ext>
                    </c:extLst>
                    <c:strCache>
                      <c:ptCount val="1"/>
                      <c:pt idx="0">
                        <c:v>Canada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mc:AlternateContent xmlns:mc="http://schemas.openxmlformats.org/markup-compatibility/2006">
                    <mc:Choice xmlns:c16ac="http://schemas.microsoft.com/office/drawing/2014/chart/ac" Requires="c16ac">
                      <c16ac:multiLvlStrLit>
                        <c:ptCount val="0"/>
                      </c16ac:multiLvlStrLit>
                    </mc:Choice>
                    <mc:Fallback>
                      <c:strLit/>
                    </mc:Fallback>
                  </mc:AlternateContent>
                </c:cat>
                <c:val>
                  <c:numLit>
                    <c:ptCount val="0"/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E54-4B46-9F9F-B56262BEF9A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data'!$B$5</c15:sqref>
                        </c15:formulaRef>
                      </c:ext>
                    </c:extLst>
                    <c:strCache>
                      <c:ptCount val="1"/>
                      <c:pt idx="0">
                        <c:v>Japan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mc:AlternateContent xmlns:mc="http://schemas.openxmlformats.org/markup-compatibility/2006">
                    <mc:Choice xmlns:c16ac="http://schemas.microsoft.com/office/drawing/2014/chart/ac" Requires="c16ac">
                      <c16ac:multiLvlStrLit>
                        <c:ptCount val="0"/>
                      </c16ac:multiLvlStrLit>
                    </mc:Choice>
                    <mc:Fallback>
                      <c:strLit/>
                    </mc:Fallback>
                  </mc:AlternateContent>
                </c:cat>
                <c:val>
                  <c:numLit>
                    <c:ptCount val="0"/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54-4B46-9F9F-B56262BEF9A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data'!$B$6</c15:sqref>
                        </c15:formulaRef>
                      </c:ext>
                    </c:extLst>
                    <c:strCache>
                      <c:ptCount val="1"/>
                      <c:pt idx="0">
                        <c:v>Switzerland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mc:AlternateContent xmlns:mc="http://schemas.openxmlformats.org/markup-compatibility/2006">
                    <mc:Choice xmlns:c16ac="http://schemas.microsoft.com/office/drawing/2014/chart/ac" Requires="c16ac">
                      <c16ac:multiLvlStrLit>
                        <c:ptCount val="0"/>
                      </c16ac:multiLvlStrLit>
                    </mc:Choice>
                    <mc:Fallback>
                      <c:strLit/>
                    </mc:Fallback>
                  </mc:AlternateContent>
                </c:cat>
                <c:val>
                  <c:numLit>
                    <c:ptCount val="0"/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54-4B46-9F9F-B56262BEF9A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data'!$B$8</c15:sqref>
                        </c15:formulaRef>
                      </c:ext>
                    </c:extLst>
                    <c:strCache>
                      <c:ptCount val="1"/>
                      <c:pt idx="0">
                        <c:v>United Kingdom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mc:AlternateContent xmlns:mc="http://schemas.openxmlformats.org/markup-compatibility/2006">
                    <mc:Choice xmlns:c16ac="http://schemas.microsoft.com/office/drawing/2014/chart/ac" Requires="c16ac">
                      <c16ac:multiLvlStrLit>
                        <c:ptCount val="0"/>
                      </c16ac:multiLvlStrLit>
                    </mc:Choice>
                    <mc:Fallback>
                      <c:strLit/>
                    </mc:Fallback>
                  </mc:AlternateContent>
                </c:cat>
                <c:val>
                  <c:numLit>
                    <c:ptCount val="0"/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54-4B46-9F9F-B56262BEF9A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data'!$B$9</c15:sqref>
                        </c15:formulaRef>
                      </c:ext>
                    </c:extLst>
                    <c:strCache>
                      <c:ptCount val="1"/>
                      <c:pt idx="0">
                        <c:v>United States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mc:AlternateContent xmlns:mc="http://schemas.openxmlformats.org/markup-compatibility/2006">
                    <mc:Choice xmlns:c16ac="http://schemas.microsoft.com/office/drawing/2014/chart/ac" Requires="c16ac">
                      <c16ac:multiLvlStrLit>
                        <c:ptCount val="0"/>
                      </c16ac:multiLvlStrLit>
                    </mc:Choice>
                    <mc:Fallback>
                      <c:strLit/>
                    </mc:Fallback>
                  </mc:AlternateContent>
                </c:cat>
                <c:val>
                  <c:numLit>
                    <c:ptCount val="0"/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54-4B46-9F9F-B56262BEF9A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data'!$B$10</c15:sqref>
                        </c15:formulaRef>
                      </c:ext>
                    </c:extLst>
                    <c:strCache>
                      <c:ptCount val="1"/>
                      <c:pt idx="0">
                        <c:v>EURO AREA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mc:AlternateContent xmlns:mc="http://schemas.openxmlformats.org/markup-compatibility/2006">
                    <mc:Choice xmlns:c16ac="http://schemas.microsoft.com/office/drawing/2014/chart/ac" Requires="c16ac">
                      <c16ac:multiLvlStrLit>
                        <c:ptCount val="0"/>
                      </c16ac:multiLvlStrLit>
                    </mc:Choice>
                    <mc:Fallback>
                      <c:strLit/>
                    </mc:Fallback>
                  </mc:AlternateContent>
                </c:cat>
                <c:val>
                  <c:numLit>
                    <c:ptCount val="0"/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E54-4B46-9F9F-B56262BEF9A6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E54-4B46-9F9F-B56262BEF9A6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E54-4B46-9F9F-B56262BEF9A6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E54-4B46-9F9F-B56262BEF9A6}"/>
                  </c:ext>
                </c:extLst>
              </c15:ser>
            </c15:filteredBarSeries>
            <c15:filteredBa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E54-4B46-9F9F-B56262BEF9A6}"/>
                  </c:ext>
                </c:extLst>
              </c15:ser>
            </c15:filteredBarSeries>
            <c15:filteredBa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E54-4B46-9F9F-B56262BEF9A6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EE54-4B46-9F9F-B56262BEF9A6}"/>
                  </c:ext>
                </c:extLst>
              </c15:ser>
            </c15:filteredBarSeries>
            <c15:filteredBa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E54-4B46-9F9F-B56262BEF9A6}"/>
                  </c:ext>
                </c:extLst>
              </c15:ser>
            </c15:filteredBarSeries>
            <c15:filteredBa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EE54-4B46-9F9F-B56262BEF9A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EE54-4B46-9F9F-B56262BEF9A6}"/>
                  </c:ext>
                </c:extLst>
              </c15:ser>
            </c15:filteredBarSeries>
            <c15:filteredBa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EE54-4B46-9F9F-B56262BEF9A6}"/>
                  </c:ext>
                </c:extLst>
              </c15:ser>
            </c15:filteredBarSeries>
            <c15:filteredBa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EE54-4B46-9F9F-B56262BEF9A6}"/>
                  </c:ext>
                </c:extLst>
              </c15:ser>
            </c15:filteredBarSeries>
            <c15:filteredBa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EE54-4B46-9F9F-B56262BEF9A6}"/>
                  </c:ext>
                </c:extLst>
              </c15:ser>
            </c15:filteredBarSeries>
            <c15:filteredBa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EE54-4B46-9F9F-B56262BEF9A6}"/>
                  </c:ext>
                </c:extLst>
              </c15:ser>
            </c15:filteredBarSeries>
            <c15:filteredBar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Lit>
                    <c:formatCode>m/d/yy</c:formatCode>
                    <c:ptCount val="4"/>
                    <c:pt idx="0">
                      <c:v>45292</c:v>
                    </c:pt>
                    <c:pt idx="1">
                      <c:v>45323</c:v>
                    </c:pt>
                    <c:pt idx="2">
                      <c:v>45352</c:v>
                    </c:pt>
                    <c:pt idx="3">
                      <c:v>45383</c:v>
                    </c:pt>
                  </c:numLit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EE54-4B46-9F9F-B56262BEF9A6}"/>
                  </c:ext>
                </c:extLst>
              </c15:ser>
            </c15:filteredBarSeries>
          </c:ext>
        </c:extLst>
      </c:barChart>
      <c:catAx>
        <c:axId val="614459984"/>
        <c:scaling>
          <c:orientation val="minMax"/>
        </c:scaling>
        <c:delete val="1"/>
        <c:axPos val="l"/>
        <c:numFmt formatCode="m/d/yy" sourceLinked="1"/>
        <c:majorTickMark val="out"/>
        <c:minorTickMark val="none"/>
        <c:tickLblPos val="nextTo"/>
        <c:crossAx val="614444752"/>
        <c:crosses val="autoZero"/>
        <c:auto val="1"/>
        <c:lblAlgn val="ctr"/>
        <c:lblOffset val="100"/>
        <c:noMultiLvlLbl val="1"/>
      </c:catAx>
      <c:valAx>
        <c:axId val="614444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445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799642126182188"/>
          <c:y val="0.10366568158829015"/>
          <c:w val="0.20776148869896688"/>
          <c:h val="0.8129873202469410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7909629978051547"/>
          <c:y val="0.10036789432528682"/>
          <c:w val="0.82086290936122575"/>
          <c:h val="0.7703161147170245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FF-664F-9751-99CD5A1C22C5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'Interest Rates data'!#REF!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FF-664F-9751-99CD5A1C2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462160"/>
        <c:axId val="614461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2-9EFF-664F-9751-99CD5A1C22C5}"/>
                  </c:ext>
                </c:extLst>
              </c15:ser>
            </c15:filteredLineSeries>
            <c15:filteredLineSeries>
              <c15:ser>
                <c:idx val="2"/>
                <c:order val="2"/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3-9EFF-664F-9751-99CD5A1C22C5}"/>
                  </c:ext>
                </c:extLst>
              </c15:ser>
            </c15:filteredLineSeries>
            <c15:filteredLineSeries>
              <c15:ser>
                <c:idx val="3"/>
                <c:order val="3"/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4-9EFF-664F-9751-99CD5A1C22C5}"/>
                  </c:ext>
                </c:extLst>
              </c15:ser>
            </c15:filteredLineSeries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5-9EFF-664F-9751-99CD5A1C22C5}"/>
                  </c:ext>
                </c:extLst>
              </c15:ser>
            </c15:filteredLineSeries>
            <c15:filteredLineSeries>
              <c15:ser>
                <c:idx val="5"/>
                <c:order val="5"/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6-9EFF-664F-9751-99CD5A1C22C5}"/>
                  </c:ext>
                </c:extLst>
              </c15:ser>
            </c15:filteredLineSeries>
            <c15:filteredLineSeries>
              <c15:ser>
                <c:idx val="6"/>
                <c:order val="6"/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7-9EFF-664F-9751-99CD5A1C22C5}"/>
                  </c:ext>
                </c:extLst>
              </c15:ser>
            </c15:filteredLineSeries>
            <c15:filteredLineSeries>
              <c15:ser>
                <c:idx val="7"/>
                <c:order val="7"/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8-9EFF-664F-9751-99CD5A1C22C5}"/>
                  </c:ext>
                </c:extLst>
              </c15:ser>
            </c15:filteredLineSeries>
            <c15:filteredLineSeries>
              <c15:ser>
                <c:idx val="8"/>
                <c:order val="8"/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9-9EFF-664F-9751-99CD5A1C22C5}"/>
                  </c:ext>
                </c:extLst>
              </c15:ser>
            </c15:filteredLineSeries>
            <c15:filteredLineSeries>
              <c15:ser>
                <c:idx val="9"/>
                <c:order val="9"/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A-9EFF-664F-9751-99CD5A1C22C5}"/>
                  </c:ext>
                </c:extLst>
              </c15:ser>
            </c15:filteredLineSeries>
            <c15:filteredLineSeries>
              <c15:ser>
                <c:idx val="10"/>
                <c:order val="10"/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B-9EFF-664F-9751-99CD5A1C22C5}"/>
                  </c:ext>
                </c:extLst>
              </c15:ser>
            </c15:filteredLineSeries>
            <c15:filteredLineSeries>
              <c15:ser>
                <c:idx val="11"/>
                <c:order val="11"/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C-9EFF-664F-9751-99CD5A1C22C5}"/>
                  </c:ext>
                </c:extLst>
              </c15:ser>
            </c15:filteredLineSeries>
            <c15:filteredLineSeries>
              <c15:ser>
                <c:idx val="12"/>
                <c:order val="12"/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D-9EFF-664F-9751-99CD5A1C22C5}"/>
                  </c:ext>
                </c:extLst>
              </c15:ser>
            </c15:filteredLineSeries>
            <c15:filteredLineSeries>
              <c15:ser>
                <c:idx val="13"/>
                <c:order val="13"/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E-9EFF-664F-9751-99CD5A1C22C5}"/>
                  </c:ext>
                </c:extLst>
              </c15:ser>
            </c15:filteredLineSeries>
            <c15:filteredLineSeries>
              <c15:ser>
                <c:idx val="14"/>
                <c:order val="14"/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F-9EFF-664F-9751-99CD5A1C22C5}"/>
                  </c:ext>
                </c:extLst>
              </c15:ser>
            </c15:filteredLineSeries>
            <c15:filteredLineSeries>
              <c15:ser>
                <c:idx val="15"/>
                <c:order val="15"/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10-9EFF-664F-9751-99CD5A1C22C5}"/>
                  </c:ext>
                </c:extLst>
              </c15:ser>
            </c15:filteredLineSeries>
            <c15:filteredLineSeries>
              <c15:ser>
                <c:idx val="16"/>
                <c:order val="16"/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11-9EFF-664F-9751-99CD5A1C22C5}"/>
                  </c:ext>
                </c:extLst>
              </c15:ser>
            </c15:filteredLineSeries>
            <c15:filteredLineSeries>
              <c15:ser>
                <c:idx val="17"/>
                <c:order val="17"/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12-9EFF-664F-9751-99CD5A1C22C5}"/>
                  </c:ext>
                </c:extLst>
              </c15:ser>
            </c15:filteredLineSeries>
            <c15:filteredLineSeries>
              <c15:ser>
                <c:idx val="18"/>
                <c:order val="18"/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13-9EFF-664F-9751-99CD5A1C22C5}"/>
                  </c:ext>
                </c:extLst>
              </c15:ser>
            </c15:filteredLineSeries>
            <c15:filteredLineSeries>
              <c15:ser>
                <c:idx val="19"/>
                <c:order val="19"/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'Interest Rates data'!#REF!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'Interest Rates data'!#REF!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14-9EFF-664F-9751-99CD5A1C22C5}"/>
                  </c:ext>
                </c:extLst>
              </c15:ser>
            </c15:filteredLineSeries>
          </c:ext>
        </c:extLst>
      </c:lineChart>
      <c:catAx>
        <c:axId val="61446216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4461072"/>
        <c:crosses val="autoZero"/>
        <c:auto val="1"/>
        <c:lblAlgn val="ctr"/>
        <c:lblOffset val="100"/>
        <c:noMultiLvlLbl val="1"/>
      </c:catAx>
      <c:valAx>
        <c:axId val="61446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446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330</xdr:col>
      <xdr:colOff>104775</xdr:colOff>
      <xdr:row>15</xdr:row>
      <xdr:rowOff>19050</xdr:rowOff>
    </xdr:from>
    <xdr:to>
      <xdr:col>337</xdr:col>
      <xdr:colOff>733425</xdr:colOff>
      <xdr:row>40</xdr:row>
      <xdr:rowOff>28574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E0742DB-FCF1-4740-90C2-4DB8361F5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338</xdr:col>
      <xdr:colOff>33420</xdr:colOff>
      <xdr:row>10</xdr:row>
      <xdr:rowOff>211667</xdr:rowOff>
    </xdr:from>
    <xdr:to>
      <xdr:col>348</xdr:col>
      <xdr:colOff>256229</xdr:colOff>
      <xdr:row>39</xdr:row>
      <xdr:rowOff>144825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879E4E-4E20-8F47-BB97-8AA1A37B9A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158750</xdr:colOff>
      <xdr:row>61</xdr:row>
      <xdr:rowOff>63500</xdr:rowOff>
    </xdr:from>
    <xdr:to>
      <xdr:col>49</xdr:col>
      <xdr:colOff>31750</xdr:colOff>
      <xdr:row>112</xdr:row>
      <xdr:rowOff>31750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5A74528-45C3-4F4C-8151-BDF5DE131F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49</xdr:col>
      <xdr:colOff>95248</xdr:colOff>
      <xdr:row>61</xdr:row>
      <xdr:rowOff>12700</xdr:rowOff>
    </xdr:from>
    <xdr:to>
      <xdr:col>61</xdr:col>
      <xdr:colOff>558800</xdr:colOff>
      <xdr:row>111</xdr:row>
      <xdr:rowOff>135467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99E12B9-0CB5-8B45-B407-A0C015EDE5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0.72461</cdr:x>
      <cdr:y>0.28481</cdr:y>
    </cdr:from>
    <cdr:to>
      <cdr:x>0.80748</cdr:x>
      <cdr:y>0.74326</cdr:y>
    </cdr:to>
    <cdr:sp macro="" textlink="">
      <cdr:nvSpPr>
        <cdr:cNvPr id="2" name="Ellipse 1">
          <a:extLst xmlns:a="http://schemas.openxmlformats.org/drawingml/2006/main">
            <a:ext uri="{FF2B5EF4-FFF2-40B4-BE49-F238E27FC236}">
              <a16:creationId xmlns:a16="http://schemas.microsoft.com/office/drawing/2014/main" id="{827533D2-D54E-4E0D-9221-CABF57CB4800}"/>
            </a:ext>
          </a:extLst>
        </cdr:cNvPr>
        <cdr:cNvSpPr/>
      </cdr:nvSpPr>
      <cdr:spPr>
        <a:xfrm xmlns:a="http://schemas.openxmlformats.org/drawingml/2006/main">
          <a:off x="4887450" y="1160180"/>
          <a:ext cx="558956" cy="1867507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38100">
          <a:solidFill>
            <a:srgbClr val="FFFF00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s-ES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67</xdr:row>
      <xdr:rowOff>25400</xdr:rowOff>
    </xdr:from>
    <xdr:to>
      <xdr:col>24</xdr:col>
      <xdr:colOff>889000</xdr:colOff>
      <xdr:row>115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B1D620-161A-C148-BF45-B72747F8BE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89</xdr:row>
      <xdr:rowOff>25400</xdr:rowOff>
    </xdr:from>
    <xdr:to>
      <xdr:col>36</xdr:col>
      <xdr:colOff>889000</xdr:colOff>
      <xdr:row>137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B5C7C8-F001-B042-8DA8-B3368B0E74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65</xdr:col>
      <xdr:colOff>684069</xdr:colOff>
      <xdr:row>2</xdr:row>
      <xdr:rowOff>316923</xdr:rowOff>
    </xdr:from>
    <xdr:to>
      <xdr:col>75</xdr:col>
      <xdr:colOff>245342</xdr:colOff>
      <xdr:row>16</xdr:row>
      <xdr:rowOff>101023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8CF7ED-015A-73B0-CB20-9D7C1A2CE0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65</xdr:col>
      <xdr:colOff>549851</xdr:colOff>
      <xdr:row>17</xdr:row>
      <xdr:rowOff>28286</xdr:rowOff>
    </xdr:from>
    <xdr:to>
      <xdr:col>75</xdr:col>
      <xdr:colOff>173180</xdr:colOff>
      <xdr:row>29</xdr:row>
      <xdr:rowOff>187614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19B462-68C1-6724-815E-127477736E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76</xdr:col>
      <xdr:colOff>208785</xdr:colOff>
      <xdr:row>8</xdr:row>
      <xdr:rowOff>64266</xdr:rowOff>
    </xdr:from>
    <xdr:to>
      <xdr:col>88</xdr:col>
      <xdr:colOff>396109</xdr:colOff>
      <xdr:row>17</xdr:row>
      <xdr:rowOff>175392</xdr:rowOff>
    </xdr:to>
    <xdr:graphicFrame macro="">
      <xdr:nvGraphicFramePr>
        <xdr:cNvPr id="2" name="Graphique 2">
          <a:extLst>
            <a:ext uri="{FF2B5EF4-FFF2-40B4-BE49-F238E27FC236}">
              <a16:creationId xmlns:a16="http://schemas.microsoft.com/office/drawing/2014/main" id="{57D21848-FCFF-8746-BB32-52BF1CB59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333374</xdr:colOff>
      <xdr:row>8</xdr:row>
      <xdr:rowOff>-1</xdr:rowOff>
    </xdr:from>
    <xdr:to>
      <xdr:col>68</xdr:col>
      <xdr:colOff>263525</xdr:colOff>
      <xdr:row>19</xdr:row>
      <xdr:rowOff>92074</xdr:rowOff>
    </xdr:to>
    <xdr:graphicFrame macro="">
      <xdr:nvGraphicFramePr>
        <xdr:cNvPr id="3" name="Graphique 3">
          <a:extLst>
            <a:ext uri="{FF2B5EF4-FFF2-40B4-BE49-F238E27FC236}">
              <a16:creationId xmlns:a16="http://schemas.microsoft.com/office/drawing/2014/main" id="{0B26CB64-457D-7D40-9841-A994EEBA3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0.06297</cdr:y>
    </cdr:from>
    <cdr:to>
      <cdr:x>0.1448</cdr:x>
      <cdr:y>0.30479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0" y="2381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fr-FR" sz="1100" b="1">
              <a:solidFill>
                <a:srgbClr val="FF0000"/>
              </a:solidFill>
            </a:rPr>
            <a:t>DOVISH</a:t>
          </a:r>
        </a:p>
      </cdr:txBody>
    </cdr:sp>
  </cdr:relSizeAnchor>
  <cdr:relSizeAnchor xmlns:cdr="http://schemas.openxmlformats.org/drawingml/2006/chartDrawing">
    <cdr:from>
      <cdr:x>0.58464</cdr:x>
      <cdr:y>0.06045</cdr:y>
    </cdr:from>
    <cdr:to>
      <cdr:x>0.72943</cdr:x>
      <cdr:y>0.30227</cdr:y>
    </cdr:to>
    <cdr:sp macro="" textlink="">
      <cdr:nvSpPr>
        <cdr:cNvPr id="3" name="ZoneTexte 2"/>
        <cdr:cNvSpPr txBox="1"/>
      </cdr:nvSpPr>
      <cdr:spPr>
        <a:xfrm xmlns:a="http://schemas.openxmlformats.org/drawingml/2006/main">
          <a:off x="3970447" y="228600"/>
          <a:ext cx="98335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fr-FR" sz="1100" b="1">
              <a:solidFill>
                <a:srgbClr val="00B050"/>
              </a:solidFill>
            </a:rPr>
            <a:t>HAWKISH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79</xdr:col>
      <xdr:colOff>208785</xdr:colOff>
      <xdr:row>16</xdr:row>
      <xdr:rowOff>64266</xdr:rowOff>
    </xdr:from>
    <xdr:to>
      <xdr:col>91</xdr:col>
      <xdr:colOff>396109</xdr:colOff>
      <xdr:row>25</xdr:row>
      <xdr:rowOff>175392</xdr:rowOff>
    </xdr:to>
    <xdr:graphicFrame macro="">
      <xdr:nvGraphicFramePr>
        <xdr:cNvPr id="2" name="Graphique 2">
          <a:extLst>
            <a:ext uri="{FF2B5EF4-FFF2-40B4-BE49-F238E27FC236}">
              <a16:creationId xmlns:a16="http://schemas.microsoft.com/office/drawing/2014/main" id="{72E43688-7ABE-EE48-83F3-4F518E698D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stats.oecd.org/OECDStat_Metadata/ShowMetadata.ashx?Dataset=QNA&amp;Coords=%5bLOCATION%5d.%5bEA19%5d&amp;ShowOnWeb=true&amp;Lang=en" TargetMode="External"/><Relationship Id="rId3" Type="http://schemas.openxmlformats.org/officeDocument/2006/relationships/hyperlink" Target="http://stats.oecd.org/OECDStat_Metadata/ShowMetadata.ashx?Dataset=QNA&amp;Coords=%5bLOCATION%5d.%5bJPN%5d&amp;ShowOnWeb=true&amp;Lang=en" TargetMode="External"/><Relationship Id="rId7" Type="http://schemas.openxmlformats.org/officeDocument/2006/relationships/hyperlink" Target="http://stats.oecd.org/OECDStat_Metadata/ShowMetadata.ashx?Dataset=QNA&amp;Coords=%5bLOCATION%5d.%5bUSA%5d&amp;ShowOnWeb=true&amp;Lang=en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://stats.oecd.org/OECDStat_Metadata/ShowMetadata.ashx?Dataset=QNA&amp;Coords=%5bLOCATION%5d.%5bCAN%5d&amp;ShowOnWeb=true&amp;Lang=en" TargetMode="External"/><Relationship Id="rId1" Type="http://schemas.openxmlformats.org/officeDocument/2006/relationships/hyperlink" Target="http://stats.oecd.org/OECDStat_Metadata/ShowMetadata.ashx?Dataset=QNA&amp;Coords=%5bLOCATION%5d.%5bAUS%5d&amp;ShowOnWeb=true&amp;Lang=en" TargetMode="External"/><Relationship Id="rId6" Type="http://schemas.openxmlformats.org/officeDocument/2006/relationships/hyperlink" Target="http://stats.oecd.org/OECDStat_Metadata/ShowMetadata.ashx?Dataset=QNA&amp;Coords=%5bLOCATION%5d.%5bGBR%5d&amp;ShowOnWeb=true&amp;Lang=en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://stats.oecd.org/OECDStat_Metadata/ShowMetadata.ashx?Dataset=QNA&amp;Coords=%5bLOCATION%5d.%5bCHE%5d&amp;ShowOnWeb=true&amp;Lang=en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http://stats.oecd.org/OECDStat_Metadata/ShowMetadata.ashx?Dataset=QNA&amp;Coords=%5bLOCATION%5d.%5bNZL%5d&amp;ShowOnWeb=true&amp;Lang=en" TargetMode="External"/><Relationship Id="rId9" Type="http://schemas.openxmlformats.org/officeDocument/2006/relationships/hyperlink" Target="https://stats.oecd.org/index.aspx?queryid=35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fred.stlouisfed.org/series/EU28CPALTT01GYM" TargetMode="External"/><Relationship Id="rId1" Type="http://schemas.openxmlformats.org/officeDocument/2006/relationships/hyperlink" Target="https://data.imf.org/?sk=4FFB52B2-3653-409A-B471-D47B46D904B5&amp;sId=1485878855236" TargetMode="External"/><Relationship Id="rId4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fred.stlouisfed.org/series/EU28CPALTT01GYM" TargetMode="External"/><Relationship Id="rId1" Type="http://schemas.openxmlformats.org/officeDocument/2006/relationships/hyperlink" Target="https://data.imf.org/?sk=4FFB52B2-3653-409A-B471-D47B46D904B5&amp;sId=1485878855236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4.xml"/><Relationship Id="rId3" Type="http://schemas.openxmlformats.org/officeDocument/2006/relationships/hyperlink" Target="https://data.imf.org/?sk=4FFB52B2-3653-409A-B471-D47B46D904B5&amp;sId=1485878855236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fred.stlouisfed.org/series/EU28CPALTT01GYM" TargetMode="External"/><Relationship Id="rId1" Type="http://schemas.openxmlformats.org/officeDocument/2006/relationships/hyperlink" Target="https://data.imf.org/?sk=4FFB52B2-3653-409A-B471-D47B46D904B5&amp;sId=1485878855236" TargetMode="External"/><Relationship Id="rId6" Type="http://schemas.openxmlformats.org/officeDocument/2006/relationships/hyperlink" Target="https://fred.stlouisfed.org/series/EU28CPALTT01GYM" TargetMode="External"/><Relationship Id="rId5" Type="http://schemas.openxmlformats.org/officeDocument/2006/relationships/hyperlink" Target="https://data.imf.org/?sk=4FFB52B2-3653-409A-B471-D47B46D904B5&amp;sId=1485878855236" TargetMode="External"/><Relationship Id="rId4" Type="http://schemas.openxmlformats.org/officeDocument/2006/relationships/hyperlink" Target="https://fred.stlouisfed.org/series/EU28CPALTT01GY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fred.stlouisfed.org/series/EU28CPALTT01GY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E3BC4-8401-C24D-9E29-339A7161E316}">
  <dimension ref="A1:JV61"/>
  <sheetViews>
    <sheetView zoomScale="162" zoomScaleNormal="60" workbookViewId="0">
      <pane xSplit="1" ySplit="1" topLeftCell="AO2" activePane="bottomRight" state="frozen"/>
      <selection pane="topRight" activeCell="B1" sqref="B1"/>
      <selection pane="bottomLeft" activeCell="A2" sqref="A2"/>
      <selection pane="bottomRight" activeCell="AP6" sqref="AP6"/>
    </sheetView>
  </sheetViews>
  <sheetFormatPr baseColWidth="10" defaultColWidth="11.5" defaultRowHeight="13"/>
  <cols>
    <col min="1" max="1" width="22.5" style="82" customWidth="1"/>
    <col min="2" max="2" width="11.5" style="82" customWidth="1"/>
    <col min="3" max="3" width="11.33203125" style="82" customWidth="1"/>
    <col min="4" max="281" width="11.5" style="82"/>
    <col min="282" max="282" width="11.5" style="104"/>
    <col min="283" max="16384" width="11.5" style="82"/>
  </cols>
  <sheetData>
    <row r="1" spans="1:282" ht="14">
      <c r="A1" s="81" t="s">
        <v>64</v>
      </c>
      <c r="B1" s="115">
        <v>44927</v>
      </c>
      <c r="C1" s="115">
        <v>44958</v>
      </c>
      <c r="D1" s="115">
        <v>44986</v>
      </c>
      <c r="E1" s="115">
        <v>45017</v>
      </c>
      <c r="F1" s="115">
        <v>45047</v>
      </c>
      <c r="G1" s="115">
        <v>45078</v>
      </c>
      <c r="H1" s="115">
        <v>45108</v>
      </c>
      <c r="I1" s="115">
        <v>45139</v>
      </c>
      <c r="J1" s="115">
        <v>45170</v>
      </c>
      <c r="K1" s="115">
        <v>45200</v>
      </c>
      <c r="L1" s="115">
        <v>45231</v>
      </c>
      <c r="M1" s="115">
        <v>45261</v>
      </c>
      <c r="N1" s="115">
        <v>45292</v>
      </c>
      <c r="O1" s="115">
        <v>45323</v>
      </c>
      <c r="P1" s="115">
        <v>45352</v>
      </c>
      <c r="Q1" s="115">
        <v>45383</v>
      </c>
      <c r="R1" s="115">
        <v>45413</v>
      </c>
      <c r="S1" s="115">
        <v>45444</v>
      </c>
      <c r="T1" s="115">
        <v>45474</v>
      </c>
      <c r="U1" s="115">
        <v>45505</v>
      </c>
      <c r="V1" s="115">
        <v>45536</v>
      </c>
      <c r="W1" s="115">
        <v>45566</v>
      </c>
      <c r="X1" s="115">
        <v>45597</v>
      </c>
      <c r="Y1" s="115">
        <v>45627</v>
      </c>
      <c r="Z1" s="115">
        <v>45658</v>
      </c>
      <c r="AA1" s="115">
        <v>45689</v>
      </c>
      <c r="AB1" s="115">
        <v>45717</v>
      </c>
      <c r="AC1" s="115">
        <v>45748</v>
      </c>
      <c r="AD1" s="115">
        <v>45778</v>
      </c>
      <c r="AE1" s="115">
        <v>45809</v>
      </c>
      <c r="AF1" s="115">
        <v>45839</v>
      </c>
      <c r="AG1" s="115">
        <v>45870</v>
      </c>
      <c r="AH1" s="115">
        <v>45901</v>
      </c>
      <c r="AI1" s="115">
        <v>45931</v>
      </c>
      <c r="AJ1" s="115">
        <v>45962</v>
      </c>
      <c r="AK1" s="115">
        <v>45992</v>
      </c>
      <c r="AL1" s="115">
        <v>46023</v>
      </c>
      <c r="AM1" s="115">
        <v>46054</v>
      </c>
      <c r="AN1" s="115">
        <v>46082</v>
      </c>
      <c r="AO1" s="115">
        <v>46113</v>
      </c>
      <c r="AP1" s="115">
        <v>46143</v>
      </c>
      <c r="AQ1" s="115">
        <v>46174</v>
      </c>
      <c r="AR1" s="115">
        <v>46204</v>
      </c>
      <c r="AS1" s="115">
        <v>46235</v>
      </c>
      <c r="AT1" s="115">
        <v>46266</v>
      </c>
      <c r="AU1" s="115">
        <v>46296</v>
      </c>
      <c r="AV1" s="115">
        <v>46327</v>
      </c>
      <c r="AW1" s="115">
        <v>46357</v>
      </c>
      <c r="JV1" s="82"/>
    </row>
    <row r="2" spans="1:282" ht="25" customHeight="1">
      <c r="A2" s="83" t="s">
        <v>38</v>
      </c>
      <c r="B2" s="84">
        <v>2.8</v>
      </c>
      <c r="C2" s="84">
        <v>2.8</v>
      </c>
      <c r="D2" s="84">
        <v>2.8</v>
      </c>
      <c r="E2" s="84">
        <v>2.2999999999999998</v>
      </c>
      <c r="F2" s="84">
        <v>2.2999999999999998</v>
      </c>
      <c r="G2" s="84">
        <v>2.2999999999999998</v>
      </c>
      <c r="H2" s="84">
        <v>2.2000000000000002</v>
      </c>
      <c r="I2" s="84">
        <v>2.2000000000000002</v>
      </c>
      <c r="J2" s="84">
        <v>2.2000000000000002</v>
      </c>
      <c r="K2" s="84">
        <v>1.3</v>
      </c>
      <c r="L2" s="84">
        <v>1.3</v>
      </c>
      <c r="M2" s="84">
        <v>1.3</v>
      </c>
      <c r="N2" s="84">
        <v>1.1000000000000001</v>
      </c>
      <c r="O2" s="84">
        <v>1.1000000000000001</v>
      </c>
      <c r="P2" s="84">
        <v>1.1000000000000001</v>
      </c>
      <c r="Q2" s="84">
        <v>0.9</v>
      </c>
      <c r="R2" s="84">
        <v>0.9</v>
      </c>
      <c r="S2" s="84">
        <v>0.9</v>
      </c>
      <c r="T2" s="84">
        <v>0.8</v>
      </c>
      <c r="U2" s="84">
        <v>0.8</v>
      </c>
      <c r="V2" s="84">
        <v>0.8</v>
      </c>
      <c r="W2" s="84">
        <v>1.2</v>
      </c>
      <c r="X2" s="84">
        <v>1.2</v>
      </c>
      <c r="Y2" s="84">
        <v>1.2</v>
      </c>
      <c r="Z2" s="84">
        <v>1.3</v>
      </c>
      <c r="AA2" s="84">
        <v>1.3</v>
      </c>
      <c r="AB2" s="84">
        <v>1.3</v>
      </c>
      <c r="AC2" s="84">
        <v>1.9</v>
      </c>
      <c r="AD2" s="84">
        <v>1.9</v>
      </c>
      <c r="AE2" s="84">
        <v>1.9</v>
      </c>
      <c r="AF2" s="84">
        <v>2.1</v>
      </c>
      <c r="AG2" s="84">
        <v>2.1</v>
      </c>
      <c r="AH2" s="84">
        <v>2.1</v>
      </c>
      <c r="AI2" s="85">
        <v>2.6</v>
      </c>
      <c r="AJ2" s="85">
        <v>2.6</v>
      </c>
      <c r="AK2" s="85">
        <v>2.6</v>
      </c>
      <c r="AL2" s="85">
        <v>2.5</v>
      </c>
      <c r="AM2" s="85">
        <v>2.5</v>
      </c>
      <c r="AN2" s="85">
        <v>2.5</v>
      </c>
      <c r="AO2" s="86">
        <v>2.1</v>
      </c>
      <c r="AP2" s="86">
        <v>2.1</v>
      </c>
      <c r="AQ2" s="86">
        <v>2.1</v>
      </c>
      <c r="AR2" s="86">
        <v>1.4</v>
      </c>
      <c r="AS2" s="86">
        <v>1.4</v>
      </c>
      <c r="AT2" s="86">
        <v>1.4</v>
      </c>
      <c r="AU2" s="86">
        <v>0.8</v>
      </c>
      <c r="AV2" s="86">
        <v>0.8</v>
      </c>
      <c r="AW2" s="86">
        <v>0.8</v>
      </c>
      <c r="AY2" s="87" t="s">
        <v>65</v>
      </c>
      <c r="AZ2" s="87" t="s">
        <v>66</v>
      </c>
      <c r="JV2" s="82"/>
    </row>
    <row r="3" spans="1:282" ht="25" customHeight="1">
      <c r="A3" s="83" t="s">
        <v>39</v>
      </c>
      <c r="B3" s="88">
        <v>3.1</v>
      </c>
      <c r="C3" s="88">
        <v>3.1</v>
      </c>
      <c r="D3" s="88">
        <v>3.1</v>
      </c>
      <c r="E3" s="88">
        <v>2.1</v>
      </c>
      <c r="F3" s="88">
        <v>2.1</v>
      </c>
      <c r="G3" s="88">
        <v>2.1</v>
      </c>
      <c r="H3" s="88">
        <v>1.3</v>
      </c>
      <c r="I3" s="88">
        <v>1.3</v>
      </c>
      <c r="J3" s="88">
        <v>1.3</v>
      </c>
      <c r="K3" s="88">
        <v>1.3</v>
      </c>
      <c r="L3" s="88">
        <v>1.3</v>
      </c>
      <c r="M3" s="88">
        <v>1.3</v>
      </c>
      <c r="N3" s="88">
        <v>1</v>
      </c>
      <c r="O3" s="88">
        <v>1</v>
      </c>
      <c r="P3" s="88">
        <v>1</v>
      </c>
      <c r="Q3" s="88">
        <v>1.7</v>
      </c>
      <c r="R3" s="88">
        <v>1.7</v>
      </c>
      <c r="S3" s="88">
        <v>1.7</v>
      </c>
      <c r="T3" s="88">
        <v>2.4</v>
      </c>
      <c r="U3" s="88">
        <v>2.4</v>
      </c>
      <c r="V3" s="88">
        <v>2.4</v>
      </c>
      <c r="W3" s="88">
        <v>3.1</v>
      </c>
      <c r="X3" s="88">
        <v>3.1</v>
      </c>
      <c r="Y3" s="88">
        <v>3.1</v>
      </c>
      <c r="Z3" s="88">
        <v>2.9</v>
      </c>
      <c r="AA3" s="88">
        <v>2.9</v>
      </c>
      <c r="AB3" s="88">
        <v>2.9</v>
      </c>
      <c r="AC3" s="88">
        <v>1.8</v>
      </c>
      <c r="AD3" s="88">
        <v>1.8</v>
      </c>
      <c r="AE3" s="88">
        <v>1.8</v>
      </c>
      <c r="AF3" s="88">
        <v>1.6</v>
      </c>
      <c r="AG3" s="88">
        <v>1.6</v>
      </c>
      <c r="AH3" s="88">
        <v>1.6</v>
      </c>
      <c r="AI3" s="88">
        <v>0.7</v>
      </c>
      <c r="AJ3" s="88">
        <v>0.7</v>
      </c>
      <c r="AK3" s="88">
        <v>0.7</v>
      </c>
      <c r="AL3" s="88">
        <v>0.1</v>
      </c>
      <c r="AM3" s="88">
        <v>0.1</v>
      </c>
      <c r="AN3" s="88">
        <v>0.1</v>
      </c>
      <c r="AO3" s="88">
        <v>1.1000000000000001</v>
      </c>
      <c r="AP3" s="88">
        <v>1.1000000000000001</v>
      </c>
      <c r="AQ3" s="88">
        <v>1.1000000000000001</v>
      </c>
      <c r="AR3" s="89">
        <v>1.1000000000000001</v>
      </c>
      <c r="AS3" s="89">
        <v>1.1000000000000001</v>
      </c>
      <c r="AT3" s="89">
        <v>1.1000000000000001</v>
      </c>
      <c r="AU3" s="89">
        <v>1.9</v>
      </c>
      <c r="AV3" s="89">
        <v>1.9</v>
      </c>
      <c r="AW3" s="89">
        <v>1.9</v>
      </c>
      <c r="AY3" s="90">
        <v>5</v>
      </c>
      <c r="AZ3" s="91">
        <v>10</v>
      </c>
      <c r="JV3" s="82"/>
    </row>
    <row r="4" spans="1:282" ht="25" customHeight="1">
      <c r="A4" s="83" t="s">
        <v>40</v>
      </c>
      <c r="B4" s="88">
        <v>1.8</v>
      </c>
      <c r="C4" s="88">
        <v>1.8</v>
      </c>
      <c r="D4" s="88">
        <v>1.8</v>
      </c>
      <c r="E4" s="88">
        <v>1</v>
      </c>
      <c r="F4" s="88">
        <v>1</v>
      </c>
      <c r="G4" s="88">
        <v>1</v>
      </c>
      <c r="H4" s="88">
        <v>0</v>
      </c>
      <c r="I4" s="88">
        <v>0</v>
      </c>
      <c r="J4" s="88">
        <v>0</v>
      </c>
      <c r="K4" s="88">
        <v>0</v>
      </c>
      <c r="L4" s="88">
        <v>0</v>
      </c>
      <c r="M4" s="88">
        <v>0</v>
      </c>
      <c r="N4" s="88">
        <v>-1.3</v>
      </c>
      <c r="O4" s="88">
        <v>-1.3</v>
      </c>
      <c r="P4" s="88">
        <v>-1.3</v>
      </c>
      <c r="Q4" s="88">
        <v>-1.2</v>
      </c>
      <c r="R4" s="88">
        <v>-1.2</v>
      </c>
      <c r="S4" s="88">
        <v>-1.2</v>
      </c>
      <c r="T4" s="88">
        <v>0.8</v>
      </c>
      <c r="U4" s="88">
        <v>0.8</v>
      </c>
      <c r="V4" s="88">
        <v>0.8</v>
      </c>
      <c r="W4" s="88">
        <v>0.6</v>
      </c>
      <c r="X4" s="88">
        <v>0.6</v>
      </c>
      <c r="Y4" s="88">
        <v>0.6</v>
      </c>
      <c r="Z4" s="88">
        <v>1.6</v>
      </c>
      <c r="AA4" s="88">
        <v>1.6</v>
      </c>
      <c r="AB4" s="88">
        <v>1.6</v>
      </c>
      <c r="AC4" s="88">
        <v>2</v>
      </c>
      <c r="AD4" s="88">
        <v>2</v>
      </c>
      <c r="AE4" s="88">
        <v>2</v>
      </c>
      <c r="AF4" s="88">
        <v>0.5</v>
      </c>
      <c r="AG4" s="88">
        <v>0.5</v>
      </c>
      <c r="AH4" s="88">
        <v>0.5</v>
      </c>
      <c r="AI4" s="88">
        <v>0.2</v>
      </c>
      <c r="AJ4" s="88">
        <v>0.2</v>
      </c>
      <c r="AK4" s="88">
        <v>0.2</v>
      </c>
      <c r="AL4" s="88">
        <v>0.6</v>
      </c>
      <c r="AM4" s="88">
        <v>0.6</v>
      </c>
      <c r="AN4" s="88">
        <v>0.6</v>
      </c>
      <c r="AO4" s="88">
        <v>0.7</v>
      </c>
      <c r="AP4" s="88">
        <v>0.7</v>
      </c>
      <c r="AQ4" s="88">
        <v>0.7</v>
      </c>
      <c r="AR4" s="89">
        <v>0.9</v>
      </c>
      <c r="AS4" s="89">
        <v>0.9</v>
      </c>
      <c r="AT4" s="89">
        <v>0.9</v>
      </c>
      <c r="AU4" s="89">
        <v>1.1000000000000001</v>
      </c>
      <c r="AV4" s="89">
        <v>1.1000000000000001</v>
      </c>
      <c r="AW4" s="89">
        <v>1.1000000000000001</v>
      </c>
      <c r="AY4" s="90">
        <v>4</v>
      </c>
      <c r="AZ4" s="91">
        <v>8</v>
      </c>
      <c r="JV4" s="82"/>
    </row>
    <row r="5" spans="1:282" ht="25" customHeight="1">
      <c r="A5" s="83" t="s">
        <v>42</v>
      </c>
      <c r="B5" s="92">
        <v>3.1</v>
      </c>
      <c r="C5" s="92">
        <v>3.1</v>
      </c>
      <c r="D5" s="92">
        <v>3.1</v>
      </c>
      <c r="E5" s="92">
        <v>3</v>
      </c>
      <c r="F5" s="92">
        <v>3</v>
      </c>
      <c r="G5" s="92">
        <v>3</v>
      </c>
      <c r="H5" s="92">
        <v>1.2</v>
      </c>
      <c r="I5" s="92">
        <v>1.2</v>
      </c>
      <c r="J5" s="92">
        <v>1.2</v>
      </c>
      <c r="K5" s="92">
        <v>1.4</v>
      </c>
      <c r="L5" s="92">
        <v>1.4</v>
      </c>
      <c r="M5" s="92">
        <v>1.4</v>
      </c>
      <c r="N5" s="92">
        <v>1.6</v>
      </c>
      <c r="O5" s="92">
        <v>1.6</v>
      </c>
      <c r="P5" s="92">
        <v>1.6</v>
      </c>
      <c r="Q5" s="92">
        <v>0.1</v>
      </c>
      <c r="R5" s="92">
        <v>0.1</v>
      </c>
      <c r="S5" s="92">
        <v>0.1</v>
      </c>
      <c r="T5" s="92">
        <v>-1.2</v>
      </c>
      <c r="U5" s="92">
        <v>-1.2</v>
      </c>
      <c r="V5" s="92">
        <v>-1.2</v>
      </c>
      <c r="W5" s="92">
        <v>-1.6</v>
      </c>
      <c r="X5" s="92">
        <v>-1.6</v>
      </c>
      <c r="Y5" s="92">
        <v>-1.6</v>
      </c>
      <c r="Z5" s="92">
        <v>-0.7</v>
      </c>
      <c r="AA5" s="92">
        <v>-0.7</v>
      </c>
      <c r="AB5" s="92">
        <v>-0.7</v>
      </c>
      <c r="AC5" s="92">
        <v>-1.1000000000000001</v>
      </c>
      <c r="AD5" s="92">
        <v>-1.1000000000000001</v>
      </c>
      <c r="AE5" s="92">
        <v>-1.1000000000000001</v>
      </c>
      <c r="AF5" s="92">
        <v>1.1000000000000001</v>
      </c>
      <c r="AG5" s="92">
        <v>1.1000000000000001</v>
      </c>
      <c r="AH5" s="92">
        <v>1.1000000000000001</v>
      </c>
      <c r="AI5" s="88">
        <v>1.3</v>
      </c>
      <c r="AJ5" s="88">
        <v>1.3</v>
      </c>
      <c r="AK5" s="88">
        <v>1.3</v>
      </c>
      <c r="AL5" s="88">
        <v>1.5</v>
      </c>
      <c r="AM5" s="88">
        <v>1.5</v>
      </c>
      <c r="AN5" s="88">
        <v>1.5</v>
      </c>
      <c r="AO5" s="88">
        <v>1.8</v>
      </c>
      <c r="AP5" s="88">
        <v>1.8</v>
      </c>
      <c r="AQ5" s="88">
        <v>1.8</v>
      </c>
      <c r="AR5" s="89">
        <v>1.8</v>
      </c>
      <c r="AS5" s="89">
        <v>1.8</v>
      </c>
      <c r="AT5" s="89">
        <v>1.8</v>
      </c>
      <c r="AU5" s="89">
        <v>1.9</v>
      </c>
      <c r="AV5" s="89">
        <v>1.9</v>
      </c>
      <c r="AW5" s="89">
        <v>1.9</v>
      </c>
      <c r="AY5" s="90">
        <v>3</v>
      </c>
      <c r="AZ5" s="91">
        <v>6</v>
      </c>
      <c r="JV5" s="82"/>
    </row>
    <row r="6" spans="1:282" ht="25" customHeight="1">
      <c r="A6" s="83" t="s">
        <v>41</v>
      </c>
      <c r="B6" s="92">
        <v>2</v>
      </c>
      <c r="C6" s="92">
        <v>2</v>
      </c>
      <c r="D6" s="92">
        <v>2</v>
      </c>
      <c r="E6" s="92">
        <v>1</v>
      </c>
      <c r="F6" s="92">
        <v>1</v>
      </c>
      <c r="G6" s="92">
        <v>1</v>
      </c>
      <c r="H6" s="92">
        <v>0.8</v>
      </c>
      <c r="I6" s="92">
        <v>0.8</v>
      </c>
      <c r="J6" s="92">
        <v>0.8</v>
      </c>
      <c r="K6" s="92">
        <v>1.1000000000000001</v>
      </c>
      <c r="L6" s="92">
        <v>1.1000000000000001</v>
      </c>
      <c r="M6" s="92">
        <v>1.1000000000000001</v>
      </c>
      <c r="N6" s="92">
        <v>0.1</v>
      </c>
      <c r="O6" s="92">
        <v>0.1</v>
      </c>
      <c r="P6" s="92">
        <v>0.1</v>
      </c>
      <c r="Q6" s="92">
        <v>1.6</v>
      </c>
      <c r="R6" s="92">
        <v>1.6</v>
      </c>
      <c r="S6" s="92">
        <v>1.6</v>
      </c>
      <c r="T6" s="92">
        <v>1.6</v>
      </c>
      <c r="U6" s="92">
        <v>1.6</v>
      </c>
      <c r="V6" s="92">
        <v>1.6</v>
      </c>
      <c r="W6" s="92">
        <v>1.3</v>
      </c>
      <c r="X6" s="92">
        <v>1.3</v>
      </c>
      <c r="Y6" s="92">
        <v>1.3</v>
      </c>
      <c r="Z6" s="92">
        <v>2.5</v>
      </c>
      <c r="AA6" s="92">
        <v>2.5</v>
      </c>
      <c r="AB6" s="92">
        <v>2.5</v>
      </c>
      <c r="AC6" s="92">
        <v>1.6</v>
      </c>
      <c r="AD6" s="92">
        <v>1.6</v>
      </c>
      <c r="AE6" s="92">
        <v>1.6</v>
      </c>
      <c r="AF6" s="92">
        <v>0.7</v>
      </c>
      <c r="AG6" s="92">
        <v>0.7</v>
      </c>
      <c r="AH6" s="92">
        <v>0.7</v>
      </c>
      <c r="AI6" s="88">
        <v>1.1000000000000001</v>
      </c>
      <c r="AJ6" s="88">
        <v>1.1000000000000001</v>
      </c>
      <c r="AK6" s="88">
        <v>1.1000000000000001</v>
      </c>
      <c r="AL6" s="88">
        <v>0.3</v>
      </c>
      <c r="AM6" s="88">
        <v>0.3</v>
      </c>
      <c r="AN6" s="88">
        <v>0.3</v>
      </c>
      <c r="AO6" s="88">
        <v>2.2999999999999998</v>
      </c>
      <c r="AP6" s="88">
        <v>2.2999999999999998</v>
      </c>
      <c r="AQ6" s="88">
        <v>2.2999999999999998</v>
      </c>
      <c r="AR6" s="89">
        <v>0.8</v>
      </c>
      <c r="AS6" s="89">
        <v>0.8</v>
      </c>
      <c r="AT6" s="89">
        <v>0.8</v>
      </c>
      <c r="AU6" s="89">
        <v>1</v>
      </c>
      <c r="AV6" s="89">
        <v>1</v>
      </c>
      <c r="AW6" s="89">
        <v>1</v>
      </c>
      <c r="AY6" s="90">
        <v>2</v>
      </c>
      <c r="AZ6" s="91">
        <v>4</v>
      </c>
      <c r="JV6" s="82"/>
    </row>
    <row r="7" spans="1:282" ht="25" customHeight="1">
      <c r="A7" s="83" t="s">
        <v>43</v>
      </c>
      <c r="B7" s="92">
        <v>1</v>
      </c>
      <c r="C7" s="92">
        <v>1</v>
      </c>
      <c r="D7" s="92">
        <v>1</v>
      </c>
      <c r="E7" s="92">
        <v>0.5</v>
      </c>
      <c r="F7" s="92">
        <v>0.5</v>
      </c>
      <c r="G7" s="92">
        <v>0.5</v>
      </c>
      <c r="H7" s="92">
        <v>0.1</v>
      </c>
      <c r="I7" s="92">
        <v>0.1</v>
      </c>
      <c r="J7" s="92">
        <v>0.1</v>
      </c>
      <c r="K7" s="92">
        <v>-0.5</v>
      </c>
      <c r="L7" s="92">
        <v>-0.5</v>
      </c>
      <c r="M7" s="92">
        <v>-0.5</v>
      </c>
      <c r="N7" s="92">
        <v>0.3</v>
      </c>
      <c r="O7" s="92">
        <v>0.3</v>
      </c>
      <c r="P7" s="92">
        <v>0.3</v>
      </c>
      <c r="Q7" s="92">
        <v>0.8</v>
      </c>
      <c r="R7" s="92">
        <v>0.8</v>
      </c>
      <c r="S7" s="92">
        <v>0.8</v>
      </c>
      <c r="T7" s="92">
        <v>1.3</v>
      </c>
      <c r="U7" s="92">
        <v>1.3</v>
      </c>
      <c r="V7" s="92">
        <v>1.3</v>
      </c>
      <c r="W7" s="92">
        <v>1.9</v>
      </c>
      <c r="X7" s="92">
        <v>1.9</v>
      </c>
      <c r="Y7" s="92">
        <v>1.9</v>
      </c>
      <c r="Z7" s="92">
        <v>1.8</v>
      </c>
      <c r="AA7" s="92">
        <v>1.8</v>
      </c>
      <c r="AB7" s="92">
        <v>1.8</v>
      </c>
      <c r="AC7" s="92">
        <v>1.4</v>
      </c>
      <c r="AD7" s="92">
        <v>1.4</v>
      </c>
      <c r="AE7" s="92">
        <v>1.4</v>
      </c>
      <c r="AF7" s="92">
        <v>1.3</v>
      </c>
      <c r="AG7" s="92">
        <v>1.3</v>
      </c>
      <c r="AH7" s="92">
        <v>1.3</v>
      </c>
      <c r="AI7" s="88">
        <v>0.9</v>
      </c>
      <c r="AJ7" s="88">
        <v>0.9</v>
      </c>
      <c r="AK7" s="88">
        <v>0.9</v>
      </c>
      <c r="AL7" s="88">
        <v>0.9</v>
      </c>
      <c r="AM7" s="88">
        <v>0.9</v>
      </c>
      <c r="AN7" s="88">
        <v>0.9</v>
      </c>
      <c r="AO7" s="88">
        <v>1.2</v>
      </c>
      <c r="AP7" s="88">
        <v>1.2</v>
      </c>
      <c r="AQ7" s="88">
        <v>1.2</v>
      </c>
      <c r="AR7" s="89">
        <v>1.5</v>
      </c>
      <c r="AS7" s="89">
        <v>1.5</v>
      </c>
      <c r="AT7" s="89">
        <v>1.5</v>
      </c>
      <c r="AU7" s="89">
        <v>1.4</v>
      </c>
      <c r="AV7" s="89">
        <v>1.4</v>
      </c>
      <c r="AW7" s="89">
        <v>1.4</v>
      </c>
      <c r="AY7" s="90">
        <v>1</v>
      </c>
      <c r="AZ7" s="91">
        <v>2</v>
      </c>
      <c r="JV7" s="82"/>
    </row>
    <row r="8" spans="1:282" ht="25" customHeight="1">
      <c r="A8" s="83" t="s">
        <v>44</v>
      </c>
      <c r="B8" s="88">
        <v>2.2999999999999998</v>
      </c>
      <c r="C8" s="88">
        <v>2.2999999999999998</v>
      </c>
      <c r="D8" s="88">
        <v>2.2999999999999998</v>
      </c>
      <c r="E8" s="88">
        <v>2.8</v>
      </c>
      <c r="F8" s="88">
        <v>2.8</v>
      </c>
      <c r="G8" s="88">
        <v>2.8</v>
      </c>
      <c r="H8" s="88">
        <v>3.2</v>
      </c>
      <c r="I8" s="88">
        <v>3.2</v>
      </c>
      <c r="J8" s="88">
        <v>3.2</v>
      </c>
      <c r="K8" s="88">
        <v>3.4</v>
      </c>
      <c r="L8" s="88">
        <v>3.4</v>
      </c>
      <c r="M8" s="88">
        <v>3.4</v>
      </c>
      <c r="N8" s="88">
        <v>2.9</v>
      </c>
      <c r="O8" s="88">
        <v>2.9</v>
      </c>
      <c r="P8" s="88">
        <v>2.9</v>
      </c>
      <c r="Q8" s="88">
        <v>3.1</v>
      </c>
      <c r="R8" s="88">
        <v>3.1</v>
      </c>
      <c r="S8" s="88">
        <v>3.1</v>
      </c>
      <c r="T8" s="88">
        <v>2.8</v>
      </c>
      <c r="U8" s="88">
        <v>2.8</v>
      </c>
      <c r="V8" s="88">
        <v>2.8</v>
      </c>
      <c r="W8" s="88">
        <v>2.4</v>
      </c>
      <c r="X8" s="88">
        <v>2.4</v>
      </c>
      <c r="Y8" s="88">
        <v>2.4</v>
      </c>
      <c r="Z8" s="88">
        <v>2</v>
      </c>
      <c r="AA8" s="88">
        <v>2</v>
      </c>
      <c r="AB8" s="88">
        <v>2</v>
      </c>
      <c r="AC8" s="88">
        <v>2.1</v>
      </c>
      <c r="AD8" s="88">
        <v>2.1</v>
      </c>
      <c r="AE8" s="88">
        <v>2.1</v>
      </c>
      <c r="AF8" s="88">
        <v>2.2999999999999998</v>
      </c>
      <c r="AG8" s="88">
        <v>2.2999999999999998</v>
      </c>
      <c r="AH8" s="88">
        <v>2.2999999999999998</v>
      </c>
      <c r="AI8" s="88">
        <v>2</v>
      </c>
      <c r="AJ8" s="88">
        <v>2</v>
      </c>
      <c r="AK8" s="88">
        <v>2</v>
      </c>
      <c r="AL8" s="88">
        <v>2.7</v>
      </c>
      <c r="AM8" s="88">
        <v>2.7</v>
      </c>
      <c r="AN8" s="88">
        <v>2.7</v>
      </c>
      <c r="AO8" s="88">
        <v>2.1</v>
      </c>
      <c r="AP8" s="88">
        <v>2.1</v>
      </c>
      <c r="AQ8" s="88">
        <v>2.1</v>
      </c>
      <c r="AR8" s="89">
        <v>1.8</v>
      </c>
      <c r="AS8" s="89">
        <v>1.8</v>
      </c>
      <c r="AT8" s="89">
        <v>1.8</v>
      </c>
      <c r="AU8" s="89">
        <v>1.6</v>
      </c>
      <c r="AV8" s="89">
        <v>1.6</v>
      </c>
      <c r="AW8" s="89">
        <v>1.6</v>
      </c>
      <c r="AY8" s="93">
        <v>0</v>
      </c>
      <c r="AZ8" s="94">
        <v>0</v>
      </c>
      <c r="JV8" s="82"/>
    </row>
    <row r="9" spans="1:282" ht="30" customHeight="1">
      <c r="A9" s="83" t="s">
        <v>67</v>
      </c>
      <c r="B9" s="92">
        <v>1.3</v>
      </c>
      <c r="C9" s="92">
        <v>1.3</v>
      </c>
      <c r="D9" s="92">
        <v>1.3</v>
      </c>
      <c r="E9" s="92">
        <v>0.6</v>
      </c>
      <c r="F9" s="92">
        <v>0.6</v>
      </c>
      <c r="G9" s="92">
        <v>0.6</v>
      </c>
      <c r="H9" s="92">
        <v>0.1</v>
      </c>
      <c r="I9" s="92">
        <v>0.1</v>
      </c>
      <c r="J9" s="92">
        <v>0.1</v>
      </c>
      <c r="K9" s="92">
        <v>0.2</v>
      </c>
      <c r="L9" s="92">
        <v>0.2</v>
      </c>
      <c r="M9" s="92">
        <v>0.2</v>
      </c>
      <c r="N9" s="92">
        <v>0.6</v>
      </c>
      <c r="O9" s="92">
        <v>0.6</v>
      </c>
      <c r="P9" s="92">
        <v>0.6</v>
      </c>
      <c r="Q9" s="92">
        <v>0.6</v>
      </c>
      <c r="R9" s="92">
        <v>0.6</v>
      </c>
      <c r="S9" s="92">
        <v>0.6</v>
      </c>
      <c r="T9" s="92">
        <v>1</v>
      </c>
      <c r="U9" s="92">
        <v>1</v>
      </c>
      <c r="V9" s="92">
        <v>1</v>
      </c>
      <c r="W9" s="92">
        <v>1.3</v>
      </c>
      <c r="X9" s="92">
        <v>1.3</v>
      </c>
      <c r="Y9" s="92">
        <v>1.3</v>
      </c>
      <c r="Z9" s="92">
        <v>1.6</v>
      </c>
      <c r="AA9" s="92">
        <v>1.6</v>
      </c>
      <c r="AB9" s="92">
        <v>1.6</v>
      </c>
      <c r="AC9" s="92">
        <v>1.4</v>
      </c>
      <c r="AD9" s="92">
        <v>1.4</v>
      </c>
      <c r="AE9" s="92">
        <v>1.4</v>
      </c>
      <c r="AF9" s="92">
        <v>1.2</v>
      </c>
      <c r="AG9" s="92">
        <v>1.2</v>
      </c>
      <c r="AH9" s="92">
        <v>1.2</v>
      </c>
      <c r="AI9" s="88">
        <v>1.1000000000000001</v>
      </c>
      <c r="AJ9" s="88">
        <v>1.1000000000000001</v>
      </c>
      <c r="AK9" s="88">
        <v>1.1000000000000001</v>
      </c>
      <c r="AL9" s="88">
        <v>0.5</v>
      </c>
      <c r="AM9" s="88">
        <v>0.5</v>
      </c>
      <c r="AN9" s="88">
        <v>0.5</v>
      </c>
      <c r="AO9" s="88">
        <v>1.2</v>
      </c>
      <c r="AP9" s="88">
        <v>1.2</v>
      </c>
      <c r="AQ9" s="88">
        <v>1.2</v>
      </c>
      <c r="AR9" s="89">
        <v>1</v>
      </c>
      <c r="AS9" s="89">
        <v>1</v>
      </c>
      <c r="AT9" s="89">
        <v>1</v>
      </c>
      <c r="AU9" s="89">
        <v>0.7</v>
      </c>
      <c r="AV9" s="89">
        <v>0.7</v>
      </c>
      <c r="AW9" s="89">
        <v>0.7</v>
      </c>
      <c r="AY9" s="90">
        <v>-1</v>
      </c>
      <c r="AZ9" s="95">
        <v>-2</v>
      </c>
      <c r="JV9" s="82"/>
    </row>
    <row r="10" spans="1:282" ht="15">
      <c r="A10" s="96"/>
      <c r="B10" s="96"/>
      <c r="C10" s="96"/>
      <c r="AY10" s="90">
        <v>-2</v>
      </c>
      <c r="AZ10" s="95">
        <v>-4</v>
      </c>
      <c r="JV10" s="82"/>
    </row>
    <row r="11" spans="1:282" ht="16">
      <c r="A11" s="97" t="s">
        <v>68</v>
      </c>
      <c r="B11" s="115">
        <v>44927</v>
      </c>
      <c r="C11" s="115">
        <v>44958</v>
      </c>
      <c r="D11" s="115">
        <v>44986</v>
      </c>
      <c r="E11" s="115">
        <v>45017</v>
      </c>
      <c r="F11" s="115">
        <v>45047</v>
      </c>
      <c r="G11" s="115">
        <v>45078</v>
      </c>
      <c r="H11" s="115">
        <v>45108</v>
      </c>
      <c r="I11" s="115">
        <v>45139</v>
      </c>
      <c r="J11" s="115">
        <v>45170</v>
      </c>
      <c r="K11" s="115">
        <v>45200</v>
      </c>
      <c r="L11" s="115">
        <v>45231</v>
      </c>
      <c r="M11" s="115">
        <v>45261</v>
      </c>
      <c r="N11" s="115">
        <v>45292</v>
      </c>
      <c r="O11" s="115">
        <v>45323</v>
      </c>
      <c r="P11" s="115">
        <v>45352</v>
      </c>
      <c r="Q11" s="115">
        <v>45383</v>
      </c>
      <c r="R11" s="115">
        <v>45413</v>
      </c>
      <c r="S11" s="115">
        <v>45444</v>
      </c>
      <c r="T11" s="115">
        <v>45474</v>
      </c>
      <c r="U11" s="115">
        <v>45505</v>
      </c>
      <c r="V11" s="115">
        <v>45536</v>
      </c>
      <c r="W11" s="115">
        <v>45566</v>
      </c>
      <c r="X11" s="115">
        <v>45597</v>
      </c>
      <c r="Y11" s="115">
        <v>45627</v>
      </c>
      <c r="Z11" s="115">
        <v>45658</v>
      </c>
      <c r="AA11" s="115">
        <v>45689</v>
      </c>
      <c r="AB11" s="115">
        <v>45717</v>
      </c>
      <c r="AC11" s="115">
        <v>45748</v>
      </c>
      <c r="AD11" s="115">
        <v>45778</v>
      </c>
      <c r="AE11" s="115">
        <v>45809</v>
      </c>
      <c r="AF11" s="115">
        <v>45839</v>
      </c>
      <c r="AG11" s="115">
        <v>45870</v>
      </c>
      <c r="AH11" s="115">
        <v>45901</v>
      </c>
      <c r="AI11" s="115">
        <v>45931</v>
      </c>
      <c r="AJ11" s="115">
        <v>45962</v>
      </c>
      <c r="AK11" s="115">
        <v>45992</v>
      </c>
      <c r="AL11" s="115">
        <v>46023</v>
      </c>
      <c r="AM11" s="115">
        <v>46054</v>
      </c>
      <c r="AN11" s="115">
        <v>46082</v>
      </c>
      <c r="AO11" s="115">
        <v>46113</v>
      </c>
      <c r="AP11" s="115">
        <v>46143</v>
      </c>
      <c r="AQ11" s="115">
        <v>46174</v>
      </c>
      <c r="AR11" s="115">
        <v>46204</v>
      </c>
      <c r="AS11" s="115">
        <v>46235</v>
      </c>
      <c r="AT11" s="115">
        <v>46266</v>
      </c>
      <c r="AU11" s="115">
        <v>46296</v>
      </c>
      <c r="AV11" s="115">
        <v>46327</v>
      </c>
      <c r="AW11" s="115">
        <v>46357</v>
      </c>
      <c r="AY11" s="90">
        <v>-3</v>
      </c>
      <c r="AZ11" s="95">
        <v>-6</v>
      </c>
      <c r="BD11" s="98"/>
      <c r="BH11" s="98"/>
      <c r="JV11" s="82"/>
    </row>
    <row r="12" spans="1:282" ht="25" customHeight="1">
      <c r="A12" s="99" t="s">
        <v>16</v>
      </c>
      <c r="B12" s="100">
        <f t="shared" ref="B12:AW12" si="0">B8-B3</f>
        <v>-0.80000000000000027</v>
      </c>
      <c r="C12" s="100">
        <f t="shared" si="0"/>
        <v>-0.80000000000000027</v>
      </c>
      <c r="D12" s="100">
        <f t="shared" si="0"/>
        <v>-0.80000000000000027</v>
      </c>
      <c r="E12" s="100">
        <f t="shared" si="0"/>
        <v>0.69999999999999973</v>
      </c>
      <c r="F12" s="100">
        <f t="shared" si="0"/>
        <v>0.69999999999999973</v>
      </c>
      <c r="G12" s="100">
        <f t="shared" si="0"/>
        <v>0.69999999999999973</v>
      </c>
      <c r="H12" s="100">
        <f t="shared" si="0"/>
        <v>1.9000000000000001</v>
      </c>
      <c r="I12" s="100">
        <f t="shared" si="0"/>
        <v>1.9000000000000001</v>
      </c>
      <c r="J12" s="100">
        <f t="shared" si="0"/>
        <v>1.9000000000000001</v>
      </c>
      <c r="K12" s="100">
        <f t="shared" si="0"/>
        <v>2.0999999999999996</v>
      </c>
      <c r="L12" s="100">
        <f t="shared" si="0"/>
        <v>2.0999999999999996</v>
      </c>
      <c r="M12" s="100">
        <f t="shared" si="0"/>
        <v>2.0999999999999996</v>
      </c>
      <c r="N12" s="100">
        <f t="shared" si="0"/>
        <v>1.9</v>
      </c>
      <c r="O12" s="100">
        <f t="shared" si="0"/>
        <v>1.9</v>
      </c>
      <c r="P12" s="100">
        <f t="shared" si="0"/>
        <v>1.9</v>
      </c>
      <c r="Q12" s="100">
        <f t="shared" si="0"/>
        <v>1.4000000000000001</v>
      </c>
      <c r="R12" s="100">
        <f t="shared" si="0"/>
        <v>1.4000000000000001</v>
      </c>
      <c r="S12" s="100">
        <f t="shared" si="0"/>
        <v>1.4000000000000001</v>
      </c>
      <c r="T12" s="100">
        <f t="shared" si="0"/>
        <v>0.39999999999999991</v>
      </c>
      <c r="U12" s="100">
        <f t="shared" si="0"/>
        <v>0.39999999999999991</v>
      </c>
      <c r="V12" s="100">
        <f t="shared" si="0"/>
        <v>0.39999999999999991</v>
      </c>
      <c r="W12" s="100">
        <f t="shared" si="0"/>
        <v>-0.70000000000000018</v>
      </c>
      <c r="X12" s="100">
        <f t="shared" si="0"/>
        <v>-0.70000000000000018</v>
      </c>
      <c r="Y12" s="100">
        <f t="shared" si="0"/>
        <v>-0.70000000000000018</v>
      </c>
      <c r="Z12" s="100">
        <f t="shared" si="0"/>
        <v>-0.89999999999999991</v>
      </c>
      <c r="AA12" s="100">
        <f t="shared" si="0"/>
        <v>-0.89999999999999991</v>
      </c>
      <c r="AB12" s="100">
        <f t="shared" si="0"/>
        <v>-0.89999999999999991</v>
      </c>
      <c r="AC12" s="100">
        <f t="shared" si="0"/>
        <v>0.30000000000000004</v>
      </c>
      <c r="AD12" s="100">
        <f t="shared" si="0"/>
        <v>0.30000000000000004</v>
      </c>
      <c r="AE12" s="100">
        <f t="shared" si="0"/>
        <v>0.30000000000000004</v>
      </c>
      <c r="AF12" s="100">
        <f t="shared" si="0"/>
        <v>0.69999999999999973</v>
      </c>
      <c r="AG12" s="100">
        <f t="shared" si="0"/>
        <v>0.69999999999999973</v>
      </c>
      <c r="AH12" s="100">
        <f t="shared" si="0"/>
        <v>0.69999999999999973</v>
      </c>
      <c r="AI12" s="100">
        <f t="shared" si="0"/>
        <v>1.3</v>
      </c>
      <c r="AJ12" s="100">
        <f t="shared" si="0"/>
        <v>1.3</v>
      </c>
      <c r="AK12" s="100">
        <f t="shared" si="0"/>
        <v>1.3</v>
      </c>
      <c r="AL12" s="100">
        <f t="shared" si="0"/>
        <v>2.6</v>
      </c>
      <c r="AM12" s="100">
        <f t="shared" si="0"/>
        <v>2.6</v>
      </c>
      <c r="AN12" s="100">
        <f t="shared" si="0"/>
        <v>2.6</v>
      </c>
      <c r="AO12" s="100">
        <f t="shared" si="0"/>
        <v>1</v>
      </c>
      <c r="AP12" s="100">
        <f t="shared" si="0"/>
        <v>1</v>
      </c>
      <c r="AQ12" s="100">
        <f t="shared" si="0"/>
        <v>1</v>
      </c>
      <c r="AR12" s="100">
        <f t="shared" si="0"/>
        <v>0.7</v>
      </c>
      <c r="AS12" s="100">
        <f t="shared" si="0"/>
        <v>0.7</v>
      </c>
      <c r="AT12" s="100">
        <f t="shared" si="0"/>
        <v>0.7</v>
      </c>
      <c r="AU12" s="100">
        <f t="shared" si="0"/>
        <v>-0.29999999999999982</v>
      </c>
      <c r="AV12" s="100">
        <f t="shared" si="0"/>
        <v>-0.29999999999999982</v>
      </c>
      <c r="AW12" s="100">
        <f t="shared" si="0"/>
        <v>-0.29999999999999982</v>
      </c>
      <c r="AY12" s="90">
        <v>-4</v>
      </c>
      <c r="AZ12" s="95">
        <v>-8</v>
      </c>
      <c r="BD12" s="98"/>
      <c r="BH12" s="98"/>
      <c r="JV12" s="82"/>
    </row>
    <row r="13" spans="1:282" ht="25" customHeight="1">
      <c r="A13" s="99" t="s">
        <v>46</v>
      </c>
      <c r="B13" s="100">
        <f t="shared" ref="B13:AW13" si="1">B8-B6</f>
        <v>0.29999999999999982</v>
      </c>
      <c r="C13" s="100">
        <f t="shared" si="1"/>
        <v>0.29999999999999982</v>
      </c>
      <c r="D13" s="100">
        <f t="shared" si="1"/>
        <v>0.29999999999999982</v>
      </c>
      <c r="E13" s="100">
        <f t="shared" si="1"/>
        <v>1.7999999999999998</v>
      </c>
      <c r="F13" s="100">
        <f t="shared" si="1"/>
        <v>1.7999999999999998</v>
      </c>
      <c r="G13" s="100">
        <f t="shared" si="1"/>
        <v>1.7999999999999998</v>
      </c>
      <c r="H13" s="100">
        <f t="shared" si="1"/>
        <v>2.4000000000000004</v>
      </c>
      <c r="I13" s="100">
        <f t="shared" si="1"/>
        <v>2.4000000000000004</v>
      </c>
      <c r="J13" s="100">
        <f t="shared" si="1"/>
        <v>2.4000000000000004</v>
      </c>
      <c r="K13" s="100">
        <f t="shared" si="1"/>
        <v>2.2999999999999998</v>
      </c>
      <c r="L13" s="100">
        <f t="shared" si="1"/>
        <v>2.2999999999999998</v>
      </c>
      <c r="M13" s="100">
        <f t="shared" si="1"/>
        <v>2.2999999999999998</v>
      </c>
      <c r="N13" s="100">
        <f t="shared" si="1"/>
        <v>2.8</v>
      </c>
      <c r="O13" s="100">
        <f t="shared" si="1"/>
        <v>2.8</v>
      </c>
      <c r="P13" s="100">
        <f t="shared" si="1"/>
        <v>2.8</v>
      </c>
      <c r="Q13" s="100">
        <f t="shared" si="1"/>
        <v>1.5</v>
      </c>
      <c r="R13" s="100">
        <f t="shared" si="1"/>
        <v>1.5</v>
      </c>
      <c r="S13" s="100">
        <f t="shared" si="1"/>
        <v>1.5</v>
      </c>
      <c r="T13" s="100">
        <f t="shared" si="1"/>
        <v>1.1999999999999997</v>
      </c>
      <c r="U13" s="100">
        <f t="shared" si="1"/>
        <v>1.1999999999999997</v>
      </c>
      <c r="V13" s="100">
        <f t="shared" si="1"/>
        <v>1.1999999999999997</v>
      </c>
      <c r="W13" s="100">
        <f t="shared" si="1"/>
        <v>1.0999999999999999</v>
      </c>
      <c r="X13" s="100">
        <f t="shared" si="1"/>
        <v>1.0999999999999999</v>
      </c>
      <c r="Y13" s="100">
        <f t="shared" si="1"/>
        <v>1.0999999999999999</v>
      </c>
      <c r="Z13" s="100">
        <f t="shared" si="1"/>
        <v>-0.5</v>
      </c>
      <c r="AA13" s="100">
        <f t="shared" si="1"/>
        <v>-0.5</v>
      </c>
      <c r="AB13" s="100">
        <f t="shared" si="1"/>
        <v>-0.5</v>
      </c>
      <c r="AC13" s="100">
        <f t="shared" si="1"/>
        <v>0.5</v>
      </c>
      <c r="AD13" s="100">
        <f t="shared" si="1"/>
        <v>0.5</v>
      </c>
      <c r="AE13" s="100">
        <f t="shared" si="1"/>
        <v>0.5</v>
      </c>
      <c r="AF13" s="100">
        <f t="shared" si="1"/>
        <v>1.5999999999999999</v>
      </c>
      <c r="AG13" s="100">
        <f t="shared" si="1"/>
        <v>1.5999999999999999</v>
      </c>
      <c r="AH13" s="100">
        <f t="shared" si="1"/>
        <v>1.5999999999999999</v>
      </c>
      <c r="AI13" s="100">
        <f t="shared" si="1"/>
        <v>0.89999999999999991</v>
      </c>
      <c r="AJ13" s="100">
        <f t="shared" si="1"/>
        <v>0.89999999999999991</v>
      </c>
      <c r="AK13" s="100">
        <f t="shared" si="1"/>
        <v>0.89999999999999991</v>
      </c>
      <c r="AL13" s="100">
        <f t="shared" si="1"/>
        <v>2.4000000000000004</v>
      </c>
      <c r="AM13" s="100">
        <f t="shared" si="1"/>
        <v>2.4000000000000004</v>
      </c>
      <c r="AN13" s="100">
        <f t="shared" si="1"/>
        <v>2.4000000000000004</v>
      </c>
      <c r="AO13" s="100">
        <f t="shared" si="1"/>
        <v>-0.19999999999999973</v>
      </c>
      <c r="AP13" s="100">
        <f t="shared" si="1"/>
        <v>-0.19999999999999973</v>
      </c>
      <c r="AQ13" s="100">
        <f t="shared" si="1"/>
        <v>-0.19999999999999973</v>
      </c>
      <c r="AR13" s="100">
        <f t="shared" si="1"/>
        <v>1</v>
      </c>
      <c r="AS13" s="100">
        <f t="shared" si="1"/>
        <v>1</v>
      </c>
      <c r="AT13" s="100">
        <f t="shared" si="1"/>
        <v>1</v>
      </c>
      <c r="AU13" s="100">
        <f t="shared" si="1"/>
        <v>0.60000000000000009</v>
      </c>
      <c r="AV13" s="100">
        <f t="shared" si="1"/>
        <v>0.60000000000000009</v>
      </c>
      <c r="AW13" s="100">
        <f t="shared" si="1"/>
        <v>0.60000000000000009</v>
      </c>
      <c r="AY13" s="90">
        <v>-5</v>
      </c>
      <c r="AZ13" s="95">
        <v>-10</v>
      </c>
      <c r="BD13" s="98"/>
      <c r="BH13" s="98"/>
      <c r="JV13" s="82"/>
    </row>
    <row r="14" spans="1:282" ht="25" customHeight="1">
      <c r="A14" s="99" t="s">
        <v>17</v>
      </c>
      <c r="B14" s="100">
        <f>B8-B3</f>
        <v>-0.80000000000000027</v>
      </c>
      <c r="C14" s="100">
        <f>C8-C3</f>
        <v>-0.80000000000000027</v>
      </c>
      <c r="D14" s="100">
        <f>D8-D3</f>
        <v>-0.80000000000000027</v>
      </c>
      <c r="E14" s="100">
        <f t="shared" ref="E14:AW14" si="2">E8-E3</f>
        <v>0.69999999999999973</v>
      </c>
      <c r="F14" s="100">
        <f t="shared" si="2"/>
        <v>0.69999999999999973</v>
      </c>
      <c r="G14" s="100">
        <f t="shared" si="2"/>
        <v>0.69999999999999973</v>
      </c>
      <c r="H14" s="100">
        <f t="shared" si="2"/>
        <v>1.9000000000000001</v>
      </c>
      <c r="I14" s="100">
        <f t="shared" si="2"/>
        <v>1.9000000000000001</v>
      </c>
      <c r="J14" s="100">
        <f t="shared" si="2"/>
        <v>1.9000000000000001</v>
      </c>
      <c r="K14" s="100">
        <f t="shared" si="2"/>
        <v>2.0999999999999996</v>
      </c>
      <c r="L14" s="100">
        <f t="shared" si="2"/>
        <v>2.0999999999999996</v>
      </c>
      <c r="M14" s="100">
        <f t="shared" si="2"/>
        <v>2.0999999999999996</v>
      </c>
      <c r="N14" s="100">
        <f t="shared" si="2"/>
        <v>1.9</v>
      </c>
      <c r="O14" s="100">
        <f t="shared" si="2"/>
        <v>1.9</v>
      </c>
      <c r="P14" s="100">
        <f t="shared" si="2"/>
        <v>1.9</v>
      </c>
      <c r="Q14" s="100">
        <f t="shared" si="2"/>
        <v>1.4000000000000001</v>
      </c>
      <c r="R14" s="100">
        <f t="shared" si="2"/>
        <v>1.4000000000000001</v>
      </c>
      <c r="S14" s="100">
        <f t="shared" si="2"/>
        <v>1.4000000000000001</v>
      </c>
      <c r="T14" s="100">
        <f t="shared" si="2"/>
        <v>0.39999999999999991</v>
      </c>
      <c r="U14" s="100">
        <f t="shared" si="2"/>
        <v>0.39999999999999991</v>
      </c>
      <c r="V14" s="100">
        <f t="shared" si="2"/>
        <v>0.39999999999999991</v>
      </c>
      <c r="W14" s="100">
        <f t="shared" si="2"/>
        <v>-0.70000000000000018</v>
      </c>
      <c r="X14" s="100">
        <f t="shared" si="2"/>
        <v>-0.70000000000000018</v>
      </c>
      <c r="Y14" s="100">
        <f t="shared" si="2"/>
        <v>-0.70000000000000018</v>
      </c>
      <c r="Z14" s="100">
        <f t="shared" si="2"/>
        <v>-0.89999999999999991</v>
      </c>
      <c r="AA14" s="100">
        <f t="shared" si="2"/>
        <v>-0.89999999999999991</v>
      </c>
      <c r="AB14" s="100">
        <f t="shared" si="2"/>
        <v>-0.89999999999999991</v>
      </c>
      <c r="AC14" s="100">
        <f t="shared" si="2"/>
        <v>0.30000000000000004</v>
      </c>
      <c r="AD14" s="100">
        <f t="shared" si="2"/>
        <v>0.30000000000000004</v>
      </c>
      <c r="AE14" s="100">
        <f t="shared" si="2"/>
        <v>0.30000000000000004</v>
      </c>
      <c r="AF14" s="100">
        <f t="shared" si="2"/>
        <v>0.69999999999999973</v>
      </c>
      <c r="AG14" s="100">
        <f t="shared" si="2"/>
        <v>0.69999999999999973</v>
      </c>
      <c r="AH14" s="100">
        <f t="shared" si="2"/>
        <v>0.69999999999999973</v>
      </c>
      <c r="AI14" s="100">
        <f t="shared" si="2"/>
        <v>1.3</v>
      </c>
      <c r="AJ14" s="100">
        <f t="shared" si="2"/>
        <v>1.3</v>
      </c>
      <c r="AK14" s="100">
        <f t="shared" si="2"/>
        <v>1.3</v>
      </c>
      <c r="AL14" s="100">
        <f t="shared" si="2"/>
        <v>2.6</v>
      </c>
      <c r="AM14" s="100">
        <f t="shared" si="2"/>
        <v>2.6</v>
      </c>
      <c r="AN14" s="100">
        <f t="shared" si="2"/>
        <v>2.6</v>
      </c>
      <c r="AO14" s="100">
        <f t="shared" si="2"/>
        <v>1</v>
      </c>
      <c r="AP14" s="100">
        <f t="shared" si="2"/>
        <v>1</v>
      </c>
      <c r="AQ14" s="100">
        <f t="shared" si="2"/>
        <v>1</v>
      </c>
      <c r="AR14" s="100">
        <f t="shared" si="2"/>
        <v>0.7</v>
      </c>
      <c r="AS14" s="100">
        <f t="shared" si="2"/>
        <v>0.7</v>
      </c>
      <c r="AT14" s="100">
        <f t="shared" si="2"/>
        <v>0.7</v>
      </c>
      <c r="AU14" s="100">
        <f t="shared" si="2"/>
        <v>-0.29999999999999982</v>
      </c>
      <c r="AV14" s="100">
        <f t="shared" si="2"/>
        <v>-0.29999999999999982</v>
      </c>
      <c r="AW14" s="100">
        <f t="shared" si="2"/>
        <v>-0.29999999999999982</v>
      </c>
      <c r="BD14" s="98"/>
      <c r="BH14" s="98"/>
      <c r="JV14" s="82"/>
    </row>
    <row r="15" spans="1:282" ht="25" customHeight="1">
      <c r="A15" s="101" t="s">
        <v>47</v>
      </c>
      <c r="B15" s="102">
        <f>B9-B8</f>
        <v>-0.99999999999999978</v>
      </c>
      <c r="C15" s="102">
        <f>C9-C8</f>
        <v>-0.99999999999999978</v>
      </c>
      <c r="D15" s="102">
        <f>D9-D8</f>
        <v>-0.99999999999999978</v>
      </c>
      <c r="E15" s="102">
        <f t="shared" ref="E15:AW15" si="3">E9-E8</f>
        <v>-2.1999999999999997</v>
      </c>
      <c r="F15" s="102">
        <f t="shared" si="3"/>
        <v>-2.1999999999999997</v>
      </c>
      <c r="G15" s="102">
        <f t="shared" si="3"/>
        <v>-2.1999999999999997</v>
      </c>
      <c r="H15" s="102">
        <f t="shared" si="3"/>
        <v>-3.1</v>
      </c>
      <c r="I15" s="102">
        <f t="shared" si="3"/>
        <v>-3.1</v>
      </c>
      <c r="J15" s="102">
        <f t="shared" si="3"/>
        <v>-3.1</v>
      </c>
      <c r="K15" s="102">
        <f t="shared" si="3"/>
        <v>-3.1999999999999997</v>
      </c>
      <c r="L15" s="102">
        <f t="shared" si="3"/>
        <v>-3.1999999999999997</v>
      </c>
      <c r="M15" s="102">
        <f t="shared" si="3"/>
        <v>-3.1999999999999997</v>
      </c>
      <c r="N15" s="102">
        <f t="shared" si="3"/>
        <v>-2.2999999999999998</v>
      </c>
      <c r="O15" s="102">
        <f t="shared" si="3"/>
        <v>-2.2999999999999998</v>
      </c>
      <c r="P15" s="102">
        <f t="shared" si="3"/>
        <v>-2.2999999999999998</v>
      </c>
      <c r="Q15" s="102">
        <f t="shared" si="3"/>
        <v>-2.5</v>
      </c>
      <c r="R15" s="102">
        <f t="shared" si="3"/>
        <v>-2.5</v>
      </c>
      <c r="S15" s="102">
        <f t="shared" si="3"/>
        <v>-2.5</v>
      </c>
      <c r="T15" s="102">
        <f t="shared" si="3"/>
        <v>-1.7999999999999998</v>
      </c>
      <c r="U15" s="102">
        <f t="shared" si="3"/>
        <v>-1.7999999999999998</v>
      </c>
      <c r="V15" s="102">
        <f t="shared" si="3"/>
        <v>-1.7999999999999998</v>
      </c>
      <c r="W15" s="102">
        <f t="shared" si="3"/>
        <v>-1.0999999999999999</v>
      </c>
      <c r="X15" s="102">
        <f t="shared" si="3"/>
        <v>-1.0999999999999999</v>
      </c>
      <c r="Y15" s="102">
        <f t="shared" si="3"/>
        <v>-1.0999999999999999</v>
      </c>
      <c r="Z15" s="102">
        <f t="shared" si="3"/>
        <v>-0.39999999999999991</v>
      </c>
      <c r="AA15" s="102">
        <f t="shared" si="3"/>
        <v>-0.39999999999999991</v>
      </c>
      <c r="AB15" s="102">
        <f t="shared" si="3"/>
        <v>-0.39999999999999991</v>
      </c>
      <c r="AC15" s="102">
        <f t="shared" si="3"/>
        <v>-0.70000000000000018</v>
      </c>
      <c r="AD15" s="102">
        <f t="shared" si="3"/>
        <v>-0.70000000000000018</v>
      </c>
      <c r="AE15" s="102">
        <f t="shared" si="3"/>
        <v>-0.70000000000000018</v>
      </c>
      <c r="AF15" s="102">
        <f t="shared" si="3"/>
        <v>-1.0999999999999999</v>
      </c>
      <c r="AG15" s="102">
        <f t="shared" si="3"/>
        <v>-1.0999999999999999</v>
      </c>
      <c r="AH15" s="102">
        <f t="shared" si="3"/>
        <v>-1.0999999999999999</v>
      </c>
      <c r="AI15" s="102">
        <f t="shared" si="3"/>
        <v>-0.89999999999999991</v>
      </c>
      <c r="AJ15" s="102">
        <f t="shared" si="3"/>
        <v>-0.89999999999999991</v>
      </c>
      <c r="AK15" s="102">
        <f t="shared" si="3"/>
        <v>-0.89999999999999991</v>
      </c>
      <c r="AL15" s="102">
        <f t="shared" si="3"/>
        <v>-2.2000000000000002</v>
      </c>
      <c r="AM15" s="102">
        <f t="shared" si="3"/>
        <v>-2.2000000000000002</v>
      </c>
      <c r="AN15" s="102">
        <f t="shared" si="3"/>
        <v>-2.2000000000000002</v>
      </c>
      <c r="AO15" s="102">
        <f t="shared" si="3"/>
        <v>-0.90000000000000013</v>
      </c>
      <c r="AP15" s="102">
        <f t="shared" si="3"/>
        <v>-0.90000000000000013</v>
      </c>
      <c r="AQ15" s="102">
        <f t="shared" si="3"/>
        <v>-0.90000000000000013</v>
      </c>
      <c r="AR15" s="102">
        <f t="shared" si="3"/>
        <v>-0.8</v>
      </c>
      <c r="AS15" s="102">
        <f t="shared" si="3"/>
        <v>-0.8</v>
      </c>
      <c r="AT15" s="102">
        <f t="shared" si="3"/>
        <v>-0.8</v>
      </c>
      <c r="AU15" s="102">
        <f t="shared" si="3"/>
        <v>-0.90000000000000013</v>
      </c>
      <c r="AV15" s="102">
        <f t="shared" si="3"/>
        <v>-0.90000000000000013</v>
      </c>
      <c r="AW15" s="102">
        <f t="shared" si="3"/>
        <v>-0.90000000000000013</v>
      </c>
      <c r="AY15" s="103"/>
      <c r="BD15" s="98"/>
      <c r="BH15" s="98"/>
    </row>
    <row r="16" spans="1:282" ht="25" customHeight="1">
      <c r="A16" s="101" t="s">
        <v>14</v>
      </c>
      <c r="B16" s="102">
        <f>B9-B4</f>
        <v>-0.5</v>
      </c>
      <c r="C16" s="102">
        <f>C9-C4</f>
        <v>-0.5</v>
      </c>
      <c r="D16" s="102">
        <f>D9-D4</f>
        <v>-0.5</v>
      </c>
      <c r="E16" s="102">
        <f t="shared" ref="E16:AW16" si="4">E9-E4</f>
        <v>-0.4</v>
      </c>
      <c r="F16" s="102">
        <f t="shared" si="4"/>
        <v>-0.4</v>
      </c>
      <c r="G16" s="102">
        <f t="shared" si="4"/>
        <v>-0.4</v>
      </c>
      <c r="H16" s="102">
        <f t="shared" si="4"/>
        <v>0.1</v>
      </c>
      <c r="I16" s="102">
        <f t="shared" si="4"/>
        <v>0.1</v>
      </c>
      <c r="J16" s="102">
        <f t="shared" si="4"/>
        <v>0.1</v>
      </c>
      <c r="K16" s="102">
        <f t="shared" si="4"/>
        <v>0.2</v>
      </c>
      <c r="L16" s="102">
        <f t="shared" si="4"/>
        <v>0.2</v>
      </c>
      <c r="M16" s="102">
        <f t="shared" si="4"/>
        <v>0.2</v>
      </c>
      <c r="N16" s="102">
        <f t="shared" si="4"/>
        <v>1.9</v>
      </c>
      <c r="O16" s="102">
        <f t="shared" si="4"/>
        <v>1.9</v>
      </c>
      <c r="P16" s="102">
        <f t="shared" si="4"/>
        <v>1.9</v>
      </c>
      <c r="Q16" s="102">
        <f t="shared" si="4"/>
        <v>1.7999999999999998</v>
      </c>
      <c r="R16" s="102">
        <f t="shared" si="4"/>
        <v>1.7999999999999998</v>
      </c>
      <c r="S16" s="102">
        <f t="shared" si="4"/>
        <v>1.7999999999999998</v>
      </c>
      <c r="T16" s="102">
        <f t="shared" si="4"/>
        <v>0.19999999999999996</v>
      </c>
      <c r="U16" s="102">
        <f t="shared" si="4"/>
        <v>0.19999999999999996</v>
      </c>
      <c r="V16" s="102">
        <f t="shared" si="4"/>
        <v>0.19999999999999996</v>
      </c>
      <c r="W16" s="102">
        <f t="shared" si="4"/>
        <v>0.70000000000000007</v>
      </c>
      <c r="X16" s="102">
        <f t="shared" si="4"/>
        <v>0.70000000000000007</v>
      </c>
      <c r="Y16" s="102">
        <f t="shared" si="4"/>
        <v>0.70000000000000007</v>
      </c>
      <c r="Z16" s="102">
        <f t="shared" si="4"/>
        <v>0</v>
      </c>
      <c r="AA16" s="102">
        <f t="shared" si="4"/>
        <v>0</v>
      </c>
      <c r="AB16" s="102">
        <f t="shared" si="4"/>
        <v>0</v>
      </c>
      <c r="AC16" s="102">
        <f t="shared" si="4"/>
        <v>-0.60000000000000009</v>
      </c>
      <c r="AD16" s="102">
        <f t="shared" si="4"/>
        <v>-0.60000000000000009</v>
      </c>
      <c r="AE16" s="102">
        <f t="shared" si="4"/>
        <v>-0.60000000000000009</v>
      </c>
      <c r="AF16" s="102">
        <f t="shared" si="4"/>
        <v>0.7</v>
      </c>
      <c r="AG16" s="102">
        <f t="shared" si="4"/>
        <v>0.7</v>
      </c>
      <c r="AH16" s="102">
        <f t="shared" si="4"/>
        <v>0.7</v>
      </c>
      <c r="AI16" s="102">
        <f t="shared" si="4"/>
        <v>0.90000000000000013</v>
      </c>
      <c r="AJ16" s="102">
        <f t="shared" si="4"/>
        <v>0.90000000000000013</v>
      </c>
      <c r="AK16" s="102">
        <f t="shared" si="4"/>
        <v>0.90000000000000013</v>
      </c>
      <c r="AL16" s="102">
        <f t="shared" si="4"/>
        <v>-9.9999999999999978E-2</v>
      </c>
      <c r="AM16" s="102">
        <f t="shared" si="4"/>
        <v>-9.9999999999999978E-2</v>
      </c>
      <c r="AN16" s="102">
        <f t="shared" si="4"/>
        <v>-9.9999999999999978E-2</v>
      </c>
      <c r="AO16" s="102">
        <f t="shared" si="4"/>
        <v>0.5</v>
      </c>
      <c r="AP16" s="102">
        <f t="shared" si="4"/>
        <v>0.5</v>
      </c>
      <c r="AQ16" s="102">
        <f t="shared" si="4"/>
        <v>0.5</v>
      </c>
      <c r="AR16" s="102">
        <f t="shared" si="4"/>
        <v>9.9999999999999978E-2</v>
      </c>
      <c r="AS16" s="102">
        <f t="shared" si="4"/>
        <v>9.9999999999999978E-2</v>
      </c>
      <c r="AT16" s="102">
        <f t="shared" si="4"/>
        <v>9.9999999999999978E-2</v>
      </c>
      <c r="AU16" s="102">
        <f t="shared" si="4"/>
        <v>-0.40000000000000013</v>
      </c>
      <c r="AV16" s="102">
        <f t="shared" si="4"/>
        <v>-0.40000000000000013</v>
      </c>
      <c r="AW16" s="102">
        <f t="shared" si="4"/>
        <v>-0.40000000000000013</v>
      </c>
      <c r="BD16" s="98"/>
      <c r="BH16" s="98"/>
    </row>
    <row r="17" spans="1:60" ht="25" customHeight="1">
      <c r="A17" s="101" t="s">
        <v>48</v>
      </c>
      <c r="B17" s="102">
        <f>B9-B6</f>
        <v>-0.7</v>
      </c>
      <c r="C17" s="102">
        <f>C9-C6</f>
        <v>-0.7</v>
      </c>
      <c r="D17" s="102">
        <f>D9-D6</f>
        <v>-0.7</v>
      </c>
      <c r="E17" s="102">
        <f t="shared" ref="E17:AW17" si="5">E9-E6</f>
        <v>-0.4</v>
      </c>
      <c r="F17" s="102">
        <f t="shared" si="5"/>
        <v>-0.4</v>
      </c>
      <c r="G17" s="102">
        <f t="shared" si="5"/>
        <v>-0.4</v>
      </c>
      <c r="H17" s="102">
        <f t="shared" si="5"/>
        <v>-0.70000000000000007</v>
      </c>
      <c r="I17" s="102">
        <f t="shared" si="5"/>
        <v>-0.70000000000000007</v>
      </c>
      <c r="J17" s="102">
        <f t="shared" si="5"/>
        <v>-0.70000000000000007</v>
      </c>
      <c r="K17" s="102">
        <f t="shared" si="5"/>
        <v>-0.90000000000000013</v>
      </c>
      <c r="L17" s="102">
        <f t="shared" si="5"/>
        <v>-0.90000000000000013</v>
      </c>
      <c r="M17" s="102">
        <f t="shared" si="5"/>
        <v>-0.90000000000000013</v>
      </c>
      <c r="N17" s="102">
        <f t="shared" si="5"/>
        <v>0.5</v>
      </c>
      <c r="O17" s="102">
        <f t="shared" si="5"/>
        <v>0.5</v>
      </c>
      <c r="P17" s="102">
        <f t="shared" si="5"/>
        <v>0.5</v>
      </c>
      <c r="Q17" s="102">
        <f t="shared" si="5"/>
        <v>-1</v>
      </c>
      <c r="R17" s="102">
        <f t="shared" si="5"/>
        <v>-1</v>
      </c>
      <c r="S17" s="102">
        <f t="shared" si="5"/>
        <v>-1</v>
      </c>
      <c r="T17" s="102">
        <f t="shared" si="5"/>
        <v>-0.60000000000000009</v>
      </c>
      <c r="U17" s="102">
        <f t="shared" si="5"/>
        <v>-0.60000000000000009</v>
      </c>
      <c r="V17" s="102">
        <f t="shared" si="5"/>
        <v>-0.60000000000000009</v>
      </c>
      <c r="W17" s="102">
        <f t="shared" si="5"/>
        <v>0</v>
      </c>
      <c r="X17" s="102">
        <f t="shared" si="5"/>
        <v>0</v>
      </c>
      <c r="Y17" s="102">
        <f t="shared" si="5"/>
        <v>0</v>
      </c>
      <c r="Z17" s="102">
        <f t="shared" si="5"/>
        <v>-0.89999999999999991</v>
      </c>
      <c r="AA17" s="102">
        <f t="shared" si="5"/>
        <v>-0.89999999999999991</v>
      </c>
      <c r="AB17" s="102">
        <f t="shared" si="5"/>
        <v>-0.89999999999999991</v>
      </c>
      <c r="AC17" s="102">
        <f t="shared" si="5"/>
        <v>-0.20000000000000018</v>
      </c>
      <c r="AD17" s="102">
        <f t="shared" si="5"/>
        <v>-0.20000000000000018</v>
      </c>
      <c r="AE17" s="102">
        <f t="shared" si="5"/>
        <v>-0.20000000000000018</v>
      </c>
      <c r="AF17" s="102">
        <f t="shared" si="5"/>
        <v>0.5</v>
      </c>
      <c r="AG17" s="102">
        <f t="shared" si="5"/>
        <v>0.5</v>
      </c>
      <c r="AH17" s="102">
        <f t="shared" si="5"/>
        <v>0.5</v>
      </c>
      <c r="AI17" s="102">
        <f t="shared" si="5"/>
        <v>0</v>
      </c>
      <c r="AJ17" s="102">
        <f t="shared" si="5"/>
        <v>0</v>
      </c>
      <c r="AK17" s="102">
        <f t="shared" si="5"/>
        <v>0</v>
      </c>
      <c r="AL17" s="102">
        <f t="shared" si="5"/>
        <v>0.2</v>
      </c>
      <c r="AM17" s="102">
        <f t="shared" si="5"/>
        <v>0.2</v>
      </c>
      <c r="AN17" s="102">
        <f t="shared" si="5"/>
        <v>0.2</v>
      </c>
      <c r="AO17" s="102">
        <f t="shared" si="5"/>
        <v>-1.0999999999999999</v>
      </c>
      <c r="AP17" s="102">
        <f t="shared" si="5"/>
        <v>-1.0999999999999999</v>
      </c>
      <c r="AQ17" s="102">
        <f t="shared" si="5"/>
        <v>-1.0999999999999999</v>
      </c>
      <c r="AR17" s="102">
        <f t="shared" si="5"/>
        <v>0.19999999999999996</v>
      </c>
      <c r="AS17" s="102">
        <f t="shared" si="5"/>
        <v>0.19999999999999996</v>
      </c>
      <c r="AT17" s="102">
        <f t="shared" si="5"/>
        <v>0.19999999999999996</v>
      </c>
      <c r="AU17" s="102">
        <f t="shared" si="5"/>
        <v>-0.30000000000000004</v>
      </c>
      <c r="AV17" s="102">
        <f t="shared" si="5"/>
        <v>-0.30000000000000004</v>
      </c>
      <c r="AW17" s="102">
        <f t="shared" si="5"/>
        <v>-0.30000000000000004</v>
      </c>
      <c r="BD17" s="98"/>
      <c r="BH17" s="98"/>
    </row>
    <row r="18" spans="1:60" ht="25" customHeight="1">
      <c r="A18" s="101" t="s">
        <v>49</v>
      </c>
      <c r="B18" s="102">
        <f>B9-B7</f>
        <v>0.30000000000000004</v>
      </c>
      <c r="C18" s="102">
        <f>C9-C7</f>
        <v>0.30000000000000004</v>
      </c>
      <c r="D18" s="102">
        <f>D9-D7</f>
        <v>0.30000000000000004</v>
      </c>
      <c r="E18" s="102">
        <f t="shared" ref="E18:AW18" si="6">E9-E7</f>
        <v>9.9999999999999978E-2</v>
      </c>
      <c r="F18" s="102">
        <f t="shared" si="6"/>
        <v>9.9999999999999978E-2</v>
      </c>
      <c r="G18" s="102">
        <f t="shared" si="6"/>
        <v>9.9999999999999978E-2</v>
      </c>
      <c r="H18" s="102">
        <f t="shared" si="6"/>
        <v>0</v>
      </c>
      <c r="I18" s="102">
        <f t="shared" si="6"/>
        <v>0</v>
      </c>
      <c r="J18" s="102">
        <f t="shared" si="6"/>
        <v>0</v>
      </c>
      <c r="K18" s="102">
        <f t="shared" si="6"/>
        <v>0.7</v>
      </c>
      <c r="L18" s="102">
        <f t="shared" si="6"/>
        <v>0.7</v>
      </c>
      <c r="M18" s="102">
        <f t="shared" si="6"/>
        <v>0.7</v>
      </c>
      <c r="N18" s="102">
        <f t="shared" si="6"/>
        <v>0.3</v>
      </c>
      <c r="O18" s="102">
        <f t="shared" si="6"/>
        <v>0.3</v>
      </c>
      <c r="P18" s="102">
        <f t="shared" si="6"/>
        <v>0.3</v>
      </c>
      <c r="Q18" s="102">
        <f t="shared" si="6"/>
        <v>-0.20000000000000007</v>
      </c>
      <c r="R18" s="102">
        <f t="shared" si="6"/>
        <v>-0.20000000000000007</v>
      </c>
      <c r="S18" s="102">
        <f t="shared" si="6"/>
        <v>-0.20000000000000007</v>
      </c>
      <c r="T18" s="102">
        <f t="shared" si="6"/>
        <v>-0.30000000000000004</v>
      </c>
      <c r="U18" s="102">
        <f t="shared" si="6"/>
        <v>-0.30000000000000004</v>
      </c>
      <c r="V18" s="102">
        <f t="shared" si="6"/>
        <v>-0.30000000000000004</v>
      </c>
      <c r="W18" s="102">
        <f t="shared" si="6"/>
        <v>-0.59999999999999987</v>
      </c>
      <c r="X18" s="102">
        <f t="shared" si="6"/>
        <v>-0.59999999999999987</v>
      </c>
      <c r="Y18" s="102">
        <f t="shared" si="6"/>
        <v>-0.59999999999999987</v>
      </c>
      <c r="Z18" s="102">
        <f t="shared" si="6"/>
        <v>-0.19999999999999996</v>
      </c>
      <c r="AA18" s="102">
        <f t="shared" si="6"/>
        <v>-0.19999999999999996</v>
      </c>
      <c r="AB18" s="102">
        <f t="shared" si="6"/>
        <v>-0.19999999999999996</v>
      </c>
      <c r="AC18" s="102">
        <f t="shared" si="6"/>
        <v>0</v>
      </c>
      <c r="AD18" s="102">
        <f t="shared" si="6"/>
        <v>0</v>
      </c>
      <c r="AE18" s="102">
        <f t="shared" si="6"/>
        <v>0</v>
      </c>
      <c r="AF18" s="102">
        <f t="shared" si="6"/>
        <v>-0.10000000000000009</v>
      </c>
      <c r="AG18" s="102">
        <f t="shared" si="6"/>
        <v>-0.10000000000000009</v>
      </c>
      <c r="AH18" s="102">
        <f t="shared" si="6"/>
        <v>-0.10000000000000009</v>
      </c>
      <c r="AI18" s="102">
        <f t="shared" si="6"/>
        <v>0.20000000000000007</v>
      </c>
      <c r="AJ18" s="102">
        <f t="shared" si="6"/>
        <v>0.20000000000000007</v>
      </c>
      <c r="AK18" s="102">
        <f t="shared" si="6"/>
        <v>0.20000000000000007</v>
      </c>
      <c r="AL18" s="102">
        <f t="shared" si="6"/>
        <v>-0.4</v>
      </c>
      <c r="AM18" s="102">
        <f t="shared" si="6"/>
        <v>-0.4</v>
      </c>
      <c r="AN18" s="102">
        <f t="shared" si="6"/>
        <v>-0.4</v>
      </c>
      <c r="AO18" s="102">
        <f t="shared" si="6"/>
        <v>0</v>
      </c>
      <c r="AP18" s="102">
        <f t="shared" si="6"/>
        <v>0</v>
      </c>
      <c r="AQ18" s="102">
        <f t="shared" si="6"/>
        <v>0</v>
      </c>
      <c r="AR18" s="102">
        <f t="shared" si="6"/>
        <v>-0.5</v>
      </c>
      <c r="AS18" s="102">
        <f t="shared" si="6"/>
        <v>-0.5</v>
      </c>
      <c r="AT18" s="102">
        <f t="shared" si="6"/>
        <v>-0.5</v>
      </c>
      <c r="AU18" s="102">
        <f t="shared" si="6"/>
        <v>-0.7</v>
      </c>
      <c r="AV18" s="102">
        <f t="shared" si="6"/>
        <v>-0.7</v>
      </c>
      <c r="AW18" s="102">
        <f t="shared" si="6"/>
        <v>-0.7</v>
      </c>
      <c r="BD18" s="98"/>
      <c r="BH18" s="98"/>
    </row>
    <row r="19" spans="1:60" ht="25" customHeight="1">
      <c r="A19" s="101" t="s">
        <v>15</v>
      </c>
      <c r="B19" s="102">
        <f>B9-B3</f>
        <v>-1.8</v>
      </c>
      <c r="C19" s="102">
        <f>C9-C3</f>
        <v>-1.8</v>
      </c>
      <c r="D19" s="102">
        <f>D9-D3</f>
        <v>-1.8</v>
      </c>
      <c r="E19" s="102">
        <f t="shared" ref="E19:AW19" si="7">E9-E3</f>
        <v>-1.5</v>
      </c>
      <c r="F19" s="102">
        <f t="shared" si="7"/>
        <v>-1.5</v>
      </c>
      <c r="G19" s="102">
        <f t="shared" si="7"/>
        <v>-1.5</v>
      </c>
      <c r="H19" s="102">
        <f t="shared" si="7"/>
        <v>-1.2</v>
      </c>
      <c r="I19" s="102">
        <f t="shared" si="7"/>
        <v>-1.2</v>
      </c>
      <c r="J19" s="102">
        <f t="shared" si="7"/>
        <v>-1.2</v>
      </c>
      <c r="K19" s="102">
        <f t="shared" si="7"/>
        <v>-1.1000000000000001</v>
      </c>
      <c r="L19" s="102">
        <f t="shared" si="7"/>
        <v>-1.1000000000000001</v>
      </c>
      <c r="M19" s="102">
        <f t="shared" si="7"/>
        <v>-1.1000000000000001</v>
      </c>
      <c r="N19" s="102">
        <f t="shared" si="7"/>
        <v>-0.4</v>
      </c>
      <c r="O19" s="102">
        <f t="shared" si="7"/>
        <v>-0.4</v>
      </c>
      <c r="P19" s="102">
        <f t="shared" si="7"/>
        <v>-0.4</v>
      </c>
      <c r="Q19" s="102">
        <f t="shared" si="7"/>
        <v>-1.1000000000000001</v>
      </c>
      <c r="R19" s="102">
        <f t="shared" si="7"/>
        <v>-1.1000000000000001</v>
      </c>
      <c r="S19" s="102">
        <f t="shared" si="7"/>
        <v>-1.1000000000000001</v>
      </c>
      <c r="T19" s="102">
        <f t="shared" si="7"/>
        <v>-1.4</v>
      </c>
      <c r="U19" s="102">
        <f t="shared" si="7"/>
        <v>-1.4</v>
      </c>
      <c r="V19" s="102">
        <f t="shared" si="7"/>
        <v>-1.4</v>
      </c>
      <c r="W19" s="102">
        <f t="shared" si="7"/>
        <v>-1.8</v>
      </c>
      <c r="X19" s="102">
        <f t="shared" si="7"/>
        <v>-1.8</v>
      </c>
      <c r="Y19" s="102">
        <f t="shared" si="7"/>
        <v>-1.8</v>
      </c>
      <c r="Z19" s="102">
        <f t="shared" si="7"/>
        <v>-1.2999999999999998</v>
      </c>
      <c r="AA19" s="102">
        <f t="shared" si="7"/>
        <v>-1.2999999999999998</v>
      </c>
      <c r="AB19" s="102">
        <f t="shared" si="7"/>
        <v>-1.2999999999999998</v>
      </c>
      <c r="AC19" s="102">
        <f t="shared" si="7"/>
        <v>-0.40000000000000013</v>
      </c>
      <c r="AD19" s="102">
        <f t="shared" si="7"/>
        <v>-0.40000000000000013</v>
      </c>
      <c r="AE19" s="102">
        <f t="shared" si="7"/>
        <v>-0.40000000000000013</v>
      </c>
      <c r="AF19" s="102">
        <f t="shared" si="7"/>
        <v>-0.40000000000000013</v>
      </c>
      <c r="AG19" s="102">
        <f t="shared" si="7"/>
        <v>-0.40000000000000013</v>
      </c>
      <c r="AH19" s="102">
        <f t="shared" si="7"/>
        <v>-0.40000000000000013</v>
      </c>
      <c r="AI19" s="102">
        <f t="shared" si="7"/>
        <v>0.40000000000000013</v>
      </c>
      <c r="AJ19" s="102">
        <f t="shared" si="7"/>
        <v>0.40000000000000013</v>
      </c>
      <c r="AK19" s="102">
        <f t="shared" si="7"/>
        <v>0.40000000000000013</v>
      </c>
      <c r="AL19" s="102">
        <f t="shared" si="7"/>
        <v>0.4</v>
      </c>
      <c r="AM19" s="102">
        <f t="shared" si="7"/>
        <v>0.4</v>
      </c>
      <c r="AN19" s="102">
        <f t="shared" si="7"/>
        <v>0.4</v>
      </c>
      <c r="AO19" s="102">
        <f t="shared" si="7"/>
        <v>9.9999999999999867E-2</v>
      </c>
      <c r="AP19" s="102">
        <f t="shared" si="7"/>
        <v>9.9999999999999867E-2</v>
      </c>
      <c r="AQ19" s="102">
        <f t="shared" si="7"/>
        <v>9.9999999999999867E-2</v>
      </c>
      <c r="AR19" s="102">
        <f t="shared" si="7"/>
        <v>-0.10000000000000009</v>
      </c>
      <c r="AS19" s="102">
        <f t="shared" si="7"/>
        <v>-0.10000000000000009</v>
      </c>
      <c r="AT19" s="102">
        <f t="shared" si="7"/>
        <v>-0.10000000000000009</v>
      </c>
      <c r="AU19" s="102">
        <f t="shared" si="7"/>
        <v>-1.2</v>
      </c>
      <c r="AV19" s="102">
        <f t="shared" si="7"/>
        <v>-1.2</v>
      </c>
      <c r="AW19" s="102">
        <f t="shared" si="7"/>
        <v>-1.2</v>
      </c>
      <c r="BD19" s="98"/>
      <c r="BH19" s="98"/>
    </row>
    <row r="20" spans="1:60" ht="25" customHeight="1">
      <c r="A20" s="101" t="s">
        <v>12</v>
      </c>
      <c r="B20" s="105">
        <f>B9-B2</f>
        <v>-1.4999999999999998</v>
      </c>
      <c r="C20" s="105">
        <f>C9-C2</f>
        <v>-1.4999999999999998</v>
      </c>
      <c r="D20" s="105">
        <f>D9-D2</f>
        <v>-1.4999999999999998</v>
      </c>
      <c r="E20" s="105">
        <f t="shared" ref="E20:AW20" si="8">E9-E2</f>
        <v>-1.6999999999999997</v>
      </c>
      <c r="F20" s="105">
        <f t="shared" si="8"/>
        <v>-1.6999999999999997</v>
      </c>
      <c r="G20" s="105">
        <f t="shared" si="8"/>
        <v>-1.6999999999999997</v>
      </c>
      <c r="H20" s="105">
        <f t="shared" si="8"/>
        <v>-2.1</v>
      </c>
      <c r="I20" s="105">
        <f t="shared" si="8"/>
        <v>-2.1</v>
      </c>
      <c r="J20" s="105">
        <f t="shared" si="8"/>
        <v>-2.1</v>
      </c>
      <c r="K20" s="105">
        <f t="shared" si="8"/>
        <v>-1.1000000000000001</v>
      </c>
      <c r="L20" s="105">
        <f t="shared" si="8"/>
        <v>-1.1000000000000001</v>
      </c>
      <c r="M20" s="105">
        <f t="shared" si="8"/>
        <v>-1.1000000000000001</v>
      </c>
      <c r="N20" s="105">
        <f t="shared" si="8"/>
        <v>-0.50000000000000011</v>
      </c>
      <c r="O20" s="105">
        <f t="shared" si="8"/>
        <v>-0.50000000000000011</v>
      </c>
      <c r="P20" s="105">
        <f t="shared" si="8"/>
        <v>-0.50000000000000011</v>
      </c>
      <c r="Q20" s="105">
        <f t="shared" si="8"/>
        <v>-0.30000000000000004</v>
      </c>
      <c r="R20" s="105">
        <f t="shared" si="8"/>
        <v>-0.30000000000000004</v>
      </c>
      <c r="S20" s="105">
        <f t="shared" si="8"/>
        <v>-0.30000000000000004</v>
      </c>
      <c r="T20" s="105">
        <f t="shared" si="8"/>
        <v>0.19999999999999996</v>
      </c>
      <c r="U20" s="105">
        <f t="shared" si="8"/>
        <v>0.19999999999999996</v>
      </c>
      <c r="V20" s="105">
        <f t="shared" si="8"/>
        <v>0.19999999999999996</v>
      </c>
      <c r="W20" s="105">
        <f t="shared" si="8"/>
        <v>0.10000000000000009</v>
      </c>
      <c r="X20" s="105">
        <f t="shared" si="8"/>
        <v>0.10000000000000009</v>
      </c>
      <c r="Y20" s="105">
        <f t="shared" si="8"/>
        <v>0.10000000000000009</v>
      </c>
      <c r="Z20" s="105">
        <f t="shared" si="8"/>
        <v>0.30000000000000004</v>
      </c>
      <c r="AA20" s="105">
        <f t="shared" si="8"/>
        <v>0.30000000000000004</v>
      </c>
      <c r="AB20" s="105">
        <f t="shared" si="8"/>
        <v>0.30000000000000004</v>
      </c>
      <c r="AC20" s="105">
        <f t="shared" si="8"/>
        <v>-0.5</v>
      </c>
      <c r="AD20" s="105">
        <f t="shared" si="8"/>
        <v>-0.5</v>
      </c>
      <c r="AE20" s="105">
        <f t="shared" si="8"/>
        <v>-0.5</v>
      </c>
      <c r="AF20" s="105">
        <f t="shared" si="8"/>
        <v>-0.90000000000000013</v>
      </c>
      <c r="AG20" s="105">
        <f t="shared" si="8"/>
        <v>-0.90000000000000013</v>
      </c>
      <c r="AH20" s="105">
        <f t="shared" si="8"/>
        <v>-0.90000000000000013</v>
      </c>
      <c r="AI20" s="105">
        <f t="shared" si="8"/>
        <v>-1.5</v>
      </c>
      <c r="AJ20" s="105">
        <f t="shared" si="8"/>
        <v>-1.5</v>
      </c>
      <c r="AK20" s="105">
        <f t="shared" si="8"/>
        <v>-1.5</v>
      </c>
      <c r="AL20" s="105">
        <f t="shared" si="8"/>
        <v>-2</v>
      </c>
      <c r="AM20" s="105">
        <f t="shared" si="8"/>
        <v>-2</v>
      </c>
      <c r="AN20" s="105">
        <f t="shared" si="8"/>
        <v>-2</v>
      </c>
      <c r="AO20" s="105">
        <f t="shared" si="8"/>
        <v>-0.90000000000000013</v>
      </c>
      <c r="AP20" s="105">
        <f t="shared" si="8"/>
        <v>-0.90000000000000013</v>
      </c>
      <c r="AQ20" s="105">
        <f t="shared" si="8"/>
        <v>-0.90000000000000013</v>
      </c>
      <c r="AR20" s="105">
        <f t="shared" si="8"/>
        <v>-0.39999999999999991</v>
      </c>
      <c r="AS20" s="105">
        <f t="shared" si="8"/>
        <v>-0.39999999999999991</v>
      </c>
      <c r="AT20" s="105">
        <f t="shared" si="8"/>
        <v>-0.39999999999999991</v>
      </c>
      <c r="AU20" s="105">
        <f t="shared" si="8"/>
        <v>-0.10000000000000009</v>
      </c>
      <c r="AV20" s="105">
        <f t="shared" si="8"/>
        <v>-0.10000000000000009</v>
      </c>
      <c r="AW20" s="105">
        <f t="shared" si="8"/>
        <v>-0.10000000000000009</v>
      </c>
      <c r="BD20" s="98"/>
      <c r="BH20" s="98"/>
    </row>
    <row r="21" spans="1:60" ht="25" customHeight="1">
      <c r="A21" s="101" t="s">
        <v>50</v>
      </c>
      <c r="B21" s="102">
        <f>B9-B5</f>
        <v>-1.8</v>
      </c>
      <c r="C21" s="102">
        <f>C9-C5</f>
        <v>-1.8</v>
      </c>
      <c r="D21" s="102">
        <f>D9-D5</f>
        <v>-1.8</v>
      </c>
      <c r="E21" s="102">
        <f t="shared" ref="E21:AW21" si="9">E9-E5</f>
        <v>-2.4</v>
      </c>
      <c r="F21" s="102">
        <f t="shared" si="9"/>
        <v>-2.4</v>
      </c>
      <c r="G21" s="102">
        <f t="shared" si="9"/>
        <v>-2.4</v>
      </c>
      <c r="H21" s="102">
        <f t="shared" si="9"/>
        <v>-1.0999999999999999</v>
      </c>
      <c r="I21" s="102">
        <f t="shared" si="9"/>
        <v>-1.0999999999999999</v>
      </c>
      <c r="J21" s="102">
        <f t="shared" si="9"/>
        <v>-1.0999999999999999</v>
      </c>
      <c r="K21" s="102">
        <f t="shared" si="9"/>
        <v>-1.2</v>
      </c>
      <c r="L21" s="102">
        <f t="shared" si="9"/>
        <v>-1.2</v>
      </c>
      <c r="M21" s="102">
        <f t="shared" si="9"/>
        <v>-1.2</v>
      </c>
      <c r="N21" s="102">
        <f t="shared" si="9"/>
        <v>-1</v>
      </c>
      <c r="O21" s="102">
        <f t="shared" si="9"/>
        <v>-1</v>
      </c>
      <c r="P21" s="102">
        <f t="shared" si="9"/>
        <v>-1</v>
      </c>
      <c r="Q21" s="102">
        <f t="shared" si="9"/>
        <v>0.5</v>
      </c>
      <c r="R21" s="102">
        <f t="shared" si="9"/>
        <v>0.5</v>
      </c>
      <c r="S21" s="102">
        <f t="shared" si="9"/>
        <v>0.5</v>
      </c>
      <c r="T21" s="102">
        <f t="shared" si="9"/>
        <v>2.2000000000000002</v>
      </c>
      <c r="U21" s="102">
        <f t="shared" si="9"/>
        <v>2.2000000000000002</v>
      </c>
      <c r="V21" s="102">
        <f t="shared" si="9"/>
        <v>2.2000000000000002</v>
      </c>
      <c r="W21" s="102">
        <f t="shared" si="9"/>
        <v>2.9000000000000004</v>
      </c>
      <c r="X21" s="102">
        <f t="shared" si="9"/>
        <v>2.9000000000000004</v>
      </c>
      <c r="Y21" s="102">
        <f t="shared" si="9"/>
        <v>2.9000000000000004</v>
      </c>
      <c r="Z21" s="102">
        <f t="shared" si="9"/>
        <v>2.2999999999999998</v>
      </c>
      <c r="AA21" s="102">
        <f t="shared" si="9"/>
        <v>2.2999999999999998</v>
      </c>
      <c r="AB21" s="102">
        <f t="shared" si="9"/>
        <v>2.2999999999999998</v>
      </c>
      <c r="AC21" s="102">
        <f t="shared" si="9"/>
        <v>2.5</v>
      </c>
      <c r="AD21" s="102">
        <f t="shared" si="9"/>
        <v>2.5</v>
      </c>
      <c r="AE21" s="102">
        <f t="shared" si="9"/>
        <v>2.5</v>
      </c>
      <c r="AF21" s="102">
        <f t="shared" si="9"/>
        <v>9.9999999999999867E-2</v>
      </c>
      <c r="AG21" s="102">
        <f t="shared" si="9"/>
        <v>9.9999999999999867E-2</v>
      </c>
      <c r="AH21" s="102">
        <f t="shared" si="9"/>
        <v>9.9999999999999867E-2</v>
      </c>
      <c r="AI21" s="102">
        <f t="shared" si="9"/>
        <v>-0.19999999999999996</v>
      </c>
      <c r="AJ21" s="102">
        <f t="shared" si="9"/>
        <v>-0.19999999999999996</v>
      </c>
      <c r="AK21" s="102">
        <f t="shared" si="9"/>
        <v>-0.19999999999999996</v>
      </c>
      <c r="AL21" s="102">
        <f t="shared" si="9"/>
        <v>-1</v>
      </c>
      <c r="AM21" s="102">
        <f t="shared" si="9"/>
        <v>-1</v>
      </c>
      <c r="AN21" s="102">
        <f t="shared" si="9"/>
        <v>-1</v>
      </c>
      <c r="AO21" s="102">
        <f t="shared" si="9"/>
        <v>-0.60000000000000009</v>
      </c>
      <c r="AP21" s="102">
        <f t="shared" si="9"/>
        <v>-0.60000000000000009</v>
      </c>
      <c r="AQ21" s="102">
        <f t="shared" si="9"/>
        <v>-0.60000000000000009</v>
      </c>
      <c r="AR21" s="102">
        <f t="shared" si="9"/>
        <v>-0.8</v>
      </c>
      <c r="AS21" s="102">
        <f t="shared" si="9"/>
        <v>-0.8</v>
      </c>
      <c r="AT21" s="102">
        <f t="shared" si="9"/>
        <v>-0.8</v>
      </c>
      <c r="AU21" s="102">
        <f t="shared" si="9"/>
        <v>-1.2</v>
      </c>
      <c r="AV21" s="102">
        <f t="shared" si="9"/>
        <v>-1.2</v>
      </c>
      <c r="AW21" s="102">
        <f t="shared" si="9"/>
        <v>-1.2</v>
      </c>
      <c r="BD21" s="98"/>
      <c r="BH21" s="98"/>
    </row>
    <row r="22" spans="1:60" ht="25" customHeight="1">
      <c r="A22" s="106" t="s">
        <v>51</v>
      </c>
      <c r="B22" s="107">
        <f>B7-B8</f>
        <v>-1.2999999999999998</v>
      </c>
      <c r="C22" s="107">
        <f>C7-C8</f>
        <v>-1.2999999999999998</v>
      </c>
      <c r="D22" s="107">
        <f>D7-D8</f>
        <v>-1.2999999999999998</v>
      </c>
      <c r="E22" s="107">
        <f t="shared" ref="E22:AW22" si="10">E7-E8</f>
        <v>-2.2999999999999998</v>
      </c>
      <c r="F22" s="107">
        <f t="shared" si="10"/>
        <v>-2.2999999999999998</v>
      </c>
      <c r="G22" s="107">
        <f t="shared" si="10"/>
        <v>-2.2999999999999998</v>
      </c>
      <c r="H22" s="107">
        <f t="shared" si="10"/>
        <v>-3.1</v>
      </c>
      <c r="I22" s="107">
        <f t="shared" si="10"/>
        <v>-3.1</v>
      </c>
      <c r="J22" s="107">
        <f t="shared" si="10"/>
        <v>-3.1</v>
      </c>
      <c r="K22" s="107">
        <f t="shared" si="10"/>
        <v>-3.9</v>
      </c>
      <c r="L22" s="107">
        <f t="shared" si="10"/>
        <v>-3.9</v>
      </c>
      <c r="M22" s="107">
        <f t="shared" si="10"/>
        <v>-3.9</v>
      </c>
      <c r="N22" s="107">
        <f t="shared" si="10"/>
        <v>-2.6</v>
      </c>
      <c r="O22" s="107">
        <f t="shared" si="10"/>
        <v>-2.6</v>
      </c>
      <c r="P22" s="107">
        <f t="shared" si="10"/>
        <v>-2.6</v>
      </c>
      <c r="Q22" s="107">
        <f t="shared" si="10"/>
        <v>-2.2999999999999998</v>
      </c>
      <c r="R22" s="107">
        <f t="shared" si="10"/>
        <v>-2.2999999999999998</v>
      </c>
      <c r="S22" s="107">
        <f t="shared" si="10"/>
        <v>-2.2999999999999998</v>
      </c>
      <c r="T22" s="107">
        <f t="shared" si="10"/>
        <v>-1.4999999999999998</v>
      </c>
      <c r="U22" s="107">
        <f t="shared" si="10"/>
        <v>-1.4999999999999998</v>
      </c>
      <c r="V22" s="107">
        <f t="shared" si="10"/>
        <v>-1.4999999999999998</v>
      </c>
      <c r="W22" s="107">
        <f t="shared" si="10"/>
        <v>-0.5</v>
      </c>
      <c r="X22" s="107">
        <f t="shared" si="10"/>
        <v>-0.5</v>
      </c>
      <c r="Y22" s="107">
        <f t="shared" si="10"/>
        <v>-0.5</v>
      </c>
      <c r="Z22" s="107">
        <f t="shared" si="10"/>
        <v>-0.19999999999999996</v>
      </c>
      <c r="AA22" s="107">
        <f t="shared" si="10"/>
        <v>-0.19999999999999996</v>
      </c>
      <c r="AB22" s="107">
        <f t="shared" si="10"/>
        <v>-0.19999999999999996</v>
      </c>
      <c r="AC22" s="107">
        <f t="shared" si="10"/>
        <v>-0.70000000000000018</v>
      </c>
      <c r="AD22" s="107">
        <f t="shared" si="10"/>
        <v>-0.70000000000000018</v>
      </c>
      <c r="AE22" s="107">
        <f t="shared" si="10"/>
        <v>-0.70000000000000018</v>
      </c>
      <c r="AF22" s="107">
        <f t="shared" si="10"/>
        <v>-0.99999999999999978</v>
      </c>
      <c r="AG22" s="107">
        <f t="shared" si="10"/>
        <v>-0.99999999999999978</v>
      </c>
      <c r="AH22" s="107">
        <f t="shared" si="10"/>
        <v>-0.99999999999999978</v>
      </c>
      <c r="AI22" s="107">
        <f t="shared" si="10"/>
        <v>-1.1000000000000001</v>
      </c>
      <c r="AJ22" s="107">
        <f t="shared" si="10"/>
        <v>-1.1000000000000001</v>
      </c>
      <c r="AK22" s="107">
        <f t="shared" si="10"/>
        <v>-1.1000000000000001</v>
      </c>
      <c r="AL22" s="107">
        <f t="shared" si="10"/>
        <v>-1.8000000000000003</v>
      </c>
      <c r="AM22" s="107">
        <f t="shared" si="10"/>
        <v>-1.8000000000000003</v>
      </c>
      <c r="AN22" s="107">
        <f t="shared" si="10"/>
        <v>-1.8000000000000003</v>
      </c>
      <c r="AO22" s="107">
        <f t="shared" si="10"/>
        <v>-0.90000000000000013</v>
      </c>
      <c r="AP22" s="107">
        <f t="shared" si="10"/>
        <v>-0.90000000000000013</v>
      </c>
      <c r="AQ22" s="107">
        <f t="shared" si="10"/>
        <v>-0.90000000000000013</v>
      </c>
      <c r="AR22" s="107">
        <f t="shared" si="10"/>
        <v>-0.30000000000000004</v>
      </c>
      <c r="AS22" s="107">
        <f t="shared" si="10"/>
        <v>-0.30000000000000004</v>
      </c>
      <c r="AT22" s="107">
        <f t="shared" si="10"/>
        <v>-0.30000000000000004</v>
      </c>
      <c r="AU22" s="107">
        <f t="shared" si="10"/>
        <v>-0.20000000000000018</v>
      </c>
      <c r="AV22" s="107">
        <f t="shared" si="10"/>
        <v>-0.20000000000000018</v>
      </c>
      <c r="AW22" s="107">
        <f t="shared" si="10"/>
        <v>-0.20000000000000018</v>
      </c>
      <c r="BD22" s="98"/>
      <c r="BH22" s="98"/>
    </row>
    <row r="23" spans="1:60" ht="25" customHeight="1">
      <c r="A23" s="106" t="s">
        <v>52</v>
      </c>
      <c r="B23" s="107">
        <f>B7-B4</f>
        <v>-0.8</v>
      </c>
      <c r="C23" s="107">
        <f>C7-C4</f>
        <v>-0.8</v>
      </c>
      <c r="D23" s="107">
        <f>D7-D4</f>
        <v>-0.8</v>
      </c>
      <c r="E23" s="107">
        <f t="shared" ref="E23:AW23" si="11">E7-E4</f>
        <v>-0.5</v>
      </c>
      <c r="F23" s="107">
        <f t="shared" si="11"/>
        <v>-0.5</v>
      </c>
      <c r="G23" s="107">
        <f t="shared" si="11"/>
        <v>-0.5</v>
      </c>
      <c r="H23" s="107">
        <f t="shared" si="11"/>
        <v>0.1</v>
      </c>
      <c r="I23" s="107">
        <f t="shared" si="11"/>
        <v>0.1</v>
      </c>
      <c r="J23" s="107">
        <f t="shared" si="11"/>
        <v>0.1</v>
      </c>
      <c r="K23" s="107">
        <f t="shared" si="11"/>
        <v>-0.5</v>
      </c>
      <c r="L23" s="107">
        <f t="shared" si="11"/>
        <v>-0.5</v>
      </c>
      <c r="M23" s="107">
        <f t="shared" si="11"/>
        <v>-0.5</v>
      </c>
      <c r="N23" s="107">
        <f t="shared" si="11"/>
        <v>1.6</v>
      </c>
      <c r="O23" s="107">
        <f t="shared" si="11"/>
        <v>1.6</v>
      </c>
      <c r="P23" s="107">
        <f t="shared" si="11"/>
        <v>1.6</v>
      </c>
      <c r="Q23" s="107">
        <f t="shared" si="11"/>
        <v>2</v>
      </c>
      <c r="R23" s="107">
        <f t="shared" si="11"/>
        <v>2</v>
      </c>
      <c r="S23" s="107">
        <f t="shared" si="11"/>
        <v>2</v>
      </c>
      <c r="T23" s="107">
        <f t="shared" si="11"/>
        <v>0.5</v>
      </c>
      <c r="U23" s="107">
        <f t="shared" si="11"/>
        <v>0.5</v>
      </c>
      <c r="V23" s="107">
        <f t="shared" si="11"/>
        <v>0.5</v>
      </c>
      <c r="W23" s="107">
        <f t="shared" si="11"/>
        <v>1.2999999999999998</v>
      </c>
      <c r="X23" s="107">
        <f t="shared" si="11"/>
        <v>1.2999999999999998</v>
      </c>
      <c r="Y23" s="107">
        <f t="shared" si="11"/>
        <v>1.2999999999999998</v>
      </c>
      <c r="Z23" s="107">
        <f t="shared" si="11"/>
        <v>0.19999999999999996</v>
      </c>
      <c r="AA23" s="107">
        <f t="shared" si="11"/>
        <v>0.19999999999999996</v>
      </c>
      <c r="AB23" s="107">
        <f t="shared" si="11"/>
        <v>0.19999999999999996</v>
      </c>
      <c r="AC23" s="107">
        <f t="shared" si="11"/>
        <v>-0.60000000000000009</v>
      </c>
      <c r="AD23" s="107">
        <f t="shared" si="11"/>
        <v>-0.60000000000000009</v>
      </c>
      <c r="AE23" s="107">
        <f t="shared" si="11"/>
        <v>-0.60000000000000009</v>
      </c>
      <c r="AF23" s="107">
        <f t="shared" si="11"/>
        <v>0.8</v>
      </c>
      <c r="AG23" s="107">
        <f t="shared" si="11"/>
        <v>0.8</v>
      </c>
      <c r="AH23" s="107">
        <f t="shared" si="11"/>
        <v>0.8</v>
      </c>
      <c r="AI23" s="107">
        <f t="shared" si="11"/>
        <v>0.7</v>
      </c>
      <c r="AJ23" s="107">
        <f t="shared" si="11"/>
        <v>0.7</v>
      </c>
      <c r="AK23" s="107">
        <f t="shared" si="11"/>
        <v>0.7</v>
      </c>
      <c r="AL23" s="107">
        <f t="shared" si="11"/>
        <v>0.30000000000000004</v>
      </c>
      <c r="AM23" s="107">
        <f t="shared" si="11"/>
        <v>0.30000000000000004</v>
      </c>
      <c r="AN23" s="107">
        <f t="shared" si="11"/>
        <v>0.30000000000000004</v>
      </c>
      <c r="AO23" s="107">
        <f t="shared" si="11"/>
        <v>0.5</v>
      </c>
      <c r="AP23" s="107">
        <f t="shared" si="11"/>
        <v>0.5</v>
      </c>
      <c r="AQ23" s="107">
        <f t="shared" si="11"/>
        <v>0.5</v>
      </c>
      <c r="AR23" s="107">
        <f t="shared" si="11"/>
        <v>0.6</v>
      </c>
      <c r="AS23" s="107">
        <f t="shared" si="11"/>
        <v>0.6</v>
      </c>
      <c r="AT23" s="107">
        <f t="shared" si="11"/>
        <v>0.6</v>
      </c>
      <c r="AU23" s="107">
        <f t="shared" si="11"/>
        <v>0.29999999999999982</v>
      </c>
      <c r="AV23" s="107">
        <f t="shared" si="11"/>
        <v>0.29999999999999982</v>
      </c>
      <c r="AW23" s="107">
        <f t="shared" si="11"/>
        <v>0.29999999999999982</v>
      </c>
      <c r="BD23" s="98"/>
      <c r="BH23" s="98"/>
    </row>
    <row r="24" spans="1:60" ht="25" customHeight="1">
      <c r="A24" s="106" t="s">
        <v>53</v>
      </c>
      <c r="B24" s="107">
        <f>B7-B6</f>
        <v>-1</v>
      </c>
      <c r="C24" s="107">
        <f>C7-C6</f>
        <v>-1</v>
      </c>
      <c r="D24" s="107">
        <f>D7-D6</f>
        <v>-1</v>
      </c>
      <c r="E24" s="107">
        <f t="shared" ref="E24:AW24" si="12">E7-E6</f>
        <v>-0.5</v>
      </c>
      <c r="F24" s="107">
        <f t="shared" si="12"/>
        <v>-0.5</v>
      </c>
      <c r="G24" s="107">
        <f t="shared" si="12"/>
        <v>-0.5</v>
      </c>
      <c r="H24" s="107">
        <f t="shared" si="12"/>
        <v>-0.70000000000000007</v>
      </c>
      <c r="I24" s="107">
        <f t="shared" si="12"/>
        <v>-0.70000000000000007</v>
      </c>
      <c r="J24" s="107">
        <f t="shared" si="12"/>
        <v>-0.70000000000000007</v>
      </c>
      <c r="K24" s="107">
        <f t="shared" si="12"/>
        <v>-1.6</v>
      </c>
      <c r="L24" s="107">
        <f t="shared" si="12"/>
        <v>-1.6</v>
      </c>
      <c r="M24" s="107">
        <f t="shared" si="12"/>
        <v>-1.6</v>
      </c>
      <c r="N24" s="107">
        <f t="shared" si="12"/>
        <v>0.19999999999999998</v>
      </c>
      <c r="O24" s="107">
        <f t="shared" si="12"/>
        <v>0.19999999999999998</v>
      </c>
      <c r="P24" s="107">
        <f t="shared" si="12"/>
        <v>0.19999999999999998</v>
      </c>
      <c r="Q24" s="107">
        <f t="shared" si="12"/>
        <v>-0.8</v>
      </c>
      <c r="R24" s="107">
        <f t="shared" si="12"/>
        <v>-0.8</v>
      </c>
      <c r="S24" s="107">
        <f t="shared" si="12"/>
        <v>-0.8</v>
      </c>
      <c r="T24" s="107">
        <f t="shared" si="12"/>
        <v>-0.30000000000000004</v>
      </c>
      <c r="U24" s="107">
        <f t="shared" si="12"/>
        <v>-0.30000000000000004</v>
      </c>
      <c r="V24" s="107">
        <f t="shared" si="12"/>
        <v>-0.30000000000000004</v>
      </c>
      <c r="W24" s="107">
        <f t="shared" si="12"/>
        <v>0.59999999999999987</v>
      </c>
      <c r="X24" s="107">
        <f t="shared" si="12"/>
        <v>0.59999999999999987</v>
      </c>
      <c r="Y24" s="107">
        <f t="shared" si="12"/>
        <v>0.59999999999999987</v>
      </c>
      <c r="Z24" s="107">
        <f t="shared" si="12"/>
        <v>-0.7</v>
      </c>
      <c r="AA24" s="107">
        <f t="shared" si="12"/>
        <v>-0.7</v>
      </c>
      <c r="AB24" s="107">
        <f t="shared" si="12"/>
        <v>-0.7</v>
      </c>
      <c r="AC24" s="107">
        <f t="shared" si="12"/>
        <v>-0.20000000000000018</v>
      </c>
      <c r="AD24" s="107">
        <f t="shared" si="12"/>
        <v>-0.20000000000000018</v>
      </c>
      <c r="AE24" s="107">
        <f t="shared" si="12"/>
        <v>-0.20000000000000018</v>
      </c>
      <c r="AF24" s="107">
        <f t="shared" si="12"/>
        <v>0.60000000000000009</v>
      </c>
      <c r="AG24" s="107">
        <f t="shared" si="12"/>
        <v>0.60000000000000009</v>
      </c>
      <c r="AH24" s="107">
        <f t="shared" si="12"/>
        <v>0.60000000000000009</v>
      </c>
      <c r="AI24" s="107">
        <f t="shared" si="12"/>
        <v>-0.20000000000000007</v>
      </c>
      <c r="AJ24" s="107">
        <f t="shared" si="12"/>
        <v>-0.20000000000000007</v>
      </c>
      <c r="AK24" s="107">
        <f t="shared" si="12"/>
        <v>-0.20000000000000007</v>
      </c>
      <c r="AL24" s="107">
        <f t="shared" si="12"/>
        <v>0.60000000000000009</v>
      </c>
      <c r="AM24" s="107">
        <f t="shared" si="12"/>
        <v>0.60000000000000009</v>
      </c>
      <c r="AN24" s="107">
        <f t="shared" si="12"/>
        <v>0.60000000000000009</v>
      </c>
      <c r="AO24" s="107">
        <f t="shared" si="12"/>
        <v>-1.0999999999999999</v>
      </c>
      <c r="AP24" s="107">
        <f t="shared" si="12"/>
        <v>-1.0999999999999999</v>
      </c>
      <c r="AQ24" s="107">
        <f t="shared" si="12"/>
        <v>-1.0999999999999999</v>
      </c>
      <c r="AR24" s="107">
        <f t="shared" si="12"/>
        <v>0.7</v>
      </c>
      <c r="AS24" s="107">
        <f t="shared" si="12"/>
        <v>0.7</v>
      </c>
      <c r="AT24" s="107">
        <f t="shared" si="12"/>
        <v>0.7</v>
      </c>
      <c r="AU24" s="107">
        <f t="shared" si="12"/>
        <v>0.39999999999999991</v>
      </c>
      <c r="AV24" s="107">
        <f t="shared" si="12"/>
        <v>0.39999999999999991</v>
      </c>
      <c r="AW24" s="107">
        <f t="shared" si="12"/>
        <v>0.39999999999999991</v>
      </c>
      <c r="BD24" s="98"/>
      <c r="BH24" s="98"/>
    </row>
    <row r="25" spans="1:60" ht="25" customHeight="1">
      <c r="A25" s="106" t="s">
        <v>54</v>
      </c>
      <c r="B25" s="107">
        <f>B7-B3</f>
        <v>-2.1</v>
      </c>
      <c r="C25" s="107">
        <f>C7-C3</f>
        <v>-2.1</v>
      </c>
      <c r="D25" s="107">
        <f>D7-D3</f>
        <v>-2.1</v>
      </c>
      <c r="E25" s="107">
        <f t="shared" ref="E25:AW25" si="13">E7-E3</f>
        <v>-1.6</v>
      </c>
      <c r="F25" s="107">
        <f t="shared" si="13"/>
        <v>-1.6</v>
      </c>
      <c r="G25" s="107">
        <f t="shared" si="13"/>
        <v>-1.6</v>
      </c>
      <c r="H25" s="107">
        <f t="shared" si="13"/>
        <v>-1.2</v>
      </c>
      <c r="I25" s="107">
        <f t="shared" si="13"/>
        <v>-1.2</v>
      </c>
      <c r="J25" s="107">
        <f t="shared" si="13"/>
        <v>-1.2</v>
      </c>
      <c r="K25" s="107">
        <f t="shared" si="13"/>
        <v>-1.8</v>
      </c>
      <c r="L25" s="107">
        <f t="shared" si="13"/>
        <v>-1.8</v>
      </c>
      <c r="M25" s="107">
        <f t="shared" si="13"/>
        <v>-1.8</v>
      </c>
      <c r="N25" s="107">
        <f t="shared" si="13"/>
        <v>-0.7</v>
      </c>
      <c r="O25" s="107">
        <f t="shared" si="13"/>
        <v>-0.7</v>
      </c>
      <c r="P25" s="107">
        <f t="shared" si="13"/>
        <v>-0.7</v>
      </c>
      <c r="Q25" s="107">
        <f t="shared" si="13"/>
        <v>-0.89999999999999991</v>
      </c>
      <c r="R25" s="107">
        <f t="shared" si="13"/>
        <v>-0.89999999999999991</v>
      </c>
      <c r="S25" s="107">
        <f t="shared" si="13"/>
        <v>-0.89999999999999991</v>
      </c>
      <c r="T25" s="107">
        <f t="shared" si="13"/>
        <v>-1.0999999999999999</v>
      </c>
      <c r="U25" s="107">
        <f t="shared" si="13"/>
        <v>-1.0999999999999999</v>
      </c>
      <c r="V25" s="107">
        <f t="shared" si="13"/>
        <v>-1.0999999999999999</v>
      </c>
      <c r="W25" s="107">
        <f t="shared" si="13"/>
        <v>-1.2000000000000002</v>
      </c>
      <c r="X25" s="107">
        <f t="shared" si="13"/>
        <v>-1.2000000000000002</v>
      </c>
      <c r="Y25" s="107">
        <f t="shared" si="13"/>
        <v>-1.2000000000000002</v>
      </c>
      <c r="Z25" s="107">
        <f t="shared" si="13"/>
        <v>-1.0999999999999999</v>
      </c>
      <c r="AA25" s="107">
        <f t="shared" si="13"/>
        <v>-1.0999999999999999</v>
      </c>
      <c r="AB25" s="107">
        <f t="shared" si="13"/>
        <v>-1.0999999999999999</v>
      </c>
      <c r="AC25" s="107">
        <f t="shared" si="13"/>
        <v>-0.40000000000000013</v>
      </c>
      <c r="AD25" s="107">
        <f t="shared" si="13"/>
        <v>-0.40000000000000013</v>
      </c>
      <c r="AE25" s="107">
        <f t="shared" si="13"/>
        <v>-0.40000000000000013</v>
      </c>
      <c r="AF25" s="107">
        <f t="shared" si="13"/>
        <v>-0.30000000000000004</v>
      </c>
      <c r="AG25" s="107">
        <f t="shared" si="13"/>
        <v>-0.30000000000000004</v>
      </c>
      <c r="AH25" s="107">
        <f t="shared" si="13"/>
        <v>-0.30000000000000004</v>
      </c>
      <c r="AI25" s="107">
        <f t="shared" si="13"/>
        <v>0.20000000000000007</v>
      </c>
      <c r="AJ25" s="107">
        <f t="shared" si="13"/>
        <v>0.20000000000000007</v>
      </c>
      <c r="AK25" s="107">
        <f t="shared" si="13"/>
        <v>0.20000000000000007</v>
      </c>
      <c r="AL25" s="107">
        <f t="shared" si="13"/>
        <v>0.8</v>
      </c>
      <c r="AM25" s="107">
        <f t="shared" si="13"/>
        <v>0.8</v>
      </c>
      <c r="AN25" s="107">
        <f t="shared" si="13"/>
        <v>0.8</v>
      </c>
      <c r="AO25" s="107">
        <f t="shared" si="13"/>
        <v>9.9999999999999867E-2</v>
      </c>
      <c r="AP25" s="107">
        <f t="shared" si="13"/>
        <v>9.9999999999999867E-2</v>
      </c>
      <c r="AQ25" s="107">
        <f t="shared" si="13"/>
        <v>9.9999999999999867E-2</v>
      </c>
      <c r="AR25" s="107">
        <f t="shared" si="13"/>
        <v>0.39999999999999991</v>
      </c>
      <c r="AS25" s="107">
        <f t="shared" si="13"/>
        <v>0.39999999999999991</v>
      </c>
      <c r="AT25" s="107">
        <f t="shared" si="13"/>
        <v>0.39999999999999991</v>
      </c>
      <c r="AU25" s="107">
        <f t="shared" si="13"/>
        <v>-0.5</v>
      </c>
      <c r="AV25" s="107">
        <f t="shared" si="13"/>
        <v>-0.5</v>
      </c>
      <c r="AW25" s="107">
        <f t="shared" si="13"/>
        <v>-0.5</v>
      </c>
      <c r="BD25" s="98"/>
      <c r="BH25" s="98"/>
    </row>
    <row r="26" spans="1:60" ht="25" customHeight="1">
      <c r="A26" s="106" t="s">
        <v>55</v>
      </c>
      <c r="B26" s="108">
        <f>B7-B2</f>
        <v>-1.7999999999999998</v>
      </c>
      <c r="C26" s="108">
        <f>C7-C2</f>
        <v>-1.7999999999999998</v>
      </c>
      <c r="D26" s="108">
        <f>D7-D2</f>
        <v>-1.7999999999999998</v>
      </c>
      <c r="E26" s="108">
        <f t="shared" ref="E26:AW26" si="14">E7-E2</f>
        <v>-1.7999999999999998</v>
      </c>
      <c r="F26" s="108">
        <f t="shared" si="14"/>
        <v>-1.7999999999999998</v>
      </c>
      <c r="G26" s="108">
        <f t="shared" si="14"/>
        <v>-1.7999999999999998</v>
      </c>
      <c r="H26" s="108">
        <f t="shared" si="14"/>
        <v>-2.1</v>
      </c>
      <c r="I26" s="108">
        <f t="shared" si="14"/>
        <v>-2.1</v>
      </c>
      <c r="J26" s="108">
        <f t="shared" si="14"/>
        <v>-2.1</v>
      </c>
      <c r="K26" s="108">
        <f t="shared" si="14"/>
        <v>-1.8</v>
      </c>
      <c r="L26" s="108">
        <f t="shared" si="14"/>
        <v>-1.8</v>
      </c>
      <c r="M26" s="108">
        <f t="shared" si="14"/>
        <v>-1.8</v>
      </c>
      <c r="N26" s="108">
        <f t="shared" si="14"/>
        <v>-0.8</v>
      </c>
      <c r="O26" s="108">
        <f t="shared" si="14"/>
        <v>-0.8</v>
      </c>
      <c r="P26" s="108">
        <f t="shared" si="14"/>
        <v>-0.8</v>
      </c>
      <c r="Q26" s="108">
        <f t="shared" si="14"/>
        <v>-9.9999999999999978E-2</v>
      </c>
      <c r="R26" s="108">
        <f t="shared" si="14"/>
        <v>-9.9999999999999978E-2</v>
      </c>
      <c r="S26" s="108">
        <f t="shared" si="14"/>
        <v>-9.9999999999999978E-2</v>
      </c>
      <c r="T26" s="108">
        <f t="shared" si="14"/>
        <v>0.5</v>
      </c>
      <c r="U26" s="108">
        <f t="shared" si="14"/>
        <v>0.5</v>
      </c>
      <c r="V26" s="108">
        <f t="shared" si="14"/>
        <v>0.5</v>
      </c>
      <c r="W26" s="108">
        <f t="shared" si="14"/>
        <v>0.7</v>
      </c>
      <c r="X26" s="108">
        <f t="shared" si="14"/>
        <v>0.7</v>
      </c>
      <c r="Y26" s="108">
        <f t="shared" si="14"/>
        <v>0.7</v>
      </c>
      <c r="Z26" s="108">
        <f t="shared" si="14"/>
        <v>0.5</v>
      </c>
      <c r="AA26" s="108">
        <f t="shared" si="14"/>
        <v>0.5</v>
      </c>
      <c r="AB26" s="108">
        <f t="shared" si="14"/>
        <v>0.5</v>
      </c>
      <c r="AC26" s="108">
        <f t="shared" si="14"/>
        <v>-0.5</v>
      </c>
      <c r="AD26" s="108">
        <f t="shared" si="14"/>
        <v>-0.5</v>
      </c>
      <c r="AE26" s="108">
        <f t="shared" si="14"/>
        <v>-0.5</v>
      </c>
      <c r="AF26" s="108">
        <f t="shared" si="14"/>
        <v>-0.8</v>
      </c>
      <c r="AG26" s="108">
        <f t="shared" si="14"/>
        <v>-0.8</v>
      </c>
      <c r="AH26" s="108">
        <f t="shared" si="14"/>
        <v>-0.8</v>
      </c>
      <c r="AI26" s="108">
        <f t="shared" si="14"/>
        <v>-1.7000000000000002</v>
      </c>
      <c r="AJ26" s="108">
        <f t="shared" si="14"/>
        <v>-1.7000000000000002</v>
      </c>
      <c r="AK26" s="108">
        <f t="shared" si="14"/>
        <v>-1.7000000000000002</v>
      </c>
      <c r="AL26" s="108">
        <f t="shared" si="14"/>
        <v>-1.6</v>
      </c>
      <c r="AM26" s="108">
        <f t="shared" si="14"/>
        <v>-1.6</v>
      </c>
      <c r="AN26" s="108">
        <f t="shared" si="14"/>
        <v>-1.6</v>
      </c>
      <c r="AO26" s="108">
        <f t="shared" si="14"/>
        <v>-0.90000000000000013</v>
      </c>
      <c r="AP26" s="108">
        <f t="shared" si="14"/>
        <v>-0.90000000000000013</v>
      </c>
      <c r="AQ26" s="108">
        <f t="shared" si="14"/>
        <v>-0.90000000000000013</v>
      </c>
      <c r="AR26" s="108">
        <f t="shared" si="14"/>
        <v>0.10000000000000009</v>
      </c>
      <c r="AS26" s="108">
        <f t="shared" si="14"/>
        <v>0.10000000000000009</v>
      </c>
      <c r="AT26" s="108">
        <f t="shared" si="14"/>
        <v>0.10000000000000009</v>
      </c>
      <c r="AU26" s="108">
        <f t="shared" si="14"/>
        <v>0.59999999999999987</v>
      </c>
      <c r="AV26" s="108">
        <f t="shared" si="14"/>
        <v>0.59999999999999987</v>
      </c>
      <c r="AW26" s="108">
        <f t="shared" si="14"/>
        <v>0.59999999999999987</v>
      </c>
      <c r="BD26" s="98"/>
      <c r="BH26" s="98"/>
    </row>
    <row r="27" spans="1:60" ht="25" customHeight="1">
      <c r="A27" s="106" t="s">
        <v>56</v>
      </c>
      <c r="B27" s="107">
        <f>B7-B5</f>
        <v>-2.1</v>
      </c>
      <c r="C27" s="107">
        <f>C7-C5</f>
        <v>-2.1</v>
      </c>
      <c r="D27" s="107">
        <f>D7-D5</f>
        <v>-2.1</v>
      </c>
      <c r="E27" s="107">
        <f t="shared" ref="E27:AW27" si="15">E7-E5</f>
        <v>-2.5</v>
      </c>
      <c r="F27" s="107">
        <f t="shared" si="15"/>
        <v>-2.5</v>
      </c>
      <c r="G27" s="107">
        <f t="shared" si="15"/>
        <v>-2.5</v>
      </c>
      <c r="H27" s="107">
        <f t="shared" si="15"/>
        <v>-1.0999999999999999</v>
      </c>
      <c r="I27" s="107">
        <f t="shared" si="15"/>
        <v>-1.0999999999999999</v>
      </c>
      <c r="J27" s="107">
        <f t="shared" si="15"/>
        <v>-1.0999999999999999</v>
      </c>
      <c r="K27" s="107">
        <f t="shared" si="15"/>
        <v>-1.9</v>
      </c>
      <c r="L27" s="107">
        <f t="shared" si="15"/>
        <v>-1.9</v>
      </c>
      <c r="M27" s="107">
        <f t="shared" si="15"/>
        <v>-1.9</v>
      </c>
      <c r="N27" s="107">
        <f t="shared" si="15"/>
        <v>-1.3</v>
      </c>
      <c r="O27" s="107">
        <f t="shared" si="15"/>
        <v>-1.3</v>
      </c>
      <c r="P27" s="107">
        <f t="shared" si="15"/>
        <v>-1.3</v>
      </c>
      <c r="Q27" s="107">
        <f t="shared" si="15"/>
        <v>0.70000000000000007</v>
      </c>
      <c r="R27" s="107">
        <f t="shared" si="15"/>
        <v>0.70000000000000007</v>
      </c>
      <c r="S27" s="107">
        <f t="shared" si="15"/>
        <v>0.70000000000000007</v>
      </c>
      <c r="T27" s="107">
        <f t="shared" si="15"/>
        <v>2.5</v>
      </c>
      <c r="U27" s="107">
        <f t="shared" si="15"/>
        <v>2.5</v>
      </c>
      <c r="V27" s="107">
        <f t="shared" si="15"/>
        <v>2.5</v>
      </c>
      <c r="W27" s="107">
        <f t="shared" si="15"/>
        <v>3.5</v>
      </c>
      <c r="X27" s="107">
        <f t="shared" si="15"/>
        <v>3.5</v>
      </c>
      <c r="Y27" s="107">
        <f t="shared" si="15"/>
        <v>3.5</v>
      </c>
      <c r="Z27" s="107">
        <f t="shared" si="15"/>
        <v>2.5</v>
      </c>
      <c r="AA27" s="107">
        <f t="shared" si="15"/>
        <v>2.5</v>
      </c>
      <c r="AB27" s="107">
        <f t="shared" si="15"/>
        <v>2.5</v>
      </c>
      <c r="AC27" s="107">
        <f t="shared" si="15"/>
        <v>2.5</v>
      </c>
      <c r="AD27" s="107">
        <f t="shared" si="15"/>
        <v>2.5</v>
      </c>
      <c r="AE27" s="107">
        <f t="shared" si="15"/>
        <v>2.5</v>
      </c>
      <c r="AF27" s="107">
        <f t="shared" si="15"/>
        <v>0.19999999999999996</v>
      </c>
      <c r="AG27" s="107">
        <f t="shared" si="15"/>
        <v>0.19999999999999996</v>
      </c>
      <c r="AH27" s="107">
        <f t="shared" si="15"/>
        <v>0.19999999999999996</v>
      </c>
      <c r="AI27" s="107">
        <f t="shared" si="15"/>
        <v>-0.4</v>
      </c>
      <c r="AJ27" s="107">
        <f t="shared" si="15"/>
        <v>-0.4</v>
      </c>
      <c r="AK27" s="107">
        <f t="shared" si="15"/>
        <v>-0.4</v>
      </c>
      <c r="AL27" s="107">
        <f t="shared" si="15"/>
        <v>-0.6</v>
      </c>
      <c r="AM27" s="107">
        <f t="shared" si="15"/>
        <v>-0.6</v>
      </c>
      <c r="AN27" s="107">
        <f t="shared" si="15"/>
        <v>-0.6</v>
      </c>
      <c r="AO27" s="107">
        <f t="shared" si="15"/>
        <v>-0.60000000000000009</v>
      </c>
      <c r="AP27" s="107">
        <f t="shared" si="15"/>
        <v>-0.60000000000000009</v>
      </c>
      <c r="AQ27" s="107">
        <f t="shared" si="15"/>
        <v>-0.60000000000000009</v>
      </c>
      <c r="AR27" s="107">
        <f t="shared" si="15"/>
        <v>-0.30000000000000004</v>
      </c>
      <c r="AS27" s="107">
        <f t="shared" si="15"/>
        <v>-0.30000000000000004</v>
      </c>
      <c r="AT27" s="107">
        <f t="shared" si="15"/>
        <v>-0.30000000000000004</v>
      </c>
      <c r="AU27" s="107">
        <f t="shared" si="15"/>
        <v>-0.5</v>
      </c>
      <c r="AV27" s="107">
        <f t="shared" si="15"/>
        <v>-0.5</v>
      </c>
      <c r="AW27" s="107">
        <f t="shared" si="15"/>
        <v>-0.5</v>
      </c>
      <c r="BD27" s="98"/>
      <c r="BH27" s="98"/>
    </row>
    <row r="28" spans="1:60" ht="25" customHeight="1">
      <c r="A28" s="109" t="s">
        <v>57</v>
      </c>
      <c r="B28" s="110">
        <f>B6-B4</f>
        <v>0.19999999999999996</v>
      </c>
      <c r="C28" s="110">
        <f>C6-C4</f>
        <v>0.19999999999999996</v>
      </c>
      <c r="D28" s="110">
        <f>D6-D4</f>
        <v>0.19999999999999996</v>
      </c>
      <c r="E28" s="110">
        <f t="shared" ref="E28:AW28" si="16">E6-E4</f>
        <v>0</v>
      </c>
      <c r="F28" s="110">
        <f t="shared" si="16"/>
        <v>0</v>
      </c>
      <c r="G28" s="110">
        <f t="shared" si="16"/>
        <v>0</v>
      </c>
      <c r="H28" s="110">
        <f t="shared" si="16"/>
        <v>0.8</v>
      </c>
      <c r="I28" s="110">
        <f t="shared" si="16"/>
        <v>0.8</v>
      </c>
      <c r="J28" s="110">
        <f t="shared" si="16"/>
        <v>0.8</v>
      </c>
      <c r="K28" s="110">
        <f t="shared" si="16"/>
        <v>1.1000000000000001</v>
      </c>
      <c r="L28" s="110">
        <f t="shared" si="16"/>
        <v>1.1000000000000001</v>
      </c>
      <c r="M28" s="110">
        <f t="shared" si="16"/>
        <v>1.1000000000000001</v>
      </c>
      <c r="N28" s="110">
        <f t="shared" si="16"/>
        <v>1.4000000000000001</v>
      </c>
      <c r="O28" s="110">
        <f t="shared" si="16"/>
        <v>1.4000000000000001</v>
      </c>
      <c r="P28" s="110">
        <f t="shared" si="16"/>
        <v>1.4000000000000001</v>
      </c>
      <c r="Q28" s="110">
        <f t="shared" si="16"/>
        <v>2.8</v>
      </c>
      <c r="R28" s="110">
        <f t="shared" si="16"/>
        <v>2.8</v>
      </c>
      <c r="S28" s="110">
        <f t="shared" si="16"/>
        <v>2.8</v>
      </c>
      <c r="T28" s="110">
        <f t="shared" si="16"/>
        <v>0.8</v>
      </c>
      <c r="U28" s="110">
        <f t="shared" si="16"/>
        <v>0.8</v>
      </c>
      <c r="V28" s="110">
        <f t="shared" si="16"/>
        <v>0.8</v>
      </c>
      <c r="W28" s="110">
        <f t="shared" si="16"/>
        <v>0.70000000000000007</v>
      </c>
      <c r="X28" s="110">
        <f t="shared" si="16"/>
        <v>0.70000000000000007</v>
      </c>
      <c r="Y28" s="110">
        <f t="shared" si="16"/>
        <v>0.70000000000000007</v>
      </c>
      <c r="Z28" s="110">
        <f t="shared" si="16"/>
        <v>0.89999999999999991</v>
      </c>
      <c r="AA28" s="110">
        <f t="shared" si="16"/>
        <v>0.89999999999999991</v>
      </c>
      <c r="AB28" s="110">
        <f t="shared" si="16"/>
        <v>0.89999999999999991</v>
      </c>
      <c r="AC28" s="110">
        <f t="shared" si="16"/>
        <v>-0.39999999999999991</v>
      </c>
      <c r="AD28" s="110">
        <f t="shared" si="16"/>
        <v>-0.39999999999999991</v>
      </c>
      <c r="AE28" s="110">
        <f t="shared" si="16"/>
        <v>-0.39999999999999991</v>
      </c>
      <c r="AF28" s="110">
        <f t="shared" si="16"/>
        <v>0.19999999999999996</v>
      </c>
      <c r="AG28" s="110">
        <f t="shared" si="16"/>
        <v>0.19999999999999996</v>
      </c>
      <c r="AH28" s="110">
        <f t="shared" si="16"/>
        <v>0.19999999999999996</v>
      </c>
      <c r="AI28" s="110">
        <f t="shared" si="16"/>
        <v>0.90000000000000013</v>
      </c>
      <c r="AJ28" s="110">
        <f t="shared" si="16"/>
        <v>0.90000000000000013</v>
      </c>
      <c r="AK28" s="110">
        <f t="shared" si="16"/>
        <v>0.90000000000000013</v>
      </c>
      <c r="AL28" s="110">
        <f t="shared" si="16"/>
        <v>-0.3</v>
      </c>
      <c r="AM28" s="110">
        <f t="shared" si="16"/>
        <v>-0.3</v>
      </c>
      <c r="AN28" s="110">
        <f t="shared" si="16"/>
        <v>-0.3</v>
      </c>
      <c r="AO28" s="110">
        <f t="shared" si="16"/>
        <v>1.5999999999999999</v>
      </c>
      <c r="AP28" s="110">
        <f t="shared" si="16"/>
        <v>1.5999999999999999</v>
      </c>
      <c r="AQ28" s="110">
        <f t="shared" si="16"/>
        <v>1.5999999999999999</v>
      </c>
      <c r="AR28" s="110">
        <f t="shared" si="16"/>
        <v>-9.9999999999999978E-2</v>
      </c>
      <c r="AS28" s="110">
        <f t="shared" si="16"/>
        <v>-9.9999999999999978E-2</v>
      </c>
      <c r="AT28" s="110">
        <f t="shared" si="16"/>
        <v>-9.9999999999999978E-2</v>
      </c>
      <c r="AU28" s="110">
        <f t="shared" si="16"/>
        <v>-0.10000000000000009</v>
      </c>
      <c r="AV28" s="110">
        <f t="shared" si="16"/>
        <v>-0.10000000000000009</v>
      </c>
      <c r="AW28" s="110">
        <f t="shared" si="16"/>
        <v>-0.10000000000000009</v>
      </c>
      <c r="BH28" s="98"/>
    </row>
    <row r="29" spans="1:60" ht="25" customHeight="1">
      <c r="A29" s="111" t="s">
        <v>10</v>
      </c>
      <c r="B29" s="112">
        <f>B2-B8</f>
        <v>0.5</v>
      </c>
      <c r="C29" s="112">
        <f>C2-C8</f>
        <v>0.5</v>
      </c>
      <c r="D29" s="112">
        <f>D2-D8</f>
        <v>0.5</v>
      </c>
      <c r="E29" s="112">
        <f t="shared" ref="E29:AW29" si="17">E2-E8</f>
        <v>-0.5</v>
      </c>
      <c r="F29" s="112">
        <f t="shared" si="17"/>
        <v>-0.5</v>
      </c>
      <c r="G29" s="112">
        <f t="shared" si="17"/>
        <v>-0.5</v>
      </c>
      <c r="H29" s="112">
        <f t="shared" si="17"/>
        <v>-1</v>
      </c>
      <c r="I29" s="112">
        <f t="shared" si="17"/>
        <v>-1</v>
      </c>
      <c r="J29" s="112">
        <f t="shared" si="17"/>
        <v>-1</v>
      </c>
      <c r="K29" s="112">
        <f t="shared" si="17"/>
        <v>-2.0999999999999996</v>
      </c>
      <c r="L29" s="112">
        <f t="shared" si="17"/>
        <v>-2.0999999999999996</v>
      </c>
      <c r="M29" s="112">
        <f t="shared" si="17"/>
        <v>-2.0999999999999996</v>
      </c>
      <c r="N29" s="112">
        <f t="shared" si="17"/>
        <v>-1.7999999999999998</v>
      </c>
      <c r="O29" s="112">
        <f t="shared" si="17"/>
        <v>-1.7999999999999998</v>
      </c>
      <c r="P29" s="112">
        <f t="shared" si="17"/>
        <v>-1.7999999999999998</v>
      </c>
      <c r="Q29" s="112">
        <f t="shared" si="17"/>
        <v>-2.2000000000000002</v>
      </c>
      <c r="R29" s="112">
        <f t="shared" si="17"/>
        <v>-2.2000000000000002</v>
      </c>
      <c r="S29" s="112">
        <f t="shared" si="17"/>
        <v>-2.2000000000000002</v>
      </c>
      <c r="T29" s="112">
        <f t="shared" si="17"/>
        <v>-1.9999999999999998</v>
      </c>
      <c r="U29" s="112">
        <f t="shared" si="17"/>
        <v>-1.9999999999999998</v>
      </c>
      <c r="V29" s="112">
        <f t="shared" si="17"/>
        <v>-1.9999999999999998</v>
      </c>
      <c r="W29" s="112">
        <f t="shared" si="17"/>
        <v>-1.2</v>
      </c>
      <c r="X29" s="112">
        <f t="shared" si="17"/>
        <v>-1.2</v>
      </c>
      <c r="Y29" s="112">
        <f t="shared" si="17"/>
        <v>-1.2</v>
      </c>
      <c r="Z29" s="112">
        <f t="shared" si="17"/>
        <v>-0.7</v>
      </c>
      <c r="AA29" s="112">
        <f t="shared" si="17"/>
        <v>-0.7</v>
      </c>
      <c r="AB29" s="112">
        <f t="shared" si="17"/>
        <v>-0.7</v>
      </c>
      <c r="AC29" s="112">
        <f t="shared" si="17"/>
        <v>-0.20000000000000018</v>
      </c>
      <c r="AD29" s="112">
        <f t="shared" si="17"/>
        <v>-0.20000000000000018</v>
      </c>
      <c r="AE29" s="112">
        <f t="shared" si="17"/>
        <v>-0.20000000000000018</v>
      </c>
      <c r="AF29" s="112">
        <f t="shared" si="17"/>
        <v>-0.19999999999999973</v>
      </c>
      <c r="AG29" s="112">
        <f t="shared" si="17"/>
        <v>-0.19999999999999973</v>
      </c>
      <c r="AH29" s="112">
        <f t="shared" si="17"/>
        <v>-0.19999999999999973</v>
      </c>
      <c r="AI29" s="112">
        <f t="shared" si="17"/>
        <v>0.60000000000000009</v>
      </c>
      <c r="AJ29" s="112">
        <f t="shared" si="17"/>
        <v>0.60000000000000009</v>
      </c>
      <c r="AK29" s="112">
        <f t="shared" si="17"/>
        <v>0.60000000000000009</v>
      </c>
      <c r="AL29" s="112">
        <f t="shared" si="17"/>
        <v>-0.20000000000000018</v>
      </c>
      <c r="AM29" s="112">
        <f t="shared" si="17"/>
        <v>-0.20000000000000018</v>
      </c>
      <c r="AN29" s="112">
        <f t="shared" si="17"/>
        <v>-0.20000000000000018</v>
      </c>
      <c r="AO29" s="112">
        <f t="shared" si="17"/>
        <v>0</v>
      </c>
      <c r="AP29" s="112">
        <f t="shared" si="17"/>
        <v>0</v>
      </c>
      <c r="AQ29" s="112">
        <f t="shared" si="17"/>
        <v>0</v>
      </c>
      <c r="AR29" s="112">
        <f t="shared" si="17"/>
        <v>-0.40000000000000013</v>
      </c>
      <c r="AS29" s="112">
        <f t="shared" si="17"/>
        <v>-0.40000000000000013</v>
      </c>
      <c r="AT29" s="112">
        <f t="shared" si="17"/>
        <v>-0.40000000000000013</v>
      </c>
      <c r="AU29" s="112">
        <f t="shared" si="17"/>
        <v>-0.8</v>
      </c>
      <c r="AV29" s="112">
        <f t="shared" si="17"/>
        <v>-0.8</v>
      </c>
      <c r="AW29" s="112">
        <f t="shared" si="17"/>
        <v>-0.8</v>
      </c>
      <c r="BH29" s="98"/>
    </row>
    <row r="30" spans="1:60" ht="25" customHeight="1">
      <c r="A30" s="111" t="s">
        <v>58</v>
      </c>
      <c r="B30" s="112">
        <f>B2-B6</f>
        <v>0.79999999999999982</v>
      </c>
      <c r="C30" s="112">
        <f>C2-C6</f>
        <v>0.79999999999999982</v>
      </c>
      <c r="D30" s="112">
        <f>D2-D6</f>
        <v>0.79999999999999982</v>
      </c>
      <c r="E30" s="112">
        <f t="shared" ref="E30:AW30" si="18">E2-E6</f>
        <v>1.2999999999999998</v>
      </c>
      <c r="F30" s="112">
        <f t="shared" si="18"/>
        <v>1.2999999999999998</v>
      </c>
      <c r="G30" s="112">
        <f t="shared" si="18"/>
        <v>1.2999999999999998</v>
      </c>
      <c r="H30" s="112">
        <f t="shared" si="18"/>
        <v>1.4000000000000001</v>
      </c>
      <c r="I30" s="112">
        <f t="shared" si="18"/>
        <v>1.4000000000000001</v>
      </c>
      <c r="J30" s="112">
        <f t="shared" si="18"/>
        <v>1.4000000000000001</v>
      </c>
      <c r="K30" s="112">
        <f t="shared" si="18"/>
        <v>0.19999999999999996</v>
      </c>
      <c r="L30" s="112">
        <f t="shared" si="18"/>
        <v>0.19999999999999996</v>
      </c>
      <c r="M30" s="112">
        <f t="shared" si="18"/>
        <v>0.19999999999999996</v>
      </c>
      <c r="N30" s="112">
        <f t="shared" si="18"/>
        <v>1</v>
      </c>
      <c r="O30" s="112">
        <f t="shared" si="18"/>
        <v>1</v>
      </c>
      <c r="P30" s="112">
        <f t="shared" si="18"/>
        <v>1</v>
      </c>
      <c r="Q30" s="112">
        <f t="shared" si="18"/>
        <v>-0.70000000000000007</v>
      </c>
      <c r="R30" s="112">
        <f t="shared" si="18"/>
        <v>-0.70000000000000007</v>
      </c>
      <c r="S30" s="112">
        <f t="shared" si="18"/>
        <v>-0.70000000000000007</v>
      </c>
      <c r="T30" s="112">
        <f t="shared" si="18"/>
        <v>-0.8</v>
      </c>
      <c r="U30" s="112">
        <f t="shared" si="18"/>
        <v>-0.8</v>
      </c>
      <c r="V30" s="112">
        <f t="shared" si="18"/>
        <v>-0.8</v>
      </c>
      <c r="W30" s="112">
        <f t="shared" si="18"/>
        <v>-0.10000000000000009</v>
      </c>
      <c r="X30" s="112">
        <f t="shared" si="18"/>
        <v>-0.10000000000000009</v>
      </c>
      <c r="Y30" s="112">
        <f t="shared" si="18"/>
        <v>-0.10000000000000009</v>
      </c>
      <c r="Z30" s="112">
        <f t="shared" si="18"/>
        <v>-1.2</v>
      </c>
      <c r="AA30" s="112">
        <f t="shared" si="18"/>
        <v>-1.2</v>
      </c>
      <c r="AB30" s="112">
        <f t="shared" si="18"/>
        <v>-1.2</v>
      </c>
      <c r="AC30" s="112">
        <f t="shared" si="18"/>
        <v>0.29999999999999982</v>
      </c>
      <c r="AD30" s="112">
        <f t="shared" si="18"/>
        <v>0.29999999999999982</v>
      </c>
      <c r="AE30" s="112">
        <f t="shared" si="18"/>
        <v>0.29999999999999982</v>
      </c>
      <c r="AF30" s="112">
        <f t="shared" si="18"/>
        <v>1.4000000000000001</v>
      </c>
      <c r="AG30" s="112">
        <f t="shared" si="18"/>
        <v>1.4000000000000001</v>
      </c>
      <c r="AH30" s="112">
        <f t="shared" si="18"/>
        <v>1.4000000000000001</v>
      </c>
      <c r="AI30" s="112">
        <f t="shared" si="18"/>
        <v>1.5</v>
      </c>
      <c r="AJ30" s="112">
        <f t="shared" si="18"/>
        <v>1.5</v>
      </c>
      <c r="AK30" s="112">
        <f t="shared" si="18"/>
        <v>1.5</v>
      </c>
      <c r="AL30" s="112">
        <f t="shared" si="18"/>
        <v>2.2000000000000002</v>
      </c>
      <c r="AM30" s="112">
        <f t="shared" si="18"/>
        <v>2.2000000000000002</v>
      </c>
      <c r="AN30" s="112">
        <f t="shared" si="18"/>
        <v>2.2000000000000002</v>
      </c>
      <c r="AO30" s="112">
        <f t="shared" si="18"/>
        <v>-0.19999999999999973</v>
      </c>
      <c r="AP30" s="112">
        <f t="shared" si="18"/>
        <v>-0.19999999999999973</v>
      </c>
      <c r="AQ30" s="112">
        <f t="shared" si="18"/>
        <v>-0.19999999999999973</v>
      </c>
      <c r="AR30" s="112">
        <f t="shared" si="18"/>
        <v>0.59999999999999987</v>
      </c>
      <c r="AS30" s="112">
        <f t="shared" si="18"/>
        <v>0.59999999999999987</v>
      </c>
      <c r="AT30" s="112">
        <f t="shared" si="18"/>
        <v>0.59999999999999987</v>
      </c>
      <c r="AU30" s="112">
        <f t="shared" si="18"/>
        <v>-0.19999999999999996</v>
      </c>
      <c r="AV30" s="112">
        <f t="shared" si="18"/>
        <v>-0.19999999999999996</v>
      </c>
      <c r="AW30" s="112">
        <f t="shared" si="18"/>
        <v>-0.19999999999999996</v>
      </c>
      <c r="BH30" s="98"/>
    </row>
    <row r="31" spans="1:60" ht="25" customHeight="1">
      <c r="A31" s="111" t="s">
        <v>18</v>
      </c>
      <c r="B31" s="112">
        <f>B2-B4</f>
        <v>0.99999999999999978</v>
      </c>
      <c r="C31" s="112">
        <f>C2-C4</f>
        <v>0.99999999999999978</v>
      </c>
      <c r="D31" s="112">
        <f>D2-D4</f>
        <v>0.99999999999999978</v>
      </c>
      <c r="E31" s="112">
        <f t="shared" ref="E31:AW31" si="19">E2-E4</f>
        <v>1.2999999999999998</v>
      </c>
      <c r="F31" s="112">
        <f t="shared" si="19"/>
        <v>1.2999999999999998</v>
      </c>
      <c r="G31" s="112">
        <f t="shared" si="19"/>
        <v>1.2999999999999998</v>
      </c>
      <c r="H31" s="112">
        <f t="shared" si="19"/>
        <v>2.2000000000000002</v>
      </c>
      <c r="I31" s="112">
        <f t="shared" si="19"/>
        <v>2.2000000000000002</v>
      </c>
      <c r="J31" s="112">
        <f t="shared" si="19"/>
        <v>2.2000000000000002</v>
      </c>
      <c r="K31" s="112">
        <f t="shared" si="19"/>
        <v>1.3</v>
      </c>
      <c r="L31" s="112">
        <f t="shared" si="19"/>
        <v>1.3</v>
      </c>
      <c r="M31" s="112">
        <f t="shared" si="19"/>
        <v>1.3</v>
      </c>
      <c r="N31" s="112">
        <f t="shared" si="19"/>
        <v>2.4000000000000004</v>
      </c>
      <c r="O31" s="112">
        <f t="shared" si="19"/>
        <v>2.4000000000000004</v>
      </c>
      <c r="P31" s="112">
        <f t="shared" si="19"/>
        <v>2.4000000000000004</v>
      </c>
      <c r="Q31" s="112">
        <f t="shared" si="19"/>
        <v>2.1</v>
      </c>
      <c r="R31" s="112">
        <f t="shared" si="19"/>
        <v>2.1</v>
      </c>
      <c r="S31" s="112">
        <f t="shared" si="19"/>
        <v>2.1</v>
      </c>
      <c r="T31" s="112">
        <f t="shared" si="19"/>
        <v>0</v>
      </c>
      <c r="U31" s="112">
        <f t="shared" si="19"/>
        <v>0</v>
      </c>
      <c r="V31" s="112">
        <f t="shared" si="19"/>
        <v>0</v>
      </c>
      <c r="W31" s="112">
        <f t="shared" si="19"/>
        <v>0.6</v>
      </c>
      <c r="X31" s="112">
        <f t="shared" si="19"/>
        <v>0.6</v>
      </c>
      <c r="Y31" s="112">
        <f t="shared" si="19"/>
        <v>0.6</v>
      </c>
      <c r="Z31" s="112">
        <f t="shared" si="19"/>
        <v>-0.30000000000000004</v>
      </c>
      <c r="AA31" s="112">
        <f t="shared" si="19"/>
        <v>-0.30000000000000004</v>
      </c>
      <c r="AB31" s="112">
        <f t="shared" si="19"/>
        <v>-0.30000000000000004</v>
      </c>
      <c r="AC31" s="112">
        <f t="shared" si="19"/>
        <v>-0.10000000000000009</v>
      </c>
      <c r="AD31" s="112">
        <f t="shared" si="19"/>
        <v>-0.10000000000000009</v>
      </c>
      <c r="AE31" s="112">
        <f t="shared" si="19"/>
        <v>-0.10000000000000009</v>
      </c>
      <c r="AF31" s="112">
        <f t="shared" si="19"/>
        <v>1.6</v>
      </c>
      <c r="AG31" s="112">
        <f t="shared" si="19"/>
        <v>1.6</v>
      </c>
      <c r="AH31" s="112">
        <f t="shared" si="19"/>
        <v>1.6</v>
      </c>
      <c r="AI31" s="112">
        <f t="shared" si="19"/>
        <v>2.4</v>
      </c>
      <c r="AJ31" s="112">
        <f t="shared" si="19"/>
        <v>2.4</v>
      </c>
      <c r="AK31" s="112">
        <f t="shared" si="19"/>
        <v>2.4</v>
      </c>
      <c r="AL31" s="112">
        <f t="shared" si="19"/>
        <v>1.9</v>
      </c>
      <c r="AM31" s="112">
        <f t="shared" si="19"/>
        <v>1.9</v>
      </c>
      <c r="AN31" s="112">
        <f t="shared" si="19"/>
        <v>1.9</v>
      </c>
      <c r="AO31" s="112">
        <f t="shared" si="19"/>
        <v>1.4000000000000001</v>
      </c>
      <c r="AP31" s="112">
        <f t="shared" si="19"/>
        <v>1.4000000000000001</v>
      </c>
      <c r="AQ31" s="112">
        <f t="shared" si="19"/>
        <v>1.4000000000000001</v>
      </c>
      <c r="AR31" s="112">
        <f t="shared" si="19"/>
        <v>0.49999999999999989</v>
      </c>
      <c r="AS31" s="112">
        <f t="shared" si="19"/>
        <v>0.49999999999999989</v>
      </c>
      <c r="AT31" s="112">
        <f t="shared" si="19"/>
        <v>0.49999999999999989</v>
      </c>
      <c r="AU31" s="112">
        <f t="shared" si="19"/>
        <v>-0.30000000000000004</v>
      </c>
      <c r="AV31" s="112">
        <f t="shared" si="19"/>
        <v>-0.30000000000000004</v>
      </c>
      <c r="AW31" s="112">
        <f t="shared" si="19"/>
        <v>-0.30000000000000004</v>
      </c>
      <c r="BH31" s="98"/>
    </row>
    <row r="32" spans="1:60" ht="25" customHeight="1">
      <c r="A32" s="111" t="s">
        <v>59</v>
      </c>
      <c r="B32" s="112">
        <f>B2-B5</f>
        <v>-0.30000000000000027</v>
      </c>
      <c r="C32" s="112">
        <f>C2-C5</f>
        <v>-0.30000000000000027</v>
      </c>
      <c r="D32" s="112">
        <f>D2-D5</f>
        <v>-0.30000000000000027</v>
      </c>
      <c r="E32" s="112">
        <f t="shared" ref="E32:AW32" si="20">E2-E5</f>
        <v>-0.70000000000000018</v>
      </c>
      <c r="F32" s="112">
        <f t="shared" si="20"/>
        <v>-0.70000000000000018</v>
      </c>
      <c r="G32" s="112">
        <f t="shared" si="20"/>
        <v>-0.70000000000000018</v>
      </c>
      <c r="H32" s="112">
        <f t="shared" si="20"/>
        <v>1.0000000000000002</v>
      </c>
      <c r="I32" s="112">
        <f t="shared" si="20"/>
        <v>1.0000000000000002</v>
      </c>
      <c r="J32" s="112">
        <f t="shared" si="20"/>
        <v>1.0000000000000002</v>
      </c>
      <c r="K32" s="112">
        <f t="shared" si="20"/>
        <v>-9.9999999999999867E-2</v>
      </c>
      <c r="L32" s="112">
        <f t="shared" si="20"/>
        <v>-9.9999999999999867E-2</v>
      </c>
      <c r="M32" s="112">
        <f t="shared" si="20"/>
        <v>-9.9999999999999867E-2</v>
      </c>
      <c r="N32" s="112">
        <f t="shared" si="20"/>
        <v>-0.5</v>
      </c>
      <c r="O32" s="112">
        <f t="shared" si="20"/>
        <v>-0.5</v>
      </c>
      <c r="P32" s="112">
        <f t="shared" si="20"/>
        <v>-0.5</v>
      </c>
      <c r="Q32" s="112">
        <f t="shared" si="20"/>
        <v>0.8</v>
      </c>
      <c r="R32" s="112">
        <f t="shared" si="20"/>
        <v>0.8</v>
      </c>
      <c r="S32" s="112">
        <f t="shared" si="20"/>
        <v>0.8</v>
      </c>
      <c r="T32" s="112">
        <f t="shared" si="20"/>
        <v>2</v>
      </c>
      <c r="U32" s="112">
        <f t="shared" si="20"/>
        <v>2</v>
      </c>
      <c r="V32" s="112">
        <f t="shared" si="20"/>
        <v>2</v>
      </c>
      <c r="W32" s="112">
        <f t="shared" si="20"/>
        <v>2.8</v>
      </c>
      <c r="X32" s="112">
        <f t="shared" si="20"/>
        <v>2.8</v>
      </c>
      <c r="Y32" s="112">
        <f t="shared" si="20"/>
        <v>2.8</v>
      </c>
      <c r="Z32" s="112">
        <f t="shared" si="20"/>
        <v>2</v>
      </c>
      <c r="AA32" s="112">
        <f t="shared" si="20"/>
        <v>2</v>
      </c>
      <c r="AB32" s="112">
        <f t="shared" si="20"/>
        <v>2</v>
      </c>
      <c r="AC32" s="112">
        <f t="shared" si="20"/>
        <v>3</v>
      </c>
      <c r="AD32" s="112">
        <f t="shared" si="20"/>
        <v>3</v>
      </c>
      <c r="AE32" s="112">
        <f t="shared" si="20"/>
        <v>3</v>
      </c>
      <c r="AF32" s="112">
        <f t="shared" si="20"/>
        <v>1</v>
      </c>
      <c r="AG32" s="112">
        <f t="shared" si="20"/>
        <v>1</v>
      </c>
      <c r="AH32" s="112">
        <f t="shared" si="20"/>
        <v>1</v>
      </c>
      <c r="AI32" s="112">
        <f t="shared" si="20"/>
        <v>1.3</v>
      </c>
      <c r="AJ32" s="112">
        <f t="shared" si="20"/>
        <v>1.3</v>
      </c>
      <c r="AK32" s="112">
        <f t="shared" si="20"/>
        <v>1.3</v>
      </c>
      <c r="AL32" s="112">
        <f t="shared" si="20"/>
        <v>1</v>
      </c>
      <c r="AM32" s="112">
        <f t="shared" si="20"/>
        <v>1</v>
      </c>
      <c r="AN32" s="112">
        <f t="shared" si="20"/>
        <v>1</v>
      </c>
      <c r="AO32" s="112">
        <f t="shared" si="20"/>
        <v>0.30000000000000004</v>
      </c>
      <c r="AP32" s="112">
        <f t="shared" si="20"/>
        <v>0.30000000000000004</v>
      </c>
      <c r="AQ32" s="112">
        <f t="shared" si="20"/>
        <v>0.30000000000000004</v>
      </c>
      <c r="AR32" s="112">
        <f t="shared" si="20"/>
        <v>-0.40000000000000013</v>
      </c>
      <c r="AS32" s="112">
        <f t="shared" si="20"/>
        <v>-0.40000000000000013</v>
      </c>
      <c r="AT32" s="112">
        <f t="shared" si="20"/>
        <v>-0.40000000000000013</v>
      </c>
      <c r="AU32" s="112">
        <f t="shared" si="20"/>
        <v>-1.0999999999999999</v>
      </c>
      <c r="AV32" s="112">
        <f t="shared" si="20"/>
        <v>-1.0999999999999999</v>
      </c>
      <c r="AW32" s="112">
        <f t="shared" si="20"/>
        <v>-1.0999999999999999</v>
      </c>
      <c r="BH32" s="98"/>
    </row>
    <row r="33" spans="1:60" ht="25" customHeight="1">
      <c r="A33" s="111" t="s">
        <v>20</v>
      </c>
      <c r="B33" s="112">
        <f t="shared" ref="B33:D34" si="21">B2-B3</f>
        <v>-0.30000000000000027</v>
      </c>
      <c r="C33" s="112">
        <f t="shared" si="21"/>
        <v>-0.30000000000000027</v>
      </c>
      <c r="D33" s="112">
        <f t="shared" si="21"/>
        <v>-0.30000000000000027</v>
      </c>
      <c r="E33" s="112">
        <f t="shared" ref="E33:AW33" si="22">E2-E3</f>
        <v>0.19999999999999973</v>
      </c>
      <c r="F33" s="112">
        <f t="shared" si="22"/>
        <v>0.19999999999999973</v>
      </c>
      <c r="G33" s="112">
        <f t="shared" si="22"/>
        <v>0.19999999999999973</v>
      </c>
      <c r="H33" s="112">
        <f t="shared" si="22"/>
        <v>0.90000000000000013</v>
      </c>
      <c r="I33" s="112">
        <f t="shared" si="22"/>
        <v>0.90000000000000013</v>
      </c>
      <c r="J33" s="112">
        <f t="shared" si="22"/>
        <v>0.90000000000000013</v>
      </c>
      <c r="K33" s="112">
        <f t="shared" si="22"/>
        <v>0</v>
      </c>
      <c r="L33" s="112">
        <f t="shared" si="22"/>
        <v>0</v>
      </c>
      <c r="M33" s="112">
        <f t="shared" si="22"/>
        <v>0</v>
      </c>
      <c r="N33" s="112">
        <f t="shared" si="22"/>
        <v>0.10000000000000009</v>
      </c>
      <c r="O33" s="112">
        <f t="shared" si="22"/>
        <v>0.10000000000000009</v>
      </c>
      <c r="P33" s="112">
        <f t="shared" si="22"/>
        <v>0.10000000000000009</v>
      </c>
      <c r="Q33" s="112">
        <f t="shared" si="22"/>
        <v>-0.79999999999999993</v>
      </c>
      <c r="R33" s="112">
        <f t="shared" si="22"/>
        <v>-0.79999999999999993</v>
      </c>
      <c r="S33" s="112">
        <f t="shared" si="22"/>
        <v>-0.79999999999999993</v>
      </c>
      <c r="T33" s="112">
        <f t="shared" si="22"/>
        <v>-1.5999999999999999</v>
      </c>
      <c r="U33" s="112">
        <f t="shared" si="22"/>
        <v>-1.5999999999999999</v>
      </c>
      <c r="V33" s="112">
        <f t="shared" si="22"/>
        <v>-1.5999999999999999</v>
      </c>
      <c r="W33" s="112">
        <f t="shared" si="22"/>
        <v>-1.9000000000000001</v>
      </c>
      <c r="X33" s="112">
        <f t="shared" si="22"/>
        <v>-1.9000000000000001</v>
      </c>
      <c r="Y33" s="112">
        <f t="shared" si="22"/>
        <v>-1.9000000000000001</v>
      </c>
      <c r="Z33" s="112">
        <f t="shared" si="22"/>
        <v>-1.5999999999999999</v>
      </c>
      <c r="AA33" s="112">
        <f t="shared" si="22"/>
        <v>-1.5999999999999999</v>
      </c>
      <c r="AB33" s="112">
        <f t="shared" si="22"/>
        <v>-1.5999999999999999</v>
      </c>
      <c r="AC33" s="112">
        <f t="shared" si="22"/>
        <v>9.9999999999999867E-2</v>
      </c>
      <c r="AD33" s="112">
        <f t="shared" si="22"/>
        <v>9.9999999999999867E-2</v>
      </c>
      <c r="AE33" s="112">
        <f t="shared" si="22"/>
        <v>9.9999999999999867E-2</v>
      </c>
      <c r="AF33" s="112">
        <f t="shared" si="22"/>
        <v>0.5</v>
      </c>
      <c r="AG33" s="112">
        <f t="shared" si="22"/>
        <v>0.5</v>
      </c>
      <c r="AH33" s="112">
        <f t="shared" si="22"/>
        <v>0.5</v>
      </c>
      <c r="AI33" s="112">
        <f t="shared" si="22"/>
        <v>1.9000000000000001</v>
      </c>
      <c r="AJ33" s="112">
        <f t="shared" si="22"/>
        <v>1.9000000000000001</v>
      </c>
      <c r="AK33" s="112">
        <f t="shared" si="22"/>
        <v>1.9000000000000001</v>
      </c>
      <c r="AL33" s="112">
        <f t="shared" si="22"/>
        <v>2.4</v>
      </c>
      <c r="AM33" s="112">
        <f t="shared" si="22"/>
        <v>2.4</v>
      </c>
      <c r="AN33" s="112">
        <f t="shared" si="22"/>
        <v>2.4</v>
      </c>
      <c r="AO33" s="112">
        <f t="shared" si="22"/>
        <v>1</v>
      </c>
      <c r="AP33" s="112">
        <f t="shared" si="22"/>
        <v>1</v>
      </c>
      <c r="AQ33" s="112">
        <f t="shared" si="22"/>
        <v>1</v>
      </c>
      <c r="AR33" s="112">
        <f t="shared" si="22"/>
        <v>0.29999999999999982</v>
      </c>
      <c r="AS33" s="112">
        <f t="shared" si="22"/>
        <v>0.29999999999999982</v>
      </c>
      <c r="AT33" s="112">
        <f t="shared" si="22"/>
        <v>0.29999999999999982</v>
      </c>
      <c r="AU33" s="112">
        <f t="shared" si="22"/>
        <v>-1.0999999999999999</v>
      </c>
      <c r="AV33" s="112">
        <f t="shared" si="22"/>
        <v>-1.0999999999999999</v>
      </c>
      <c r="AW33" s="112">
        <f t="shared" si="22"/>
        <v>-1.0999999999999999</v>
      </c>
      <c r="BH33" s="98"/>
    </row>
    <row r="34" spans="1:60" ht="25" customHeight="1">
      <c r="A34" s="113" t="s">
        <v>19</v>
      </c>
      <c r="B34" s="114">
        <f t="shared" si="21"/>
        <v>1.3</v>
      </c>
      <c r="C34" s="114">
        <f t="shared" si="21"/>
        <v>1.3</v>
      </c>
      <c r="D34" s="114">
        <f t="shared" si="21"/>
        <v>1.3</v>
      </c>
      <c r="E34" s="114">
        <f t="shared" ref="E34:AW34" si="23">E3-E4</f>
        <v>1.1000000000000001</v>
      </c>
      <c r="F34" s="114">
        <f t="shared" si="23"/>
        <v>1.1000000000000001</v>
      </c>
      <c r="G34" s="114">
        <f t="shared" si="23"/>
        <v>1.1000000000000001</v>
      </c>
      <c r="H34" s="114">
        <f t="shared" si="23"/>
        <v>1.3</v>
      </c>
      <c r="I34" s="114">
        <f t="shared" si="23"/>
        <v>1.3</v>
      </c>
      <c r="J34" s="114">
        <f t="shared" si="23"/>
        <v>1.3</v>
      </c>
      <c r="K34" s="114">
        <f t="shared" si="23"/>
        <v>1.3</v>
      </c>
      <c r="L34" s="114">
        <f t="shared" si="23"/>
        <v>1.3</v>
      </c>
      <c r="M34" s="114">
        <f t="shared" si="23"/>
        <v>1.3</v>
      </c>
      <c r="N34" s="114">
        <f t="shared" si="23"/>
        <v>2.2999999999999998</v>
      </c>
      <c r="O34" s="114">
        <f t="shared" si="23"/>
        <v>2.2999999999999998</v>
      </c>
      <c r="P34" s="114">
        <f t="shared" si="23"/>
        <v>2.2999999999999998</v>
      </c>
      <c r="Q34" s="114">
        <f t="shared" si="23"/>
        <v>2.9</v>
      </c>
      <c r="R34" s="114">
        <f t="shared" si="23"/>
        <v>2.9</v>
      </c>
      <c r="S34" s="114">
        <f t="shared" si="23"/>
        <v>2.9</v>
      </c>
      <c r="T34" s="114">
        <f t="shared" si="23"/>
        <v>1.5999999999999999</v>
      </c>
      <c r="U34" s="114">
        <f t="shared" si="23"/>
        <v>1.5999999999999999</v>
      </c>
      <c r="V34" s="114">
        <f t="shared" si="23"/>
        <v>1.5999999999999999</v>
      </c>
      <c r="W34" s="114">
        <f t="shared" si="23"/>
        <v>2.5</v>
      </c>
      <c r="X34" s="114">
        <f t="shared" si="23"/>
        <v>2.5</v>
      </c>
      <c r="Y34" s="114">
        <f t="shared" si="23"/>
        <v>2.5</v>
      </c>
      <c r="Z34" s="114">
        <f t="shared" si="23"/>
        <v>1.2999999999999998</v>
      </c>
      <c r="AA34" s="114">
        <f t="shared" si="23"/>
        <v>1.2999999999999998</v>
      </c>
      <c r="AB34" s="114">
        <f t="shared" si="23"/>
        <v>1.2999999999999998</v>
      </c>
      <c r="AC34" s="114">
        <f t="shared" si="23"/>
        <v>-0.19999999999999996</v>
      </c>
      <c r="AD34" s="114">
        <f t="shared" si="23"/>
        <v>-0.19999999999999996</v>
      </c>
      <c r="AE34" s="114">
        <f t="shared" si="23"/>
        <v>-0.19999999999999996</v>
      </c>
      <c r="AF34" s="114">
        <f t="shared" si="23"/>
        <v>1.1000000000000001</v>
      </c>
      <c r="AG34" s="114">
        <f t="shared" si="23"/>
        <v>1.1000000000000001</v>
      </c>
      <c r="AH34" s="114">
        <f t="shared" si="23"/>
        <v>1.1000000000000001</v>
      </c>
      <c r="AI34" s="114">
        <f t="shared" si="23"/>
        <v>0.49999999999999994</v>
      </c>
      <c r="AJ34" s="114">
        <f t="shared" si="23"/>
        <v>0.49999999999999994</v>
      </c>
      <c r="AK34" s="114">
        <f t="shared" si="23"/>
        <v>0.49999999999999994</v>
      </c>
      <c r="AL34" s="114">
        <f t="shared" si="23"/>
        <v>-0.5</v>
      </c>
      <c r="AM34" s="114">
        <f t="shared" si="23"/>
        <v>-0.5</v>
      </c>
      <c r="AN34" s="114">
        <f t="shared" si="23"/>
        <v>-0.5</v>
      </c>
      <c r="AO34" s="114">
        <f t="shared" si="23"/>
        <v>0.40000000000000013</v>
      </c>
      <c r="AP34" s="114">
        <f t="shared" si="23"/>
        <v>0.40000000000000013</v>
      </c>
      <c r="AQ34" s="114">
        <f t="shared" si="23"/>
        <v>0.40000000000000013</v>
      </c>
      <c r="AR34" s="114">
        <f t="shared" si="23"/>
        <v>0.20000000000000007</v>
      </c>
      <c r="AS34" s="114">
        <f t="shared" si="23"/>
        <v>0.20000000000000007</v>
      </c>
      <c r="AT34" s="114">
        <f t="shared" si="23"/>
        <v>0.20000000000000007</v>
      </c>
      <c r="AU34" s="114">
        <f t="shared" si="23"/>
        <v>0.79999999999999982</v>
      </c>
      <c r="AV34" s="114">
        <f t="shared" si="23"/>
        <v>0.79999999999999982</v>
      </c>
      <c r="AW34" s="114">
        <f t="shared" si="23"/>
        <v>0.79999999999999982</v>
      </c>
      <c r="BH34" s="98"/>
    </row>
    <row r="35" spans="1:60" ht="16">
      <c r="BH35" s="98"/>
    </row>
    <row r="36" spans="1:60" ht="16">
      <c r="BH36" s="98"/>
    </row>
    <row r="37" spans="1:60" ht="25" customHeight="1">
      <c r="A37" s="97" t="s">
        <v>68</v>
      </c>
      <c r="B37" s="115">
        <v>44927</v>
      </c>
      <c r="C37" s="115">
        <v>44958</v>
      </c>
      <c r="D37" s="115">
        <v>44986</v>
      </c>
      <c r="E37" s="115">
        <v>45017</v>
      </c>
      <c r="F37" s="115">
        <v>45047</v>
      </c>
      <c r="G37" s="115">
        <v>45078</v>
      </c>
      <c r="H37" s="115">
        <v>45108</v>
      </c>
      <c r="I37" s="115">
        <v>45139</v>
      </c>
      <c r="J37" s="115">
        <v>45170</v>
      </c>
      <c r="K37" s="115">
        <v>45200</v>
      </c>
      <c r="L37" s="115">
        <v>45231</v>
      </c>
      <c r="M37" s="115">
        <v>45261</v>
      </c>
      <c r="N37" s="115">
        <v>45292</v>
      </c>
      <c r="O37" s="115">
        <v>45323</v>
      </c>
      <c r="P37" s="115">
        <v>45352</v>
      </c>
      <c r="Q37" s="115">
        <v>45383</v>
      </c>
      <c r="R37" s="115">
        <v>45413</v>
      </c>
      <c r="S37" s="115">
        <v>45444</v>
      </c>
      <c r="T37" s="115">
        <v>45474</v>
      </c>
      <c r="U37" s="115">
        <v>45505</v>
      </c>
      <c r="V37" s="115">
        <v>45536</v>
      </c>
      <c r="W37" s="115">
        <v>45566</v>
      </c>
      <c r="X37" s="115">
        <v>45597</v>
      </c>
      <c r="Y37" s="115">
        <v>45627</v>
      </c>
      <c r="Z37" s="115">
        <v>45658</v>
      </c>
      <c r="AA37" s="115">
        <v>45689</v>
      </c>
      <c r="AB37" s="115">
        <v>45717</v>
      </c>
      <c r="AC37" s="115">
        <v>45748</v>
      </c>
      <c r="AD37" s="115">
        <v>45778</v>
      </c>
      <c r="AE37" s="115">
        <v>45809</v>
      </c>
      <c r="AF37" s="115">
        <v>45839</v>
      </c>
      <c r="AG37" s="115">
        <v>45870</v>
      </c>
      <c r="AH37" s="115">
        <v>45901</v>
      </c>
      <c r="AI37" s="115">
        <v>45931</v>
      </c>
      <c r="AJ37" s="115">
        <v>45962</v>
      </c>
      <c r="AK37" s="115">
        <v>45992</v>
      </c>
      <c r="AL37" s="115">
        <v>46023</v>
      </c>
      <c r="AM37" s="115">
        <v>46054</v>
      </c>
      <c r="AN37" s="115">
        <v>46082</v>
      </c>
      <c r="AO37" s="115">
        <v>46113</v>
      </c>
      <c r="AP37" s="115">
        <v>46143</v>
      </c>
      <c r="AQ37" s="115">
        <v>46174</v>
      </c>
      <c r="AR37" s="115">
        <v>46204</v>
      </c>
      <c r="AS37" s="115">
        <v>46235</v>
      </c>
      <c r="AT37" s="115">
        <v>46266</v>
      </c>
      <c r="AU37" s="115">
        <v>46296</v>
      </c>
      <c r="AV37" s="115">
        <v>46327</v>
      </c>
      <c r="AW37" s="115">
        <v>46357</v>
      </c>
      <c r="BH37" s="98"/>
    </row>
    <row r="38" spans="1:60" ht="25" customHeight="1">
      <c r="A38" s="99" t="s">
        <v>16</v>
      </c>
      <c r="B38" s="116">
        <f t="shared" ref="B38:AW38" si="24">VLOOKUP(ROUND(B12, 0), $AY$3:$AZ$13, 2, FALSE)</f>
        <v>-2</v>
      </c>
      <c r="C38" s="116">
        <f t="shared" si="24"/>
        <v>-2</v>
      </c>
      <c r="D38" s="116">
        <f t="shared" si="24"/>
        <v>-2</v>
      </c>
      <c r="E38" s="116">
        <f t="shared" si="24"/>
        <v>2</v>
      </c>
      <c r="F38" s="116">
        <f t="shared" si="24"/>
        <v>2</v>
      </c>
      <c r="G38" s="116">
        <f t="shared" si="24"/>
        <v>2</v>
      </c>
      <c r="H38" s="116">
        <f t="shared" si="24"/>
        <v>4</v>
      </c>
      <c r="I38" s="116">
        <f t="shared" si="24"/>
        <v>4</v>
      </c>
      <c r="J38" s="116">
        <f t="shared" si="24"/>
        <v>4</v>
      </c>
      <c r="K38" s="116">
        <f t="shared" si="24"/>
        <v>4</v>
      </c>
      <c r="L38" s="116">
        <f t="shared" si="24"/>
        <v>4</v>
      </c>
      <c r="M38" s="116">
        <f t="shared" si="24"/>
        <v>4</v>
      </c>
      <c r="N38" s="116">
        <f t="shared" si="24"/>
        <v>4</v>
      </c>
      <c r="O38" s="116">
        <f t="shared" si="24"/>
        <v>4</v>
      </c>
      <c r="P38" s="116">
        <f t="shared" si="24"/>
        <v>4</v>
      </c>
      <c r="Q38" s="116">
        <f t="shared" si="24"/>
        <v>2</v>
      </c>
      <c r="R38" s="116">
        <f t="shared" si="24"/>
        <v>2</v>
      </c>
      <c r="S38" s="116">
        <f t="shared" si="24"/>
        <v>2</v>
      </c>
      <c r="T38" s="116">
        <f t="shared" si="24"/>
        <v>0</v>
      </c>
      <c r="U38" s="116">
        <f t="shared" si="24"/>
        <v>0</v>
      </c>
      <c r="V38" s="116">
        <f t="shared" si="24"/>
        <v>0</v>
      </c>
      <c r="W38" s="116">
        <f t="shared" si="24"/>
        <v>-2</v>
      </c>
      <c r="X38" s="116">
        <f t="shared" si="24"/>
        <v>-2</v>
      </c>
      <c r="Y38" s="116">
        <f t="shared" si="24"/>
        <v>-2</v>
      </c>
      <c r="Z38" s="116">
        <f t="shared" si="24"/>
        <v>-2</v>
      </c>
      <c r="AA38" s="116">
        <f t="shared" si="24"/>
        <v>-2</v>
      </c>
      <c r="AB38" s="116">
        <f t="shared" si="24"/>
        <v>-2</v>
      </c>
      <c r="AC38" s="116">
        <f t="shared" si="24"/>
        <v>0</v>
      </c>
      <c r="AD38" s="116">
        <f t="shared" si="24"/>
        <v>0</v>
      </c>
      <c r="AE38" s="116">
        <f t="shared" si="24"/>
        <v>0</v>
      </c>
      <c r="AF38" s="116">
        <f t="shared" si="24"/>
        <v>2</v>
      </c>
      <c r="AG38" s="116">
        <f t="shared" si="24"/>
        <v>2</v>
      </c>
      <c r="AH38" s="116">
        <f t="shared" si="24"/>
        <v>2</v>
      </c>
      <c r="AI38" s="116">
        <f t="shared" si="24"/>
        <v>2</v>
      </c>
      <c r="AJ38" s="116">
        <f t="shared" si="24"/>
        <v>2</v>
      </c>
      <c r="AK38" s="116">
        <f t="shared" si="24"/>
        <v>2</v>
      </c>
      <c r="AL38" s="116">
        <f t="shared" si="24"/>
        <v>6</v>
      </c>
      <c r="AM38" s="116">
        <f t="shared" si="24"/>
        <v>6</v>
      </c>
      <c r="AN38" s="116">
        <f t="shared" si="24"/>
        <v>6</v>
      </c>
      <c r="AO38" s="116">
        <f t="shared" si="24"/>
        <v>2</v>
      </c>
      <c r="AP38" s="116">
        <f t="shared" si="24"/>
        <v>2</v>
      </c>
      <c r="AQ38" s="116">
        <f t="shared" si="24"/>
        <v>2</v>
      </c>
      <c r="AR38" s="116">
        <f t="shared" si="24"/>
        <v>2</v>
      </c>
      <c r="AS38" s="116">
        <f t="shared" si="24"/>
        <v>2</v>
      </c>
      <c r="AT38" s="116">
        <f t="shared" si="24"/>
        <v>2</v>
      </c>
      <c r="AU38" s="116">
        <f t="shared" si="24"/>
        <v>0</v>
      </c>
      <c r="AV38" s="116">
        <f t="shared" si="24"/>
        <v>0</v>
      </c>
      <c r="AW38" s="116">
        <f t="shared" si="24"/>
        <v>0</v>
      </c>
      <c r="BH38" s="98"/>
    </row>
    <row r="39" spans="1:60" ht="25" customHeight="1">
      <c r="A39" s="99" t="s">
        <v>46</v>
      </c>
      <c r="B39" s="116">
        <f t="shared" ref="B39:AW39" si="25">VLOOKUP(ROUND(B13, 0), $AY$3:$AZ$13, 2, FALSE)</f>
        <v>0</v>
      </c>
      <c r="C39" s="116">
        <f t="shared" si="25"/>
        <v>0</v>
      </c>
      <c r="D39" s="116">
        <f t="shared" si="25"/>
        <v>0</v>
      </c>
      <c r="E39" s="116">
        <f t="shared" si="25"/>
        <v>4</v>
      </c>
      <c r="F39" s="116">
        <f t="shared" si="25"/>
        <v>4</v>
      </c>
      <c r="G39" s="116">
        <f t="shared" si="25"/>
        <v>4</v>
      </c>
      <c r="H39" s="116">
        <f t="shared" si="25"/>
        <v>4</v>
      </c>
      <c r="I39" s="116">
        <f t="shared" si="25"/>
        <v>4</v>
      </c>
      <c r="J39" s="116">
        <f t="shared" si="25"/>
        <v>4</v>
      </c>
      <c r="K39" s="116">
        <f t="shared" si="25"/>
        <v>4</v>
      </c>
      <c r="L39" s="116">
        <f t="shared" si="25"/>
        <v>4</v>
      </c>
      <c r="M39" s="116">
        <f t="shared" si="25"/>
        <v>4</v>
      </c>
      <c r="N39" s="116">
        <f t="shared" si="25"/>
        <v>6</v>
      </c>
      <c r="O39" s="116">
        <f t="shared" si="25"/>
        <v>6</v>
      </c>
      <c r="P39" s="116">
        <f t="shared" si="25"/>
        <v>6</v>
      </c>
      <c r="Q39" s="116">
        <f t="shared" si="25"/>
        <v>4</v>
      </c>
      <c r="R39" s="116">
        <f t="shared" si="25"/>
        <v>4</v>
      </c>
      <c r="S39" s="116">
        <f t="shared" si="25"/>
        <v>4</v>
      </c>
      <c r="T39" s="116">
        <f t="shared" si="25"/>
        <v>2</v>
      </c>
      <c r="U39" s="116">
        <f t="shared" si="25"/>
        <v>2</v>
      </c>
      <c r="V39" s="116">
        <f t="shared" si="25"/>
        <v>2</v>
      </c>
      <c r="W39" s="116">
        <f t="shared" si="25"/>
        <v>2</v>
      </c>
      <c r="X39" s="116">
        <f t="shared" si="25"/>
        <v>2</v>
      </c>
      <c r="Y39" s="116">
        <f t="shared" si="25"/>
        <v>2</v>
      </c>
      <c r="Z39" s="116">
        <f t="shared" si="25"/>
        <v>-2</v>
      </c>
      <c r="AA39" s="116">
        <f t="shared" si="25"/>
        <v>-2</v>
      </c>
      <c r="AB39" s="116">
        <f t="shared" si="25"/>
        <v>-2</v>
      </c>
      <c r="AC39" s="116">
        <f t="shared" si="25"/>
        <v>2</v>
      </c>
      <c r="AD39" s="116">
        <f t="shared" si="25"/>
        <v>2</v>
      </c>
      <c r="AE39" s="116">
        <f t="shared" si="25"/>
        <v>2</v>
      </c>
      <c r="AF39" s="116">
        <f t="shared" si="25"/>
        <v>4</v>
      </c>
      <c r="AG39" s="116">
        <f t="shared" si="25"/>
        <v>4</v>
      </c>
      <c r="AH39" s="116">
        <f t="shared" si="25"/>
        <v>4</v>
      </c>
      <c r="AI39" s="116">
        <f t="shared" si="25"/>
        <v>2</v>
      </c>
      <c r="AJ39" s="116">
        <f t="shared" si="25"/>
        <v>2</v>
      </c>
      <c r="AK39" s="116">
        <f t="shared" si="25"/>
        <v>2</v>
      </c>
      <c r="AL39" s="116">
        <f t="shared" si="25"/>
        <v>4</v>
      </c>
      <c r="AM39" s="116">
        <f t="shared" si="25"/>
        <v>4</v>
      </c>
      <c r="AN39" s="116">
        <f t="shared" si="25"/>
        <v>4</v>
      </c>
      <c r="AO39" s="116">
        <f t="shared" si="25"/>
        <v>0</v>
      </c>
      <c r="AP39" s="116">
        <f t="shared" si="25"/>
        <v>0</v>
      </c>
      <c r="AQ39" s="116">
        <f t="shared" si="25"/>
        <v>0</v>
      </c>
      <c r="AR39" s="116">
        <f t="shared" si="25"/>
        <v>2</v>
      </c>
      <c r="AS39" s="116">
        <f t="shared" si="25"/>
        <v>2</v>
      </c>
      <c r="AT39" s="116">
        <f t="shared" si="25"/>
        <v>2</v>
      </c>
      <c r="AU39" s="116">
        <f t="shared" si="25"/>
        <v>2</v>
      </c>
      <c r="AV39" s="116">
        <f t="shared" si="25"/>
        <v>2</v>
      </c>
      <c r="AW39" s="116">
        <f t="shared" si="25"/>
        <v>2</v>
      </c>
    </row>
    <row r="40" spans="1:60" ht="25" customHeight="1">
      <c r="A40" s="99" t="s">
        <v>17</v>
      </c>
      <c r="B40" s="116">
        <f t="shared" ref="B40:AW40" si="26">VLOOKUP(ROUND(B14, 0), $AY$3:$AZ$13, 2, FALSE)</f>
        <v>-2</v>
      </c>
      <c r="C40" s="116">
        <f t="shared" si="26"/>
        <v>-2</v>
      </c>
      <c r="D40" s="116">
        <f t="shared" si="26"/>
        <v>-2</v>
      </c>
      <c r="E40" s="116">
        <f t="shared" si="26"/>
        <v>2</v>
      </c>
      <c r="F40" s="116">
        <f t="shared" si="26"/>
        <v>2</v>
      </c>
      <c r="G40" s="116">
        <f t="shared" si="26"/>
        <v>2</v>
      </c>
      <c r="H40" s="116">
        <f t="shared" si="26"/>
        <v>4</v>
      </c>
      <c r="I40" s="116">
        <f t="shared" si="26"/>
        <v>4</v>
      </c>
      <c r="J40" s="116">
        <f t="shared" si="26"/>
        <v>4</v>
      </c>
      <c r="K40" s="116">
        <f t="shared" si="26"/>
        <v>4</v>
      </c>
      <c r="L40" s="116">
        <f t="shared" si="26"/>
        <v>4</v>
      </c>
      <c r="M40" s="116">
        <f t="shared" si="26"/>
        <v>4</v>
      </c>
      <c r="N40" s="116">
        <f t="shared" si="26"/>
        <v>4</v>
      </c>
      <c r="O40" s="116">
        <f t="shared" si="26"/>
        <v>4</v>
      </c>
      <c r="P40" s="116">
        <f t="shared" si="26"/>
        <v>4</v>
      </c>
      <c r="Q40" s="116">
        <f t="shared" si="26"/>
        <v>2</v>
      </c>
      <c r="R40" s="116">
        <f t="shared" si="26"/>
        <v>2</v>
      </c>
      <c r="S40" s="116">
        <f t="shared" si="26"/>
        <v>2</v>
      </c>
      <c r="T40" s="116">
        <f t="shared" si="26"/>
        <v>0</v>
      </c>
      <c r="U40" s="116">
        <f t="shared" si="26"/>
        <v>0</v>
      </c>
      <c r="V40" s="116">
        <f t="shared" si="26"/>
        <v>0</v>
      </c>
      <c r="W40" s="116">
        <f t="shared" si="26"/>
        <v>-2</v>
      </c>
      <c r="X40" s="116">
        <f t="shared" si="26"/>
        <v>-2</v>
      </c>
      <c r="Y40" s="116">
        <f t="shared" si="26"/>
        <v>-2</v>
      </c>
      <c r="Z40" s="116">
        <f t="shared" si="26"/>
        <v>-2</v>
      </c>
      <c r="AA40" s="116">
        <f t="shared" si="26"/>
        <v>-2</v>
      </c>
      <c r="AB40" s="116">
        <f t="shared" si="26"/>
        <v>-2</v>
      </c>
      <c r="AC40" s="116">
        <f t="shared" si="26"/>
        <v>0</v>
      </c>
      <c r="AD40" s="116">
        <f t="shared" si="26"/>
        <v>0</v>
      </c>
      <c r="AE40" s="116">
        <f t="shared" si="26"/>
        <v>0</v>
      </c>
      <c r="AF40" s="116">
        <f t="shared" si="26"/>
        <v>2</v>
      </c>
      <c r="AG40" s="116">
        <f t="shared" si="26"/>
        <v>2</v>
      </c>
      <c r="AH40" s="116">
        <f t="shared" si="26"/>
        <v>2</v>
      </c>
      <c r="AI40" s="116">
        <f t="shared" si="26"/>
        <v>2</v>
      </c>
      <c r="AJ40" s="116">
        <f t="shared" si="26"/>
        <v>2</v>
      </c>
      <c r="AK40" s="116">
        <f t="shared" si="26"/>
        <v>2</v>
      </c>
      <c r="AL40" s="116">
        <f t="shared" si="26"/>
        <v>6</v>
      </c>
      <c r="AM40" s="116">
        <f t="shared" si="26"/>
        <v>6</v>
      </c>
      <c r="AN40" s="116">
        <f t="shared" si="26"/>
        <v>6</v>
      </c>
      <c r="AO40" s="116">
        <f t="shared" si="26"/>
        <v>2</v>
      </c>
      <c r="AP40" s="116">
        <f t="shared" si="26"/>
        <v>2</v>
      </c>
      <c r="AQ40" s="116">
        <f t="shared" si="26"/>
        <v>2</v>
      </c>
      <c r="AR40" s="116">
        <f t="shared" si="26"/>
        <v>2</v>
      </c>
      <c r="AS40" s="116">
        <f t="shared" si="26"/>
        <v>2</v>
      </c>
      <c r="AT40" s="116">
        <f t="shared" si="26"/>
        <v>2</v>
      </c>
      <c r="AU40" s="116">
        <f t="shared" si="26"/>
        <v>0</v>
      </c>
      <c r="AV40" s="116">
        <f t="shared" si="26"/>
        <v>0</v>
      </c>
      <c r="AW40" s="116">
        <f t="shared" si="26"/>
        <v>0</v>
      </c>
    </row>
    <row r="41" spans="1:60" ht="25" customHeight="1">
      <c r="A41" s="101" t="s">
        <v>47</v>
      </c>
      <c r="B41" s="116">
        <f t="shared" ref="B41:AW41" si="27">VLOOKUP(ROUND(B15, 0), $AY$3:$AZ$13, 2, FALSE)</f>
        <v>-2</v>
      </c>
      <c r="C41" s="116">
        <f t="shared" si="27"/>
        <v>-2</v>
      </c>
      <c r="D41" s="116">
        <f t="shared" si="27"/>
        <v>-2</v>
      </c>
      <c r="E41" s="116">
        <f t="shared" si="27"/>
        <v>-4</v>
      </c>
      <c r="F41" s="116">
        <f t="shared" si="27"/>
        <v>-4</v>
      </c>
      <c r="G41" s="116">
        <f t="shared" si="27"/>
        <v>-4</v>
      </c>
      <c r="H41" s="116">
        <f t="shared" si="27"/>
        <v>-6</v>
      </c>
      <c r="I41" s="116">
        <f t="shared" si="27"/>
        <v>-6</v>
      </c>
      <c r="J41" s="116">
        <f t="shared" si="27"/>
        <v>-6</v>
      </c>
      <c r="K41" s="116">
        <f t="shared" si="27"/>
        <v>-6</v>
      </c>
      <c r="L41" s="116">
        <f t="shared" si="27"/>
        <v>-6</v>
      </c>
      <c r="M41" s="116">
        <f t="shared" si="27"/>
        <v>-6</v>
      </c>
      <c r="N41" s="116">
        <f t="shared" si="27"/>
        <v>-4</v>
      </c>
      <c r="O41" s="116">
        <f t="shared" si="27"/>
        <v>-4</v>
      </c>
      <c r="P41" s="116">
        <f t="shared" si="27"/>
        <v>-4</v>
      </c>
      <c r="Q41" s="116">
        <f t="shared" si="27"/>
        <v>-6</v>
      </c>
      <c r="R41" s="116">
        <f t="shared" si="27"/>
        <v>-6</v>
      </c>
      <c r="S41" s="116">
        <f t="shared" si="27"/>
        <v>-6</v>
      </c>
      <c r="T41" s="116">
        <f t="shared" si="27"/>
        <v>-4</v>
      </c>
      <c r="U41" s="116">
        <f t="shared" si="27"/>
        <v>-4</v>
      </c>
      <c r="V41" s="116">
        <f t="shared" si="27"/>
        <v>-4</v>
      </c>
      <c r="W41" s="116">
        <f t="shared" si="27"/>
        <v>-2</v>
      </c>
      <c r="X41" s="116">
        <f t="shared" si="27"/>
        <v>-2</v>
      </c>
      <c r="Y41" s="116">
        <f t="shared" si="27"/>
        <v>-2</v>
      </c>
      <c r="Z41" s="116">
        <f t="shared" si="27"/>
        <v>0</v>
      </c>
      <c r="AA41" s="116">
        <f t="shared" si="27"/>
        <v>0</v>
      </c>
      <c r="AB41" s="116">
        <f t="shared" si="27"/>
        <v>0</v>
      </c>
      <c r="AC41" s="116">
        <f t="shared" si="27"/>
        <v>-2</v>
      </c>
      <c r="AD41" s="116">
        <f t="shared" si="27"/>
        <v>-2</v>
      </c>
      <c r="AE41" s="116">
        <f t="shared" si="27"/>
        <v>-2</v>
      </c>
      <c r="AF41" s="116">
        <f t="shared" si="27"/>
        <v>-2</v>
      </c>
      <c r="AG41" s="116">
        <f t="shared" si="27"/>
        <v>-2</v>
      </c>
      <c r="AH41" s="116">
        <f t="shared" si="27"/>
        <v>-2</v>
      </c>
      <c r="AI41" s="116">
        <f t="shared" si="27"/>
        <v>-2</v>
      </c>
      <c r="AJ41" s="116">
        <f t="shared" si="27"/>
        <v>-2</v>
      </c>
      <c r="AK41" s="116">
        <f t="shared" si="27"/>
        <v>-2</v>
      </c>
      <c r="AL41" s="116">
        <f t="shared" si="27"/>
        <v>-4</v>
      </c>
      <c r="AM41" s="116">
        <f t="shared" si="27"/>
        <v>-4</v>
      </c>
      <c r="AN41" s="116">
        <f t="shared" si="27"/>
        <v>-4</v>
      </c>
      <c r="AO41" s="116">
        <f t="shared" si="27"/>
        <v>-2</v>
      </c>
      <c r="AP41" s="116">
        <f t="shared" si="27"/>
        <v>-2</v>
      </c>
      <c r="AQ41" s="116">
        <f t="shared" si="27"/>
        <v>-2</v>
      </c>
      <c r="AR41" s="116">
        <f t="shared" si="27"/>
        <v>-2</v>
      </c>
      <c r="AS41" s="116">
        <f t="shared" si="27"/>
        <v>-2</v>
      </c>
      <c r="AT41" s="116">
        <f t="shared" si="27"/>
        <v>-2</v>
      </c>
      <c r="AU41" s="116">
        <f t="shared" si="27"/>
        <v>-2</v>
      </c>
      <c r="AV41" s="116">
        <f t="shared" si="27"/>
        <v>-2</v>
      </c>
      <c r="AW41" s="116">
        <f t="shared" si="27"/>
        <v>-2</v>
      </c>
    </row>
    <row r="42" spans="1:60" ht="25" customHeight="1">
      <c r="A42" s="101" t="s">
        <v>14</v>
      </c>
      <c r="B42" s="116">
        <f t="shared" ref="B42:AW42" si="28">VLOOKUP(ROUND(B16, 0), $AY$3:$AZ$13, 2, FALSE)</f>
        <v>-2</v>
      </c>
      <c r="C42" s="116">
        <f t="shared" si="28"/>
        <v>-2</v>
      </c>
      <c r="D42" s="116">
        <f t="shared" si="28"/>
        <v>-2</v>
      </c>
      <c r="E42" s="116">
        <f t="shared" si="28"/>
        <v>0</v>
      </c>
      <c r="F42" s="116">
        <f t="shared" si="28"/>
        <v>0</v>
      </c>
      <c r="G42" s="116">
        <f t="shared" si="28"/>
        <v>0</v>
      </c>
      <c r="H42" s="116">
        <f t="shared" si="28"/>
        <v>0</v>
      </c>
      <c r="I42" s="116">
        <f t="shared" si="28"/>
        <v>0</v>
      </c>
      <c r="J42" s="116">
        <f t="shared" si="28"/>
        <v>0</v>
      </c>
      <c r="K42" s="116">
        <f t="shared" si="28"/>
        <v>0</v>
      </c>
      <c r="L42" s="116">
        <f t="shared" si="28"/>
        <v>0</v>
      </c>
      <c r="M42" s="116">
        <f t="shared" si="28"/>
        <v>0</v>
      </c>
      <c r="N42" s="116">
        <f t="shared" si="28"/>
        <v>4</v>
      </c>
      <c r="O42" s="116">
        <f t="shared" si="28"/>
        <v>4</v>
      </c>
      <c r="P42" s="116">
        <f t="shared" si="28"/>
        <v>4</v>
      </c>
      <c r="Q42" s="116">
        <f t="shared" si="28"/>
        <v>4</v>
      </c>
      <c r="R42" s="116">
        <f t="shared" si="28"/>
        <v>4</v>
      </c>
      <c r="S42" s="116">
        <f t="shared" si="28"/>
        <v>4</v>
      </c>
      <c r="T42" s="116">
        <f t="shared" si="28"/>
        <v>0</v>
      </c>
      <c r="U42" s="116">
        <f t="shared" si="28"/>
        <v>0</v>
      </c>
      <c r="V42" s="116">
        <f t="shared" si="28"/>
        <v>0</v>
      </c>
      <c r="W42" s="116">
        <f t="shared" si="28"/>
        <v>2</v>
      </c>
      <c r="X42" s="116">
        <f t="shared" si="28"/>
        <v>2</v>
      </c>
      <c r="Y42" s="116">
        <f t="shared" si="28"/>
        <v>2</v>
      </c>
      <c r="Z42" s="116">
        <f t="shared" si="28"/>
        <v>0</v>
      </c>
      <c r="AA42" s="116">
        <f t="shared" si="28"/>
        <v>0</v>
      </c>
      <c r="AB42" s="116">
        <f t="shared" si="28"/>
        <v>0</v>
      </c>
      <c r="AC42" s="116">
        <f t="shared" si="28"/>
        <v>-2</v>
      </c>
      <c r="AD42" s="116">
        <f t="shared" si="28"/>
        <v>-2</v>
      </c>
      <c r="AE42" s="116">
        <f t="shared" si="28"/>
        <v>-2</v>
      </c>
      <c r="AF42" s="116">
        <f t="shared" si="28"/>
        <v>2</v>
      </c>
      <c r="AG42" s="116">
        <f t="shared" si="28"/>
        <v>2</v>
      </c>
      <c r="AH42" s="116">
        <f t="shared" si="28"/>
        <v>2</v>
      </c>
      <c r="AI42" s="116">
        <f t="shared" si="28"/>
        <v>2</v>
      </c>
      <c r="AJ42" s="116">
        <f t="shared" si="28"/>
        <v>2</v>
      </c>
      <c r="AK42" s="116">
        <f t="shared" si="28"/>
        <v>2</v>
      </c>
      <c r="AL42" s="116">
        <f t="shared" si="28"/>
        <v>0</v>
      </c>
      <c r="AM42" s="116">
        <f t="shared" si="28"/>
        <v>0</v>
      </c>
      <c r="AN42" s="116">
        <f t="shared" si="28"/>
        <v>0</v>
      </c>
      <c r="AO42" s="116">
        <f t="shared" si="28"/>
        <v>2</v>
      </c>
      <c r="AP42" s="116">
        <f t="shared" si="28"/>
        <v>2</v>
      </c>
      <c r="AQ42" s="116">
        <f t="shared" si="28"/>
        <v>2</v>
      </c>
      <c r="AR42" s="116">
        <f t="shared" si="28"/>
        <v>0</v>
      </c>
      <c r="AS42" s="116">
        <f t="shared" si="28"/>
        <v>0</v>
      </c>
      <c r="AT42" s="116">
        <f t="shared" si="28"/>
        <v>0</v>
      </c>
      <c r="AU42" s="116">
        <f t="shared" si="28"/>
        <v>0</v>
      </c>
      <c r="AV42" s="116">
        <f t="shared" si="28"/>
        <v>0</v>
      </c>
      <c r="AW42" s="116">
        <f t="shared" si="28"/>
        <v>0</v>
      </c>
    </row>
    <row r="43" spans="1:60" ht="25" customHeight="1">
      <c r="A43" s="101" t="s">
        <v>48</v>
      </c>
      <c r="B43" s="116">
        <f t="shared" ref="B43:AW43" si="29">VLOOKUP(ROUND(B17, 0), $AY$3:$AZ$13, 2, FALSE)</f>
        <v>-2</v>
      </c>
      <c r="C43" s="116">
        <f t="shared" si="29"/>
        <v>-2</v>
      </c>
      <c r="D43" s="116">
        <f t="shared" si="29"/>
        <v>-2</v>
      </c>
      <c r="E43" s="116">
        <f t="shared" si="29"/>
        <v>0</v>
      </c>
      <c r="F43" s="116">
        <f t="shared" si="29"/>
        <v>0</v>
      </c>
      <c r="G43" s="116">
        <f t="shared" si="29"/>
        <v>0</v>
      </c>
      <c r="H43" s="116">
        <f t="shared" si="29"/>
        <v>-2</v>
      </c>
      <c r="I43" s="116">
        <f t="shared" si="29"/>
        <v>-2</v>
      </c>
      <c r="J43" s="116">
        <f t="shared" si="29"/>
        <v>-2</v>
      </c>
      <c r="K43" s="116">
        <f t="shared" si="29"/>
        <v>-2</v>
      </c>
      <c r="L43" s="116">
        <f t="shared" si="29"/>
        <v>-2</v>
      </c>
      <c r="M43" s="116">
        <f t="shared" si="29"/>
        <v>-2</v>
      </c>
      <c r="N43" s="116">
        <f t="shared" si="29"/>
        <v>2</v>
      </c>
      <c r="O43" s="116">
        <f t="shared" si="29"/>
        <v>2</v>
      </c>
      <c r="P43" s="116">
        <f t="shared" si="29"/>
        <v>2</v>
      </c>
      <c r="Q43" s="116">
        <f t="shared" si="29"/>
        <v>-2</v>
      </c>
      <c r="R43" s="116">
        <f t="shared" si="29"/>
        <v>-2</v>
      </c>
      <c r="S43" s="116">
        <f t="shared" si="29"/>
        <v>-2</v>
      </c>
      <c r="T43" s="116">
        <f t="shared" si="29"/>
        <v>-2</v>
      </c>
      <c r="U43" s="116">
        <f t="shared" si="29"/>
        <v>-2</v>
      </c>
      <c r="V43" s="116">
        <f t="shared" si="29"/>
        <v>-2</v>
      </c>
      <c r="W43" s="116">
        <f t="shared" si="29"/>
        <v>0</v>
      </c>
      <c r="X43" s="116">
        <f t="shared" si="29"/>
        <v>0</v>
      </c>
      <c r="Y43" s="116">
        <f t="shared" si="29"/>
        <v>0</v>
      </c>
      <c r="Z43" s="116">
        <f t="shared" si="29"/>
        <v>-2</v>
      </c>
      <c r="AA43" s="116">
        <f t="shared" si="29"/>
        <v>-2</v>
      </c>
      <c r="AB43" s="116">
        <f t="shared" si="29"/>
        <v>-2</v>
      </c>
      <c r="AC43" s="116">
        <f t="shared" si="29"/>
        <v>0</v>
      </c>
      <c r="AD43" s="116">
        <f t="shared" si="29"/>
        <v>0</v>
      </c>
      <c r="AE43" s="116">
        <f t="shared" si="29"/>
        <v>0</v>
      </c>
      <c r="AF43" s="116">
        <f t="shared" si="29"/>
        <v>2</v>
      </c>
      <c r="AG43" s="116">
        <f t="shared" si="29"/>
        <v>2</v>
      </c>
      <c r="AH43" s="116">
        <f t="shared" si="29"/>
        <v>2</v>
      </c>
      <c r="AI43" s="116">
        <f t="shared" si="29"/>
        <v>0</v>
      </c>
      <c r="AJ43" s="116">
        <f t="shared" si="29"/>
        <v>0</v>
      </c>
      <c r="AK43" s="116">
        <f t="shared" si="29"/>
        <v>0</v>
      </c>
      <c r="AL43" s="116">
        <f t="shared" si="29"/>
        <v>0</v>
      </c>
      <c r="AM43" s="116">
        <f t="shared" si="29"/>
        <v>0</v>
      </c>
      <c r="AN43" s="116">
        <f t="shared" si="29"/>
        <v>0</v>
      </c>
      <c r="AO43" s="116">
        <f t="shared" si="29"/>
        <v>-2</v>
      </c>
      <c r="AP43" s="116">
        <f t="shared" si="29"/>
        <v>-2</v>
      </c>
      <c r="AQ43" s="116">
        <f t="shared" si="29"/>
        <v>-2</v>
      </c>
      <c r="AR43" s="116">
        <f t="shared" si="29"/>
        <v>0</v>
      </c>
      <c r="AS43" s="116">
        <f t="shared" si="29"/>
        <v>0</v>
      </c>
      <c r="AT43" s="116">
        <f t="shared" si="29"/>
        <v>0</v>
      </c>
      <c r="AU43" s="116">
        <f t="shared" si="29"/>
        <v>0</v>
      </c>
      <c r="AV43" s="116">
        <f t="shared" si="29"/>
        <v>0</v>
      </c>
      <c r="AW43" s="116">
        <f t="shared" si="29"/>
        <v>0</v>
      </c>
    </row>
    <row r="44" spans="1:60" ht="25" customHeight="1">
      <c r="A44" s="101" t="s">
        <v>49</v>
      </c>
      <c r="B44" s="116">
        <f t="shared" ref="B44:AW44" si="30">VLOOKUP(ROUND(B18, 0), $AY$3:$AZ$13, 2, FALSE)</f>
        <v>0</v>
      </c>
      <c r="C44" s="116">
        <f t="shared" si="30"/>
        <v>0</v>
      </c>
      <c r="D44" s="116">
        <f t="shared" si="30"/>
        <v>0</v>
      </c>
      <c r="E44" s="116">
        <f t="shared" si="30"/>
        <v>0</v>
      </c>
      <c r="F44" s="116">
        <f t="shared" si="30"/>
        <v>0</v>
      </c>
      <c r="G44" s="116">
        <f t="shared" si="30"/>
        <v>0</v>
      </c>
      <c r="H44" s="116">
        <f t="shared" si="30"/>
        <v>0</v>
      </c>
      <c r="I44" s="116">
        <f t="shared" si="30"/>
        <v>0</v>
      </c>
      <c r="J44" s="116">
        <f t="shared" si="30"/>
        <v>0</v>
      </c>
      <c r="K44" s="116">
        <f t="shared" si="30"/>
        <v>2</v>
      </c>
      <c r="L44" s="116">
        <f t="shared" si="30"/>
        <v>2</v>
      </c>
      <c r="M44" s="116">
        <f t="shared" si="30"/>
        <v>2</v>
      </c>
      <c r="N44" s="116">
        <f t="shared" si="30"/>
        <v>0</v>
      </c>
      <c r="O44" s="116">
        <f t="shared" si="30"/>
        <v>0</v>
      </c>
      <c r="P44" s="116">
        <f t="shared" si="30"/>
        <v>0</v>
      </c>
      <c r="Q44" s="116">
        <f t="shared" si="30"/>
        <v>0</v>
      </c>
      <c r="R44" s="116">
        <f t="shared" si="30"/>
        <v>0</v>
      </c>
      <c r="S44" s="116">
        <f t="shared" si="30"/>
        <v>0</v>
      </c>
      <c r="T44" s="116">
        <f t="shared" si="30"/>
        <v>0</v>
      </c>
      <c r="U44" s="116">
        <f t="shared" si="30"/>
        <v>0</v>
      </c>
      <c r="V44" s="116">
        <f t="shared" si="30"/>
        <v>0</v>
      </c>
      <c r="W44" s="116">
        <f t="shared" si="30"/>
        <v>-2</v>
      </c>
      <c r="X44" s="116">
        <f t="shared" si="30"/>
        <v>-2</v>
      </c>
      <c r="Y44" s="116">
        <f t="shared" si="30"/>
        <v>-2</v>
      </c>
      <c r="Z44" s="116">
        <f t="shared" si="30"/>
        <v>0</v>
      </c>
      <c r="AA44" s="116">
        <f t="shared" si="30"/>
        <v>0</v>
      </c>
      <c r="AB44" s="116">
        <f t="shared" si="30"/>
        <v>0</v>
      </c>
      <c r="AC44" s="116">
        <f t="shared" si="30"/>
        <v>0</v>
      </c>
      <c r="AD44" s="116">
        <f t="shared" si="30"/>
        <v>0</v>
      </c>
      <c r="AE44" s="116">
        <f t="shared" si="30"/>
        <v>0</v>
      </c>
      <c r="AF44" s="116">
        <f t="shared" si="30"/>
        <v>0</v>
      </c>
      <c r="AG44" s="116">
        <f t="shared" si="30"/>
        <v>0</v>
      </c>
      <c r="AH44" s="116">
        <f t="shared" si="30"/>
        <v>0</v>
      </c>
      <c r="AI44" s="116">
        <f t="shared" si="30"/>
        <v>0</v>
      </c>
      <c r="AJ44" s="116">
        <f t="shared" si="30"/>
        <v>0</v>
      </c>
      <c r="AK44" s="116">
        <f t="shared" si="30"/>
        <v>0</v>
      </c>
      <c r="AL44" s="116">
        <f t="shared" si="30"/>
        <v>0</v>
      </c>
      <c r="AM44" s="116">
        <f t="shared" si="30"/>
        <v>0</v>
      </c>
      <c r="AN44" s="116">
        <f t="shared" si="30"/>
        <v>0</v>
      </c>
      <c r="AO44" s="116">
        <f t="shared" si="30"/>
        <v>0</v>
      </c>
      <c r="AP44" s="116">
        <f t="shared" si="30"/>
        <v>0</v>
      </c>
      <c r="AQ44" s="116">
        <f t="shared" si="30"/>
        <v>0</v>
      </c>
      <c r="AR44" s="116">
        <f t="shared" si="30"/>
        <v>-2</v>
      </c>
      <c r="AS44" s="116">
        <f t="shared" si="30"/>
        <v>-2</v>
      </c>
      <c r="AT44" s="116">
        <f t="shared" si="30"/>
        <v>-2</v>
      </c>
      <c r="AU44" s="116">
        <f t="shared" si="30"/>
        <v>-2</v>
      </c>
      <c r="AV44" s="116">
        <f t="shared" si="30"/>
        <v>-2</v>
      </c>
      <c r="AW44" s="116">
        <f t="shared" si="30"/>
        <v>-2</v>
      </c>
    </row>
    <row r="45" spans="1:60" ht="25" customHeight="1">
      <c r="A45" s="101" t="s">
        <v>15</v>
      </c>
      <c r="B45" s="116">
        <f t="shared" ref="B45:AW45" si="31">VLOOKUP(ROUND(B19, 0), $AY$3:$AZ$13, 2, FALSE)</f>
        <v>-4</v>
      </c>
      <c r="C45" s="116">
        <f t="shared" si="31"/>
        <v>-4</v>
      </c>
      <c r="D45" s="116">
        <f t="shared" si="31"/>
        <v>-4</v>
      </c>
      <c r="E45" s="116">
        <f t="shared" si="31"/>
        <v>-4</v>
      </c>
      <c r="F45" s="116">
        <f t="shared" si="31"/>
        <v>-4</v>
      </c>
      <c r="G45" s="116">
        <f t="shared" si="31"/>
        <v>-4</v>
      </c>
      <c r="H45" s="116">
        <f t="shared" si="31"/>
        <v>-2</v>
      </c>
      <c r="I45" s="116">
        <f t="shared" si="31"/>
        <v>-2</v>
      </c>
      <c r="J45" s="116">
        <f t="shared" si="31"/>
        <v>-2</v>
      </c>
      <c r="K45" s="116">
        <f t="shared" si="31"/>
        <v>-2</v>
      </c>
      <c r="L45" s="116">
        <f t="shared" si="31"/>
        <v>-2</v>
      </c>
      <c r="M45" s="116">
        <f t="shared" si="31"/>
        <v>-2</v>
      </c>
      <c r="N45" s="116">
        <f t="shared" si="31"/>
        <v>0</v>
      </c>
      <c r="O45" s="116">
        <f t="shared" si="31"/>
        <v>0</v>
      </c>
      <c r="P45" s="116">
        <f t="shared" si="31"/>
        <v>0</v>
      </c>
      <c r="Q45" s="116">
        <f t="shared" si="31"/>
        <v>-2</v>
      </c>
      <c r="R45" s="116">
        <f t="shared" si="31"/>
        <v>-2</v>
      </c>
      <c r="S45" s="116">
        <f t="shared" si="31"/>
        <v>-2</v>
      </c>
      <c r="T45" s="116">
        <f t="shared" si="31"/>
        <v>-2</v>
      </c>
      <c r="U45" s="116">
        <f t="shared" si="31"/>
        <v>-2</v>
      </c>
      <c r="V45" s="116">
        <f t="shared" si="31"/>
        <v>-2</v>
      </c>
      <c r="W45" s="116">
        <f t="shared" si="31"/>
        <v>-4</v>
      </c>
      <c r="X45" s="116">
        <f t="shared" si="31"/>
        <v>-4</v>
      </c>
      <c r="Y45" s="116">
        <f t="shared" si="31"/>
        <v>-4</v>
      </c>
      <c r="Z45" s="116">
        <f t="shared" si="31"/>
        <v>-2</v>
      </c>
      <c r="AA45" s="116">
        <f t="shared" si="31"/>
        <v>-2</v>
      </c>
      <c r="AB45" s="116">
        <f t="shared" si="31"/>
        <v>-2</v>
      </c>
      <c r="AC45" s="116">
        <f t="shared" si="31"/>
        <v>0</v>
      </c>
      <c r="AD45" s="116">
        <f t="shared" si="31"/>
        <v>0</v>
      </c>
      <c r="AE45" s="116">
        <f t="shared" si="31"/>
        <v>0</v>
      </c>
      <c r="AF45" s="116">
        <f t="shared" si="31"/>
        <v>0</v>
      </c>
      <c r="AG45" s="116">
        <f t="shared" si="31"/>
        <v>0</v>
      </c>
      <c r="AH45" s="116">
        <f t="shared" si="31"/>
        <v>0</v>
      </c>
      <c r="AI45" s="116">
        <f t="shared" si="31"/>
        <v>0</v>
      </c>
      <c r="AJ45" s="116">
        <f t="shared" si="31"/>
        <v>0</v>
      </c>
      <c r="AK45" s="116">
        <f t="shared" si="31"/>
        <v>0</v>
      </c>
      <c r="AL45" s="116">
        <f t="shared" si="31"/>
        <v>0</v>
      </c>
      <c r="AM45" s="116">
        <f t="shared" si="31"/>
        <v>0</v>
      </c>
      <c r="AN45" s="116">
        <f t="shared" si="31"/>
        <v>0</v>
      </c>
      <c r="AO45" s="116">
        <f t="shared" si="31"/>
        <v>0</v>
      </c>
      <c r="AP45" s="116">
        <f t="shared" si="31"/>
        <v>0</v>
      </c>
      <c r="AQ45" s="116">
        <f t="shared" si="31"/>
        <v>0</v>
      </c>
      <c r="AR45" s="116">
        <f t="shared" si="31"/>
        <v>0</v>
      </c>
      <c r="AS45" s="116">
        <f t="shared" si="31"/>
        <v>0</v>
      </c>
      <c r="AT45" s="116">
        <f t="shared" si="31"/>
        <v>0</v>
      </c>
      <c r="AU45" s="116">
        <f t="shared" si="31"/>
        <v>-2</v>
      </c>
      <c r="AV45" s="116">
        <f t="shared" si="31"/>
        <v>-2</v>
      </c>
      <c r="AW45" s="116">
        <f t="shared" si="31"/>
        <v>-2</v>
      </c>
    </row>
    <row r="46" spans="1:60" ht="25" customHeight="1">
      <c r="A46" s="101" t="s">
        <v>12</v>
      </c>
      <c r="B46" s="116">
        <f t="shared" ref="B46:AW46" si="32">VLOOKUP(ROUND(B20, 0), $AY$3:$AZ$13, 2, FALSE)</f>
        <v>-4</v>
      </c>
      <c r="C46" s="116">
        <f t="shared" si="32"/>
        <v>-4</v>
      </c>
      <c r="D46" s="116">
        <f t="shared" si="32"/>
        <v>-4</v>
      </c>
      <c r="E46" s="116">
        <f t="shared" si="32"/>
        <v>-4</v>
      </c>
      <c r="F46" s="116">
        <f t="shared" si="32"/>
        <v>-4</v>
      </c>
      <c r="G46" s="116">
        <f t="shared" si="32"/>
        <v>-4</v>
      </c>
      <c r="H46" s="116">
        <f t="shared" si="32"/>
        <v>-4</v>
      </c>
      <c r="I46" s="116">
        <f t="shared" si="32"/>
        <v>-4</v>
      </c>
      <c r="J46" s="116">
        <f t="shared" si="32"/>
        <v>-4</v>
      </c>
      <c r="K46" s="116">
        <f t="shared" si="32"/>
        <v>-2</v>
      </c>
      <c r="L46" s="116">
        <f t="shared" si="32"/>
        <v>-2</v>
      </c>
      <c r="M46" s="116">
        <f t="shared" si="32"/>
        <v>-2</v>
      </c>
      <c r="N46" s="116">
        <f t="shared" si="32"/>
        <v>-2</v>
      </c>
      <c r="O46" s="116">
        <f t="shared" si="32"/>
        <v>-2</v>
      </c>
      <c r="P46" s="116">
        <f t="shared" si="32"/>
        <v>-2</v>
      </c>
      <c r="Q46" s="116">
        <f t="shared" si="32"/>
        <v>0</v>
      </c>
      <c r="R46" s="116">
        <f t="shared" si="32"/>
        <v>0</v>
      </c>
      <c r="S46" s="116">
        <f t="shared" si="32"/>
        <v>0</v>
      </c>
      <c r="T46" s="116">
        <f t="shared" si="32"/>
        <v>0</v>
      </c>
      <c r="U46" s="116">
        <f t="shared" si="32"/>
        <v>0</v>
      </c>
      <c r="V46" s="116">
        <f t="shared" si="32"/>
        <v>0</v>
      </c>
      <c r="W46" s="116">
        <f t="shared" si="32"/>
        <v>0</v>
      </c>
      <c r="X46" s="116">
        <f t="shared" si="32"/>
        <v>0</v>
      </c>
      <c r="Y46" s="116">
        <f t="shared" si="32"/>
        <v>0</v>
      </c>
      <c r="Z46" s="116">
        <f t="shared" si="32"/>
        <v>0</v>
      </c>
      <c r="AA46" s="116">
        <f t="shared" si="32"/>
        <v>0</v>
      </c>
      <c r="AB46" s="116">
        <f t="shared" si="32"/>
        <v>0</v>
      </c>
      <c r="AC46" s="116">
        <f t="shared" si="32"/>
        <v>-2</v>
      </c>
      <c r="AD46" s="116">
        <f t="shared" si="32"/>
        <v>-2</v>
      </c>
      <c r="AE46" s="116">
        <f t="shared" si="32"/>
        <v>-2</v>
      </c>
      <c r="AF46" s="116">
        <f t="shared" si="32"/>
        <v>-2</v>
      </c>
      <c r="AG46" s="116">
        <f t="shared" si="32"/>
        <v>-2</v>
      </c>
      <c r="AH46" s="116">
        <f t="shared" si="32"/>
        <v>-2</v>
      </c>
      <c r="AI46" s="116">
        <f t="shared" si="32"/>
        <v>-4</v>
      </c>
      <c r="AJ46" s="116">
        <f t="shared" si="32"/>
        <v>-4</v>
      </c>
      <c r="AK46" s="116">
        <f t="shared" si="32"/>
        <v>-4</v>
      </c>
      <c r="AL46" s="116">
        <f t="shared" si="32"/>
        <v>-4</v>
      </c>
      <c r="AM46" s="116">
        <f t="shared" si="32"/>
        <v>-4</v>
      </c>
      <c r="AN46" s="116">
        <f t="shared" si="32"/>
        <v>-4</v>
      </c>
      <c r="AO46" s="116">
        <f t="shared" si="32"/>
        <v>-2</v>
      </c>
      <c r="AP46" s="116">
        <f t="shared" si="32"/>
        <v>-2</v>
      </c>
      <c r="AQ46" s="116">
        <f t="shared" si="32"/>
        <v>-2</v>
      </c>
      <c r="AR46" s="116">
        <f t="shared" si="32"/>
        <v>0</v>
      </c>
      <c r="AS46" s="116">
        <f t="shared" si="32"/>
        <v>0</v>
      </c>
      <c r="AT46" s="116">
        <f t="shared" si="32"/>
        <v>0</v>
      </c>
      <c r="AU46" s="116">
        <f t="shared" si="32"/>
        <v>0</v>
      </c>
      <c r="AV46" s="116">
        <f t="shared" si="32"/>
        <v>0</v>
      </c>
      <c r="AW46" s="116">
        <f t="shared" si="32"/>
        <v>0</v>
      </c>
    </row>
    <row r="47" spans="1:60" ht="25" customHeight="1">
      <c r="A47" s="101" t="s">
        <v>50</v>
      </c>
      <c r="B47" s="116">
        <f t="shared" ref="B47:AW47" si="33">VLOOKUP(ROUND(B21, 0), $AY$3:$AZ$13, 2, FALSE)</f>
        <v>-4</v>
      </c>
      <c r="C47" s="116">
        <f t="shared" si="33"/>
        <v>-4</v>
      </c>
      <c r="D47" s="116">
        <f t="shared" si="33"/>
        <v>-4</v>
      </c>
      <c r="E47" s="116">
        <f t="shared" si="33"/>
        <v>-4</v>
      </c>
      <c r="F47" s="116">
        <f t="shared" si="33"/>
        <v>-4</v>
      </c>
      <c r="G47" s="116">
        <f t="shared" si="33"/>
        <v>-4</v>
      </c>
      <c r="H47" s="116">
        <f t="shared" si="33"/>
        <v>-2</v>
      </c>
      <c r="I47" s="116">
        <f t="shared" si="33"/>
        <v>-2</v>
      </c>
      <c r="J47" s="116">
        <f t="shared" si="33"/>
        <v>-2</v>
      </c>
      <c r="K47" s="116">
        <f t="shared" si="33"/>
        <v>-2</v>
      </c>
      <c r="L47" s="116">
        <f t="shared" si="33"/>
        <v>-2</v>
      </c>
      <c r="M47" s="116">
        <f t="shared" si="33"/>
        <v>-2</v>
      </c>
      <c r="N47" s="116">
        <f t="shared" si="33"/>
        <v>-2</v>
      </c>
      <c r="O47" s="116">
        <f t="shared" si="33"/>
        <v>-2</v>
      </c>
      <c r="P47" s="116">
        <f t="shared" si="33"/>
        <v>-2</v>
      </c>
      <c r="Q47" s="116">
        <f t="shared" si="33"/>
        <v>2</v>
      </c>
      <c r="R47" s="116">
        <f t="shared" si="33"/>
        <v>2</v>
      </c>
      <c r="S47" s="116">
        <f t="shared" si="33"/>
        <v>2</v>
      </c>
      <c r="T47" s="116">
        <f t="shared" si="33"/>
        <v>4</v>
      </c>
      <c r="U47" s="116">
        <f t="shared" si="33"/>
        <v>4</v>
      </c>
      <c r="V47" s="116">
        <f t="shared" si="33"/>
        <v>4</v>
      </c>
      <c r="W47" s="116">
        <f t="shared" si="33"/>
        <v>6</v>
      </c>
      <c r="X47" s="116">
        <f t="shared" si="33"/>
        <v>6</v>
      </c>
      <c r="Y47" s="116">
        <f t="shared" si="33"/>
        <v>6</v>
      </c>
      <c r="Z47" s="116">
        <f t="shared" si="33"/>
        <v>4</v>
      </c>
      <c r="AA47" s="116">
        <f t="shared" si="33"/>
        <v>4</v>
      </c>
      <c r="AB47" s="116">
        <f t="shared" si="33"/>
        <v>4</v>
      </c>
      <c r="AC47" s="116">
        <f t="shared" si="33"/>
        <v>6</v>
      </c>
      <c r="AD47" s="116">
        <f t="shared" si="33"/>
        <v>6</v>
      </c>
      <c r="AE47" s="116">
        <f t="shared" si="33"/>
        <v>6</v>
      </c>
      <c r="AF47" s="116">
        <f t="shared" si="33"/>
        <v>0</v>
      </c>
      <c r="AG47" s="116">
        <f t="shared" si="33"/>
        <v>0</v>
      </c>
      <c r="AH47" s="116">
        <f t="shared" si="33"/>
        <v>0</v>
      </c>
      <c r="AI47" s="116">
        <f t="shared" si="33"/>
        <v>0</v>
      </c>
      <c r="AJ47" s="116">
        <f t="shared" si="33"/>
        <v>0</v>
      </c>
      <c r="AK47" s="116">
        <f t="shared" si="33"/>
        <v>0</v>
      </c>
      <c r="AL47" s="116">
        <f t="shared" si="33"/>
        <v>-2</v>
      </c>
      <c r="AM47" s="116">
        <f t="shared" si="33"/>
        <v>-2</v>
      </c>
      <c r="AN47" s="116">
        <f t="shared" si="33"/>
        <v>-2</v>
      </c>
      <c r="AO47" s="116">
        <f t="shared" si="33"/>
        <v>-2</v>
      </c>
      <c r="AP47" s="116">
        <f t="shared" si="33"/>
        <v>-2</v>
      </c>
      <c r="AQ47" s="116">
        <f t="shared" si="33"/>
        <v>-2</v>
      </c>
      <c r="AR47" s="116">
        <f t="shared" si="33"/>
        <v>-2</v>
      </c>
      <c r="AS47" s="116">
        <f t="shared" si="33"/>
        <v>-2</v>
      </c>
      <c r="AT47" s="116">
        <f t="shared" si="33"/>
        <v>-2</v>
      </c>
      <c r="AU47" s="116">
        <f t="shared" si="33"/>
        <v>-2</v>
      </c>
      <c r="AV47" s="116">
        <f t="shared" si="33"/>
        <v>-2</v>
      </c>
      <c r="AW47" s="116">
        <f t="shared" si="33"/>
        <v>-2</v>
      </c>
    </row>
    <row r="48" spans="1:60" ht="25" customHeight="1">
      <c r="A48" s="106" t="s">
        <v>51</v>
      </c>
      <c r="B48" s="116">
        <f t="shared" ref="B48:AW48" si="34">VLOOKUP(ROUND(B22, 0), $AY$3:$AZ$13, 2, FALSE)</f>
        <v>-2</v>
      </c>
      <c r="C48" s="116">
        <f t="shared" si="34"/>
        <v>-2</v>
      </c>
      <c r="D48" s="116">
        <f t="shared" si="34"/>
        <v>-2</v>
      </c>
      <c r="E48" s="116">
        <f t="shared" si="34"/>
        <v>-4</v>
      </c>
      <c r="F48" s="116">
        <f t="shared" si="34"/>
        <v>-4</v>
      </c>
      <c r="G48" s="116">
        <f t="shared" si="34"/>
        <v>-4</v>
      </c>
      <c r="H48" s="116">
        <f t="shared" si="34"/>
        <v>-6</v>
      </c>
      <c r="I48" s="116">
        <f t="shared" si="34"/>
        <v>-6</v>
      </c>
      <c r="J48" s="116">
        <f t="shared" si="34"/>
        <v>-6</v>
      </c>
      <c r="K48" s="116">
        <f t="shared" si="34"/>
        <v>-8</v>
      </c>
      <c r="L48" s="116">
        <f t="shared" si="34"/>
        <v>-8</v>
      </c>
      <c r="M48" s="116">
        <f t="shared" si="34"/>
        <v>-8</v>
      </c>
      <c r="N48" s="116">
        <f t="shared" si="34"/>
        <v>-6</v>
      </c>
      <c r="O48" s="116">
        <f t="shared" si="34"/>
        <v>-6</v>
      </c>
      <c r="P48" s="116">
        <f t="shared" si="34"/>
        <v>-6</v>
      </c>
      <c r="Q48" s="116">
        <f t="shared" si="34"/>
        <v>-4</v>
      </c>
      <c r="R48" s="116">
        <f t="shared" si="34"/>
        <v>-4</v>
      </c>
      <c r="S48" s="116">
        <f t="shared" si="34"/>
        <v>-4</v>
      </c>
      <c r="T48" s="116">
        <f t="shared" si="34"/>
        <v>-4</v>
      </c>
      <c r="U48" s="116">
        <f t="shared" si="34"/>
        <v>-4</v>
      </c>
      <c r="V48" s="116">
        <f t="shared" si="34"/>
        <v>-4</v>
      </c>
      <c r="W48" s="116">
        <f t="shared" si="34"/>
        <v>-2</v>
      </c>
      <c r="X48" s="116">
        <f t="shared" si="34"/>
        <v>-2</v>
      </c>
      <c r="Y48" s="116">
        <f t="shared" si="34"/>
        <v>-2</v>
      </c>
      <c r="Z48" s="116">
        <f t="shared" si="34"/>
        <v>0</v>
      </c>
      <c r="AA48" s="116">
        <f t="shared" si="34"/>
        <v>0</v>
      </c>
      <c r="AB48" s="116">
        <f t="shared" si="34"/>
        <v>0</v>
      </c>
      <c r="AC48" s="116">
        <f t="shared" si="34"/>
        <v>-2</v>
      </c>
      <c r="AD48" s="116">
        <f t="shared" si="34"/>
        <v>-2</v>
      </c>
      <c r="AE48" s="116">
        <f t="shared" si="34"/>
        <v>-2</v>
      </c>
      <c r="AF48" s="116">
        <f t="shared" si="34"/>
        <v>-2</v>
      </c>
      <c r="AG48" s="116">
        <f t="shared" si="34"/>
        <v>-2</v>
      </c>
      <c r="AH48" s="116">
        <f t="shared" si="34"/>
        <v>-2</v>
      </c>
      <c r="AI48" s="116">
        <f t="shared" si="34"/>
        <v>-2</v>
      </c>
      <c r="AJ48" s="116">
        <f t="shared" si="34"/>
        <v>-2</v>
      </c>
      <c r="AK48" s="116">
        <f t="shared" si="34"/>
        <v>-2</v>
      </c>
      <c r="AL48" s="116">
        <f t="shared" si="34"/>
        <v>-4</v>
      </c>
      <c r="AM48" s="116">
        <f t="shared" si="34"/>
        <v>-4</v>
      </c>
      <c r="AN48" s="116">
        <f t="shared" si="34"/>
        <v>-4</v>
      </c>
      <c r="AO48" s="116">
        <f t="shared" si="34"/>
        <v>-2</v>
      </c>
      <c r="AP48" s="116">
        <f t="shared" si="34"/>
        <v>-2</v>
      </c>
      <c r="AQ48" s="116">
        <f t="shared" si="34"/>
        <v>-2</v>
      </c>
      <c r="AR48" s="116">
        <f t="shared" si="34"/>
        <v>0</v>
      </c>
      <c r="AS48" s="116">
        <f t="shared" si="34"/>
        <v>0</v>
      </c>
      <c r="AT48" s="116">
        <f t="shared" si="34"/>
        <v>0</v>
      </c>
      <c r="AU48" s="116">
        <f t="shared" si="34"/>
        <v>0</v>
      </c>
      <c r="AV48" s="116">
        <f t="shared" si="34"/>
        <v>0</v>
      </c>
      <c r="AW48" s="116">
        <f t="shared" si="34"/>
        <v>0</v>
      </c>
    </row>
    <row r="49" spans="1:49" ht="25" customHeight="1">
      <c r="A49" s="106" t="s">
        <v>52</v>
      </c>
      <c r="B49" s="116">
        <f t="shared" ref="B49:AW49" si="35">VLOOKUP(ROUND(B23, 0), $AY$3:$AZ$13, 2, FALSE)</f>
        <v>-2</v>
      </c>
      <c r="C49" s="116">
        <f t="shared" si="35"/>
        <v>-2</v>
      </c>
      <c r="D49" s="116">
        <f t="shared" si="35"/>
        <v>-2</v>
      </c>
      <c r="E49" s="116">
        <f t="shared" si="35"/>
        <v>-2</v>
      </c>
      <c r="F49" s="116">
        <f t="shared" si="35"/>
        <v>-2</v>
      </c>
      <c r="G49" s="116">
        <f t="shared" si="35"/>
        <v>-2</v>
      </c>
      <c r="H49" s="116">
        <f t="shared" si="35"/>
        <v>0</v>
      </c>
      <c r="I49" s="116">
        <f t="shared" si="35"/>
        <v>0</v>
      </c>
      <c r="J49" s="116">
        <f t="shared" si="35"/>
        <v>0</v>
      </c>
      <c r="K49" s="116">
        <f t="shared" si="35"/>
        <v>-2</v>
      </c>
      <c r="L49" s="116">
        <f t="shared" si="35"/>
        <v>-2</v>
      </c>
      <c r="M49" s="116">
        <f t="shared" si="35"/>
        <v>-2</v>
      </c>
      <c r="N49" s="116">
        <f t="shared" si="35"/>
        <v>4</v>
      </c>
      <c r="O49" s="116">
        <f t="shared" si="35"/>
        <v>4</v>
      </c>
      <c r="P49" s="116">
        <f t="shared" si="35"/>
        <v>4</v>
      </c>
      <c r="Q49" s="116">
        <f t="shared" si="35"/>
        <v>4</v>
      </c>
      <c r="R49" s="116">
        <f t="shared" si="35"/>
        <v>4</v>
      </c>
      <c r="S49" s="116">
        <f t="shared" si="35"/>
        <v>4</v>
      </c>
      <c r="T49" s="116">
        <f t="shared" si="35"/>
        <v>2</v>
      </c>
      <c r="U49" s="116">
        <f t="shared" si="35"/>
        <v>2</v>
      </c>
      <c r="V49" s="116">
        <f t="shared" si="35"/>
        <v>2</v>
      </c>
      <c r="W49" s="116">
        <f t="shared" si="35"/>
        <v>2</v>
      </c>
      <c r="X49" s="116">
        <f t="shared" si="35"/>
        <v>2</v>
      </c>
      <c r="Y49" s="116">
        <f t="shared" si="35"/>
        <v>2</v>
      </c>
      <c r="Z49" s="116">
        <f t="shared" si="35"/>
        <v>0</v>
      </c>
      <c r="AA49" s="116">
        <f t="shared" si="35"/>
        <v>0</v>
      </c>
      <c r="AB49" s="116">
        <f t="shared" si="35"/>
        <v>0</v>
      </c>
      <c r="AC49" s="116">
        <f t="shared" si="35"/>
        <v>-2</v>
      </c>
      <c r="AD49" s="116">
        <f t="shared" si="35"/>
        <v>-2</v>
      </c>
      <c r="AE49" s="116">
        <f t="shared" si="35"/>
        <v>-2</v>
      </c>
      <c r="AF49" s="116">
        <f t="shared" si="35"/>
        <v>2</v>
      </c>
      <c r="AG49" s="116">
        <f t="shared" si="35"/>
        <v>2</v>
      </c>
      <c r="AH49" s="116">
        <f t="shared" si="35"/>
        <v>2</v>
      </c>
      <c r="AI49" s="116">
        <f t="shared" si="35"/>
        <v>2</v>
      </c>
      <c r="AJ49" s="116">
        <f t="shared" si="35"/>
        <v>2</v>
      </c>
      <c r="AK49" s="116">
        <f t="shared" si="35"/>
        <v>2</v>
      </c>
      <c r="AL49" s="116">
        <f t="shared" si="35"/>
        <v>0</v>
      </c>
      <c r="AM49" s="116">
        <f t="shared" si="35"/>
        <v>0</v>
      </c>
      <c r="AN49" s="116">
        <f t="shared" si="35"/>
        <v>0</v>
      </c>
      <c r="AO49" s="116">
        <f t="shared" si="35"/>
        <v>2</v>
      </c>
      <c r="AP49" s="116">
        <f t="shared" si="35"/>
        <v>2</v>
      </c>
      <c r="AQ49" s="116">
        <f t="shared" si="35"/>
        <v>2</v>
      </c>
      <c r="AR49" s="116">
        <f t="shared" si="35"/>
        <v>2</v>
      </c>
      <c r="AS49" s="116">
        <f t="shared" si="35"/>
        <v>2</v>
      </c>
      <c r="AT49" s="116">
        <f t="shared" si="35"/>
        <v>2</v>
      </c>
      <c r="AU49" s="116">
        <f t="shared" si="35"/>
        <v>0</v>
      </c>
      <c r="AV49" s="116">
        <f t="shared" si="35"/>
        <v>0</v>
      </c>
      <c r="AW49" s="116">
        <f t="shared" si="35"/>
        <v>0</v>
      </c>
    </row>
    <row r="50" spans="1:49" ht="25" customHeight="1">
      <c r="A50" s="106" t="s">
        <v>53</v>
      </c>
      <c r="B50" s="116">
        <f t="shared" ref="B50:AW50" si="36">VLOOKUP(ROUND(B24, 0), $AY$3:$AZ$13, 2, FALSE)</f>
        <v>-2</v>
      </c>
      <c r="C50" s="116">
        <f t="shared" si="36"/>
        <v>-2</v>
      </c>
      <c r="D50" s="116">
        <f t="shared" si="36"/>
        <v>-2</v>
      </c>
      <c r="E50" s="116">
        <f t="shared" si="36"/>
        <v>-2</v>
      </c>
      <c r="F50" s="116">
        <f t="shared" si="36"/>
        <v>-2</v>
      </c>
      <c r="G50" s="116">
        <f t="shared" si="36"/>
        <v>-2</v>
      </c>
      <c r="H50" s="116">
        <f t="shared" si="36"/>
        <v>-2</v>
      </c>
      <c r="I50" s="116">
        <f t="shared" si="36"/>
        <v>-2</v>
      </c>
      <c r="J50" s="116">
        <f t="shared" si="36"/>
        <v>-2</v>
      </c>
      <c r="K50" s="116">
        <f t="shared" si="36"/>
        <v>-4</v>
      </c>
      <c r="L50" s="116">
        <f t="shared" si="36"/>
        <v>-4</v>
      </c>
      <c r="M50" s="116">
        <f t="shared" si="36"/>
        <v>-4</v>
      </c>
      <c r="N50" s="116">
        <f t="shared" si="36"/>
        <v>0</v>
      </c>
      <c r="O50" s="116">
        <f t="shared" si="36"/>
        <v>0</v>
      </c>
      <c r="P50" s="116">
        <f t="shared" si="36"/>
        <v>0</v>
      </c>
      <c r="Q50" s="116">
        <f t="shared" si="36"/>
        <v>-2</v>
      </c>
      <c r="R50" s="116">
        <f t="shared" si="36"/>
        <v>-2</v>
      </c>
      <c r="S50" s="116">
        <f t="shared" si="36"/>
        <v>-2</v>
      </c>
      <c r="T50" s="116">
        <f t="shared" si="36"/>
        <v>0</v>
      </c>
      <c r="U50" s="116">
        <f t="shared" si="36"/>
        <v>0</v>
      </c>
      <c r="V50" s="116">
        <f t="shared" si="36"/>
        <v>0</v>
      </c>
      <c r="W50" s="116">
        <f t="shared" si="36"/>
        <v>2</v>
      </c>
      <c r="X50" s="116">
        <f t="shared" si="36"/>
        <v>2</v>
      </c>
      <c r="Y50" s="116">
        <f t="shared" si="36"/>
        <v>2</v>
      </c>
      <c r="Z50" s="116">
        <f t="shared" si="36"/>
        <v>-2</v>
      </c>
      <c r="AA50" s="116">
        <f t="shared" si="36"/>
        <v>-2</v>
      </c>
      <c r="AB50" s="116">
        <f t="shared" si="36"/>
        <v>-2</v>
      </c>
      <c r="AC50" s="116">
        <f t="shared" si="36"/>
        <v>0</v>
      </c>
      <c r="AD50" s="116">
        <f t="shared" si="36"/>
        <v>0</v>
      </c>
      <c r="AE50" s="116">
        <f t="shared" si="36"/>
        <v>0</v>
      </c>
      <c r="AF50" s="116">
        <f t="shared" si="36"/>
        <v>2</v>
      </c>
      <c r="AG50" s="116">
        <f t="shared" si="36"/>
        <v>2</v>
      </c>
      <c r="AH50" s="116">
        <f t="shared" si="36"/>
        <v>2</v>
      </c>
      <c r="AI50" s="116">
        <f t="shared" si="36"/>
        <v>0</v>
      </c>
      <c r="AJ50" s="116">
        <f t="shared" si="36"/>
        <v>0</v>
      </c>
      <c r="AK50" s="116">
        <f t="shared" si="36"/>
        <v>0</v>
      </c>
      <c r="AL50" s="116">
        <f t="shared" si="36"/>
        <v>2</v>
      </c>
      <c r="AM50" s="116">
        <f t="shared" si="36"/>
        <v>2</v>
      </c>
      <c r="AN50" s="116">
        <f t="shared" si="36"/>
        <v>2</v>
      </c>
      <c r="AO50" s="116">
        <f t="shared" si="36"/>
        <v>-2</v>
      </c>
      <c r="AP50" s="116">
        <f t="shared" si="36"/>
        <v>-2</v>
      </c>
      <c r="AQ50" s="116">
        <f t="shared" si="36"/>
        <v>-2</v>
      </c>
      <c r="AR50" s="116">
        <f t="shared" si="36"/>
        <v>2</v>
      </c>
      <c r="AS50" s="116">
        <f t="shared" si="36"/>
        <v>2</v>
      </c>
      <c r="AT50" s="116">
        <f t="shared" si="36"/>
        <v>2</v>
      </c>
      <c r="AU50" s="116">
        <f t="shared" si="36"/>
        <v>0</v>
      </c>
      <c r="AV50" s="116">
        <f t="shared" si="36"/>
        <v>0</v>
      </c>
      <c r="AW50" s="116">
        <f t="shared" si="36"/>
        <v>0</v>
      </c>
    </row>
    <row r="51" spans="1:49" ht="25" customHeight="1">
      <c r="A51" s="106" t="s">
        <v>54</v>
      </c>
      <c r="B51" s="116">
        <f t="shared" ref="B51:AW51" si="37">VLOOKUP(ROUND(B25, 0), $AY$3:$AZ$13, 2, FALSE)</f>
        <v>-4</v>
      </c>
      <c r="C51" s="116">
        <f t="shared" si="37"/>
        <v>-4</v>
      </c>
      <c r="D51" s="116">
        <f t="shared" si="37"/>
        <v>-4</v>
      </c>
      <c r="E51" s="116">
        <f t="shared" si="37"/>
        <v>-4</v>
      </c>
      <c r="F51" s="116">
        <f t="shared" si="37"/>
        <v>-4</v>
      </c>
      <c r="G51" s="116">
        <f t="shared" si="37"/>
        <v>-4</v>
      </c>
      <c r="H51" s="116">
        <f t="shared" si="37"/>
        <v>-2</v>
      </c>
      <c r="I51" s="116">
        <f t="shared" si="37"/>
        <v>-2</v>
      </c>
      <c r="J51" s="116">
        <f t="shared" si="37"/>
        <v>-2</v>
      </c>
      <c r="K51" s="116">
        <f t="shared" si="37"/>
        <v>-4</v>
      </c>
      <c r="L51" s="116">
        <f t="shared" si="37"/>
        <v>-4</v>
      </c>
      <c r="M51" s="116">
        <f t="shared" si="37"/>
        <v>-4</v>
      </c>
      <c r="N51" s="116">
        <f t="shared" si="37"/>
        <v>-2</v>
      </c>
      <c r="O51" s="116">
        <f t="shared" si="37"/>
        <v>-2</v>
      </c>
      <c r="P51" s="116">
        <f t="shared" si="37"/>
        <v>-2</v>
      </c>
      <c r="Q51" s="116">
        <f t="shared" si="37"/>
        <v>-2</v>
      </c>
      <c r="R51" s="116">
        <f t="shared" si="37"/>
        <v>-2</v>
      </c>
      <c r="S51" s="116">
        <f t="shared" si="37"/>
        <v>-2</v>
      </c>
      <c r="T51" s="116">
        <f t="shared" si="37"/>
        <v>-2</v>
      </c>
      <c r="U51" s="116">
        <f t="shared" si="37"/>
        <v>-2</v>
      </c>
      <c r="V51" s="116">
        <f t="shared" si="37"/>
        <v>-2</v>
      </c>
      <c r="W51" s="116">
        <f t="shared" si="37"/>
        <v>-2</v>
      </c>
      <c r="X51" s="116">
        <f t="shared" si="37"/>
        <v>-2</v>
      </c>
      <c r="Y51" s="116">
        <f t="shared" si="37"/>
        <v>-2</v>
      </c>
      <c r="Z51" s="116">
        <f t="shared" si="37"/>
        <v>-2</v>
      </c>
      <c r="AA51" s="116">
        <f t="shared" si="37"/>
        <v>-2</v>
      </c>
      <c r="AB51" s="116">
        <f t="shared" si="37"/>
        <v>-2</v>
      </c>
      <c r="AC51" s="116">
        <f t="shared" si="37"/>
        <v>0</v>
      </c>
      <c r="AD51" s="116">
        <f t="shared" si="37"/>
        <v>0</v>
      </c>
      <c r="AE51" s="116">
        <f t="shared" si="37"/>
        <v>0</v>
      </c>
      <c r="AF51" s="116">
        <f t="shared" si="37"/>
        <v>0</v>
      </c>
      <c r="AG51" s="116">
        <f t="shared" si="37"/>
        <v>0</v>
      </c>
      <c r="AH51" s="116">
        <f t="shared" si="37"/>
        <v>0</v>
      </c>
      <c r="AI51" s="116">
        <f t="shared" si="37"/>
        <v>0</v>
      </c>
      <c r="AJ51" s="116">
        <f t="shared" si="37"/>
        <v>0</v>
      </c>
      <c r="AK51" s="116">
        <f t="shared" si="37"/>
        <v>0</v>
      </c>
      <c r="AL51" s="116">
        <f t="shared" si="37"/>
        <v>2</v>
      </c>
      <c r="AM51" s="116">
        <f t="shared" si="37"/>
        <v>2</v>
      </c>
      <c r="AN51" s="116">
        <f t="shared" si="37"/>
        <v>2</v>
      </c>
      <c r="AO51" s="116">
        <f t="shared" si="37"/>
        <v>0</v>
      </c>
      <c r="AP51" s="116">
        <f t="shared" si="37"/>
        <v>0</v>
      </c>
      <c r="AQ51" s="116">
        <f t="shared" si="37"/>
        <v>0</v>
      </c>
      <c r="AR51" s="116">
        <f t="shared" si="37"/>
        <v>0</v>
      </c>
      <c r="AS51" s="116">
        <f t="shared" si="37"/>
        <v>0</v>
      </c>
      <c r="AT51" s="116">
        <f t="shared" si="37"/>
        <v>0</v>
      </c>
      <c r="AU51" s="116">
        <f t="shared" si="37"/>
        <v>-2</v>
      </c>
      <c r="AV51" s="116">
        <f t="shared" si="37"/>
        <v>-2</v>
      </c>
      <c r="AW51" s="116">
        <f t="shared" si="37"/>
        <v>-2</v>
      </c>
    </row>
    <row r="52" spans="1:49" ht="25" customHeight="1">
      <c r="A52" s="106" t="s">
        <v>55</v>
      </c>
      <c r="B52" s="116">
        <f t="shared" ref="B52:AW52" si="38">VLOOKUP(ROUND(B26, 0), $AY$3:$AZ$13, 2, FALSE)</f>
        <v>-4</v>
      </c>
      <c r="C52" s="116">
        <f t="shared" si="38"/>
        <v>-4</v>
      </c>
      <c r="D52" s="116">
        <f t="shared" si="38"/>
        <v>-4</v>
      </c>
      <c r="E52" s="116">
        <f t="shared" si="38"/>
        <v>-4</v>
      </c>
      <c r="F52" s="116">
        <f t="shared" si="38"/>
        <v>-4</v>
      </c>
      <c r="G52" s="116">
        <f t="shared" si="38"/>
        <v>-4</v>
      </c>
      <c r="H52" s="116">
        <f t="shared" si="38"/>
        <v>-4</v>
      </c>
      <c r="I52" s="116">
        <f t="shared" si="38"/>
        <v>-4</v>
      </c>
      <c r="J52" s="116">
        <f t="shared" si="38"/>
        <v>-4</v>
      </c>
      <c r="K52" s="116">
        <f t="shared" si="38"/>
        <v>-4</v>
      </c>
      <c r="L52" s="116">
        <f t="shared" si="38"/>
        <v>-4</v>
      </c>
      <c r="M52" s="116">
        <f t="shared" si="38"/>
        <v>-4</v>
      </c>
      <c r="N52" s="116">
        <f t="shared" si="38"/>
        <v>-2</v>
      </c>
      <c r="O52" s="116">
        <f t="shared" si="38"/>
        <v>-2</v>
      </c>
      <c r="P52" s="116">
        <f t="shared" si="38"/>
        <v>-2</v>
      </c>
      <c r="Q52" s="116">
        <f t="shared" si="38"/>
        <v>0</v>
      </c>
      <c r="R52" s="116">
        <f t="shared" si="38"/>
        <v>0</v>
      </c>
      <c r="S52" s="116">
        <f t="shared" si="38"/>
        <v>0</v>
      </c>
      <c r="T52" s="116">
        <f t="shared" si="38"/>
        <v>2</v>
      </c>
      <c r="U52" s="116">
        <f t="shared" si="38"/>
        <v>2</v>
      </c>
      <c r="V52" s="116">
        <f t="shared" si="38"/>
        <v>2</v>
      </c>
      <c r="W52" s="116">
        <f t="shared" si="38"/>
        <v>2</v>
      </c>
      <c r="X52" s="116">
        <f t="shared" si="38"/>
        <v>2</v>
      </c>
      <c r="Y52" s="116">
        <f t="shared" si="38"/>
        <v>2</v>
      </c>
      <c r="Z52" s="116">
        <f t="shared" si="38"/>
        <v>2</v>
      </c>
      <c r="AA52" s="116">
        <f t="shared" si="38"/>
        <v>2</v>
      </c>
      <c r="AB52" s="116">
        <f t="shared" si="38"/>
        <v>2</v>
      </c>
      <c r="AC52" s="116">
        <f t="shared" si="38"/>
        <v>-2</v>
      </c>
      <c r="AD52" s="116">
        <f t="shared" si="38"/>
        <v>-2</v>
      </c>
      <c r="AE52" s="116">
        <f t="shared" si="38"/>
        <v>-2</v>
      </c>
      <c r="AF52" s="116">
        <f t="shared" si="38"/>
        <v>-2</v>
      </c>
      <c r="AG52" s="116">
        <f t="shared" si="38"/>
        <v>-2</v>
      </c>
      <c r="AH52" s="116">
        <f t="shared" si="38"/>
        <v>-2</v>
      </c>
      <c r="AI52" s="116">
        <f t="shared" si="38"/>
        <v>-4</v>
      </c>
      <c r="AJ52" s="116">
        <f t="shared" si="38"/>
        <v>-4</v>
      </c>
      <c r="AK52" s="116">
        <f t="shared" si="38"/>
        <v>-4</v>
      </c>
      <c r="AL52" s="116">
        <f t="shared" si="38"/>
        <v>-4</v>
      </c>
      <c r="AM52" s="116">
        <f t="shared" si="38"/>
        <v>-4</v>
      </c>
      <c r="AN52" s="116">
        <f t="shared" si="38"/>
        <v>-4</v>
      </c>
      <c r="AO52" s="116">
        <f t="shared" si="38"/>
        <v>-2</v>
      </c>
      <c r="AP52" s="116">
        <f t="shared" si="38"/>
        <v>-2</v>
      </c>
      <c r="AQ52" s="116">
        <f t="shared" si="38"/>
        <v>-2</v>
      </c>
      <c r="AR52" s="116">
        <f t="shared" si="38"/>
        <v>0</v>
      </c>
      <c r="AS52" s="116">
        <f t="shared" si="38"/>
        <v>0</v>
      </c>
      <c r="AT52" s="116">
        <f t="shared" si="38"/>
        <v>0</v>
      </c>
      <c r="AU52" s="116">
        <f t="shared" si="38"/>
        <v>2</v>
      </c>
      <c r="AV52" s="116">
        <f t="shared" si="38"/>
        <v>2</v>
      </c>
      <c r="AW52" s="116">
        <f t="shared" si="38"/>
        <v>2</v>
      </c>
    </row>
    <row r="53" spans="1:49" ht="25" customHeight="1">
      <c r="A53" s="106" t="s">
        <v>56</v>
      </c>
      <c r="B53" s="116">
        <f t="shared" ref="B53:AW53" si="39">VLOOKUP(ROUND(B27, 0), $AY$3:$AZ$13, 2, FALSE)</f>
        <v>-4</v>
      </c>
      <c r="C53" s="116">
        <f t="shared" si="39"/>
        <v>-4</v>
      </c>
      <c r="D53" s="116">
        <f t="shared" si="39"/>
        <v>-4</v>
      </c>
      <c r="E53" s="116">
        <f t="shared" si="39"/>
        <v>-6</v>
      </c>
      <c r="F53" s="116">
        <f t="shared" si="39"/>
        <v>-6</v>
      </c>
      <c r="G53" s="116">
        <f t="shared" si="39"/>
        <v>-6</v>
      </c>
      <c r="H53" s="116">
        <f t="shared" si="39"/>
        <v>-2</v>
      </c>
      <c r="I53" s="116">
        <f t="shared" si="39"/>
        <v>-2</v>
      </c>
      <c r="J53" s="116">
        <f t="shared" si="39"/>
        <v>-2</v>
      </c>
      <c r="K53" s="116">
        <f t="shared" si="39"/>
        <v>-4</v>
      </c>
      <c r="L53" s="116">
        <f t="shared" si="39"/>
        <v>-4</v>
      </c>
      <c r="M53" s="116">
        <f t="shared" si="39"/>
        <v>-4</v>
      </c>
      <c r="N53" s="116">
        <f t="shared" si="39"/>
        <v>-2</v>
      </c>
      <c r="O53" s="116">
        <f t="shared" si="39"/>
        <v>-2</v>
      </c>
      <c r="P53" s="116">
        <f t="shared" si="39"/>
        <v>-2</v>
      </c>
      <c r="Q53" s="116">
        <f t="shared" si="39"/>
        <v>2</v>
      </c>
      <c r="R53" s="116">
        <f t="shared" si="39"/>
        <v>2</v>
      </c>
      <c r="S53" s="116">
        <f t="shared" si="39"/>
        <v>2</v>
      </c>
      <c r="T53" s="116">
        <f t="shared" si="39"/>
        <v>6</v>
      </c>
      <c r="U53" s="116">
        <f t="shared" si="39"/>
        <v>6</v>
      </c>
      <c r="V53" s="116">
        <f t="shared" si="39"/>
        <v>6</v>
      </c>
      <c r="W53" s="116">
        <f t="shared" si="39"/>
        <v>8</v>
      </c>
      <c r="X53" s="116">
        <f t="shared" si="39"/>
        <v>8</v>
      </c>
      <c r="Y53" s="116">
        <f t="shared" si="39"/>
        <v>8</v>
      </c>
      <c r="Z53" s="116">
        <f t="shared" si="39"/>
        <v>6</v>
      </c>
      <c r="AA53" s="116">
        <f t="shared" si="39"/>
        <v>6</v>
      </c>
      <c r="AB53" s="116">
        <f t="shared" si="39"/>
        <v>6</v>
      </c>
      <c r="AC53" s="116">
        <f t="shared" si="39"/>
        <v>6</v>
      </c>
      <c r="AD53" s="116">
        <f t="shared" si="39"/>
        <v>6</v>
      </c>
      <c r="AE53" s="116">
        <f t="shared" si="39"/>
        <v>6</v>
      </c>
      <c r="AF53" s="116">
        <f t="shared" si="39"/>
        <v>0</v>
      </c>
      <c r="AG53" s="116">
        <f t="shared" si="39"/>
        <v>0</v>
      </c>
      <c r="AH53" s="116">
        <f t="shared" si="39"/>
        <v>0</v>
      </c>
      <c r="AI53" s="116">
        <f t="shared" si="39"/>
        <v>0</v>
      </c>
      <c r="AJ53" s="116">
        <f t="shared" si="39"/>
        <v>0</v>
      </c>
      <c r="AK53" s="116">
        <f t="shared" si="39"/>
        <v>0</v>
      </c>
      <c r="AL53" s="116">
        <f t="shared" si="39"/>
        <v>-2</v>
      </c>
      <c r="AM53" s="116">
        <f t="shared" si="39"/>
        <v>-2</v>
      </c>
      <c r="AN53" s="116">
        <f t="shared" si="39"/>
        <v>-2</v>
      </c>
      <c r="AO53" s="116">
        <f t="shared" si="39"/>
        <v>-2</v>
      </c>
      <c r="AP53" s="116">
        <f t="shared" si="39"/>
        <v>-2</v>
      </c>
      <c r="AQ53" s="116">
        <f t="shared" si="39"/>
        <v>-2</v>
      </c>
      <c r="AR53" s="116">
        <f t="shared" si="39"/>
        <v>0</v>
      </c>
      <c r="AS53" s="116">
        <f t="shared" si="39"/>
        <v>0</v>
      </c>
      <c r="AT53" s="116">
        <f t="shared" si="39"/>
        <v>0</v>
      </c>
      <c r="AU53" s="116">
        <f t="shared" si="39"/>
        <v>-2</v>
      </c>
      <c r="AV53" s="116">
        <f t="shared" si="39"/>
        <v>-2</v>
      </c>
      <c r="AW53" s="116">
        <f t="shared" si="39"/>
        <v>-2</v>
      </c>
    </row>
    <row r="54" spans="1:49" ht="25" customHeight="1">
      <c r="A54" s="109" t="s">
        <v>57</v>
      </c>
      <c r="B54" s="116">
        <f t="shared" ref="B54:AW54" si="40">VLOOKUP(ROUND(B28, 0), $AY$3:$AZ$13, 2, FALSE)</f>
        <v>0</v>
      </c>
      <c r="C54" s="116">
        <f t="shared" si="40"/>
        <v>0</v>
      </c>
      <c r="D54" s="116">
        <f t="shared" si="40"/>
        <v>0</v>
      </c>
      <c r="E54" s="116">
        <f t="shared" si="40"/>
        <v>0</v>
      </c>
      <c r="F54" s="116">
        <f t="shared" si="40"/>
        <v>0</v>
      </c>
      <c r="G54" s="116">
        <f t="shared" si="40"/>
        <v>0</v>
      </c>
      <c r="H54" s="116">
        <f t="shared" si="40"/>
        <v>2</v>
      </c>
      <c r="I54" s="116">
        <f t="shared" si="40"/>
        <v>2</v>
      </c>
      <c r="J54" s="116">
        <f t="shared" si="40"/>
        <v>2</v>
      </c>
      <c r="K54" s="116">
        <f t="shared" si="40"/>
        <v>2</v>
      </c>
      <c r="L54" s="116">
        <f t="shared" si="40"/>
        <v>2</v>
      </c>
      <c r="M54" s="116">
        <f t="shared" si="40"/>
        <v>2</v>
      </c>
      <c r="N54" s="116">
        <f t="shared" si="40"/>
        <v>2</v>
      </c>
      <c r="O54" s="116">
        <f t="shared" si="40"/>
        <v>2</v>
      </c>
      <c r="P54" s="116">
        <f t="shared" si="40"/>
        <v>2</v>
      </c>
      <c r="Q54" s="116">
        <f t="shared" si="40"/>
        <v>6</v>
      </c>
      <c r="R54" s="116">
        <f t="shared" si="40"/>
        <v>6</v>
      </c>
      <c r="S54" s="116">
        <f t="shared" si="40"/>
        <v>6</v>
      </c>
      <c r="T54" s="116">
        <f t="shared" si="40"/>
        <v>2</v>
      </c>
      <c r="U54" s="116">
        <f t="shared" si="40"/>
        <v>2</v>
      </c>
      <c r="V54" s="116">
        <f t="shared" si="40"/>
        <v>2</v>
      </c>
      <c r="W54" s="116">
        <f t="shared" si="40"/>
        <v>2</v>
      </c>
      <c r="X54" s="116">
        <f t="shared" si="40"/>
        <v>2</v>
      </c>
      <c r="Y54" s="116">
        <f t="shared" si="40"/>
        <v>2</v>
      </c>
      <c r="Z54" s="116">
        <f t="shared" si="40"/>
        <v>2</v>
      </c>
      <c r="AA54" s="116">
        <f t="shared" si="40"/>
        <v>2</v>
      </c>
      <c r="AB54" s="116">
        <f t="shared" si="40"/>
        <v>2</v>
      </c>
      <c r="AC54" s="116">
        <f t="shared" si="40"/>
        <v>0</v>
      </c>
      <c r="AD54" s="116">
        <f t="shared" si="40"/>
        <v>0</v>
      </c>
      <c r="AE54" s="116">
        <f t="shared" si="40"/>
        <v>0</v>
      </c>
      <c r="AF54" s="116">
        <f t="shared" si="40"/>
        <v>0</v>
      </c>
      <c r="AG54" s="116">
        <f t="shared" si="40"/>
        <v>0</v>
      </c>
      <c r="AH54" s="116">
        <f t="shared" si="40"/>
        <v>0</v>
      </c>
      <c r="AI54" s="116">
        <f t="shared" si="40"/>
        <v>2</v>
      </c>
      <c r="AJ54" s="116">
        <f t="shared" si="40"/>
        <v>2</v>
      </c>
      <c r="AK54" s="116">
        <f t="shared" si="40"/>
        <v>2</v>
      </c>
      <c r="AL54" s="116">
        <f t="shared" si="40"/>
        <v>0</v>
      </c>
      <c r="AM54" s="116">
        <f t="shared" si="40"/>
        <v>0</v>
      </c>
      <c r="AN54" s="116">
        <f t="shared" si="40"/>
        <v>0</v>
      </c>
      <c r="AO54" s="116">
        <f t="shared" si="40"/>
        <v>4</v>
      </c>
      <c r="AP54" s="116">
        <f t="shared" si="40"/>
        <v>4</v>
      </c>
      <c r="AQ54" s="116">
        <f t="shared" si="40"/>
        <v>4</v>
      </c>
      <c r="AR54" s="116">
        <f t="shared" si="40"/>
        <v>0</v>
      </c>
      <c r="AS54" s="116">
        <f t="shared" si="40"/>
        <v>0</v>
      </c>
      <c r="AT54" s="116">
        <f t="shared" si="40"/>
        <v>0</v>
      </c>
      <c r="AU54" s="116">
        <f t="shared" si="40"/>
        <v>0</v>
      </c>
      <c r="AV54" s="116">
        <f t="shared" si="40"/>
        <v>0</v>
      </c>
      <c r="AW54" s="116">
        <f t="shared" si="40"/>
        <v>0</v>
      </c>
    </row>
    <row r="55" spans="1:49" ht="25" customHeight="1">
      <c r="A55" s="111" t="s">
        <v>10</v>
      </c>
      <c r="B55" s="116">
        <f t="shared" ref="B55:AW55" si="41">VLOOKUP(ROUND(B29, 0), $AY$3:$AZ$13, 2, FALSE)</f>
        <v>2</v>
      </c>
      <c r="C55" s="116">
        <f t="shared" si="41"/>
        <v>2</v>
      </c>
      <c r="D55" s="116">
        <f t="shared" si="41"/>
        <v>2</v>
      </c>
      <c r="E55" s="116">
        <f t="shared" si="41"/>
        <v>-2</v>
      </c>
      <c r="F55" s="116">
        <f t="shared" si="41"/>
        <v>-2</v>
      </c>
      <c r="G55" s="116">
        <f t="shared" si="41"/>
        <v>-2</v>
      </c>
      <c r="H55" s="116">
        <f t="shared" si="41"/>
        <v>-2</v>
      </c>
      <c r="I55" s="116">
        <f t="shared" si="41"/>
        <v>-2</v>
      </c>
      <c r="J55" s="116">
        <f t="shared" si="41"/>
        <v>-2</v>
      </c>
      <c r="K55" s="116">
        <f t="shared" si="41"/>
        <v>-4</v>
      </c>
      <c r="L55" s="116">
        <f t="shared" si="41"/>
        <v>-4</v>
      </c>
      <c r="M55" s="116">
        <f t="shared" si="41"/>
        <v>-4</v>
      </c>
      <c r="N55" s="116">
        <f t="shared" si="41"/>
        <v>-4</v>
      </c>
      <c r="O55" s="116">
        <f t="shared" si="41"/>
        <v>-4</v>
      </c>
      <c r="P55" s="116">
        <f t="shared" si="41"/>
        <v>-4</v>
      </c>
      <c r="Q55" s="116">
        <f t="shared" si="41"/>
        <v>-4</v>
      </c>
      <c r="R55" s="116">
        <f t="shared" si="41"/>
        <v>-4</v>
      </c>
      <c r="S55" s="116">
        <f t="shared" si="41"/>
        <v>-4</v>
      </c>
      <c r="T55" s="116">
        <f t="shared" si="41"/>
        <v>-4</v>
      </c>
      <c r="U55" s="116">
        <f t="shared" si="41"/>
        <v>-4</v>
      </c>
      <c r="V55" s="116">
        <f t="shared" si="41"/>
        <v>-4</v>
      </c>
      <c r="W55" s="116">
        <f t="shared" si="41"/>
        <v>-2</v>
      </c>
      <c r="X55" s="116">
        <f t="shared" si="41"/>
        <v>-2</v>
      </c>
      <c r="Y55" s="116">
        <f t="shared" si="41"/>
        <v>-2</v>
      </c>
      <c r="Z55" s="116">
        <f t="shared" si="41"/>
        <v>-2</v>
      </c>
      <c r="AA55" s="116">
        <f t="shared" si="41"/>
        <v>-2</v>
      </c>
      <c r="AB55" s="116">
        <f t="shared" si="41"/>
        <v>-2</v>
      </c>
      <c r="AC55" s="116">
        <f t="shared" si="41"/>
        <v>0</v>
      </c>
      <c r="AD55" s="116">
        <f t="shared" si="41"/>
        <v>0</v>
      </c>
      <c r="AE55" s="116">
        <f t="shared" si="41"/>
        <v>0</v>
      </c>
      <c r="AF55" s="116">
        <f t="shared" si="41"/>
        <v>0</v>
      </c>
      <c r="AG55" s="116">
        <f t="shared" si="41"/>
        <v>0</v>
      </c>
      <c r="AH55" s="116">
        <f t="shared" si="41"/>
        <v>0</v>
      </c>
      <c r="AI55" s="116">
        <f t="shared" si="41"/>
        <v>2</v>
      </c>
      <c r="AJ55" s="116">
        <f t="shared" si="41"/>
        <v>2</v>
      </c>
      <c r="AK55" s="116">
        <f t="shared" si="41"/>
        <v>2</v>
      </c>
      <c r="AL55" s="116">
        <f t="shared" si="41"/>
        <v>0</v>
      </c>
      <c r="AM55" s="116">
        <f t="shared" si="41"/>
        <v>0</v>
      </c>
      <c r="AN55" s="116">
        <f t="shared" si="41"/>
        <v>0</v>
      </c>
      <c r="AO55" s="116">
        <f t="shared" si="41"/>
        <v>0</v>
      </c>
      <c r="AP55" s="116">
        <f t="shared" si="41"/>
        <v>0</v>
      </c>
      <c r="AQ55" s="116">
        <f t="shared" si="41"/>
        <v>0</v>
      </c>
      <c r="AR55" s="116">
        <f t="shared" si="41"/>
        <v>0</v>
      </c>
      <c r="AS55" s="116">
        <f t="shared" si="41"/>
        <v>0</v>
      </c>
      <c r="AT55" s="116">
        <f t="shared" si="41"/>
        <v>0</v>
      </c>
      <c r="AU55" s="116">
        <f t="shared" si="41"/>
        <v>-2</v>
      </c>
      <c r="AV55" s="116">
        <f t="shared" si="41"/>
        <v>-2</v>
      </c>
      <c r="AW55" s="116">
        <f t="shared" si="41"/>
        <v>-2</v>
      </c>
    </row>
    <row r="56" spans="1:49" ht="25" customHeight="1">
      <c r="A56" s="111" t="s">
        <v>58</v>
      </c>
      <c r="B56" s="116">
        <f t="shared" ref="B56:AW56" si="42">VLOOKUP(ROUND(B30, 0), $AY$3:$AZ$13, 2, FALSE)</f>
        <v>2</v>
      </c>
      <c r="C56" s="116">
        <f t="shared" si="42"/>
        <v>2</v>
      </c>
      <c r="D56" s="116">
        <f t="shared" si="42"/>
        <v>2</v>
      </c>
      <c r="E56" s="116">
        <f t="shared" si="42"/>
        <v>2</v>
      </c>
      <c r="F56" s="116">
        <f t="shared" si="42"/>
        <v>2</v>
      </c>
      <c r="G56" s="116">
        <f t="shared" si="42"/>
        <v>2</v>
      </c>
      <c r="H56" s="116">
        <f t="shared" si="42"/>
        <v>2</v>
      </c>
      <c r="I56" s="116">
        <f t="shared" si="42"/>
        <v>2</v>
      </c>
      <c r="J56" s="116">
        <f t="shared" si="42"/>
        <v>2</v>
      </c>
      <c r="K56" s="116">
        <f t="shared" si="42"/>
        <v>0</v>
      </c>
      <c r="L56" s="116">
        <f t="shared" si="42"/>
        <v>0</v>
      </c>
      <c r="M56" s="116">
        <f t="shared" si="42"/>
        <v>0</v>
      </c>
      <c r="N56" s="116">
        <f t="shared" si="42"/>
        <v>2</v>
      </c>
      <c r="O56" s="116">
        <f t="shared" si="42"/>
        <v>2</v>
      </c>
      <c r="P56" s="116">
        <f t="shared" si="42"/>
        <v>2</v>
      </c>
      <c r="Q56" s="116">
        <f t="shared" si="42"/>
        <v>-2</v>
      </c>
      <c r="R56" s="116">
        <f t="shared" si="42"/>
        <v>-2</v>
      </c>
      <c r="S56" s="116">
        <f t="shared" si="42"/>
        <v>-2</v>
      </c>
      <c r="T56" s="116">
        <f t="shared" si="42"/>
        <v>-2</v>
      </c>
      <c r="U56" s="116">
        <f t="shared" si="42"/>
        <v>-2</v>
      </c>
      <c r="V56" s="116">
        <f t="shared" si="42"/>
        <v>-2</v>
      </c>
      <c r="W56" s="116">
        <f t="shared" si="42"/>
        <v>0</v>
      </c>
      <c r="X56" s="116">
        <f t="shared" si="42"/>
        <v>0</v>
      </c>
      <c r="Y56" s="116">
        <f t="shared" si="42"/>
        <v>0</v>
      </c>
      <c r="Z56" s="116">
        <f t="shared" si="42"/>
        <v>-2</v>
      </c>
      <c r="AA56" s="116">
        <f t="shared" si="42"/>
        <v>-2</v>
      </c>
      <c r="AB56" s="116">
        <f t="shared" si="42"/>
        <v>-2</v>
      </c>
      <c r="AC56" s="116">
        <f t="shared" si="42"/>
        <v>0</v>
      </c>
      <c r="AD56" s="116">
        <f t="shared" si="42"/>
        <v>0</v>
      </c>
      <c r="AE56" s="116">
        <f t="shared" si="42"/>
        <v>0</v>
      </c>
      <c r="AF56" s="116">
        <f t="shared" si="42"/>
        <v>2</v>
      </c>
      <c r="AG56" s="116">
        <f t="shared" si="42"/>
        <v>2</v>
      </c>
      <c r="AH56" s="116">
        <f t="shared" si="42"/>
        <v>2</v>
      </c>
      <c r="AI56" s="116">
        <f t="shared" si="42"/>
        <v>4</v>
      </c>
      <c r="AJ56" s="116">
        <f t="shared" si="42"/>
        <v>4</v>
      </c>
      <c r="AK56" s="116">
        <f t="shared" si="42"/>
        <v>4</v>
      </c>
      <c r="AL56" s="116">
        <f t="shared" si="42"/>
        <v>4</v>
      </c>
      <c r="AM56" s="116">
        <f t="shared" si="42"/>
        <v>4</v>
      </c>
      <c r="AN56" s="116">
        <f t="shared" si="42"/>
        <v>4</v>
      </c>
      <c r="AO56" s="116">
        <f t="shared" si="42"/>
        <v>0</v>
      </c>
      <c r="AP56" s="116">
        <f t="shared" si="42"/>
        <v>0</v>
      </c>
      <c r="AQ56" s="116">
        <f t="shared" si="42"/>
        <v>0</v>
      </c>
      <c r="AR56" s="116">
        <f t="shared" si="42"/>
        <v>2</v>
      </c>
      <c r="AS56" s="116">
        <f t="shared" si="42"/>
        <v>2</v>
      </c>
      <c r="AT56" s="116">
        <f t="shared" si="42"/>
        <v>2</v>
      </c>
      <c r="AU56" s="116">
        <f t="shared" si="42"/>
        <v>0</v>
      </c>
      <c r="AV56" s="116">
        <f t="shared" si="42"/>
        <v>0</v>
      </c>
      <c r="AW56" s="116">
        <f t="shared" si="42"/>
        <v>0</v>
      </c>
    </row>
    <row r="57" spans="1:49" ht="25" customHeight="1">
      <c r="A57" s="111" t="s">
        <v>18</v>
      </c>
      <c r="B57" s="116">
        <f t="shared" ref="B57:AW57" si="43">VLOOKUP(ROUND(B31, 0), $AY$3:$AZ$13, 2, FALSE)</f>
        <v>2</v>
      </c>
      <c r="C57" s="116">
        <f t="shared" si="43"/>
        <v>2</v>
      </c>
      <c r="D57" s="116">
        <f t="shared" si="43"/>
        <v>2</v>
      </c>
      <c r="E57" s="116">
        <f t="shared" si="43"/>
        <v>2</v>
      </c>
      <c r="F57" s="116">
        <f t="shared" si="43"/>
        <v>2</v>
      </c>
      <c r="G57" s="116">
        <f t="shared" si="43"/>
        <v>2</v>
      </c>
      <c r="H57" s="116">
        <f t="shared" si="43"/>
        <v>4</v>
      </c>
      <c r="I57" s="116">
        <f t="shared" si="43"/>
        <v>4</v>
      </c>
      <c r="J57" s="116">
        <f t="shared" si="43"/>
        <v>4</v>
      </c>
      <c r="K57" s="116">
        <f t="shared" si="43"/>
        <v>2</v>
      </c>
      <c r="L57" s="116">
        <f t="shared" si="43"/>
        <v>2</v>
      </c>
      <c r="M57" s="116">
        <f t="shared" si="43"/>
        <v>2</v>
      </c>
      <c r="N57" s="116">
        <f t="shared" si="43"/>
        <v>4</v>
      </c>
      <c r="O57" s="116">
        <f t="shared" si="43"/>
        <v>4</v>
      </c>
      <c r="P57" s="116">
        <f t="shared" si="43"/>
        <v>4</v>
      </c>
      <c r="Q57" s="116">
        <f t="shared" si="43"/>
        <v>4</v>
      </c>
      <c r="R57" s="116">
        <f t="shared" si="43"/>
        <v>4</v>
      </c>
      <c r="S57" s="116">
        <f t="shared" si="43"/>
        <v>4</v>
      </c>
      <c r="T57" s="116">
        <f t="shared" si="43"/>
        <v>0</v>
      </c>
      <c r="U57" s="116">
        <f t="shared" si="43"/>
        <v>0</v>
      </c>
      <c r="V57" s="116">
        <f t="shared" si="43"/>
        <v>0</v>
      </c>
      <c r="W57" s="116">
        <f t="shared" si="43"/>
        <v>2</v>
      </c>
      <c r="X57" s="116">
        <f t="shared" si="43"/>
        <v>2</v>
      </c>
      <c r="Y57" s="116">
        <f t="shared" si="43"/>
        <v>2</v>
      </c>
      <c r="Z57" s="116">
        <f t="shared" si="43"/>
        <v>0</v>
      </c>
      <c r="AA57" s="116">
        <f t="shared" si="43"/>
        <v>0</v>
      </c>
      <c r="AB57" s="116">
        <f t="shared" si="43"/>
        <v>0</v>
      </c>
      <c r="AC57" s="116">
        <f t="shared" si="43"/>
        <v>0</v>
      </c>
      <c r="AD57" s="116">
        <f t="shared" si="43"/>
        <v>0</v>
      </c>
      <c r="AE57" s="116">
        <f t="shared" si="43"/>
        <v>0</v>
      </c>
      <c r="AF57" s="116">
        <f t="shared" si="43"/>
        <v>4</v>
      </c>
      <c r="AG57" s="116">
        <f t="shared" si="43"/>
        <v>4</v>
      </c>
      <c r="AH57" s="116">
        <f t="shared" si="43"/>
        <v>4</v>
      </c>
      <c r="AI57" s="116">
        <f t="shared" si="43"/>
        <v>4</v>
      </c>
      <c r="AJ57" s="116">
        <f t="shared" si="43"/>
        <v>4</v>
      </c>
      <c r="AK57" s="116">
        <f t="shared" si="43"/>
        <v>4</v>
      </c>
      <c r="AL57" s="116">
        <f t="shared" si="43"/>
        <v>4</v>
      </c>
      <c r="AM57" s="116">
        <f t="shared" si="43"/>
        <v>4</v>
      </c>
      <c r="AN57" s="116">
        <f t="shared" si="43"/>
        <v>4</v>
      </c>
      <c r="AO57" s="116">
        <f t="shared" si="43"/>
        <v>2</v>
      </c>
      <c r="AP57" s="116">
        <f t="shared" si="43"/>
        <v>2</v>
      </c>
      <c r="AQ57" s="116">
        <f t="shared" si="43"/>
        <v>2</v>
      </c>
      <c r="AR57" s="116">
        <f t="shared" si="43"/>
        <v>2</v>
      </c>
      <c r="AS57" s="116">
        <f t="shared" si="43"/>
        <v>2</v>
      </c>
      <c r="AT57" s="116">
        <f t="shared" si="43"/>
        <v>2</v>
      </c>
      <c r="AU57" s="116">
        <f t="shared" si="43"/>
        <v>0</v>
      </c>
      <c r="AV57" s="116">
        <f t="shared" si="43"/>
        <v>0</v>
      </c>
      <c r="AW57" s="116">
        <f t="shared" si="43"/>
        <v>0</v>
      </c>
    </row>
    <row r="58" spans="1:49" ht="25" customHeight="1">
      <c r="A58" s="111" t="s">
        <v>59</v>
      </c>
      <c r="B58" s="116">
        <f t="shared" ref="B58:AW58" si="44">VLOOKUP(ROUND(B32, 0), $AY$3:$AZ$13, 2, FALSE)</f>
        <v>0</v>
      </c>
      <c r="C58" s="116">
        <f t="shared" si="44"/>
        <v>0</v>
      </c>
      <c r="D58" s="116">
        <f t="shared" si="44"/>
        <v>0</v>
      </c>
      <c r="E58" s="116">
        <f t="shared" si="44"/>
        <v>-2</v>
      </c>
      <c r="F58" s="116">
        <f t="shared" si="44"/>
        <v>-2</v>
      </c>
      <c r="G58" s="116">
        <f t="shared" si="44"/>
        <v>-2</v>
      </c>
      <c r="H58" s="116">
        <f t="shared" si="44"/>
        <v>2</v>
      </c>
      <c r="I58" s="116">
        <f t="shared" si="44"/>
        <v>2</v>
      </c>
      <c r="J58" s="116">
        <f t="shared" si="44"/>
        <v>2</v>
      </c>
      <c r="K58" s="116">
        <f t="shared" si="44"/>
        <v>0</v>
      </c>
      <c r="L58" s="116">
        <f t="shared" si="44"/>
        <v>0</v>
      </c>
      <c r="M58" s="116">
        <f t="shared" si="44"/>
        <v>0</v>
      </c>
      <c r="N58" s="116">
        <f t="shared" si="44"/>
        <v>-2</v>
      </c>
      <c r="O58" s="116">
        <f t="shared" si="44"/>
        <v>-2</v>
      </c>
      <c r="P58" s="116">
        <f t="shared" si="44"/>
        <v>-2</v>
      </c>
      <c r="Q58" s="116">
        <f t="shared" si="44"/>
        <v>2</v>
      </c>
      <c r="R58" s="116">
        <f t="shared" si="44"/>
        <v>2</v>
      </c>
      <c r="S58" s="116">
        <f t="shared" si="44"/>
        <v>2</v>
      </c>
      <c r="T58" s="116">
        <f t="shared" si="44"/>
        <v>4</v>
      </c>
      <c r="U58" s="116">
        <f t="shared" si="44"/>
        <v>4</v>
      </c>
      <c r="V58" s="116">
        <f t="shared" si="44"/>
        <v>4</v>
      </c>
      <c r="W58" s="116">
        <f t="shared" si="44"/>
        <v>6</v>
      </c>
      <c r="X58" s="116">
        <f t="shared" si="44"/>
        <v>6</v>
      </c>
      <c r="Y58" s="116">
        <f t="shared" si="44"/>
        <v>6</v>
      </c>
      <c r="Z58" s="116">
        <f t="shared" si="44"/>
        <v>4</v>
      </c>
      <c r="AA58" s="116">
        <f t="shared" si="44"/>
        <v>4</v>
      </c>
      <c r="AB58" s="116">
        <f t="shared" si="44"/>
        <v>4</v>
      </c>
      <c r="AC58" s="116">
        <f t="shared" si="44"/>
        <v>6</v>
      </c>
      <c r="AD58" s="116">
        <f t="shared" si="44"/>
        <v>6</v>
      </c>
      <c r="AE58" s="116">
        <f t="shared" si="44"/>
        <v>6</v>
      </c>
      <c r="AF58" s="116">
        <f t="shared" si="44"/>
        <v>2</v>
      </c>
      <c r="AG58" s="116">
        <f t="shared" si="44"/>
        <v>2</v>
      </c>
      <c r="AH58" s="116">
        <f t="shared" si="44"/>
        <v>2</v>
      </c>
      <c r="AI58" s="116">
        <f t="shared" si="44"/>
        <v>2</v>
      </c>
      <c r="AJ58" s="116">
        <f t="shared" si="44"/>
        <v>2</v>
      </c>
      <c r="AK58" s="116">
        <f t="shared" si="44"/>
        <v>2</v>
      </c>
      <c r="AL58" s="116">
        <f t="shared" si="44"/>
        <v>2</v>
      </c>
      <c r="AM58" s="116">
        <f t="shared" si="44"/>
        <v>2</v>
      </c>
      <c r="AN58" s="116">
        <f t="shared" si="44"/>
        <v>2</v>
      </c>
      <c r="AO58" s="116">
        <f t="shared" si="44"/>
        <v>0</v>
      </c>
      <c r="AP58" s="116">
        <f t="shared" si="44"/>
        <v>0</v>
      </c>
      <c r="AQ58" s="116">
        <f t="shared" si="44"/>
        <v>0</v>
      </c>
      <c r="AR58" s="116">
        <f t="shared" si="44"/>
        <v>0</v>
      </c>
      <c r="AS58" s="116">
        <f t="shared" si="44"/>
        <v>0</v>
      </c>
      <c r="AT58" s="116">
        <f t="shared" si="44"/>
        <v>0</v>
      </c>
      <c r="AU58" s="116">
        <f t="shared" si="44"/>
        <v>-2</v>
      </c>
      <c r="AV58" s="116">
        <f t="shared" si="44"/>
        <v>-2</v>
      </c>
      <c r="AW58" s="116">
        <f t="shared" si="44"/>
        <v>-2</v>
      </c>
    </row>
    <row r="59" spans="1:49" ht="25" customHeight="1">
      <c r="A59" s="111" t="s">
        <v>20</v>
      </c>
      <c r="B59" s="116">
        <f t="shared" ref="B59:AW59" si="45">VLOOKUP(ROUND(B33, 0), $AY$3:$AZ$13, 2, FALSE)</f>
        <v>0</v>
      </c>
      <c r="C59" s="116">
        <f t="shared" si="45"/>
        <v>0</v>
      </c>
      <c r="D59" s="116">
        <f t="shared" si="45"/>
        <v>0</v>
      </c>
      <c r="E59" s="116">
        <f t="shared" si="45"/>
        <v>0</v>
      </c>
      <c r="F59" s="116">
        <f t="shared" si="45"/>
        <v>0</v>
      </c>
      <c r="G59" s="116">
        <f t="shared" si="45"/>
        <v>0</v>
      </c>
      <c r="H59" s="116">
        <f t="shared" si="45"/>
        <v>2</v>
      </c>
      <c r="I59" s="116">
        <f t="shared" si="45"/>
        <v>2</v>
      </c>
      <c r="J59" s="116">
        <f t="shared" si="45"/>
        <v>2</v>
      </c>
      <c r="K59" s="116">
        <f t="shared" si="45"/>
        <v>0</v>
      </c>
      <c r="L59" s="116">
        <f t="shared" si="45"/>
        <v>0</v>
      </c>
      <c r="M59" s="116">
        <f t="shared" si="45"/>
        <v>0</v>
      </c>
      <c r="N59" s="116">
        <f t="shared" si="45"/>
        <v>0</v>
      </c>
      <c r="O59" s="116">
        <f t="shared" si="45"/>
        <v>0</v>
      </c>
      <c r="P59" s="116">
        <f t="shared" si="45"/>
        <v>0</v>
      </c>
      <c r="Q59" s="116">
        <f t="shared" si="45"/>
        <v>-2</v>
      </c>
      <c r="R59" s="116">
        <f t="shared" si="45"/>
        <v>-2</v>
      </c>
      <c r="S59" s="116">
        <f t="shared" si="45"/>
        <v>-2</v>
      </c>
      <c r="T59" s="116">
        <f t="shared" si="45"/>
        <v>-4</v>
      </c>
      <c r="U59" s="116">
        <f t="shared" si="45"/>
        <v>-4</v>
      </c>
      <c r="V59" s="116">
        <f t="shared" si="45"/>
        <v>-4</v>
      </c>
      <c r="W59" s="116">
        <f t="shared" si="45"/>
        <v>-4</v>
      </c>
      <c r="X59" s="116">
        <f t="shared" si="45"/>
        <v>-4</v>
      </c>
      <c r="Y59" s="116">
        <f t="shared" si="45"/>
        <v>-4</v>
      </c>
      <c r="Z59" s="116">
        <f t="shared" si="45"/>
        <v>-4</v>
      </c>
      <c r="AA59" s="116">
        <f t="shared" si="45"/>
        <v>-4</v>
      </c>
      <c r="AB59" s="116">
        <f t="shared" si="45"/>
        <v>-4</v>
      </c>
      <c r="AC59" s="116">
        <f t="shared" si="45"/>
        <v>0</v>
      </c>
      <c r="AD59" s="116">
        <f t="shared" si="45"/>
        <v>0</v>
      </c>
      <c r="AE59" s="116">
        <f t="shared" si="45"/>
        <v>0</v>
      </c>
      <c r="AF59" s="116">
        <f t="shared" si="45"/>
        <v>2</v>
      </c>
      <c r="AG59" s="116">
        <f t="shared" si="45"/>
        <v>2</v>
      </c>
      <c r="AH59" s="116">
        <f t="shared" si="45"/>
        <v>2</v>
      </c>
      <c r="AI59" s="116">
        <f t="shared" si="45"/>
        <v>4</v>
      </c>
      <c r="AJ59" s="116">
        <f t="shared" si="45"/>
        <v>4</v>
      </c>
      <c r="AK59" s="116">
        <f t="shared" si="45"/>
        <v>4</v>
      </c>
      <c r="AL59" s="116">
        <f t="shared" si="45"/>
        <v>4</v>
      </c>
      <c r="AM59" s="116">
        <f t="shared" si="45"/>
        <v>4</v>
      </c>
      <c r="AN59" s="116">
        <f t="shared" si="45"/>
        <v>4</v>
      </c>
      <c r="AO59" s="116">
        <f t="shared" si="45"/>
        <v>2</v>
      </c>
      <c r="AP59" s="116">
        <f t="shared" si="45"/>
        <v>2</v>
      </c>
      <c r="AQ59" s="116">
        <f t="shared" si="45"/>
        <v>2</v>
      </c>
      <c r="AR59" s="116">
        <f t="shared" si="45"/>
        <v>0</v>
      </c>
      <c r="AS59" s="116">
        <f t="shared" si="45"/>
        <v>0</v>
      </c>
      <c r="AT59" s="116">
        <f t="shared" si="45"/>
        <v>0</v>
      </c>
      <c r="AU59" s="116">
        <f t="shared" si="45"/>
        <v>-2</v>
      </c>
      <c r="AV59" s="116">
        <f t="shared" si="45"/>
        <v>-2</v>
      </c>
      <c r="AW59" s="116">
        <f t="shared" si="45"/>
        <v>-2</v>
      </c>
    </row>
    <row r="60" spans="1:49" ht="25" customHeight="1">
      <c r="A60" s="113" t="s">
        <v>19</v>
      </c>
      <c r="B60" s="116">
        <f t="shared" ref="B60:AW60" si="46">VLOOKUP(ROUND(B34, 0), $AY$3:$AZ$13, 2, FALSE)</f>
        <v>2</v>
      </c>
      <c r="C60" s="116">
        <f t="shared" si="46"/>
        <v>2</v>
      </c>
      <c r="D60" s="116">
        <f t="shared" si="46"/>
        <v>2</v>
      </c>
      <c r="E60" s="116">
        <f t="shared" si="46"/>
        <v>2</v>
      </c>
      <c r="F60" s="116">
        <f t="shared" si="46"/>
        <v>2</v>
      </c>
      <c r="G60" s="116">
        <f t="shared" si="46"/>
        <v>2</v>
      </c>
      <c r="H60" s="116">
        <f t="shared" si="46"/>
        <v>2</v>
      </c>
      <c r="I60" s="116">
        <f t="shared" si="46"/>
        <v>2</v>
      </c>
      <c r="J60" s="116">
        <f t="shared" si="46"/>
        <v>2</v>
      </c>
      <c r="K60" s="116">
        <f t="shared" si="46"/>
        <v>2</v>
      </c>
      <c r="L60" s="116">
        <f t="shared" si="46"/>
        <v>2</v>
      </c>
      <c r="M60" s="116">
        <f t="shared" si="46"/>
        <v>2</v>
      </c>
      <c r="N60" s="116">
        <f t="shared" si="46"/>
        <v>4</v>
      </c>
      <c r="O60" s="116">
        <f t="shared" si="46"/>
        <v>4</v>
      </c>
      <c r="P60" s="116">
        <f t="shared" si="46"/>
        <v>4</v>
      </c>
      <c r="Q60" s="116">
        <f t="shared" si="46"/>
        <v>6</v>
      </c>
      <c r="R60" s="116">
        <f t="shared" si="46"/>
        <v>6</v>
      </c>
      <c r="S60" s="116">
        <f t="shared" si="46"/>
        <v>6</v>
      </c>
      <c r="T60" s="116">
        <f t="shared" si="46"/>
        <v>4</v>
      </c>
      <c r="U60" s="116">
        <f t="shared" si="46"/>
        <v>4</v>
      </c>
      <c r="V60" s="116">
        <f t="shared" si="46"/>
        <v>4</v>
      </c>
      <c r="W60" s="116">
        <f t="shared" si="46"/>
        <v>6</v>
      </c>
      <c r="X60" s="116">
        <f t="shared" si="46"/>
        <v>6</v>
      </c>
      <c r="Y60" s="116">
        <f t="shared" si="46"/>
        <v>6</v>
      </c>
      <c r="Z60" s="116">
        <f t="shared" si="46"/>
        <v>2</v>
      </c>
      <c r="AA60" s="116">
        <f t="shared" si="46"/>
        <v>2</v>
      </c>
      <c r="AB60" s="116">
        <f t="shared" si="46"/>
        <v>2</v>
      </c>
      <c r="AC60" s="116">
        <f t="shared" si="46"/>
        <v>0</v>
      </c>
      <c r="AD60" s="116">
        <f t="shared" si="46"/>
        <v>0</v>
      </c>
      <c r="AE60" s="116">
        <f t="shared" si="46"/>
        <v>0</v>
      </c>
      <c r="AF60" s="116">
        <f t="shared" si="46"/>
        <v>2</v>
      </c>
      <c r="AG60" s="116">
        <f t="shared" si="46"/>
        <v>2</v>
      </c>
      <c r="AH60" s="116">
        <f t="shared" si="46"/>
        <v>2</v>
      </c>
      <c r="AI60" s="116">
        <f t="shared" si="46"/>
        <v>2</v>
      </c>
      <c r="AJ60" s="116">
        <f t="shared" si="46"/>
        <v>2</v>
      </c>
      <c r="AK60" s="116">
        <f t="shared" si="46"/>
        <v>2</v>
      </c>
      <c r="AL60" s="116">
        <f t="shared" si="46"/>
        <v>-2</v>
      </c>
      <c r="AM60" s="116">
        <f t="shared" si="46"/>
        <v>-2</v>
      </c>
      <c r="AN60" s="116">
        <f t="shared" si="46"/>
        <v>-2</v>
      </c>
      <c r="AO60" s="116">
        <f t="shared" si="46"/>
        <v>0</v>
      </c>
      <c r="AP60" s="116">
        <f t="shared" si="46"/>
        <v>0</v>
      </c>
      <c r="AQ60" s="116">
        <f t="shared" si="46"/>
        <v>0</v>
      </c>
      <c r="AR60" s="116">
        <f t="shared" si="46"/>
        <v>0</v>
      </c>
      <c r="AS60" s="116">
        <f t="shared" si="46"/>
        <v>0</v>
      </c>
      <c r="AT60" s="116">
        <f t="shared" si="46"/>
        <v>0</v>
      </c>
      <c r="AU60" s="116">
        <f t="shared" si="46"/>
        <v>2</v>
      </c>
      <c r="AV60" s="116">
        <f t="shared" si="46"/>
        <v>2</v>
      </c>
      <c r="AW60" s="116">
        <f t="shared" si="46"/>
        <v>2</v>
      </c>
    </row>
    <row r="61" spans="1:49" ht="25" customHeight="1"/>
  </sheetData>
  <autoFilter ref="A1:A60" xr:uid="{00000000-0001-0000-0000-000000000000}"/>
  <hyperlinks>
    <hyperlink ref="A2" r:id="rId1" display="http://stats.oecd.org/OECDStat_Metadata/ShowMetadata.ashx?Dataset=QNA&amp;Coords=[LOCATION].[AUS]&amp;ShowOnWeb=true&amp;Lang=en" xr:uid="{7202D82F-EF2D-C243-BB56-CC7F6349E6DD}"/>
    <hyperlink ref="A3" r:id="rId2" display="http://stats.oecd.org/OECDStat_Metadata/ShowMetadata.ashx?Dataset=QNA&amp;Coords=[LOCATION].[CAN]&amp;ShowOnWeb=true&amp;Lang=en" xr:uid="{2B6ED46E-877B-ED4F-8106-A77888239857}"/>
    <hyperlink ref="A4" r:id="rId3" display="http://stats.oecd.org/OECDStat_Metadata/ShowMetadata.ashx?Dataset=QNA&amp;Coords=[LOCATION].[JPN]&amp;ShowOnWeb=true&amp;Lang=en" xr:uid="{81877E0B-A5BB-F543-9501-268740DC53F9}"/>
    <hyperlink ref="A5" r:id="rId4" display="http://stats.oecd.org/OECDStat_Metadata/ShowMetadata.ashx?Dataset=QNA&amp;Coords=[LOCATION].[NZL]&amp;ShowOnWeb=true&amp;Lang=en" xr:uid="{FF6902D0-5072-3049-9327-BAD700FD3941}"/>
    <hyperlink ref="A6" r:id="rId5" display="http://stats.oecd.org/OECDStat_Metadata/ShowMetadata.ashx?Dataset=QNA&amp;Coords=[LOCATION].[CHE]&amp;ShowOnWeb=true&amp;Lang=en" xr:uid="{69F4BDED-23C0-4245-BC49-1A5D5CC4705C}"/>
    <hyperlink ref="A7" r:id="rId6" display="http://stats.oecd.org/OECDStat_Metadata/ShowMetadata.ashx?Dataset=QNA&amp;Coords=[LOCATION].[GBR]&amp;ShowOnWeb=true&amp;Lang=en" xr:uid="{64719212-1C0A-524A-AF82-385B156BE5F8}"/>
    <hyperlink ref="A8" r:id="rId7" display="http://stats.oecd.org/OECDStat_Metadata/ShowMetadata.ashx?Dataset=QNA&amp;Coords=[LOCATION].[USA]&amp;ShowOnWeb=true&amp;Lang=en" xr:uid="{1C4305E5-E00D-D647-A1F8-7826E25AF7FA}"/>
    <hyperlink ref="A9" r:id="rId8" display="http://stats.oecd.org/OECDStat_Metadata/ShowMetadata.ashx?Dataset=QNA&amp;Coords=[LOCATION].[EA19]&amp;ShowOnWeb=true&amp;Lang=en" xr:uid="{BB8D14D0-B709-A945-B896-C0A038DFA596}"/>
    <hyperlink ref="A1" r:id="rId9" xr:uid="{6B953348-62AC-B542-BB7B-828B66F89B11}"/>
  </hyperlinks>
  <pageMargins left="0.7" right="0.7" top="0.75" bottom="0.75" header="0.3" footer="0.3"/>
  <pageSetup paperSize="9" orientation="portrait" horizontalDpi="0" verticalDpi="0"/>
  <drawing r:id="rId10"/>
  <legacy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F9E4-AC92-F949-AECF-5564C13BAA6E}">
  <dimension ref="A1:AZ77"/>
  <sheetViews>
    <sheetView zoomScale="112" zoomScaleNormal="40" workbookViewId="0">
      <pane xSplit="1" ySplit="2" topLeftCell="AK3" activePane="bottomRight" state="frozen"/>
      <selection pane="topRight" activeCell="B1" sqref="B1"/>
      <selection pane="bottomLeft" activeCell="A3" sqref="A3"/>
      <selection pane="bottomRight" activeCell="AT12" sqref="AT12"/>
    </sheetView>
  </sheetViews>
  <sheetFormatPr baseColWidth="10" defaultColWidth="12" defaultRowHeight="15" customHeight="1"/>
  <cols>
    <col min="1" max="1" width="22" style="12" customWidth="1"/>
    <col min="2" max="56" width="12" style="12"/>
    <col min="57" max="57" width="16.83203125" style="12" customWidth="1"/>
    <col min="58" max="16384" width="12" style="12"/>
  </cols>
  <sheetData>
    <row r="1" spans="1:52" s="13" customFormat="1" ht="15" customHeight="1">
      <c r="A1" s="12"/>
    </row>
    <row r="2" spans="1:52" s="13" customFormat="1" ht="19.5" customHeight="1">
      <c r="A2" s="14" t="s">
        <v>37</v>
      </c>
      <c r="B2" s="15">
        <v>44927</v>
      </c>
      <c r="C2" s="15">
        <v>44958</v>
      </c>
      <c r="D2" s="15">
        <v>44986</v>
      </c>
      <c r="E2" s="15">
        <v>45017</v>
      </c>
      <c r="F2" s="15">
        <v>45047</v>
      </c>
      <c r="G2" s="15">
        <v>45078</v>
      </c>
      <c r="H2" s="15">
        <v>45108</v>
      </c>
      <c r="I2" s="15">
        <v>45139</v>
      </c>
      <c r="J2" s="15">
        <v>45170</v>
      </c>
      <c r="K2" s="15">
        <v>45200</v>
      </c>
      <c r="L2" s="15">
        <v>45231</v>
      </c>
      <c r="M2" s="15">
        <v>45261</v>
      </c>
      <c r="N2" s="15">
        <v>45292</v>
      </c>
      <c r="O2" s="15">
        <v>45323</v>
      </c>
      <c r="P2" s="15">
        <v>45352</v>
      </c>
      <c r="Q2" s="15">
        <v>45383</v>
      </c>
      <c r="R2" s="15">
        <v>45413</v>
      </c>
      <c r="S2" s="15">
        <v>45444</v>
      </c>
      <c r="T2" s="15">
        <v>45474</v>
      </c>
      <c r="U2" s="15">
        <v>45505</v>
      </c>
      <c r="V2" s="15">
        <v>45536</v>
      </c>
      <c r="W2" s="15">
        <v>45566</v>
      </c>
      <c r="X2" s="15">
        <v>45597</v>
      </c>
      <c r="Y2" s="15">
        <v>45627</v>
      </c>
      <c r="Z2" s="15">
        <v>45658</v>
      </c>
      <c r="AA2" s="15">
        <v>45689</v>
      </c>
      <c r="AB2" s="15">
        <v>45717</v>
      </c>
      <c r="AC2" s="15">
        <v>45748</v>
      </c>
      <c r="AD2" s="15">
        <v>45778</v>
      </c>
      <c r="AE2" s="15">
        <v>45809</v>
      </c>
      <c r="AF2" s="15">
        <v>45839</v>
      </c>
      <c r="AG2" s="15">
        <v>45870</v>
      </c>
      <c r="AH2" s="15">
        <v>45901</v>
      </c>
      <c r="AI2" s="15">
        <v>45931</v>
      </c>
      <c r="AJ2" s="15">
        <v>45962</v>
      </c>
      <c r="AK2" s="15">
        <v>45992</v>
      </c>
      <c r="AL2" s="15">
        <v>46023</v>
      </c>
      <c r="AM2" s="15">
        <v>46054</v>
      </c>
      <c r="AN2" s="15">
        <v>46082</v>
      </c>
      <c r="AO2" s="15">
        <v>46113</v>
      </c>
      <c r="AP2" s="15">
        <v>46143</v>
      </c>
      <c r="AQ2" s="15">
        <v>46174</v>
      </c>
      <c r="AR2" s="15">
        <v>46204</v>
      </c>
      <c r="AS2" s="15">
        <v>46235</v>
      </c>
      <c r="AT2" s="15">
        <v>46266</v>
      </c>
      <c r="AU2" s="15">
        <v>46296</v>
      </c>
      <c r="AV2" s="15">
        <v>46327</v>
      </c>
      <c r="AW2" s="15">
        <v>46357</v>
      </c>
    </row>
    <row r="3" spans="1:52" s="18" customFormat="1" ht="30" customHeight="1">
      <c r="A3" s="16" t="s">
        <v>38</v>
      </c>
      <c r="B3" s="210">
        <v>0.2205104</v>
      </c>
      <c r="C3" s="210">
        <v>0.2205104</v>
      </c>
      <c r="D3" s="210">
        <v>0.2205104</v>
      </c>
      <c r="E3" s="210">
        <v>-0.2499904</v>
      </c>
      <c r="F3" s="210">
        <v>-0.2499904</v>
      </c>
      <c r="G3" s="210">
        <v>-0.2499904</v>
      </c>
      <c r="H3" s="210">
        <v>-1.2649630000000001</v>
      </c>
      <c r="I3" s="210">
        <v>-1.2649630000000001</v>
      </c>
      <c r="J3" s="210">
        <v>-1.2649630000000001</v>
      </c>
      <c r="K3" s="210">
        <v>-0.41252090000000002</v>
      </c>
      <c r="L3" s="210">
        <v>-0.41252090000000002</v>
      </c>
      <c r="M3" s="210">
        <v>-0.41252090000000002</v>
      </c>
      <c r="N3" s="210">
        <v>-1.55793</v>
      </c>
      <c r="O3" s="210">
        <v>-1.55793</v>
      </c>
      <c r="P3" s="210">
        <v>-1.55793</v>
      </c>
      <c r="Q3" s="210">
        <v>-2.4005399999999999</v>
      </c>
      <c r="R3" s="210">
        <v>-2.4005399999999999</v>
      </c>
      <c r="S3" s="210">
        <v>-2.4005399999999999</v>
      </c>
      <c r="T3" s="210">
        <v>-2.293561</v>
      </c>
      <c r="U3" s="210">
        <v>-2.293561</v>
      </c>
      <c r="V3" s="210">
        <v>-2.293561</v>
      </c>
      <c r="W3" s="210">
        <v>-2.4669449999999999</v>
      </c>
      <c r="X3" s="210">
        <v>-2.4669449999999999</v>
      </c>
      <c r="Y3" s="210">
        <v>-2.4669449999999999</v>
      </c>
      <c r="Z3" s="210">
        <v>-2.4300000000000002</v>
      </c>
      <c r="AA3" s="210">
        <v>-2.4300000000000002</v>
      </c>
      <c r="AB3" s="210">
        <v>-2.4300000000000002</v>
      </c>
      <c r="AC3" s="210">
        <v>-2.48</v>
      </c>
      <c r="AD3" s="210">
        <v>-2.48</v>
      </c>
      <c r="AE3" s="210">
        <v>-2.48</v>
      </c>
      <c r="AF3" s="210">
        <v>-2.69</v>
      </c>
      <c r="AG3" s="210">
        <v>-2.69</v>
      </c>
      <c r="AH3" s="210">
        <v>-2.69</v>
      </c>
      <c r="AI3" s="211">
        <v>-3.15</v>
      </c>
      <c r="AJ3" s="211">
        <v>-3.15</v>
      </c>
      <c r="AK3" s="211">
        <v>-3.15</v>
      </c>
      <c r="AL3" s="211">
        <v>-3.68</v>
      </c>
      <c r="AM3" s="211">
        <v>-3.68</v>
      </c>
      <c r="AN3" s="211">
        <v>-3.68</v>
      </c>
      <c r="AO3" s="267">
        <v>-3.8</v>
      </c>
      <c r="AP3" s="267">
        <v>-3.8</v>
      </c>
      <c r="AQ3" s="267">
        <v>-3.8</v>
      </c>
      <c r="AR3" s="267">
        <v>-3.4</v>
      </c>
      <c r="AS3" s="267">
        <v>-3.4</v>
      </c>
      <c r="AT3" s="267">
        <v>-3.4</v>
      </c>
      <c r="AU3" s="212"/>
      <c r="AV3" s="212"/>
      <c r="AW3" s="212"/>
    </row>
    <row r="4" spans="1:52" s="20" customFormat="1" ht="30" customHeight="1">
      <c r="A4" s="19" t="s">
        <v>39</v>
      </c>
      <c r="B4" s="210">
        <v>-0.9103057</v>
      </c>
      <c r="C4" s="210">
        <v>-0.9103057</v>
      </c>
      <c r="D4" s="210">
        <v>-0.9103057</v>
      </c>
      <c r="E4" s="210">
        <v>-0.77582450000000003</v>
      </c>
      <c r="F4" s="210">
        <v>-0.77582450000000003</v>
      </c>
      <c r="G4" s="210">
        <v>-0.77582450000000003</v>
      </c>
      <c r="H4" s="210">
        <v>-0.79875529999999995</v>
      </c>
      <c r="I4" s="210">
        <v>-0.79875529999999995</v>
      </c>
      <c r="J4" s="210">
        <v>-0.79875529999999995</v>
      </c>
      <c r="K4" s="210">
        <v>-0.2814779</v>
      </c>
      <c r="L4" s="210">
        <v>-0.2814779</v>
      </c>
      <c r="M4" s="210">
        <v>-0.2814779</v>
      </c>
      <c r="N4" s="210">
        <v>-0.76922369999999995</v>
      </c>
      <c r="O4" s="210">
        <v>-0.76922369999999995</v>
      </c>
      <c r="P4" s="210">
        <v>-0.76922369999999995</v>
      </c>
      <c r="Q4" s="210">
        <v>-0.48029919999999998</v>
      </c>
      <c r="R4" s="210">
        <v>-0.48029919999999998</v>
      </c>
      <c r="S4" s="210">
        <v>-0.48029919999999998</v>
      </c>
      <c r="T4" s="210">
        <v>-0.59105019999999997</v>
      </c>
      <c r="U4" s="210">
        <v>-0.59105019999999997</v>
      </c>
      <c r="V4" s="210">
        <v>-0.59105019999999997</v>
      </c>
      <c r="W4" s="210">
        <v>-0.1004742</v>
      </c>
      <c r="X4" s="210">
        <v>-0.1004742</v>
      </c>
      <c r="Y4" s="210">
        <v>-0.1004742</v>
      </c>
      <c r="Z4" s="210">
        <v>-0.37853290000000001</v>
      </c>
      <c r="AA4" s="210">
        <v>-0.37853290000000001</v>
      </c>
      <c r="AB4" s="210">
        <v>-0.37853290000000001</v>
      </c>
      <c r="AC4" s="210">
        <v>-2.6871679999999998</v>
      </c>
      <c r="AD4" s="210">
        <v>-2.6871679999999998</v>
      </c>
      <c r="AE4" s="210">
        <v>-2.6871679999999998</v>
      </c>
      <c r="AF4" s="210">
        <v>-0.65</v>
      </c>
      <c r="AG4" s="210">
        <v>-0.65</v>
      </c>
      <c r="AH4" s="210">
        <v>-0.65</v>
      </c>
      <c r="AI4" s="211">
        <v>-0.12</v>
      </c>
      <c r="AJ4" s="211">
        <v>-0.12</v>
      </c>
      <c r="AK4" s="211">
        <v>-0.12</v>
      </c>
      <c r="AL4" s="211">
        <v>-0.87</v>
      </c>
      <c r="AM4" s="211">
        <v>-0.87</v>
      </c>
      <c r="AN4" s="211">
        <v>-0.87</v>
      </c>
      <c r="AO4" s="267">
        <v>-1</v>
      </c>
      <c r="AP4" s="267">
        <v>-1</v>
      </c>
      <c r="AQ4" s="267">
        <v>-1</v>
      </c>
      <c r="AR4" s="267">
        <v>-0.9</v>
      </c>
      <c r="AS4" s="267">
        <v>-0.9</v>
      </c>
      <c r="AT4" s="267">
        <v>-0.9</v>
      </c>
      <c r="AU4" s="213"/>
      <c r="AV4" s="213"/>
      <c r="AW4" s="213"/>
    </row>
    <row r="5" spans="1:52" s="21" customFormat="1" ht="30" customHeight="1">
      <c r="A5" s="19" t="s">
        <v>40</v>
      </c>
      <c r="B5" s="210">
        <v>2.1082640000000001</v>
      </c>
      <c r="C5" s="210">
        <v>2.1082640000000001</v>
      </c>
      <c r="D5" s="210">
        <v>2.1082640000000001</v>
      </c>
      <c r="E5" s="210">
        <v>3.929252</v>
      </c>
      <c r="F5" s="210">
        <v>3.929252</v>
      </c>
      <c r="G5" s="210">
        <v>3.929252</v>
      </c>
      <c r="H5" s="210">
        <v>4.207014</v>
      </c>
      <c r="I5" s="210">
        <v>4.207014</v>
      </c>
      <c r="J5" s="210">
        <v>4.207014</v>
      </c>
      <c r="K5" s="210">
        <v>4.3905849999999997</v>
      </c>
      <c r="L5" s="210">
        <v>4.3905849999999997</v>
      </c>
      <c r="M5" s="210">
        <v>4.3905849999999997</v>
      </c>
      <c r="N5" s="210">
        <v>4.2187089999999996</v>
      </c>
      <c r="O5" s="210">
        <v>4.2187089999999996</v>
      </c>
      <c r="P5" s="210">
        <v>4.2187089999999996</v>
      </c>
      <c r="Q5" s="210">
        <v>4.4108299999999998</v>
      </c>
      <c r="R5" s="210">
        <v>4.4108299999999998</v>
      </c>
      <c r="S5" s="210">
        <v>4.4108299999999998</v>
      </c>
      <c r="T5" s="210">
        <v>4.396172</v>
      </c>
      <c r="U5" s="210">
        <v>4.396172</v>
      </c>
      <c r="V5" s="210">
        <v>4.396172</v>
      </c>
      <c r="W5" s="210">
        <v>4.942151</v>
      </c>
      <c r="X5" s="210">
        <v>4.942151</v>
      </c>
      <c r="Y5" s="210">
        <v>4.942151</v>
      </c>
      <c r="Z5" s="210">
        <v>4.6100599999999998</v>
      </c>
      <c r="AA5" s="210">
        <v>4.6100599999999998</v>
      </c>
      <c r="AB5" s="210">
        <v>4.6100599999999998</v>
      </c>
      <c r="AC5" s="210">
        <v>4.3214410000000001</v>
      </c>
      <c r="AD5" s="210">
        <v>4.3214410000000001</v>
      </c>
      <c r="AE5" s="210">
        <v>4.3214410000000001</v>
      </c>
      <c r="AF5" s="210">
        <v>5.0097170000000002</v>
      </c>
      <c r="AG5" s="210">
        <v>5.0097170000000002</v>
      </c>
      <c r="AH5" s="210">
        <v>5.0097170000000002</v>
      </c>
      <c r="AI5" s="210">
        <v>4.95</v>
      </c>
      <c r="AJ5" s="210">
        <v>4.95</v>
      </c>
      <c r="AK5" s="210">
        <v>4.95</v>
      </c>
      <c r="AL5" s="256">
        <v>5.77</v>
      </c>
      <c r="AM5" s="256">
        <v>5.77</v>
      </c>
      <c r="AN5" s="256">
        <v>5.77</v>
      </c>
      <c r="AO5" s="268">
        <v>5.3</v>
      </c>
      <c r="AP5" s="268">
        <v>5.3</v>
      </c>
      <c r="AQ5" s="268">
        <v>5.3</v>
      </c>
      <c r="AR5" s="269">
        <v>5.5</v>
      </c>
      <c r="AS5" s="269">
        <v>5.5</v>
      </c>
      <c r="AT5" s="269">
        <v>5.5</v>
      </c>
      <c r="AU5" s="188"/>
      <c r="AV5" s="188"/>
      <c r="AW5" s="188"/>
    </row>
    <row r="6" spans="1:52" ht="30" customHeight="1" thickBot="1">
      <c r="A6" s="19" t="s">
        <v>41</v>
      </c>
      <c r="B6" s="210">
        <v>6.3791770000000003</v>
      </c>
      <c r="C6" s="210">
        <v>6.3791770000000003</v>
      </c>
      <c r="D6" s="210">
        <v>6.3791770000000003</v>
      </c>
      <c r="E6" s="210">
        <v>7.3312030000000004</v>
      </c>
      <c r="F6" s="210">
        <v>7.3312030000000004</v>
      </c>
      <c r="G6" s="210">
        <v>7.3312030000000004</v>
      </c>
      <c r="H6" s="210">
        <v>8.0536829999999995</v>
      </c>
      <c r="I6" s="210">
        <v>8.0536829999999995</v>
      </c>
      <c r="J6" s="210">
        <v>8.0536829999999995</v>
      </c>
      <c r="K6" s="210">
        <v>0.66</v>
      </c>
      <c r="L6" s="210">
        <v>0.66</v>
      </c>
      <c r="M6" s="210">
        <v>0.66</v>
      </c>
      <c r="N6" s="210">
        <v>13.999180000000001</v>
      </c>
      <c r="O6" s="210">
        <v>13.999180000000001</v>
      </c>
      <c r="P6" s="210">
        <v>13.999180000000001</v>
      </c>
      <c r="Q6" s="210">
        <v>11.07063</v>
      </c>
      <c r="R6" s="210">
        <v>11.07063</v>
      </c>
      <c r="S6" s="210">
        <v>11.07063</v>
      </c>
      <c r="T6" s="210">
        <v>2.005172</v>
      </c>
      <c r="U6" s="210">
        <v>2.005172</v>
      </c>
      <c r="V6" s="210">
        <v>2.005172</v>
      </c>
      <c r="W6" s="210">
        <v>10.30922</v>
      </c>
      <c r="X6" s="210">
        <v>10.30922</v>
      </c>
      <c r="Y6" s="210">
        <v>10.30922</v>
      </c>
      <c r="Z6" s="210">
        <v>14.693390000000001</v>
      </c>
      <c r="AA6" s="210">
        <v>14.693390000000001</v>
      </c>
      <c r="AB6" s="210">
        <v>14.693390000000001</v>
      </c>
      <c r="AC6" s="210">
        <v>4.17</v>
      </c>
      <c r="AD6" s="210">
        <v>4.17</v>
      </c>
      <c r="AE6" s="210">
        <v>4.17</v>
      </c>
      <c r="AF6" s="210">
        <v>4.54</v>
      </c>
      <c r="AG6" s="210">
        <v>4.54</v>
      </c>
      <c r="AH6" s="210">
        <v>4.54</v>
      </c>
      <c r="AI6" s="214">
        <v>1.22</v>
      </c>
      <c r="AJ6" s="214">
        <v>1.22</v>
      </c>
      <c r="AK6" s="214">
        <v>1.22</v>
      </c>
      <c r="AL6" s="214">
        <v>9.77</v>
      </c>
      <c r="AM6" s="214">
        <v>9.77</v>
      </c>
      <c r="AN6" s="214">
        <v>9.77</v>
      </c>
      <c r="AO6" s="270">
        <v>5.8</v>
      </c>
      <c r="AP6" s="270">
        <v>5.8</v>
      </c>
      <c r="AQ6" s="270">
        <v>5.8</v>
      </c>
      <c r="AR6" s="270">
        <v>5.5</v>
      </c>
      <c r="AS6" s="270">
        <v>5.5</v>
      </c>
      <c r="AT6" s="270">
        <v>5.5</v>
      </c>
      <c r="AU6" s="213"/>
      <c r="AV6" s="213"/>
      <c r="AW6" s="213"/>
    </row>
    <row r="7" spans="1:52" ht="30" customHeight="1">
      <c r="A7" s="19" t="s">
        <v>42</v>
      </c>
      <c r="B7" s="210">
        <v>-7.4910889999999997</v>
      </c>
      <c r="C7" s="210">
        <v>-7.4910889999999997</v>
      </c>
      <c r="D7" s="210">
        <v>-7.4910889999999997</v>
      </c>
      <c r="E7" s="210">
        <v>-5.9454120000000001</v>
      </c>
      <c r="F7" s="210">
        <v>-5.9454120000000001</v>
      </c>
      <c r="G7" s="210">
        <v>-5.9454120000000001</v>
      </c>
      <c r="H7" s="210">
        <v>-6.0914580000000003</v>
      </c>
      <c r="I7" s="210">
        <v>-6.0914580000000003</v>
      </c>
      <c r="J7" s="210">
        <v>-6.0914580000000003</v>
      </c>
      <c r="K7" s="210">
        <v>-5.5394680000000003</v>
      </c>
      <c r="L7" s="210">
        <v>-5.5394680000000003</v>
      </c>
      <c r="M7" s="210">
        <v>-5.5394680000000003</v>
      </c>
      <c r="N7" s="210">
        <v>-5.3253599999999999</v>
      </c>
      <c r="O7" s="210">
        <v>-5.3253599999999999</v>
      </c>
      <c r="P7" s="210">
        <v>-5.3253599999999999</v>
      </c>
      <c r="Q7" s="210">
        <v>-5.1536140000000001</v>
      </c>
      <c r="R7" s="210">
        <v>-5.1536140000000001</v>
      </c>
      <c r="S7" s="210">
        <v>-5.1536140000000001</v>
      </c>
      <c r="T7" s="210">
        <v>-4.7295780000000001</v>
      </c>
      <c r="U7" s="210">
        <v>-4.7295780000000001</v>
      </c>
      <c r="V7" s="210">
        <v>-4.7295780000000001</v>
      </c>
      <c r="W7" s="210">
        <v>-3.508642</v>
      </c>
      <c r="X7" s="210">
        <v>-3.508642</v>
      </c>
      <c r="Y7" s="210">
        <v>-3.508642</v>
      </c>
      <c r="Z7" s="210">
        <v>-3.743608</v>
      </c>
      <c r="AA7" s="210">
        <v>-3.743608</v>
      </c>
      <c r="AB7" s="210">
        <v>-3.743608</v>
      </c>
      <c r="AC7" s="210">
        <v>-3.2936879999999999</v>
      </c>
      <c r="AD7" s="210">
        <v>-3.2936879999999999</v>
      </c>
      <c r="AE7" s="210">
        <v>-3.2936879999999999</v>
      </c>
      <c r="AF7" s="210">
        <v>4.54</v>
      </c>
      <c r="AG7" s="210">
        <v>-3.3772250000000001</v>
      </c>
      <c r="AH7" s="210">
        <v>-3.3772250000000001</v>
      </c>
      <c r="AI7" s="214">
        <v>-3.92</v>
      </c>
      <c r="AJ7" s="214">
        <v>-3.92</v>
      </c>
      <c r="AK7" s="214">
        <v>-3.92</v>
      </c>
      <c r="AL7" s="214">
        <v>-3.95</v>
      </c>
      <c r="AM7" s="214">
        <v>-3.95</v>
      </c>
      <c r="AN7" s="214">
        <v>-3.95</v>
      </c>
      <c r="AO7" s="270">
        <v>-4.0999999999999996</v>
      </c>
      <c r="AP7" s="270">
        <v>-4.0999999999999996</v>
      </c>
      <c r="AQ7" s="270">
        <v>-4.0999999999999996</v>
      </c>
      <c r="AR7" s="270">
        <v>-3.75</v>
      </c>
      <c r="AS7" s="270">
        <v>-3.75</v>
      </c>
      <c r="AT7" s="270">
        <v>-3.75</v>
      </c>
      <c r="AU7" s="215"/>
      <c r="AV7" s="215"/>
      <c r="AW7" s="215"/>
      <c r="AY7" s="22">
        <v>14</v>
      </c>
      <c r="AZ7" s="23">
        <v>10</v>
      </c>
    </row>
    <row r="8" spans="1:52" ht="30" customHeight="1">
      <c r="A8" s="19" t="s">
        <v>43</v>
      </c>
      <c r="B8" s="210">
        <v>-2.9138950000000001</v>
      </c>
      <c r="C8" s="210">
        <v>-2.9138950000000001</v>
      </c>
      <c r="D8" s="210">
        <v>-2.9138950000000001</v>
      </c>
      <c r="E8" s="210">
        <v>-5.0291610000000002</v>
      </c>
      <c r="F8" s="210">
        <v>-5.0291610000000002</v>
      </c>
      <c r="G8" s="210">
        <v>-5.0291610000000002</v>
      </c>
      <c r="H8" s="210">
        <v>-2.2711990000000002</v>
      </c>
      <c r="I8" s="210">
        <v>-2.2711990000000002</v>
      </c>
      <c r="J8" s="210">
        <v>-2.2711990000000002</v>
      </c>
      <c r="K8" s="210">
        <v>-4.0623149999999999</v>
      </c>
      <c r="L8" s="210">
        <v>-4.0623149999999999</v>
      </c>
      <c r="M8" s="210">
        <v>-4.0623149999999999</v>
      </c>
      <c r="N8" s="210">
        <v>-2.94523</v>
      </c>
      <c r="O8" s="210">
        <v>-2.94523</v>
      </c>
      <c r="P8" s="210">
        <v>-2.94523</v>
      </c>
      <c r="Q8" s="210">
        <v>-3.26</v>
      </c>
      <c r="R8" s="210">
        <v>-3.26</v>
      </c>
      <c r="S8" s="210">
        <v>-3.26</v>
      </c>
      <c r="T8" s="210">
        <v>1.93</v>
      </c>
      <c r="U8" s="210">
        <v>1.93</v>
      </c>
      <c r="V8" s="210">
        <v>1.93</v>
      </c>
      <c r="W8" s="210">
        <v>-3.65</v>
      </c>
      <c r="X8" s="210">
        <v>-3.65</v>
      </c>
      <c r="Y8" s="210">
        <v>-3.65</v>
      </c>
      <c r="Z8" s="210">
        <v>-3.1</v>
      </c>
      <c r="AA8" s="210">
        <v>-3.1</v>
      </c>
      <c r="AB8" s="210">
        <v>-3.1</v>
      </c>
      <c r="AC8" s="210">
        <v>-3.23</v>
      </c>
      <c r="AD8" s="210">
        <v>-3.23</v>
      </c>
      <c r="AE8" s="210">
        <v>-3.23</v>
      </c>
      <c r="AF8" s="210">
        <v>-2.63</v>
      </c>
      <c r="AG8" s="210">
        <v>-2.63</v>
      </c>
      <c r="AH8" s="210">
        <v>-2.63</v>
      </c>
      <c r="AI8" s="211">
        <v>-3.54</v>
      </c>
      <c r="AJ8" s="211">
        <v>-3.54</v>
      </c>
      <c r="AK8" s="211">
        <v>-3.54</v>
      </c>
      <c r="AL8" s="211">
        <v>-2.83</v>
      </c>
      <c r="AM8" s="211">
        <v>-2.83</v>
      </c>
      <c r="AN8" s="211">
        <v>-2.83</v>
      </c>
      <c r="AO8" s="267">
        <v>-2.7</v>
      </c>
      <c r="AP8" s="267">
        <v>-2.7</v>
      </c>
      <c r="AQ8" s="267">
        <v>-2.7</v>
      </c>
      <c r="AR8" s="267">
        <v>-2.2999999999999998</v>
      </c>
      <c r="AS8" s="267">
        <v>-2.2999999999999998</v>
      </c>
      <c r="AT8" s="267">
        <v>-2.2999999999999998</v>
      </c>
      <c r="AU8" s="212"/>
      <c r="AV8" s="212"/>
      <c r="AW8" s="212"/>
      <c r="AY8" s="24">
        <v>12</v>
      </c>
      <c r="AZ8" s="25">
        <v>9</v>
      </c>
    </row>
    <row r="9" spans="1:52" ht="30" customHeight="1">
      <c r="A9" s="26" t="s">
        <v>44</v>
      </c>
      <c r="B9" s="210">
        <v>-3.3517969999999999</v>
      </c>
      <c r="C9" s="210">
        <v>-3.3517969999999999</v>
      </c>
      <c r="D9" s="210">
        <v>-3.3517969999999999</v>
      </c>
      <c r="E9" s="210">
        <v>-3.4129830000000001</v>
      </c>
      <c r="F9" s="210">
        <v>-3.4129830000000001</v>
      </c>
      <c r="G9" s="210">
        <v>-3.4129830000000001</v>
      </c>
      <c r="H9" s="210">
        <v>-3.1457630000000001</v>
      </c>
      <c r="I9" s="210">
        <v>-3.1457630000000001</v>
      </c>
      <c r="J9" s="210">
        <v>-3.1457630000000001</v>
      </c>
      <c r="K9" s="210">
        <v>-3.4371770000000001</v>
      </c>
      <c r="L9" s="210">
        <v>-3.4371770000000001</v>
      </c>
      <c r="M9" s="210">
        <v>-3.4371770000000001</v>
      </c>
      <c r="N9" s="210">
        <v>-3.6345619999999998</v>
      </c>
      <c r="O9" s="210">
        <v>-3.6345619999999998</v>
      </c>
      <c r="P9" s="210">
        <v>-3.6345619999999998</v>
      </c>
      <c r="Q9" s="210">
        <v>-3.9291939999999999</v>
      </c>
      <c r="R9" s="210">
        <v>-3.9291939999999999</v>
      </c>
      <c r="S9" s="210">
        <v>-3.9291939999999999</v>
      </c>
      <c r="T9" s="210">
        <v>-4.4208689999999997</v>
      </c>
      <c r="U9" s="210">
        <v>-4.4208689999999997</v>
      </c>
      <c r="V9" s="210">
        <v>-4.4208689999999997</v>
      </c>
      <c r="W9" s="210">
        <v>-4.1839409999999999</v>
      </c>
      <c r="X9" s="210">
        <v>-4.1839409999999999</v>
      </c>
      <c r="Y9" s="210">
        <v>-4.1839409999999999</v>
      </c>
      <c r="Z9" s="210">
        <v>-5.8560730000000003</v>
      </c>
      <c r="AA9" s="210">
        <v>-5.8560730000000003</v>
      </c>
      <c r="AB9" s="210">
        <v>-5.8560730000000003</v>
      </c>
      <c r="AC9" s="210">
        <v>-3.2699500000000001</v>
      </c>
      <c r="AD9" s="210">
        <v>-3.2699500000000001</v>
      </c>
      <c r="AE9" s="210">
        <v>-3.2699500000000001</v>
      </c>
      <c r="AF9" s="210">
        <v>-3.08</v>
      </c>
      <c r="AG9" s="210">
        <v>-3.08</v>
      </c>
      <c r="AH9" s="210">
        <v>-3.08</v>
      </c>
      <c r="AI9" s="211">
        <v>-2.81</v>
      </c>
      <c r="AJ9" s="211">
        <v>-2.81</v>
      </c>
      <c r="AK9" s="211">
        <v>-2.81</v>
      </c>
      <c r="AL9" s="211">
        <v>-2.85</v>
      </c>
      <c r="AM9" s="211">
        <v>-2.85</v>
      </c>
      <c r="AN9" s="211">
        <v>-2.85</v>
      </c>
      <c r="AO9" s="271">
        <v>-3.3</v>
      </c>
      <c r="AP9" s="271">
        <v>-3.3</v>
      </c>
      <c r="AQ9" s="271">
        <v>-3.3</v>
      </c>
      <c r="AR9" s="271">
        <v>-3</v>
      </c>
      <c r="AS9" s="271">
        <v>-3</v>
      </c>
      <c r="AT9" s="271">
        <v>-3</v>
      </c>
      <c r="AU9" s="216"/>
      <c r="AV9" s="216"/>
      <c r="AW9" s="216"/>
      <c r="AY9" s="24">
        <v>11</v>
      </c>
      <c r="AZ9" s="25">
        <v>8</v>
      </c>
    </row>
    <row r="10" spans="1:52" ht="30" customHeight="1">
      <c r="A10" s="27" t="s">
        <v>13</v>
      </c>
      <c r="B10" s="210">
        <v>1.079332</v>
      </c>
      <c r="C10" s="210">
        <v>1.079332</v>
      </c>
      <c r="D10" s="210">
        <v>1.079332</v>
      </c>
      <c r="E10" s="210">
        <v>1.6856549999999999</v>
      </c>
      <c r="F10" s="210">
        <v>1.6856549999999999</v>
      </c>
      <c r="G10" s="210">
        <v>1.6856549999999999</v>
      </c>
      <c r="H10" s="210">
        <v>2.158525</v>
      </c>
      <c r="I10" s="210">
        <v>2.158525</v>
      </c>
      <c r="J10" s="210">
        <v>2.158525</v>
      </c>
      <c r="K10" s="210">
        <v>2.676698</v>
      </c>
      <c r="L10" s="210">
        <v>2.676698</v>
      </c>
      <c r="M10" s="210">
        <v>2.676698</v>
      </c>
      <c r="N10" s="210">
        <v>3.0725250000000002</v>
      </c>
      <c r="O10" s="210">
        <v>3.0725250000000002</v>
      </c>
      <c r="P10" s="210">
        <v>3.0725250000000002</v>
      </c>
      <c r="Q10" s="210">
        <v>2.7039230000000001</v>
      </c>
      <c r="R10" s="210">
        <v>2.7039230000000001</v>
      </c>
      <c r="S10" s="210">
        <v>2.7039230000000001</v>
      </c>
      <c r="T10" s="210">
        <v>2.123637</v>
      </c>
      <c r="U10" s="210">
        <v>2.123637</v>
      </c>
      <c r="V10" s="210">
        <v>2.123637</v>
      </c>
      <c r="W10" s="210">
        <v>2.085791</v>
      </c>
      <c r="X10" s="210">
        <v>2.085791</v>
      </c>
      <c r="Y10" s="210">
        <v>2.085791</v>
      </c>
      <c r="Z10" s="210">
        <v>2.2999999999999998</v>
      </c>
      <c r="AA10" s="210">
        <v>2.2999999999999998</v>
      </c>
      <c r="AB10" s="210">
        <v>2.2999999999999998</v>
      </c>
      <c r="AC10" s="210">
        <v>2.1</v>
      </c>
      <c r="AD10" s="210">
        <v>2.1</v>
      </c>
      <c r="AE10" s="210">
        <v>2.1</v>
      </c>
      <c r="AF10" s="210">
        <v>1.8</v>
      </c>
      <c r="AG10" s="210">
        <v>1.8</v>
      </c>
      <c r="AH10" s="210">
        <v>1.8</v>
      </c>
      <c r="AI10" s="210">
        <v>1.7</v>
      </c>
      <c r="AJ10" s="210">
        <v>1.7</v>
      </c>
      <c r="AK10" s="210">
        <v>1.7</v>
      </c>
      <c r="AL10" s="210">
        <v>1.7</v>
      </c>
      <c r="AM10" s="210">
        <v>1.7</v>
      </c>
      <c r="AN10" s="210">
        <v>1.7</v>
      </c>
      <c r="AO10" s="266">
        <v>1.8</v>
      </c>
      <c r="AP10" s="266">
        <v>1.8</v>
      </c>
      <c r="AQ10" s="266">
        <v>1.8</v>
      </c>
      <c r="AR10" s="266">
        <v>1.6</v>
      </c>
      <c r="AS10" s="266">
        <v>1.6</v>
      </c>
      <c r="AT10" s="266">
        <v>1.6</v>
      </c>
      <c r="AU10" s="212"/>
      <c r="AV10" s="212"/>
      <c r="AW10" s="212"/>
      <c r="AY10" s="24">
        <v>10</v>
      </c>
      <c r="AZ10" s="25">
        <v>7</v>
      </c>
    </row>
    <row r="11" spans="1:52" ht="15" customHeight="1">
      <c r="Z11" s="127"/>
      <c r="AV11" s="53"/>
      <c r="AW11" s="53"/>
      <c r="AY11" s="24">
        <v>9</v>
      </c>
      <c r="AZ11" s="25">
        <v>6</v>
      </c>
    </row>
    <row r="12" spans="1:52" ht="15" customHeight="1">
      <c r="AX12" s="12">
        <v>8</v>
      </c>
      <c r="AY12" s="24">
        <v>8</v>
      </c>
      <c r="AZ12" s="25">
        <v>5</v>
      </c>
    </row>
    <row r="13" spans="1:52" ht="15" customHeight="1">
      <c r="AY13" s="24">
        <v>7</v>
      </c>
      <c r="AZ13" s="25">
        <v>4</v>
      </c>
    </row>
    <row r="14" spans="1:52" ht="25" customHeight="1">
      <c r="A14" s="28" t="s">
        <v>45</v>
      </c>
      <c r="B14" s="15">
        <v>44927</v>
      </c>
      <c r="C14" s="15">
        <v>44958</v>
      </c>
      <c r="D14" s="15">
        <v>44986</v>
      </c>
      <c r="E14" s="15">
        <v>45017</v>
      </c>
      <c r="F14" s="15">
        <v>45047</v>
      </c>
      <c r="G14" s="15">
        <v>45078</v>
      </c>
      <c r="H14" s="15">
        <v>45108</v>
      </c>
      <c r="I14" s="15">
        <v>45139</v>
      </c>
      <c r="J14" s="15">
        <v>45170</v>
      </c>
      <c r="K14" s="15">
        <v>45200</v>
      </c>
      <c r="L14" s="15">
        <v>45231</v>
      </c>
      <c r="M14" s="15">
        <v>45261</v>
      </c>
      <c r="N14" s="15">
        <v>45292</v>
      </c>
      <c r="O14" s="15">
        <v>45323</v>
      </c>
      <c r="P14" s="15">
        <v>45352</v>
      </c>
      <c r="Q14" s="15">
        <v>45383</v>
      </c>
      <c r="R14" s="15">
        <v>45413</v>
      </c>
      <c r="S14" s="15">
        <v>45444</v>
      </c>
      <c r="T14" s="15">
        <v>45474</v>
      </c>
      <c r="U14" s="15">
        <v>45505</v>
      </c>
      <c r="V14" s="15">
        <v>45536</v>
      </c>
      <c r="W14" s="15">
        <v>45566</v>
      </c>
      <c r="X14" s="15">
        <v>45597</v>
      </c>
      <c r="Y14" s="15">
        <v>45627</v>
      </c>
      <c r="Z14" s="15">
        <v>45658</v>
      </c>
      <c r="AA14" s="15">
        <v>45689</v>
      </c>
      <c r="AB14" s="15">
        <v>45717</v>
      </c>
      <c r="AC14" s="15">
        <v>45748</v>
      </c>
      <c r="AD14" s="15">
        <v>45778</v>
      </c>
      <c r="AE14" s="15">
        <v>45809</v>
      </c>
      <c r="AF14" s="15">
        <v>45839</v>
      </c>
      <c r="AG14" s="15">
        <v>45870</v>
      </c>
      <c r="AH14" s="15">
        <v>45901</v>
      </c>
      <c r="AI14" s="15">
        <v>45931</v>
      </c>
      <c r="AJ14" s="15">
        <v>45962</v>
      </c>
      <c r="AK14" s="15">
        <v>45992</v>
      </c>
      <c r="AL14" s="15">
        <v>46023</v>
      </c>
      <c r="AM14" s="15">
        <v>46054</v>
      </c>
      <c r="AN14" s="15">
        <v>46082</v>
      </c>
      <c r="AO14" s="15">
        <v>46113</v>
      </c>
      <c r="AP14" s="15">
        <v>46143</v>
      </c>
      <c r="AQ14" s="15">
        <v>46174</v>
      </c>
      <c r="AR14" s="15">
        <v>46204</v>
      </c>
      <c r="AS14" s="15">
        <v>46235</v>
      </c>
      <c r="AT14" s="15">
        <v>46266</v>
      </c>
      <c r="AU14" s="15">
        <v>46296</v>
      </c>
      <c r="AV14" s="15">
        <v>46327</v>
      </c>
      <c r="AW14" s="15">
        <v>46357</v>
      </c>
      <c r="AY14" s="24">
        <v>6</v>
      </c>
      <c r="AZ14" s="25">
        <v>3</v>
      </c>
    </row>
    <row r="15" spans="1:52" ht="25" customHeight="1">
      <c r="A15" s="29" t="s">
        <v>16</v>
      </c>
      <c r="B15" s="30">
        <f>B9-B5</f>
        <v>-5.4600609999999996</v>
      </c>
      <c r="C15" s="30">
        <f t="shared" ref="C15:AW15" si="0">C9-C5</f>
        <v>-5.4600609999999996</v>
      </c>
      <c r="D15" s="30">
        <f t="shared" si="0"/>
        <v>-5.4600609999999996</v>
      </c>
      <c r="E15" s="30">
        <f t="shared" si="0"/>
        <v>-7.3422350000000005</v>
      </c>
      <c r="F15" s="30">
        <f t="shared" si="0"/>
        <v>-7.3422350000000005</v>
      </c>
      <c r="G15" s="30">
        <f t="shared" si="0"/>
        <v>-7.3422350000000005</v>
      </c>
      <c r="H15" s="30">
        <f t="shared" si="0"/>
        <v>-7.3527769999999997</v>
      </c>
      <c r="I15" s="30">
        <f t="shared" si="0"/>
        <v>-7.3527769999999997</v>
      </c>
      <c r="J15" s="30">
        <f t="shared" si="0"/>
        <v>-7.3527769999999997</v>
      </c>
      <c r="K15" s="30">
        <f t="shared" si="0"/>
        <v>-7.8277619999999999</v>
      </c>
      <c r="L15" s="30">
        <f t="shared" si="0"/>
        <v>-7.8277619999999999</v>
      </c>
      <c r="M15" s="30">
        <f t="shared" si="0"/>
        <v>-7.8277619999999999</v>
      </c>
      <c r="N15" s="30">
        <f t="shared" si="0"/>
        <v>-7.8532709999999994</v>
      </c>
      <c r="O15" s="30">
        <f t="shared" si="0"/>
        <v>-7.8532709999999994</v>
      </c>
      <c r="P15" s="30">
        <f t="shared" si="0"/>
        <v>-7.8532709999999994</v>
      </c>
      <c r="Q15" s="30">
        <f t="shared" si="0"/>
        <v>-8.3400239999999997</v>
      </c>
      <c r="R15" s="30">
        <f t="shared" si="0"/>
        <v>-8.3400239999999997</v>
      </c>
      <c r="S15" s="30">
        <f t="shared" si="0"/>
        <v>-8.3400239999999997</v>
      </c>
      <c r="T15" s="30">
        <f t="shared" si="0"/>
        <v>-8.8170409999999997</v>
      </c>
      <c r="U15" s="30">
        <f t="shared" si="0"/>
        <v>-8.8170409999999997</v>
      </c>
      <c r="V15" s="30">
        <f t="shared" si="0"/>
        <v>-8.8170409999999997</v>
      </c>
      <c r="W15" s="30">
        <f t="shared" si="0"/>
        <v>-9.1260919999999999</v>
      </c>
      <c r="X15" s="30">
        <f t="shared" si="0"/>
        <v>-9.1260919999999999</v>
      </c>
      <c r="Y15" s="30">
        <f t="shared" si="0"/>
        <v>-9.1260919999999999</v>
      </c>
      <c r="Z15" s="30">
        <f t="shared" si="0"/>
        <v>-10.466132999999999</v>
      </c>
      <c r="AA15" s="30">
        <f t="shared" si="0"/>
        <v>-10.466132999999999</v>
      </c>
      <c r="AB15" s="30">
        <f t="shared" si="0"/>
        <v>-10.466132999999999</v>
      </c>
      <c r="AC15" s="30">
        <f t="shared" si="0"/>
        <v>-7.5913909999999998</v>
      </c>
      <c r="AD15" s="30">
        <f t="shared" si="0"/>
        <v>-7.5913909999999998</v>
      </c>
      <c r="AE15" s="30">
        <f t="shared" si="0"/>
        <v>-7.5913909999999998</v>
      </c>
      <c r="AF15" s="30">
        <f t="shared" si="0"/>
        <v>-8.0897170000000003</v>
      </c>
      <c r="AG15" s="30">
        <f t="shared" si="0"/>
        <v>-8.0897170000000003</v>
      </c>
      <c r="AH15" s="30">
        <f t="shared" si="0"/>
        <v>-8.0897170000000003</v>
      </c>
      <c r="AI15" s="30">
        <f t="shared" si="0"/>
        <v>-7.76</v>
      </c>
      <c r="AJ15" s="30">
        <f t="shared" si="0"/>
        <v>-7.76</v>
      </c>
      <c r="AK15" s="30">
        <f t="shared" si="0"/>
        <v>-7.76</v>
      </c>
      <c r="AL15" s="30">
        <f t="shared" si="0"/>
        <v>-8.6199999999999992</v>
      </c>
      <c r="AM15" s="30">
        <f t="shared" si="0"/>
        <v>-8.6199999999999992</v>
      </c>
      <c r="AN15" s="30">
        <f t="shared" si="0"/>
        <v>-8.6199999999999992</v>
      </c>
      <c r="AO15" s="30">
        <f t="shared" si="0"/>
        <v>-8.6</v>
      </c>
      <c r="AP15" s="30">
        <f t="shared" si="0"/>
        <v>-8.6</v>
      </c>
      <c r="AQ15" s="30">
        <f t="shared" si="0"/>
        <v>-8.6</v>
      </c>
      <c r="AR15" s="30">
        <f t="shared" si="0"/>
        <v>-8.5</v>
      </c>
      <c r="AS15" s="30">
        <f t="shared" si="0"/>
        <v>-8.5</v>
      </c>
      <c r="AT15" s="30">
        <f t="shared" si="0"/>
        <v>-8.5</v>
      </c>
      <c r="AU15" s="30">
        <f t="shared" si="0"/>
        <v>0</v>
      </c>
      <c r="AV15" s="30">
        <f t="shared" si="0"/>
        <v>0</v>
      </c>
      <c r="AW15" s="30">
        <f t="shared" si="0"/>
        <v>0</v>
      </c>
      <c r="AY15" s="24">
        <v>4</v>
      </c>
      <c r="AZ15" s="25">
        <v>2</v>
      </c>
    </row>
    <row r="16" spans="1:52" ht="25" customHeight="1">
      <c r="A16" s="31" t="s">
        <v>46</v>
      </c>
      <c r="B16" s="30">
        <f t="shared" ref="B16:AJ16" si="1">B9-B6</f>
        <v>-9.7309739999999998</v>
      </c>
      <c r="C16" s="30">
        <f t="shared" si="1"/>
        <v>-9.7309739999999998</v>
      </c>
      <c r="D16" s="30">
        <f t="shared" si="1"/>
        <v>-9.7309739999999998</v>
      </c>
      <c r="E16" s="30">
        <f t="shared" si="1"/>
        <v>-10.744186000000001</v>
      </c>
      <c r="F16" s="30">
        <f t="shared" si="1"/>
        <v>-10.744186000000001</v>
      </c>
      <c r="G16" s="30">
        <f t="shared" si="1"/>
        <v>-10.744186000000001</v>
      </c>
      <c r="H16" s="30">
        <f t="shared" si="1"/>
        <v>-11.199446</v>
      </c>
      <c r="I16" s="30">
        <f t="shared" si="1"/>
        <v>-11.199446</v>
      </c>
      <c r="J16" s="30">
        <f t="shared" si="1"/>
        <v>-11.199446</v>
      </c>
      <c r="K16" s="30">
        <f t="shared" si="1"/>
        <v>-4.0971770000000003</v>
      </c>
      <c r="L16" s="30">
        <f t="shared" si="1"/>
        <v>-4.0971770000000003</v>
      </c>
      <c r="M16" s="30">
        <f t="shared" si="1"/>
        <v>-4.0971770000000003</v>
      </c>
      <c r="N16" s="30">
        <f t="shared" si="1"/>
        <v>-17.633742000000002</v>
      </c>
      <c r="O16" s="30">
        <f t="shared" si="1"/>
        <v>-17.633742000000002</v>
      </c>
      <c r="P16" s="30">
        <f t="shared" si="1"/>
        <v>-17.633742000000002</v>
      </c>
      <c r="Q16" s="30">
        <f t="shared" si="1"/>
        <v>-14.999824</v>
      </c>
      <c r="R16" s="30">
        <f t="shared" si="1"/>
        <v>-14.999824</v>
      </c>
      <c r="S16" s="30">
        <f t="shared" si="1"/>
        <v>-14.999824</v>
      </c>
      <c r="T16" s="30">
        <f t="shared" si="1"/>
        <v>-6.4260409999999997</v>
      </c>
      <c r="U16" s="30">
        <f t="shared" si="1"/>
        <v>-6.4260409999999997</v>
      </c>
      <c r="V16" s="30">
        <f t="shared" si="1"/>
        <v>-6.4260409999999997</v>
      </c>
      <c r="W16" s="30">
        <f t="shared" si="1"/>
        <v>-14.493161000000001</v>
      </c>
      <c r="X16" s="30">
        <f t="shared" si="1"/>
        <v>-14.493161000000001</v>
      </c>
      <c r="Y16" s="30">
        <f t="shared" si="1"/>
        <v>-14.493161000000001</v>
      </c>
      <c r="Z16" s="30">
        <f t="shared" si="1"/>
        <v>-20.549463000000003</v>
      </c>
      <c r="AA16" s="30">
        <f t="shared" si="1"/>
        <v>-20.549463000000003</v>
      </c>
      <c r="AB16" s="30">
        <f t="shared" si="1"/>
        <v>-20.549463000000003</v>
      </c>
      <c r="AC16" s="30">
        <f t="shared" si="1"/>
        <v>-7.4399499999999996</v>
      </c>
      <c r="AD16" s="30">
        <f t="shared" si="1"/>
        <v>-7.4399499999999996</v>
      </c>
      <c r="AE16" s="30">
        <f t="shared" si="1"/>
        <v>-7.4399499999999996</v>
      </c>
      <c r="AF16" s="30">
        <f t="shared" si="1"/>
        <v>-7.62</v>
      </c>
      <c r="AG16" s="30">
        <f t="shared" si="1"/>
        <v>-7.62</v>
      </c>
      <c r="AH16" s="30">
        <f t="shared" si="1"/>
        <v>-7.62</v>
      </c>
      <c r="AI16" s="30">
        <f t="shared" si="1"/>
        <v>-4.03</v>
      </c>
      <c r="AJ16" s="30">
        <f t="shared" si="1"/>
        <v>-4.03</v>
      </c>
      <c r="AK16" s="30">
        <f t="shared" ref="AK16:AW16" si="2">AK10-AK6</f>
        <v>0.48</v>
      </c>
      <c r="AL16" s="30">
        <f t="shared" ref="AL16:AQ16" si="3">AL10-AL6</f>
        <v>-8.07</v>
      </c>
      <c r="AM16" s="30">
        <f t="shared" si="3"/>
        <v>-8.07</v>
      </c>
      <c r="AN16" s="30">
        <f t="shared" si="3"/>
        <v>-8.07</v>
      </c>
      <c r="AO16" s="30">
        <f t="shared" si="3"/>
        <v>-4</v>
      </c>
      <c r="AP16" s="30">
        <f t="shared" si="3"/>
        <v>-4</v>
      </c>
      <c r="AQ16" s="30">
        <f t="shared" si="3"/>
        <v>-4</v>
      </c>
      <c r="AR16" s="30">
        <f t="shared" si="2"/>
        <v>-3.9</v>
      </c>
      <c r="AS16" s="30">
        <f t="shared" si="2"/>
        <v>-3.9</v>
      </c>
      <c r="AT16" s="30">
        <f t="shared" si="2"/>
        <v>-3.9</v>
      </c>
      <c r="AU16" s="30">
        <f t="shared" si="2"/>
        <v>0</v>
      </c>
      <c r="AV16" s="30">
        <f t="shared" si="2"/>
        <v>0</v>
      </c>
      <c r="AW16" s="30">
        <f t="shared" si="2"/>
        <v>0</v>
      </c>
      <c r="AY16" s="24">
        <v>2</v>
      </c>
      <c r="AZ16" s="25">
        <v>1</v>
      </c>
    </row>
    <row r="17" spans="1:52" ht="25" customHeight="1">
      <c r="A17" s="31" t="s">
        <v>17</v>
      </c>
      <c r="B17" s="30">
        <f>B9-B4</f>
        <v>-2.4414913</v>
      </c>
      <c r="C17" s="30">
        <f t="shared" ref="C17:AW17" si="4">C9-C4</f>
        <v>-2.4414913</v>
      </c>
      <c r="D17" s="30">
        <f t="shared" si="4"/>
        <v>-2.4414913</v>
      </c>
      <c r="E17" s="30">
        <f t="shared" si="4"/>
        <v>-2.6371585</v>
      </c>
      <c r="F17" s="30">
        <f t="shared" si="4"/>
        <v>-2.6371585</v>
      </c>
      <c r="G17" s="30">
        <f t="shared" si="4"/>
        <v>-2.6371585</v>
      </c>
      <c r="H17" s="30">
        <f t="shared" si="4"/>
        <v>-2.3470077000000003</v>
      </c>
      <c r="I17" s="30">
        <f t="shared" si="4"/>
        <v>-2.3470077000000003</v>
      </c>
      <c r="J17" s="30">
        <f t="shared" si="4"/>
        <v>-2.3470077000000003</v>
      </c>
      <c r="K17" s="30">
        <f t="shared" si="4"/>
        <v>-3.1556991000000001</v>
      </c>
      <c r="L17" s="30">
        <f t="shared" si="4"/>
        <v>-3.1556991000000001</v>
      </c>
      <c r="M17" s="30">
        <f t="shared" si="4"/>
        <v>-3.1556991000000001</v>
      </c>
      <c r="N17" s="30">
        <f t="shared" si="4"/>
        <v>-2.8653382999999999</v>
      </c>
      <c r="O17" s="30">
        <f t="shared" si="4"/>
        <v>-2.8653382999999999</v>
      </c>
      <c r="P17" s="30">
        <f t="shared" si="4"/>
        <v>-2.8653382999999999</v>
      </c>
      <c r="Q17" s="30">
        <f t="shared" si="4"/>
        <v>-3.4488947999999997</v>
      </c>
      <c r="R17" s="30">
        <f t="shared" si="4"/>
        <v>-3.4488947999999997</v>
      </c>
      <c r="S17" s="30">
        <f t="shared" si="4"/>
        <v>-3.4488947999999997</v>
      </c>
      <c r="T17" s="30">
        <f t="shared" si="4"/>
        <v>-3.8298188</v>
      </c>
      <c r="U17" s="30">
        <f t="shared" si="4"/>
        <v>-3.8298188</v>
      </c>
      <c r="V17" s="30">
        <f t="shared" si="4"/>
        <v>-3.8298188</v>
      </c>
      <c r="W17" s="30">
        <f t="shared" si="4"/>
        <v>-4.0834668000000001</v>
      </c>
      <c r="X17" s="30">
        <f t="shared" si="4"/>
        <v>-4.0834668000000001</v>
      </c>
      <c r="Y17" s="30">
        <f t="shared" si="4"/>
        <v>-4.0834668000000001</v>
      </c>
      <c r="Z17" s="30">
        <f t="shared" si="4"/>
        <v>-5.4775401000000006</v>
      </c>
      <c r="AA17" s="30">
        <f t="shared" si="4"/>
        <v>-5.4775401000000006</v>
      </c>
      <c r="AB17" s="30">
        <f t="shared" si="4"/>
        <v>-5.4775401000000006</v>
      </c>
      <c r="AC17" s="30">
        <f t="shared" si="4"/>
        <v>-0.58278200000000036</v>
      </c>
      <c r="AD17" s="30">
        <f t="shared" si="4"/>
        <v>-0.58278200000000036</v>
      </c>
      <c r="AE17" s="30">
        <f t="shared" si="4"/>
        <v>-0.58278200000000036</v>
      </c>
      <c r="AF17" s="30">
        <f t="shared" si="4"/>
        <v>-2.4300000000000002</v>
      </c>
      <c r="AG17" s="30">
        <f t="shared" si="4"/>
        <v>-2.4300000000000002</v>
      </c>
      <c r="AH17" s="30">
        <f t="shared" si="4"/>
        <v>-2.4300000000000002</v>
      </c>
      <c r="AI17" s="30">
        <f t="shared" si="4"/>
        <v>-2.69</v>
      </c>
      <c r="AJ17" s="30">
        <f t="shared" si="4"/>
        <v>-2.69</v>
      </c>
      <c r="AK17" s="30">
        <f t="shared" si="4"/>
        <v>-2.69</v>
      </c>
      <c r="AL17" s="30">
        <f t="shared" si="4"/>
        <v>-1.98</v>
      </c>
      <c r="AM17" s="30">
        <f t="shared" si="4"/>
        <v>-1.98</v>
      </c>
      <c r="AN17" s="30">
        <f t="shared" si="4"/>
        <v>-1.98</v>
      </c>
      <c r="AO17" s="30">
        <f t="shared" si="4"/>
        <v>-2.2999999999999998</v>
      </c>
      <c r="AP17" s="30">
        <f t="shared" si="4"/>
        <v>-2.2999999999999998</v>
      </c>
      <c r="AQ17" s="30">
        <f t="shared" si="4"/>
        <v>-2.2999999999999998</v>
      </c>
      <c r="AR17" s="30">
        <f t="shared" si="4"/>
        <v>-2.1</v>
      </c>
      <c r="AS17" s="30">
        <f t="shared" si="4"/>
        <v>-2.1</v>
      </c>
      <c r="AT17" s="30">
        <f t="shared" si="4"/>
        <v>-2.1</v>
      </c>
      <c r="AU17" s="30">
        <f t="shared" si="4"/>
        <v>0</v>
      </c>
      <c r="AV17" s="30">
        <f t="shared" si="4"/>
        <v>0</v>
      </c>
      <c r="AW17" s="30">
        <f t="shared" si="4"/>
        <v>0</v>
      </c>
      <c r="AY17" s="32">
        <v>0</v>
      </c>
      <c r="AZ17" s="33">
        <v>0</v>
      </c>
    </row>
    <row r="18" spans="1:52" ht="25" customHeight="1">
      <c r="A18" s="34" t="s">
        <v>47</v>
      </c>
      <c r="B18" s="30">
        <f>B10-B9</f>
        <v>4.4311290000000003</v>
      </c>
      <c r="C18" s="30">
        <f t="shared" ref="C18:AK18" si="5">C10-C9</f>
        <v>4.4311290000000003</v>
      </c>
      <c r="D18" s="30">
        <f t="shared" si="5"/>
        <v>4.4311290000000003</v>
      </c>
      <c r="E18" s="30">
        <f t="shared" si="5"/>
        <v>5.0986380000000002</v>
      </c>
      <c r="F18" s="30">
        <f t="shared" si="5"/>
        <v>5.0986380000000002</v>
      </c>
      <c r="G18" s="30">
        <f t="shared" si="5"/>
        <v>5.0986380000000002</v>
      </c>
      <c r="H18" s="30">
        <f t="shared" si="5"/>
        <v>5.3042879999999997</v>
      </c>
      <c r="I18" s="30">
        <f t="shared" si="5"/>
        <v>5.3042879999999997</v>
      </c>
      <c r="J18" s="30">
        <f t="shared" si="5"/>
        <v>5.3042879999999997</v>
      </c>
      <c r="K18" s="30">
        <f t="shared" si="5"/>
        <v>6.1138750000000002</v>
      </c>
      <c r="L18" s="30">
        <f t="shared" si="5"/>
        <v>6.1138750000000002</v>
      </c>
      <c r="M18" s="30">
        <f t="shared" si="5"/>
        <v>6.1138750000000002</v>
      </c>
      <c r="N18" s="30">
        <f t="shared" si="5"/>
        <v>6.7070869999999996</v>
      </c>
      <c r="O18" s="30">
        <f t="shared" si="5"/>
        <v>6.7070869999999996</v>
      </c>
      <c r="P18" s="30">
        <f t="shared" si="5"/>
        <v>6.7070869999999996</v>
      </c>
      <c r="Q18" s="30">
        <f t="shared" si="5"/>
        <v>6.6331170000000004</v>
      </c>
      <c r="R18" s="30">
        <f t="shared" si="5"/>
        <v>6.6331170000000004</v>
      </c>
      <c r="S18" s="30">
        <f t="shared" si="5"/>
        <v>6.6331170000000004</v>
      </c>
      <c r="T18" s="30">
        <f t="shared" si="5"/>
        <v>6.5445060000000002</v>
      </c>
      <c r="U18" s="30">
        <f t="shared" si="5"/>
        <v>6.5445060000000002</v>
      </c>
      <c r="V18" s="30">
        <f t="shared" si="5"/>
        <v>6.5445060000000002</v>
      </c>
      <c r="W18" s="30">
        <f t="shared" si="5"/>
        <v>6.2697319999999994</v>
      </c>
      <c r="X18" s="30">
        <f t="shared" si="5"/>
        <v>6.2697319999999994</v>
      </c>
      <c r="Y18" s="30">
        <f t="shared" si="5"/>
        <v>6.2697319999999994</v>
      </c>
      <c r="Z18" s="30">
        <f t="shared" si="5"/>
        <v>8.1560729999999992</v>
      </c>
      <c r="AA18" s="30">
        <f t="shared" si="5"/>
        <v>8.1560729999999992</v>
      </c>
      <c r="AB18" s="30">
        <f t="shared" si="5"/>
        <v>8.1560729999999992</v>
      </c>
      <c r="AC18" s="30">
        <f t="shared" si="5"/>
        <v>5.3699500000000002</v>
      </c>
      <c r="AD18" s="30">
        <f t="shared" si="5"/>
        <v>5.3699500000000002</v>
      </c>
      <c r="AE18" s="30">
        <f t="shared" si="5"/>
        <v>5.3699500000000002</v>
      </c>
      <c r="AF18" s="30">
        <f t="shared" si="5"/>
        <v>4.88</v>
      </c>
      <c r="AG18" s="30">
        <f t="shared" si="5"/>
        <v>4.88</v>
      </c>
      <c r="AH18" s="30">
        <f t="shared" si="5"/>
        <v>4.88</v>
      </c>
      <c r="AI18" s="30">
        <f t="shared" si="5"/>
        <v>4.51</v>
      </c>
      <c r="AJ18" s="30">
        <f t="shared" si="5"/>
        <v>4.51</v>
      </c>
      <c r="AK18" s="30">
        <f t="shared" si="5"/>
        <v>4.51</v>
      </c>
      <c r="AL18" s="30">
        <f t="shared" ref="AL18:AQ18" si="6">AL10-AL9</f>
        <v>4.55</v>
      </c>
      <c r="AM18" s="30">
        <f t="shared" si="6"/>
        <v>4.55</v>
      </c>
      <c r="AN18" s="30">
        <f t="shared" si="6"/>
        <v>4.55</v>
      </c>
      <c r="AO18" s="30">
        <f t="shared" si="6"/>
        <v>5.0999999999999996</v>
      </c>
      <c r="AP18" s="30">
        <f t="shared" si="6"/>
        <v>5.0999999999999996</v>
      </c>
      <c r="AQ18" s="30">
        <f t="shared" si="6"/>
        <v>5.0999999999999996</v>
      </c>
      <c r="AR18" s="30">
        <f t="shared" ref="AR18:AW18" si="7">AR10-AR9</f>
        <v>4.5999999999999996</v>
      </c>
      <c r="AS18" s="30">
        <f t="shared" si="7"/>
        <v>4.5999999999999996</v>
      </c>
      <c r="AT18" s="30">
        <f t="shared" si="7"/>
        <v>4.5999999999999996</v>
      </c>
      <c r="AU18" s="30">
        <f t="shared" si="7"/>
        <v>0</v>
      </c>
      <c r="AV18" s="30">
        <f t="shared" si="7"/>
        <v>0</v>
      </c>
      <c r="AW18" s="30">
        <f t="shared" si="7"/>
        <v>0</v>
      </c>
      <c r="AY18" s="24">
        <v>-2</v>
      </c>
      <c r="AZ18" s="35">
        <v>-1</v>
      </c>
    </row>
    <row r="19" spans="1:52" ht="25" customHeight="1">
      <c r="A19" s="34" t="s">
        <v>14</v>
      </c>
      <c r="B19" s="30">
        <f>B10-B5</f>
        <v>-1.0289320000000002</v>
      </c>
      <c r="C19" s="30">
        <f t="shared" ref="C19:AW19" si="8">C10-C5</f>
        <v>-1.0289320000000002</v>
      </c>
      <c r="D19" s="30">
        <f t="shared" si="8"/>
        <v>-1.0289320000000002</v>
      </c>
      <c r="E19" s="30">
        <f t="shared" si="8"/>
        <v>-2.2435970000000003</v>
      </c>
      <c r="F19" s="30">
        <f t="shared" si="8"/>
        <v>-2.2435970000000003</v>
      </c>
      <c r="G19" s="30">
        <f t="shared" si="8"/>
        <v>-2.2435970000000003</v>
      </c>
      <c r="H19" s="30">
        <f t="shared" si="8"/>
        <v>-2.048489</v>
      </c>
      <c r="I19" s="30">
        <f t="shared" si="8"/>
        <v>-2.048489</v>
      </c>
      <c r="J19" s="30">
        <f t="shared" si="8"/>
        <v>-2.048489</v>
      </c>
      <c r="K19" s="30">
        <f t="shared" si="8"/>
        <v>-1.7138869999999997</v>
      </c>
      <c r="L19" s="30">
        <f t="shared" si="8"/>
        <v>-1.7138869999999997</v>
      </c>
      <c r="M19" s="30">
        <f t="shared" si="8"/>
        <v>-1.7138869999999997</v>
      </c>
      <c r="N19" s="30">
        <f t="shared" si="8"/>
        <v>-1.1461839999999994</v>
      </c>
      <c r="O19" s="30">
        <f t="shared" si="8"/>
        <v>-1.1461839999999994</v>
      </c>
      <c r="P19" s="30">
        <f t="shared" si="8"/>
        <v>-1.1461839999999994</v>
      </c>
      <c r="Q19" s="30">
        <f t="shared" si="8"/>
        <v>-1.7069069999999997</v>
      </c>
      <c r="R19" s="30">
        <f t="shared" si="8"/>
        <v>-1.7069069999999997</v>
      </c>
      <c r="S19" s="30">
        <f t="shared" si="8"/>
        <v>-1.7069069999999997</v>
      </c>
      <c r="T19" s="30">
        <f t="shared" si="8"/>
        <v>-2.272535</v>
      </c>
      <c r="U19" s="30">
        <f t="shared" si="8"/>
        <v>-2.272535</v>
      </c>
      <c r="V19" s="30">
        <f t="shared" si="8"/>
        <v>-2.272535</v>
      </c>
      <c r="W19" s="30">
        <f t="shared" si="8"/>
        <v>-2.85636</v>
      </c>
      <c r="X19" s="30">
        <f t="shared" si="8"/>
        <v>-2.85636</v>
      </c>
      <c r="Y19" s="30">
        <f t="shared" si="8"/>
        <v>-2.85636</v>
      </c>
      <c r="Z19" s="30">
        <f t="shared" si="8"/>
        <v>-2.31006</v>
      </c>
      <c r="AA19" s="30">
        <f t="shared" si="8"/>
        <v>-2.31006</v>
      </c>
      <c r="AB19" s="30">
        <f t="shared" si="8"/>
        <v>-2.31006</v>
      </c>
      <c r="AC19" s="30">
        <f t="shared" si="8"/>
        <v>-2.221441</v>
      </c>
      <c r="AD19" s="30">
        <f t="shared" si="8"/>
        <v>-2.221441</v>
      </c>
      <c r="AE19" s="30">
        <f t="shared" si="8"/>
        <v>-2.221441</v>
      </c>
      <c r="AF19" s="30">
        <f t="shared" si="8"/>
        <v>-3.2097170000000004</v>
      </c>
      <c r="AG19" s="30">
        <f t="shared" si="8"/>
        <v>-3.2097170000000004</v>
      </c>
      <c r="AH19" s="30">
        <f t="shared" si="8"/>
        <v>-3.2097170000000004</v>
      </c>
      <c r="AI19" s="30">
        <f t="shared" si="8"/>
        <v>-3.25</v>
      </c>
      <c r="AJ19" s="30">
        <f t="shared" si="8"/>
        <v>-3.25</v>
      </c>
      <c r="AK19" s="30">
        <f t="shared" si="8"/>
        <v>-3.25</v>
      </c>
      <c r="AL19" s="30">
        <f t="shared" ref="AL19:AQ19" si="9">AL10-AL5</f>
        <v>-4.0699999999999994</v>
      </c>
      <c r="AM19" s="30">
        <f t="shared" si="9"/>
        <v>-4.0699999999999994</v>
      </c>
      <c r="AN19" s="30">
        <f t="shared" si="9"/>
        <v>-4.0699999999999994</v>
      </c>
      <c r="AO19" s="30">
        <f t="shared" si="9"/>
        <v>-3.5</v>
      </c>
      <c r="AP19" s="30">
        <f t="shared" si="9"/>
        <v>-3.5</v>
      </c>
      <c r="AQ19" s="30">
        <f t="shared" si="9"/>
        <v>-3.5</v>
      </c>
      <c r="AR19" s="30">
        <f t="shared" si="8"/>
        <v>-3.9</v>
      </c>
      <c r="AS19" s="30">
        <f t="shared" si="8"/>
        <v>-3.9</v>
      </c>
      <c r="AT19" s="30">
        <f t="shared" si="8"/>
        <v>-3.9</v>
      </c>
      <c r="AU19" s="30">
        <f t="shared" si="8"/>
        <v>0</v>
      </c>
      <c r="AV19" s="30">
        <f t="shared" si="8"/>
        <v>0</v>
      </c>
      <c r="AW19" s="30">
        <f t="shared" si="8"/>
        <v>0</v>
      </c>
      <c r="AY19" s="24">
        <v>-4</v>
      </c>
      <c r="AZ19" s="35">
        <v>-2</v>
      </c>
    </row>
    <row r="20" spans="1:52" ht="25" customHeight="1">
      <c r="A20" s="34" t="s">
        <v>48</v>
      </c>
      <c r="B20" s="30">
        <f t="shared" ref="B20:AW20" si="10">B10-B6</f>
        <v>-5.2998450000000004</v>
      </c>
      <c r="C20" s="30">
        <f t="shared" si="10"/>
        <v>-5.2998450000000004</v>
      </c>
      <c r="D20" s="30">
        <f t="shared" si="10"/>
        <v>-5.2998450000000004</v>
      </c>
      <c r="E20" s="30">
        <f t="shared" si="10"/>
        <v>-5.6455480000000007</v>
      </c>
      <c r="F20" s="30">
        <f t="shared" si="10"/>
        <v>-5.6455480000000007</v>
      </c>
      <c r="G20" s="30">
        <f t="shared" si="10"/>
        <v>-5.6455480000000007</v>
      </c>
      <c r="H20" s="30">
        <f t="shared" si="10"/>
        <v>-5.8951579999999995</v>
      </c>
      <c r="I20" s="30">
        <f t="shared" si="10"/>
        <v>-5.8951579999999995</v>
      </c>
      <c r="J20" s="30">
        <f t="shared" si="10"/>
        <v>-5.8951579999999995</v>
      </c>
      <c r="K20" s="30">
        <f t="shared" si="10"/>
        <v>2.0166979999999999</v>
      </c>
      <c r="L20" s="30">
        <f t="shared" si="10"/>
        <v>2.0166979999999999</v>
      </c>
      <c r="M20" s="30">
        <f t="shared" si="10"/>
        <v>2.0166979999999999</v>
      </c>
      <c r="N20" s="30">
        <f t="shared" si="10"/>
        <v>-10.926655</v>
      </c>
      <c r="O20" s="30">
        <f t="shared" si="10"/>
        <v>-10.926655</v>
      </c>
      <c r="P20" s="30">
        <f t="shared" si="10"/>
        <v>-10.926655</v>
      </c>
      <c r="Q20" s="30">
        <f t="shared" si="10"/>
        <v>-8.3667069999999999</v>
      </c>
      <c r="R20" s="30">
        <f t="shared" si="10"/>
        <v>-8.3667069999999999</v>
      </c>
      <c r="S20" s="30">
        <f t="shared" si="10"/>
        <v>-8.3667069999999999</v>
      </c>
      <c r="T20" s="30">
        <f t="shared" si="10"/>
        <v>0.11846500000000004</v>
      </c>
      <c r="U20" s="30">
        <f t="shared" si="10"/>
        <v>0.11846500000000004</v>
      </c>
      <c r="V20" s="30">
        <f t="shared" si="10"/>
        <v>0.11846500000000004</v>
      </c>
      <c r="W20" s="30">
        <f t="shared" si="10"/>
        <v>-8.2234289999999994</v>
      </c>
      <c r="X20" s="30">
        <f t="shared" si="10"/>
        <v>-8.2234289999999994</v>
      </c>
      <c r="Y20" s="30">
        <f t="shared" si="10"/>
        <v>-8.2234289999999994</v>
      </c>
      <c r="Z20" s="30">
        <f t="shared" si="10"/>
        <v>-12.39339</v>
      </c>
      <c r="AA20" s="30">
        <f t="shared" si="10"/>
        <v>-12.39339</v>
      </c>
      <c r="AB20" s="30">
        <f t="shared" si="10"/>
        <v>-12.39339</v>
      </c>
      <c r="AC20" s="30">
        <f t="shared" si="10"/>
        <v>-2.0699999999999998</v>
      </c>
      <c r="AD20" s="30">
        <f t="shared" si="10"/>
        <v>-2.0699999999999998</v>
      </c>
      <c r="AE20" s="30">
        <f t="shared" si="10"/>
        <v>-2.0699999999999998</v>
      </c>
      <c r="AF20" s="30">
        <f t="shared" si="10"/>
        <v>-2.74</v>
      </c>
      <c r="AG20" s="30">
        <f t="shared" si="10"/>
        <v>-2.74</v>
      </c>
      <c r="AH20" s="30">
        <f t="shared" si="10"/>
        <v>-2.74</v>
      </c>
      <c r="AI20" s="30">
        <f t="shared" si="10"/>
        <v>0.48</v>
      </c>
      <c r="AJ20" s="30">
        <f t="shared" si="10"/>
        <v>0.48</v>
      </c>
      <c r="AK20" s="30">
        <f t="shared" si="10"/>
        <v>0.48</v>
      </c>
      <c r="AL20" s="30">
        <f t="shared" ref="AL20:AQ20" si="11">AL10-AL6</f>
        <v>-8.07</v>
      </c>
      <c r="AM20" s="30">
        <f t="shared" si="11"/>
        <v>-8.07</v>
      </c>
      <c r="AN20" s="30">
        <f t="shared" si="11"/>
        <v>-8.07</v>
      </c>
      <c r="AO20" s="30">
        <f t="shared" si="11"/>
        <v>-4</v>
      </c>
      <c r="AP20" s="30">
        <f t="shared" si="11"/>
        <v>-4</v>
      </c>
      <c r="AQ20" s="30">
        <f t="shared" si="11"/>
        <v>-4</v>
      </c>
      <c r="AR20" s="30">
        <f t="shared" si="10"/>
        <v>-3.9</v>
      </c>
      <c r="AS20" s="30">
        <f t="shared" si="10"/>
        <v>-3.9</v>
      </c>
      <c r="AT20" s="30">
        <f t="shared" si="10"/>
        <v>-3.9</v>
      </c>
      <c r="AU20" s="30">
        <f t="shared" si="10"/>
        <v>0</v>
      </c>
      <c r="AV20" s="30">
        <f t="shared" si="10"/>
        <v>0</v>
      </c>
      <c r="AW20" s="30">
        <f t="shared" si="10"/>
        <v>0</v>
      </c>
      <c r="AY20" s="24">
        <v>-6</v>
      </c>
      <c r="AZ20" s="35">
        <v>-3</v>
      </c>
    </row>
    <row r="21" spans="1:52" ht="25" customHeight="1">
      <c r="A21" s="34" t="s">
        <v>49</v>
      </c>
      <c r="B21" s="30">
        <f>B10-B8</f>
        <v>3.9932270000000001</v>
      </c>
      <c r="C21" s="30">
        <f t="shared" ref="C21:AW21" si="12">C10-C8</f>
        <v>3.9932270000000001</v>
      </c>
      <c r="D21" s="30">
        <f t="shared" si="12"/>
        <v>3.9932270000000001</v>
      </c>
      <c r="E21" s="30">
        <f t="shared" si="12"/>
        <v>6.7148159999999999</v>
      </c>
      <c r="F21" s="30">
        <f t="shared" si="12"/>
        <v>6.7148159999999999</v>
      </c>
      <c r="G21" s="30">
        <f t="shared" si="12"/>
        <v>6.7148159999999999</v>
      </c>
      <c r="H21" s="30">
        <f t="shared" si="12"/>
        <v>4.4297240000000002</v>
      </c>
      <c r="I21" s="30">
        <f t="shared" si="12"/>
        <v>4.4297240000000002</v>
      </c>
      <c r="J21" s="30">
        <f t="shared" si="12"/>
        <v>4.4297240000000002</v>
      </c>
      <c r="K21" s="30">
        <f t="shared" si="12"/>
        <v>6.7390129999999999</v>
      </c>
      <c r="L21" s="30">
        <f t="shared" si="12"/>
        <v>6.7390129999999999</v>
      </c>
      <c r="M21" s="30">
        <f t="shared" si="12"/>
        <v>6.7390129999999999</v>
      </c>
      <c r="N21" s="30">
        <f t="shared" si="12"/>
        <v>6.0177550000000002</v>
      </c>
      <c r="O21" s="30">
        <f t="shared" si="12"/>
        <v>6.0177550000000002</v>
      </c>
      <c r="P21" s="30">
        <f t="shared" si="12"/>
        <v>6.0177550000000002</v>
      </c>
      <c r="Q21" s="30">
        <f t="shared" si="12"/>
        <v>5.9639229999999994</v>
      </c>
      <c r="R21" s="30">
        <f t="shared" si="12"/>
        <v>5.9639229999999994</v>
      </c>
      <c r="S21" s="30">
        <f t="shared" si="12"/>
        <v>5.9639229999999994</v>
      </c>
      <c r="T21" s="30">
        <f t="shared" si="12"/>
        <v>0.19363700000000006</v>
      </c>
      <c r="U21" s="30">
        <f t="shared" si="12"/>
        <v>0.19363700000000006</v>
      </c>
      <c r="V21" s="30">
        <f t="shared" si="12"/>
        <v>0.19363700000000006</v>
      </c>
      <c r="W21" s="30">
        <f t="shared" si="12"/>
        <v>5.7357909999999999</v>
      </c>
      <c r="X21" s="30">
        <f t="shared" si="12"/>
        <v>5.7357909999999999</v>
      </c>
      <c r="Y21" s="30">
        <f t="shared" si="12"/>
        <v>5.7357909999999999</v>
      </c>
      <c r="Z21" s="30">
        <f t="shared" si="12"/>
        <v>5.4</v>
      </c>
      <c r="AA21" s="30">
        <f t="shared" si="12"/>
        <v>5.4</v>
      </c>
      <c r="AB21" s="30">
        <f t="shared" si="12"/>
        <v>5.4</v>
      </c>
      <c r="AC21" s="30">
        <f t="shared" si="12"/>
        <v>5.33</v>
      </c>
      <c r="AD21" s="30">
        <f t="shared" si="12"/>
        <v>5.33</v>
      </c>
      <c r="AE21" s="30">
        <f t="shared" si="12"/>
        <v>5.33</v>
      </c>
      <c r="AF21" s="30">
        <f t="shared" si="12"/>
        <v>4.43</v>
      </c>
      <c r="AG21" s="30">
        <f t="shared" si="12"/>
        <v>4.43</v>
      </c>
      <c r="AH21" s="30">
        <f t="shared" si="12"/>
        <v>4.43</v>
      </c>
      <c r="AI21" s="30">
        <f t="shared" si="12"/>
        <v>5.24</v>
      </c>
      <c r="AJ21" s="30">
        <f t="shared" si="12"/>
        <v>5.24</v>
      </c>
      <c r="AK21" s="30">
        <f t="shared" si="12"/>
        <v>5.24</v>
      </c>
      <c r="AL21" s="30">
        <f t="shared" ref="AL21:AQ21" si="13">AL10-AL8</f>
        <v>4.53</v>
      </c>
      <c r="AM21" s="30">
        <f t="shared" si="13"/>
        <v>4.53</v>
      </c>
      <c r="AN21" s="30">
        <f t="shared" si="13"/>
        <v>4.53</v>
      </c>
      <c r="AO21" s="30">
        <f t="shared" si="13"/>
        <v>4.5</v>
      </c>
      <c r="AP21" s="30">
        <f t="shared" si="13"/>
        <v>4.5</v>
      </c>
      <c r="AQ21" s="30">
        <f t="shared" si="13"/>
        <v>4.5</v>
      </c>
      <c r="AR21" s="30">
        <f t="shared" si="12"/>
        <v>3.9</v>
      </c>
      <c r="AS21" s="30">
        <f t="shared" si="12"/>
        <v>3.9</v>
      </c>
      <c r="AT21" s="30">
        <f t="shared" si="12"/>
        <v>3.9</v>
      </c>
      <c r="AU21" s="30">
        <f t="shared" si="12"/>
        <v>0</v>
      </c>
      <c r="AV21" s="30">
        <f t="shared" si="12"/>
        <v>0</v>
      </c>
      <c r="AW21" s="30">
        <f t="shared" si="12"/>
        <v>0</v>
      </c>
      <c r="AY21" s="24">
        <v>-7</v>
      </c>
      <c r="AZ21" s="35">
        <v>-4</v>
      </c>
    </row>
    <row r="22" spans="1:52" ht="25" customHeight="1">
      <c r="A22" s="34" t="s">
        <v>15</v>
      </c>
      <c r="B22" s="30">
        <f>B10-B4</f>
        <v>1.9896376999999998</v>
      </c>
      <c r="C22" s="30">
        <f t="shared" ref="C22:AK22" si="14">C10-C4</f>
        <v>1.9896376999999998</v>
      </c>
      <c r="D22" s="30">
        <f t="shared" si="14"/>
        <v>1.9896376999999998</v>
      </c>
      <c r="E22" s="30">
        <f t="shared" si="14"/>
        <v>2.4614794999999998</v>
      </c>
      <c r="F22" s="30">
        <f t="shared" si="14"/>
        <v>2.4614794999999998</v>
      </c>
      <c r="G22" s="30">
        <f t="shared" si="14"/>
        <v>2.4614794999999998</v>
      </c>
      <c r="H22" s="30">
        <f t="shared" si="14"/>
        <v>2.9572802999999999</v>
      </c>
      <c r="I22" s="30">
        <f t="shared" si="14"/>
        <v>2.9572802999999999</v>
      </c>
      <c r="J22" s="30">
        <f t="shared" si="14"/>
        <v>2.9572802999999999</v>
      </c>
      <c r="K22" s="30">
        <f t="shared" si="14"/>
        <v>2.9581759000000001</v>
      </c>
      <c r="L22" s="30">
        <f t="shared" si="14"/>
        <v>2.9581759000000001</v>
      </c>
      <c r="M22" s="30">
        <f t="shared" si="14"/>
        <v>2.9581759000000001</v>
      </c>
      <c r="N22" s="30">
        <f t="shared" si="14"/>
        <v>3.8417487000000001</v>
      </c>
      <c r="O22" s="30">
        <f t="shared" si="14"/>
        <v>3.8417487000000001</v>
      </c>
      <c r="P22" s="30">
        <f t="shared" si="14"/>
        <v>3.8417487000000001</v>
      </c>
      <c r="Q22" s="30">
        <f t="shared" si="14"/>
        <v>3.1842222000000002</v>
      </c>
      <c r="R22" s="30">
        <f t="shared" si="14"/>
        <v>3.1842222000000002</v>
      </c>
      <c r="S22" s="30">
        <f t="shared" si="14"/>
        <v>3.1842222000000002</v>
      </c>
      <c r="T22" s="30">
        <f t="shared" si="14"/>
        <v>2.7146872000000002</v>
      </c>
      <c r="U22" s="30">
        <f t="shared" si="14"/>
        <v>2.7146872000000002</v>
      </c>
      <c r="V22" s="30">
        <f t="shared" si="14"/>
        <v>2.7146872000000002</v>
      </c>
      <c r="W22" s="30">
        <f t="shared" si="14"/>
        <v>2.1862651999999998</v>
      </c>
      <c r="X22" s="30">
        <f t="shared" si="14"/>
        <v>2.1862651999999998</v>
      </c>
      <c r="Y22" s="30">
        <f t="shared" si="14"/>
        <v>2.1862651999999998</v>
      </c>
      <c r="Z22" s="30">
        <f t="shared" si="14"/>
        <v>2.6785329</v>
      </c>
      <c r="AA22" s="30">
        <f t="shared" si="14"/>
        <v>2.6785329</v>
      </c>
      <c r="AB22" s="30">
        <f t="shared" si="14"/>
        <v>2.6785329</v>
      </c>
      <c r="AC22" s="30">
        <f t="shared" si="14"/>
        <v>4.7871679999999994</v>
      </c>
      <c r="AD22" s="30">
        <f t="shared" si="14"/>
        <v>4.7871679999999994</v>
      </c>
      <c r="AE22" s="30">
        <f t="shared" si="14"/>
        <v>4.7871679999999994</v>
      </c>
      <c r="AF22" s="30">
        <f t="shared" si="14"/>
        <v>2.4500000000000002</v>
      </c>
      <c r="AG22" s="30">
        <f t="shared" si="14"/>
        <v>2.4500000000000002</v>
      </c>
      <c r="AH22" s="30">
        <f t="shared" si="14"/>
        <v>2.4500000000000002</v>
      </c>
      <c r="AI22" s="30">
        <f t="shared" si="14"/>
        <v>1.8199999999999998</v>
      </c>
      <c r="AJ22" s="30">
        <f t="shared" si="14"/>
        <v>1.8199999999999998</v>
      </c>
      <c r="AK22" s="30">
        <f t="shared" si="14"/>
        <v>1.8199999999999998</v>
      </c>
      <c r="AL22" s="30">
        <f t="shared" ref="AL22:AQ22" si="15">AL10-AL4</f>
        <v>2.57</v>
      </c>
      <c r="AM22" s="30">
        <f t="shared" si="15"/>
        <v>2.57</v>
      </c>
      <c r="AN22" s="30">
        <f t="shared" si="15"/>
        <v>2.57</v>
      </c>
      <c r="AO22" s="30">
        <f t="shared" si="15"/>
        <v>2.8</v>
      </c>
      <c r="AP22" s="30">
        <f t="shared" si="15"/>
        <v>2.8</v>
      </c>
      <c r="AQ22" s="30">
        <f t="shared" si="15"/>
        <v>2.8</v>
      </c>
      <c r="AR22" s="30">
        <f t="shared" ref="AR22:AW22" si="16">AR10-AR4</f>
        <v>2.5</v>
      </c>
      <c r="AS22" s="30">
        <f t="shared" si="16"/>
        <v>2.5</v>
      </c>
      <c r="AT22" s="30">
        <f t="shared" si="16"/>
        <v>2.5</v>
      </c>
      <c r="AU22" s="30">
        <f t="shared" si="16"/>
        <v>0</v>
      </c>
      <c r="AV22" s="30">
        <f t="shared" si="16"/>
        <v>0</v>
      </c>
      <c r="AW22" s="30">
        <f t="shared" si="16"/>
        <v>0</v>
      </c>
      <c r="AY22" s="24">
        <v>-8</v>
      </c>
      <c r="AZ22" s="35">
        <v>-5</v>
      </c>
    </row>
    <row r="23" spans="1:52" ht="25" customHeight="1">
      <c r="A23" s="34" t="s">
        <v>12</v>
      </c>
      <c r="B23" s="30">
        <v>0</v>
      </c>
      <c r="C23" s="30">
        <v>0</v>
      </c>
      <c r="D23" s="30">
        <v>0</v>
      </c>
      <c r="E23" s="30">
        <v>0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30">
        <v>0</v>
      </c>
      <c r="T23" s="30">
        <v>0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0</v>
      </c>
      <c r="AB23" s="30">
        <v>0</v>
      </c>
      <c r="AC23" s="30">
        <f t="shared" ref="AC23:AK23" si="17">AC10-AC3</f>
        <v>4.58</v>
      </c>
      <c r="AD23" s="30">
        <f t="shared" si="17"/>
        <v>4.58</v>
      </c>
      <c r="AE23" s="30">
        <f t="shared" si="17"/>
        <v>4.58</v>
      </c>
      <c r="AF23" s="30">
        <f t="shared" si="17"/>
        <v>4.49</v>
      </c>
      <c r="AG23" s="30">
        <f t="shared" si="17"/>
        <v>4.49</v>
      </c>
      <c r="AH23" s="30">
        <f t="shared" si="17"/>
        <v>4.49</v>
      </c>
      <c r="AI23" s="30">
        <f t="shared" si="17"/>
        <v>4.8499999999999996</v>
      </c>
      <c r="AJ23" s="30">
        <f t="shared" si="17"/>
        <v>4.8499999999999996</v>
      </c>
      <c r="AK23" s="30">
        <f t="shared" si="17"/>
        <v>4.8499999999999996</v>
      </c>
      <c r="AL23" s="30">
        <f t="shared" ref="AL23:AQ23" si="18">AL10-AL3</f>
        <v>5.38</v>
      </c>
      <c r="AM23" s="30">
        <f t="shared" si="18"/>
        <v>5.38</v>
      </c>
      <c r="AN23" s="30">
        <f t="shared" si="18"/>
        <v>5.38</v>
      </c>
      <c r="AO23" s="30">
        <f t="shared" si="18"/>
        <v>5.6</v>
      </c>
      <c r="AP23" s="30">
        <f t="shared" si="18"/>
        <v>5.6</v>
      </c>
      <c r="AQ23" s="30">
        <f t="shared" si="18"/>
        <v>5.6</v>
      </c>
      <c r="AR23" s="30">
        <f t="shared" ref="AR23:AW23" si="19">AR10-AR3</f>
        <v>5</v>
      </c>
      <c r="AS23" s="30">
        <f t="shared" si="19"/>
        <v>5</v>
      </c>
      <c r="AT23" s="30">
        <f t="shared" si="19"/>
        <v>5</v>
      </c>
      <c r="AU23" s="30">
        <f t="shared" si="19"/>
        <v>0</v>
      </c>
      <c r="AV23" s="30">
        <f t="shared" si="19"/>
        <v>0</v>
      </c>
      <c r="AW23" s="30">
        <f t="shared" si="19"/>
        <v>0</v>
      </c>
      <c r="AY23" s="24">
        <v>-9</v>
      </c>
      <c r="AZ23" s="35">
        <v>-6</v>
      </c>
    </row>
    <row r="24" spans="1:52" ht="25" customHeight="1">
      <c r="A24" s="36" t="s">
        <v>50</v>
      </c>
      <c r="B24" s="30">
        <f>B10-B7</f>
        <v>8.5704209999999996</v>
      </c>
      <c r="C24" s="30">
        <f t="shared" ref="C24:AK24" si="20">C10-C7</f>
        <v>8.5704209999999996</v>
      </c>
      <c r="D24" s="30">
        <f t="shared" si="20"/>
        <v>8.5704209999999996</v>
      </c>
      <c r="E24" s="30">
        <f t="shared" si="20"/>
        <v>7.6310669999999998</v>
      </c>
      <c r="F24" s="30">
        <f t="shared" si="20"/>
        <v>7.6310669999999998</v>
      </c>
      <c r="G24" s="30">
        <f t="shared" si="20"/>
        <v>7.6310669999999998</v>
      </c>
      <c r="H24" s="30">
        <f t="shared" si="20"/>
        <v>8.2499830000000003</v>
      </c>
      <c r="I24" s="30">
        <f t="shared" si="20"/>
        <v>8.2499830000000003</v>
      </c>
      <c r="J24" s="30">
        <f t="shared" si="20"/>
        <v>8.2499830000000003</v>
      </c>
      <c r="K24" s="30">
        <f t="shared" si="20"/>
        <v>8.2161660000000012</v>
      </c>
      <c r="L24" s="30">
        <f t="shared" si="20"/>
        <v>8.2161660000000012</v>
      </c>
      <c r="M24" s="30">
        <f t="shared" si="20"/>
        <v>8.2161660000000012</v>
      </c>
      <c r="N24" s="30">
        <f t="shared" si="20"/>
        <v>8.3978850000000005</v>
      </c>
      <c r="O24" s="30">
        <f t="shared" si="20"/>
        <v>8.3978850000000005</v>
      </c>
      <c r="P24" s="30">
        <f t="shared" si="20"/>
        <v>8.3978850000000005</v>
      </c>
      <c r="Q24" s="30">
        <f t="shared" si="20"/>
        <v>7.8575370000000007</v>
      </c>
      <c r="R24" s="30">
        <f t="shared" si="20"/>
        <v>7.8575370000000007</v>
      </c>
      <c r="S24" s="30">
        <f t="shared" si="20"/>
        <v>7.8575370000000007</v>
      </c>
      <c r="T24" s="30">
        <f t="shared" si="20"/>
        <v>6.8532150000000005</v>
      </c>
      <c r="U24" s="30">
        <f t="shared" si="20"/>
        <v>6.8532150000000005</v>
      </c>
      <c r="V24" s="30">
        <f t="shared" si="20"/>
        <v>6.8532150000000005</v>
      </c>
      <c r="W24" s="30">
        <f t="shared" si="20"/>
        <v>5.5944330000000004</v>
      </c>
      <c r="X24" s="30">
        <f t="shared" si="20"/>
        <v>5.5944330000000004</v>
      </c>
      <c r="Y24" s="30">
        <f t="shared" si="20"/>
        <v>5.5944330000000004</v>
      </c>
      <c r="Z24" s="30">
        <f t="shared" si="20"/>
        <v>6.0436079999999999</v>
      </c>
      <c r="AA24" s="30">
        <f t="shared" si="20"/>
        <v>6.0436079999999999</v>
      </c>
      <c r="AB24" s="30">
        <f t="shared" si="20"/>
        <v>6.0436079999999999</v>
      </c>
      <c r="AC24" s="30">
        <f t="shared" si="20"/>
        <v>5.393688</v>
      </c>
      <c r="AD24" s="30">
        <f t="shared" si="20"/>
        <v>5.393688</v>
      </c>
      <c r="AE24" s="30">
        <f t="shared" si="20"/>
        <v>5.393688</v>
      </c>
      <c r="AF24" s="30">
        <f t="shared" si="20"/>
        <v>-2.74</v>
      </c>
      <c r="AG24" s="30">
        <f t="shared" si="20"/>
        <v>5.177225</v>
      </c>
      <c r="AH24" s="30">
        <f t="shared" si="20"/>
        <v>5.177225</v>
      </c>
      <c r="AI24" s="30">
        <f t="shared" si="20"/>
        <v>5.62</v>
      </c>
      <c r="AJ24" s="30">
        <f t="shared" si="20"/>
        <v>5.62</v>
      </c>
      <c r="AK24" s="30">
        <f t="shared" si="20"/>
        <v>5.62</v>
      </c>
      <c r="AL24" s="30">
        <f t="shared" ref="AL24:AQ24" si="21">AL10-AL7</f>
        <v>5.65</v>
      </c>
      <c r="AM24" s="30">
        <f t="shared" si="21"/>
        <v>5.65</v>
      </c>
      <c r="AN24" s="30">
        <f t="shared" si="21"/>
        <v>5.65</v>
      </c>
      <c r="AO24" s="30">
        <f t="shared" si="21"/>
        <v>5.8999999999999995</v>
      </c>
      <c r="AP24" s="30">
        <f t="shared" si="21"/>
        <v>5.8999999999999995</v>
      </c>
      <c r="AQ24" s="30">
        <f t="shared" si="21"/>
        <v>5.8999999999999995</v>
      </c>
      <c r="AR24" s="30">
        <f t="shared" ref="AR24:AW24" si="22">AR10-AR7</f>
        <v>5.35</v>
      </c>
      <c r="AS24" s="30">
        <f t="shared" si="22"/>
        <v>5.35</v>
      </c>
      <c r="AT24" s="30">
        <f t="shared" si="22"/>
        <v>5.35</v>
      </c>
      <c r="AU24" s="30">
        <f t="shared" si="22"/>
        <v>0</v>
      </c>
      <c r="AV24" s="30">
        <f t="shared" si="22"/>
        <v>0</v>
      </c>
      <c r="AW24" s="30">
        <f t="shared" si="22"/>
        <v>0</v>
      </c>
      <c r="AY24" s="24">
        <v>-10</v>
      </c>
      <c r="AZ24" s="35">
        <v>-7</v>
      </c>
    </row>
    <row r="25" spans="1:52" ht="25" customHeight="1">
      <c r="A25" s="37" t="s">
        <v>51</v>
      </c>
      <c r="B25" s="30">
        <f>B8-B9</f>
        <v>0.43790199999999979</v>
      </c>
      <c r="C25" s="30">
        <f t="shared" ref="C25:AK25" si="23">C8-C9</f>
        <v>0.43790199999999979</v>
      </c>
      <c r="D25" s="30">
        <f t="shared" si="23"/>
        <v>0.43790199999999979</v>
      </c>
      <c r="E25" s="30">
        <f t="shared" si="23"/>
        <v>-1.6161780000000001</v>
      </c>
      <c r="F25" s="30">
        <f t="shared" si="23"/>
        <v>-1.6161780000000001</v>
      </c>
      <c r="G25" s="30">
        <f t="shared" si="23"/>
        <v>-1.6161780000000001</v>
      </c>
      <c r="H25" s="30">
        <f t="shared" si="23"/>
        <v>0.8745639999999999</v>
      </c>
      <c r="I25" s="30">
        <f t="shared" si="23"/>
        <v>0.8745639999999999</v>
      </c>
      <c r="J25" s="30">
        <f t="shared" si="23"/>
        <v>0.8745639999999999</v>
      </c>
      <c r="K25" s="30">
        <f t="shared" si="23"/>
        <v>-0.62513799999999975</v>
      </c>
      <c r="L25" s="30">
        <f t="shared" si="23"/>
        <v>-0.62513799999999975</v>
      </c>
      <c r="M25" s="30">
        <f t="shared" si="23"/>
        <v>-0.62513799999999975</v>
      </c>
      <c r="N25" s="30">
        <f t="shared" si="23"/>
        <v>0.68933199999999983</v>
      </c>
      <c r="O25" s="30">
        <f t="shared" si="23"/>
        <v>0.68933199999999983</v>
      </c>
      <c r="P25" s="30">
        <f t="shared" si="23"/>
        <v>0.68933199999999983</v>
      </c>
      <c r="Q25" s="30">
        <f t="shared" si="23"/>
        <v>0.66919400000000007</v>
      </c>
      <c r="R25" s="30">
        <f t="shared" si="23"/>
        <v>0.66919400000000007</v>
      </c>
      <c r="S25" s="30">
        <f t="shared" si="23"/>
        <v>0.66919400000000007</v>
      </c>
      <c r="T25" s="30">
        <f t="shared" si="23"/>
        <v>6.3508689999999994</v>
      </c>
      <c r="U25" s="30">
        <f t="shared" si="23"/>
        <v>6.3508689999999994</v>
      </c>
      <c r="V25" s="30">
        <f t="shared" si="23"/>
        <v>6.3508689999999994</v>
      </c>
      <c r="W25" s="30">
        <f t="shared" si="23"/>
        <v>0.533941</v>
      </c>
      <c r="X25" s="30">
        <f t="shared" si="23"/>
        <v>0.533941</v>
      </c>
      <c r="Y25" s="30">
        <f t="shared" si="23"/>
        <v>0.533941</v>
      </c>
      <c r="Z25" s="30">
        <f t="shared" si="23"/>
        <v>2.7560730000000002</v>
      </c>
      <c r="AA25" s="30">
        <f t="shared" si="23"/>
        <v>2.7560730000000002</v>
      </c>
      <c r="AB25" s="30">
        <f t="shared" si="23"/>
        <v>2.7560730000000002</v>
      </c>
      <c r="AC25" s="30">
        <f t="shared" si="23"/>
        <v>3.9950000000000152E-2</v>
      </c>
      <c r="AD25" s="30">
        <f t="shared" si="23"/>
        <v>3.9950000000000152E-2</v>
      </c>
      <c r="AE25" s="30">
        <f t="shared" si="23"/>
        <v>3.9950000000000152E-2</v>
      </c>
      <c r="AF25" s="30">
        <f t="shared" si="23"/>
        <v>0.45000000000000018</v>
      </c>
      <c r="AG25" s="30">
        <f t="shared" si="23"/>
        <v>0.45000000000000018</v>
      </c>
      <c r="AH25" s="30">
        <f t="shared" si="23"/>
        <v>0.45000000000000018</v>
      </c>
      <c r="AI25" s="30">
        <f t="shared" si="23"/>
        <v>-0.73</v>
      </c>
      <c r="AJ25" s="30">
        <f t="shared" si="23"/>
        <v>-0.73</v>
      </c>
      <c r="AK25" s="30">
        <f t="shared" si="23"/>
        <v>-0.73</v>
      </c>
      <c r="AL25" s="30">
        <f>AL8-AL9</f>
        <v>2.0000000000000018E-2</v>
      </c>
      <c r="AM25" s="30">
        <f>AM8-AM9</f>
        <v>2.0000000000000018E-2</v>
      </c>
      <c r="AN25" s="30">
        <f t="shared" ref="AN25:AW25" si="24">AN8-AN9</f>
        <v>2.0000000000000018E-2</v>
      </c>
      <c r="AO25" s="30">
        <f t="shared" si="24"/>
        <v>0.59999999999999964</v>
      </c>
      <c r="AP25" s="30">
        <f t="shared" si="24"/>
        <v>0.59999999999999964</v>
      </c>
      <c r="AQ25" s="30">
        <f t="shared" si="24"/>
        <v>0.59999999999999964</v>
      </c>
      <c r="AR25" s="30">
        <f t="shared" si="24"/>
        <v>0.70000000000000018</v>
      </c>
      <c r="AS25" s="30">
        <f t="shared" si="24"/>
        <v>0.70000000000000018</v>
      </c>
      <c r="AT25" s="30">
        <f t="shared" si="24"/>
        <v>0.70000000000000018</v>
      </c>
      <c r="AU25" s="30">
        <f t="shared" si="24"/>
        <v>0</v>
      </c>
      <c r="AV25" s="30">
        <f t="shared" si="24"/>
        <v>0</v>
      </c>
      <c r="AW25" s="30">
        <f t="shared" si="24"/>
        <v>0</v>
      </c>
      <c r="AY25" s="24">
        <v>-11</v>
      </c>
      <c r="AZ25" s="35">
        <v>-8</v>
      </c>
    </row>
    <row r="26" spans="1:52" ht="25" customHeight="1">
      <c r="A26" s="37" t="s">
        <v>52</v>
      </c>
      <c r="B26" s="30">
        <f>B8-B5</f>
        <v>-5.0221590000000003</v>
      </c>
      <c r="C26" s="30">
        <f t="shared" ref="C26:AK26" si="25">C8-C5</f>
        <v>-5.0221590000000003</v>
      </c>
      <c r="D26" s="30">
        <f t="shared" si="25"/>
        <v>-5.0221590000000003</v>
      </c>
      <c r="E26" s="30">
        <f t="shared" si="25"/>
        <v>-8.9584130000000002</v>
      </c>
      <c r="F26" s="30">
        <f t="shared" si="25"/>
        <v>-8.9584130000000002</v>
      </c>
      <c r="G26" s="30">
        <f t="shared" si="25"/>
        <v>-8.9584130000000002</v>
      </c>
      <c r="H26" s="30">
        <f t="shared" si="25"/>
        <v>-6.4782130000000002</v>
      </c>
      <c r="I26" s="30">
        <f t="shared" si="25"/>
        <v>-6.4782130000000002</v>
      </c>
      <c r="J26" s="30">
        <f t="shared" si="25"/>
        <v>-6.4782130000000002</v>
      </c>
      <c r="K26" s="30">
        <f t="shared" si="25"/>
        <v>-8.4528999999999996</v>
      </c>
      <c r="L26" s="30">
        <f t="shared" si="25"/>
        <v>-8.4528999999999996</v>
      </c>
      <c r="M26" s="30">
        <f t="shared" si="25"/>
        <v>-8.4528999999999996</v>
      </c>
      <c r="N26" s="30">
        <f t="shared" si="25"/>
        <v>-7.1639389999999992</v>
      </c>
      <c r="O26" s="30">
        <f t="shared" si="25"/>
        <v>-7.1639389999999992</v>
      </c>
      <c r="P26" s="30">
        <f t="shared" si="25"/>
        <v>-7.1639389999999992</v>
      </c>
      <c r="Q26" s="30">
        <f t="shared" si="25"/>
        <v>-7.6708299999999996</v>
      </c>
      <c r="R26" s="30">
        <f t="shared" si="25"/>
        <v>-7.6708299999999996</v>
      </c>
      <c r="S26" s="30">
        <f t="shared" si="25"/>
        <v>-7.6708299999999996</v>
      </c>
      <c r="T26" s="30">
        <f t="shared" si="25"/>
        <v>-2.4661720000000003</v>
      </c>
      <c r="U26" s="30">
        <f t="shared" si="25"/>
        <v>-2.4661720000000003</v>
      </c>
      <c r="V26" s="30">
        <f t="shared" si="25"/>
        <v>-2.4661720000000003</v>
      </c>
      <c r="W26" s="30">
        <f t="shared" si="25"/>
        <v>-8.5921509999999994</v>
      </c>
      <c r="X26" s="30">
        <f t="shared" si="25"/>
        <v>-8.5921509999999994</v>
      </c>
      <c r="Y26" s="30">
        <f t="shared" si="25"/>
        <v>-8.5921509999999994</v>
      </c>
      <c r="Z26" s="30">
        <f t="shared" si="25"/>
        <v>-7.7100600000000004</v>
      </c>
      <c r="AA26" s="30">
        <f t="shared" si="25"/>
        <v>-7.7100600000000004</v>
      </c>
      <c r="AB26" s="30">
        <f t="shared" si="25"/>
        <v>-7.7100600000000004</v>
      </c>
      <c r="AC26" s="30">
        <f t="shared" si="25"/>
        <v>-7.5514410000000005</v>
      </c>
      <c r="AD26" s="30">
        <f t="shared" si="25"/>
        <v>-7.5514410000000005</v>
      </c>
      <c r="AE26" s="30">
        <f t="shared" si="25"/>
        <v>-7.5514410000000005</v>
      </c>
      <c r="AF26" s="30">
        <f t="shared" si="25"/>
        <v>-7.6397170000000001</v>
      </c>
      <c r="AG26" s="30">
        <f t="shared" si="25"/>
        <v>-7.6397170000000001</v>
      </c>
      <c r="AH26" s="30">
        <f t="shared" si="25"/>
        <v>-7.6397170000000001</v>
      </c>
      <c r="AI26" s="30">
        <f t="shared" si="25"/>
        <v>-8.49</v>
      </c>
      <c r="AJ26" s="30">
        <f t="shared" si="25"/>
        <v>-8.49</v>
      </c>
      <c r="AK26" s="30">
        <f t="shared" si="25"/>
        <v>-8.49</v>
      </c>
      <c r="AL26" s="30">
        <f>AL8-AL5</f>
        <v>-8.6</v>
      </c>
      <c r="AM26" s="30">
        <f>AM8-AM5</f>
        <v>-8.6</v>
      </c>
      <c r="AN26" s="30">
        <f t="shared" ref="AN26:AW26" si="26">AN8-AN5</f>
        <v>-8.6</v>
      </c>
      <c r="AO26" s="30">
        <f t="shared" si="26"/>
        <v>-8</v>
      </c>
      <c r="AP26" s="30">
        <f t="shared" si="26"/>
        <v>-8</v>
      </c>
      <c r="AQ26" s="30">
        <f t="shared" si="26"/>
        <v>-8</v>
      </c>
      <c r="AR26" s="30">
        <f t="shared" si="26"/>
        <v>-7.8</v>
      </c>
      <c r="AS26" s="30">
        <f t="shared" si="26"/>
        <v>-7.8</v>
      </c>
      <c r="AT26" s="30">
        <f t="shared" si="26"/>
        <v>-7.8</v>
      </c>
      <c r="AU26" s="30">
        <f t="shared" si="26"/>
        <v>0</v>
      </c>
      <c r="AV26" s="30">
        <f t="shared" si="26"/>
        <v>0</v>
      </c>
      <c r="AW26" s="30">
        <f t="shared" si="26"/>
        <v>0</v>
      </c>
      <c r="AY26" s="24">
        <v>-12</v>
      </c>
      <c r="AZ26" s="35">
        <v>-9</v>
      </c>
    </row>
    <row r="27" spans="1:52" ht="25" customHeight="1" thickBot="1">
      <c r="A27" s="37" t="s">
        <v>53</v>
      </c>
      <c r="B27" s="30">
        <f t="shared" ref="B27:AK27" si="27">B8-B6</f>
        <v>-9.2930720000000004</v>
      </c>
      <c r="C27" s="30">
        <f t="shared" si="27"/>
        <v>-9.2930720000000004</v>
      </c>
      <c r="D27" s="30">
        <f t="shared" si="27"/>
        <v>-9.2930720000000004</v>
      </c>
      <c r="E27" s="30">
        <f t="shared" si="27"/>
        <v>-12.360364000000001</v>
      </c>
      <c r="F27" s="30">
        <f t="shared" si="27"/>
        <v>-12.360364000000001</v>
      </c>
      <c r="G27" s="30">
        <f t="shared" si="27"/>
        <v>-12.360364000000001</v>
      </c>
      <c r="H27" s="30">
        <f t="shared" si="27"/>
        <v>-10.324881999999999</v>
      </c>
      <c r="I27" s="30">
        <f t="shared" si="27"/>
        <v>-10.324881999999999</v>
      </c>
      <c r="J27" s="30">
        <f t="shared" si="27"/>
        <v>-10.324881999999999</v>
      </c>
      <c r="K27" s="30">
        <f t="shared" si="27"/>
        <v>-4.722315</v>
      </c>
      <c r="L27" s="30">
        <f t="shared" si="27"/>
        <v>-4.722315</v>
      </c>
      <c r="M27" s="30">
        <f t="shared" si="27"/>
        <v>-4.722315</v>
      </c>
      <c r="N27" s="30">
        <f t="shared" si="27"/>
        <v>-16.944410000000001</v>
      </c>
      <c r="O27" s="30">
        <f t="shared" si="27"/>
        <v>-16.944410000000001</v>
      </c>
      <c r="P27" s="30">
        <f t="shared" si="27"/>
        <v>-16.944410000000001</v>
      </c>
      <c r="Q27" s="30">
        <f t="shared" si="27"/>
        <v>-14.330629999999999</v>
      </c>
      <c r="R27" s="30">
        <f t="shared" si="27"/>
        <v>-14.330629999999999</v>
      </c>
      <c r="S27" s="30">
        <f t="shared" si="27"/>
        <v>-14.330629999999999</v>
      </c>
      <c r="T27" s="30">
        <f t="shared" si="27"/>
        <v>-7.5172000000000017E-2</v>
      </c>
      <c r="U27" s="30">
        <f t="shared" si="27"/>
        <v>-7.5172000000000017E-2</v>
      </c>
      <c r="V27" s="30">
        <f t="shared" si="27"/>
        <v>-7.5172000000000017E-2</v>
      </c>
      <c r="W27" s="30">
        <f t="shared" si="27"/>
        <v>-13.95922</v>
      </c>
      <c r="X27" s="30">
        <f t="shared" si="27"/>
        <v>-13.95922</v>
      </c>
      <c r="Y27" s="30">
        <f t="shared" si="27"/>
        <v>-13.95922</v>
      </c>
      <c r="Z27" s="30">
        <f t="shared" si="27"/>
        <v>-17.793390000000002</v>
      </c>
      <c r="AA27" s="30">
        <f t="shared" si="27"/>
        <v>-17.793390000000002</v>
      </c>
      <c r="AB27" s="30">
        <f t="shared" si="27"/>
        <v>-17.793390000000002</v>
      </c>
      <c r="AC27" s="30">
        <f t="shared" si="27"/>
        <v>-7.4</v>
      </c>
      <c r="AD27" s="30">
        <f t="shared" si="27"/>
        <v>-7.4</v>
      </c>
      <c r="AE27" s="30">
        <f t="shared" si="27"/>
        <v>-7.4</v>
      </c>
      <c r="AF27" s="30">
        <f t="shared" si="27"/>
        <v>-7.17</v>
      </c>
      <c r="AG27" s="30">
        <f t="shared" si="27"/>
        <v>-7.17</v>
      </c>
      <c r="AH27" s="30">
        <f t="shared" si="27"/>
        <v>-7.17</v>
      </c>
      <c r="AI27" s="30">
        <f t="shared" si="27"/>
        <v>-4.76</v>
      </c>
      <c r="AJ27" s="30">
        <f t="shared" si="27"/>
        <v>-4.76</v>
      </c>
      <c r="AK27" s="30">
        <f t="shared" si="27"/>
        <v>-4.76</v>
      </c>
      <c r="AL27" s="30">
        <f>AL8-AL6</f>
        <v>-12.6</v>
      </c>
      <c r="AM27" s="30">
        <f>AM8-AM6</f>
        <v>-12.6</v>
      </c>
      <c r="AN27" s="30">
        <f t="shared" ref="AN27:AW27" si="28">AN8-AN6</f>
        <v>-12.6</v>
      </c>
      <c r="AO27" s="30">
        <f t="shared" si="28"/>
        <v>-8.5</v>
      </c>
      <c r="AP27" s="30">
        <f t="shared" si="28"/>
        <v>-8.5</v>
      </c>
      <c r="AQ27" s="30">
        <f t="shared" si="28"/>
        <v>-8.5</v>
      </c>
      <c r="AR27" s="30">
        <f t="shared" si="28"/>
        <v>-7.8</v>
      </c>
      <c r="AS27" s="30">
        <f t="shared" si="28"/>
        <v>-7.8</v>
      </c>
      <c r="AT27" s="30">
        <f t="shared" si="28"/>
        <v>-7.8</v>
      </c>
      <c r="AU27" s="30">
        <f t="shared" si="28"/>
        <v>0</v>
      </c>
      <c r="AV27" s="30">
        <f t="shared" si="28"/>
        <v>0</v>
      </c>
      <c r="AW27" s="30">
        <f t="shared" si="28"/>
        <v>0</v>
      </c>
      <c r="AY27" s="38">
        <v>-14</v>
      </c>
      <c r="AZ27" s="39">
        <v>-10</v>
      </c>
    </row>
    <row r="28" spans="1:52" ht="25" customHeight="1">
      <c r="A28" s="37" t="s">
        <v>54</v>
      </c>
      <c r="B28" s="30">
        <f>B8-B4</f>
        <v>-2.0035893000000002</v>
      </c>
      <c r="C28" s="30">
        <f t="shared" ref="C28:AK28" si="29">C8-C4</f>
        <v>-2.0035893000000002</v>
      </c>
      <c r="D28" s="30">
        <f t="shared" si="29"/>
        <v>-2.0035893000000002</v>
      </c>
      <c r="E28" s="30">
        <f t="shared" si="29"/>
        <v>-4.2533365000000005</v>
      </c>
      <c r="F28" s="30">
        <f t="shared" si="29"/>
        <v>-4.2533365000000005</v>
      </c>
      <c r="G28" s="30">
        <f t="shared" si="29"/>
        <v>-4.2533365000000005</v>
      </c>
      <c r="H28" s="30">
        <f t="shared" si="29"/>
        <v>-1.4724437000000004</v>
      </c>
      <c r="I28" s="30">
        <f t="shared" si="29"/>
        <v>-1.4724437000000004</v>
      </c>
      <c r="J28" s="30">
        <f t="shared" si="29"/>
        <v>-1.4724437000000004</v>
      </c>
      <c r="K28" s="30">
        <f t="shared" si="29"/>
        <v>-3.7808370999999998</v>
      </c>
      <c r="L28" s="30">
        <f t="shared" si="29"/>
        <v>-3.7808370999999998</v>
      </c>
      <c r="M28" s="30">
        <f t="shared" si="29"/>
        <v>-3.7808370999999998</v>
      </c>
      <c r="N28" s="30">
        <f t="shared" si="29"/>
        <v>-2.1760063000000001</v>
      </c>
      <c r="O28" s="30">
        <f t="shared" si="29"/>
        <v>-2.1760063000000001</v>
      </c>
      <c r="P28" s="30">
        <f t="shared" si="29"/>
        <v>-2.1760063000000001</v>
      </c>
      <c r="Q28" s="30">
        <f t="shared" si="29"/>
        <v>-2.7797007999999996</v>
      </c>
      <c r="R28" s="30">
        <f t="shared" si="29"/>
        <v>-2.7797007999999996</v>
      </c>
      <c r="S28" s="30">
        <f t="shared" si="29"/>
        <v>-2.7797007999999996</v>
      </c>
      <c r="T28" s="30">
        <f t="shared" si="29"/>
        <v>2.5210501999999999</v>
      </c>
      <c r="U28" s="30">
        <f t="shared" si="29"/>
        <v>2.5210501999999999</v>
      </c>
      <c r="V28" s="30">
        <f t="shared" si="29"/>
        <v>2.5210501999999999</v>
      </c>
      <c r="W28" s="30">
        <f t="shared" si="29"/>
        <v>-3.5495258000000001</v>
      </c>
      <c r="X28" s="30">
        <f t="shared" si="29"/>
        <v>-3.5495258000000001</v>
      </c>
      <c r="Y28" s="30">
        <f t="shared" si="29"/>
        <v>-3.5495258000000001</v>
      </c>
      <c r="Z28" s="30">
        <f t="shared" si="29"/>
        <v>-2.7214670999999999</v>
      </c>
      <c r="AA28" s="30">
        <f t="shared" si="29"/>
        <v>-2.7214670999999999</v>
      </c>
      <c r="AB28" s="30">
        <f t="shared" si="29"/>
        <v>-2.7214670999999999</v>
      </c>
      <c r="AC28" s="30">
        <f t="shared" si="29"/>
        <v>-0.5428320000000002</v>
      </c>
      <c r="AD28" s="30">
        <f t="shared" si="29"/>
        <v>-0.5428320000000002</v>
      </c>
      <c r="AE28" s="30">
        <f t="shared" si="29"/>
        <v>-0.5428320000000002</v>
      </c>
      <c r="AF28" s="30">
        <f t="shared" si="29"/>
        <v>-1.98</v>
      </c>
      <c r="AG28" s="30">
        <f t="shared" si="29"/>
        <v>-1.98</v>
      </c>
      <c r="AH28" s="30">
        <f t="shared" si="29"/>
        <v>-1.98</v>
      </c>
      <c r="AI28" s="30">
        <f t="shared" si="29"/>
        <v>-3.42</v>
      </c>
      <c r="AJ28" s="30">
        <f t="shared" si="29"/>
        <v>-3.42</v>
      </c>
      <c r="AK28" s="30">
        <f t="shared" si="29"/>
        <v>-3.42</v>
      </c>
      <c r="AL28" s="30">
        <f>AL8-AL4</f>
        <v>-1.96</v>
      </c>
      <c r="AM28" s="30">
        <f>AM8-AM4</f>
        <v>-1.96</v>
      </c>
      <c r="AN28" s="30">
        <f t="shared" ref="AN28:AW28" si="30">AN8-AN4</f>
        <v>-1.96</v>
      </c>
      <c r="AO28" s="30">
        <f t="shared" si="30"/>
        <v>-1.7000000000000002</v>
      </c>
      <c r="AP28" s="30">
        <f t="shared" si="30"/>
        <v>-1.7000000000000002</v>
      </c>
      <c r="AQ28" s="30">
        <f t="shared" si="30"/>
        <v>-1.7000000000000002</v>
      </c>
      <c r="AR28" s="30">
        <f t="shared" si="30"/>
        <v>-1.4</v>
      </c>
      <c r="AS28" s="30">
        <f t="shared" si="30"/>
        <v>-1.4</v>
      </c>
      <c r="AT28" s="30">
        <f t="shared" si="30"/>
        <v>-1.4</v>
      </c>
      <c r="AU28" s="30">
        <f t="shared" si="30"/>
        <v>0</v>
      </c>
      <c r="AV28" s="30">
        <f t="shared" si="30"/>
        <v>0</v>
      </c>
      <c r="AW28" s="30">
        <f t="shared" si="30"/>
        <v>0</v>
      </c>
    </row>
    <row r="29" spans="1:52" ht="25" customHeight="1">
      <c r="A29" s="37" t="s">
        <v>55</v>
      </c>
      <c r="B29" s="30">
        <f>B8-B3</f>
        <v>-3.1344054000000003</v>
      </c>
      <c r="C29" s="30">
        <f t="shared" ref="C29:AK29" si="31">C8-C3</f>
        <v>-3.1344054000000003</v>
      </c>
      <c r="D29" s="30">
        <f t="shared" si="31"/>
        <v>-3.1344054000000003</v>
      </c>
      <c r="E29" s="30">
        <f t="shared" si="31"/>
        <v>-4.7791706000000005</v>
      </c>
      <c r="F29" s="30">
        <f t="shared" si="31"/>
        <v>-4.7791706000000005</v>
      </c>
      <c r="G29" s="30">
        <f t="shared" si="31"/>
        <v>-4.7791706000000005</v>
      </c>
      <c r="H29" s="30">
        <f t="shared" si="31"/>
        <v>-1.0062360000000001</v>
      </c>
      <c r="I29" s="30">
        <f t="shared" si="31"/>
        <v>-1.0062360000000001</v>
      </c>
      <c r="J29" s="30">
        <f t="shared" si="31"/>
        <v>-1.0062360000000001</v>
      </c>
      <c r="K29" s="30">
        <f t="shared" si="31"/>
        <v>-3.6497940999999998</v>
      </c>
      <c r="L29" s="30">
        <f t="shared" si="31"/>
        <v>-3.6497940999999998</v>
      </c>
      <c r="M29" s="30">
        <f t="shared" si="31"/>
        <v>-3.6497940999999998</v>
      </c>
      <c r="N29" s="30">
        <f t="shared" si="31"/>
        <v>-1.3873</v>
      </c>
      <c r="O29" s="30">
        <f t="shared" si="31"/>
        <v>-1.3873</v>
      </c>
      <c r="P29" s="30">
        <f t="shared" si="31"/>
        <v>-1.3873</v>
      </c>
      <c r="Q29" s="30">
        <f t="shared" si="31"/>
        <v>-0.85945999999999989</v>
      </c>
      <c r="R29" s="30">
        <f t="shared" si="31"/>
        <v>-0.85945999999999989</v>
      </c>
      <c r="S29" s="30">
        <f t="shared" si="31"/>
        <v>-0.85945999999999989</v>
      </c>
      <c r="T29" s="30">
        <f t="shared" si="31"/>
        <v>4.2235610000000001</v>
      </c>
      <c r="U29" s="30">
        <f t="shared" si="31"/>
        <v>4.2235610000000001</v>
      </c>
      <c r="V29" s="30">
        <f t="shared" si="31"/>
        <v>4.2235610000000001</v>
      </c>
      <c r="W29" s="30">
        <f t="shared" si="31"/>
        <v>-1.183055</v>
      </c>
      <c r="X29" s="30">
        <f t="shared" si="31"/>
        <v>-1.183055</v>
      </c>
      <c r="Y29" s="30">
        <f t="shared" si="31"/>
        <v>-1.183055</v>
      </c>
      <c r="Z29" s="30">
        <f t="shared" si="31"/>
        <v>-0.66999999999999993</v>
      </c>
      <c r="AA29" s="30">
        <f t="shared" si="31"/>
        <v>-0.66999999999999993</v>
      </c>
      <c r="AB29" s="30">
        <f>AB8-AB3</f>
        <v>-0.66999999999999993</v>
      </c>
      <c r="AC29" s="30">
        <f t="shared" si="31"/>
        <v>-0.75</v>
      </c>
      <c r="AD29" s="30">
        <f t="shared" si="31"/>
        <v>-0.75</v>
      </c>
      <c r="AE29" s="30">
        <f t="shared" si="31"/>
        <v>-0.75</v>
      </c>
      <c r="AF29" s="30">
        <f t="shared" si="31"/>
        <v>6.0000000000000053E-2</v>
      </c>
      <c r="AG29" s="30">
        <f t="shared" si="31"/>
        <v>6.0000000000000053E-2</v>
      </c>
      <c r="AH29" s="30">
        <f t="shared" si="31"/>
        <v>6.0000000000000053E-2</v>
      </c>
      <c r="AI29" s="30">
        <f t="shared" si="31"/>
        <v>-0.39000000000000012</v>
      </c>
      <c r="AJ29" s="30">
        <f t="shared" si="31"/>
        <v>-0.39000000000000012</v>
      </c>
      <c r="AK29" s="30">
        <f t="shared" si="31"/>
        <v>-0.39000000000000012</v>
      </c>
      <c r="AL29" s="30">
        <f>AL8-AL3</f>
        <v>0.85000000000000009</v>
      </c>
      <c r="AM29" s="30">
        <f>AM8-AM3</f>
        <v>0.85000000000000009</v>
      </c>
      <c r="AN29" s="30">
        <f t="shared" ref="AN29:AW29" si="32">AN8-AN3</f>
        <v>0.85000000000000009</v>
      </c>
      <c r="AO29" s="30">
        <f t="shared" si="32"/>
        <v>1.0999999999999996</v>
      </c>
      <c r="AP29" s="30">
        <f t="shared" si="32"/>
        <v>1.0999999999999996</v>
      </c>
      <c r="AQ29" s="30">
        <f t="shared" si="32"/>
        <v>1.0999999999999996</v>
      </c>
      <c r="AR29" s="30">
        <f t="shared" si="32"/>
        <v>1.1000000000000001</v>
      </c>
      <c r="AS29" s="30">
        <f t="shared" si="32"/>
        <v>1.1000000000000001</v>
      </c>
      <c r="AT29" s="30">
        <f t="shared" si="32"/>
        <v>1.1000000000000001</v>
      </c>
      <c r="AU29" s="30">
        <f t="shared" si="32"/>
        <v>0</v>
      </c>
      <c r="AV29" s="30">
        <f t="shared" si="32"/>
        <v>0</v>
      </c>
      <c r="AW29" s="30">
        <f t="shared" si="32"/>
        <v>0</v>
      </c>
    </row>
    <row r="30" spans="1:52" ht="25" customHeight="1">
      <c r="A30" s="37" t="s">
        <v>56</v>
      </c>
      <c r="B30" s="30">
        <f>B8-B7</f>
        <v>4.5771939999999995</v>
      </c>
      <c r="C30" s="30">
        <f t="shared" ref="C30:AK30" si="33">C8-C7</f>
        <v>4.5771939999999995</v>
      </c>
      <c r="D30" s="30">
        <f t="shared" si="33"/>
        <v>4.5771939999999995</v>
      </c>
      <c r="E30" s="30">
        <f t="shared" si="33"/>
        <v>0.91625099999999993</v>
      </c>
      <c r="F30" s="30">
        <f t="shared" si="33"/>
        <v>0.91625099999999993</v>
      </c>
      <c r="G30" s="30">
        <f t="shared" si="33"/>
        <v>0.91625099999999993</v>
      </c>
      <c r="H30" s="30">
        <f t="shared" si="33"/>
        <v>3.8202590000000001</v>
      </c>
      <c r="I30" s="30">
        <f t="shared" si="33"/>
        <v>3.8202590000000001</v>
      </c>
      <c r="J30" s="30">
        <f t="shared" si="33"/>
        <v>3.8202590000000001</v>
      </c>
      <c r="K30" s="30">
        <f t="shared" si="33"/>
        <v>1.4771530000000004</v>
      </c>
      <c r="L30" s="30">
        <f t="shared" si="33"/>
        <v>1.4771530000000004</v>
      </c>
      <c r="M30" s="30">
        <f t="shared" si="33"/>
        <v>1.4771530000000004</v>
      </c>
      <c r="N30" s="30">
        <f t="shared" si="33"/>
        <v>2.3801299999999999</v>
      </c>
      <c r="O30" s="30">
        <f t="shared" si="33"/>
        <v>2.3801299999999999</v>
      </c>
      <c r="P30" s="30">
        <f t="shared" si="33"/>
        <v>2.3801299999999999</v>
      </c>
      <c r="Q30" s="30">
        <f t="shared" si="33"/>
        <v>1.8936140000000004</v>
      </c>
      <c r="R30" s="30">
        <f t="shared" si="33"/>
        <v>1.8936140000000004</v>
      </c>
      <c r="S30" s="30">
        <f t="shared" si="33"/>
        <v>1.8936140000000004</v>
      </c>
      <c r="T30" s="30">
        <f t="shared" si="33"/>
        <v>6.6595779999999998</v>
      </c>
      <c r="U30" s="30">
        <f t="shared" si="33"/>
        <v>6.6595779999999998</v>
      </c>
      <c r="V30" s="30">
        <f t="shared" si="33"/>
        <v>6.6595779999999998</v>
      </c>
      <c r="W30" s="30">
        <f t="shared" si="33"/>
        <v>-0.14135799999999987</v>
      </c>
      <c r="X30" s="30">
        <f t="shared" si="33"/>
        <v>-0.14135799999999987</v>
      </c>
      <c r="Y30" s="30">
        <f t="shared" si="33"/>
        <v>-0.14135799999999987</v>
      </c>
      <c r="Z30" s="30">
        <f t="shared" si="33"/>
        <v>0.64360799999999996</v>
      </c>
      <c r="AA30" s="30">
        <f t="shared" si="33"/>
        <v>0.64360799999999996</v>
      </c>
      <c r="AB30" s="30">
        <f t="shared" si="33"/>
        <v>0.64360799999999996</v>
      </c>
      <c r="AC30" s="30">
        <f t="shared" si="33"/>
        <v>6.3687999999999967E-2</v>
      </c>
      <c r="AD30" s="30">
        <f t="shared" si="33"/>
        <v>6.3687999999999967E-2</v>
      </c>
      <c r="AE30" s="30">
        <f t="shared" si="33"/>
        <v>6.3687999999999967E-2</v>
      </c>
      <c r="AF30" s="30">
        <f t="shared" si="33"/>
        <v>-7.17</v>
      </c>
      <c r="AG30" s="30">
        <f t="shared" si="33"/>
        <v>0.74722500000000025</v>
      </c>
      <c r="AH30" s="30">
        <f t="shared" si="33"/>
        <v>0.74722500000000025</v>
      </c>
      <c r="AI30" s="30">
        <f t="shared" si="33"/>
        <v>0.37999999999999989</v>
      </c>
      <c r="AJ30" s="30">
        <f t="shared" si="33"/>
        <v>0.37999999999999989</v>
      </c>
      <c r="AK30" s="30">
        <f t="shared" si="33"/>
        <v>0.37999999999999989</v>
      </c>
      <c r="AL30" s="30">
        <f>AL8-AL7</f>
        <v>1.1200000000000001</v>
      </c>
      <c r="AM30" s="30">
        <f>AM8-AM7</f>
        <v>1.1200000000000001</v>
      </c>
      <c r="AN30" s="30">
        <f t="shared" ref="AN30:AW30" si="34">AN8-AN7</f>
        <v>1.1200000000000001</v>
      </c>
      <c r="AO30" s="30">
        <f t="shared" si="34"/>
        <v>1.3999999999999995</v>
      </c>
      <c r="AP30" s="30">
        <f t="shared" si="34"/>
        <v>1.3999999999999995</v>
      </c>
      <c r="AQ30" s="30">
        <f t="shared" si="34"/>
        <v>1.3999999999999995</v>
      </c>
      <c r="AR30" s="30">
        <f t="shared" si="34"/>
        <v>1.4500000000000002</v>
      </c>
      <c r="AS30" s="30">
        <f t="shared" si="34"/>
        <v>1.4500000000000002</v>
      </c>
      <c r="AT30" s="30">
        <f t="shared" si="34"/>
        <v>1.4500000000000002</v>
      </c>
      <c r="AU30" s="30">
        <f t="shared" si="34"/>
        <v>0</v>
      </c>
      <c r="AV30" s="30">
        <f t="shared" si="34"/>
        <v>0</v>
      </c>
      <c r="AW30" s="30">
        <f t="shared" si="34"/>
        <v>0</v>
      </c>
    </row>
    <row r="31" spans="1:52" ht="25" customHeight="1">
      <c r="A31" s="40" t="s">
        <v>57</v>
      </c>
      <c r="B31" s="30">
        <f t="shared" ref="B31:AK31" si="35">B6-B5</f>
        <v>4.2709130000000002</v>
      </c>
      <c r="C31" s="30">
        <f t="shared" si="35"/>
        <v>4.2709130000000002</v>
      </c>
      <c r="D31" s="30">
        <f t="shared" si="35"/>
        <v>4.2709130000000002</v>
      </c>
      <c r="E31" s="30">
        <f t="shared" si="35"/>
        <v>3.4019510000000004</v>
      </c>
      <c r="F31" s="30">
        <f t="shared" si="35"/>
        <v>3.4019510000000004</v>
      </c>
      <c r="G31" s="30">
        <f t="shared" si="35"/>
        <v>3.4019510000000004</v>
      </c>
      <c r="H31" s="30">
        <f t="shared" si="35"/>
        <v>3.8466689999999994</v>
      </c>
      <c r="I31" s="30">
        <f t="shared" si="35"/>
        <v>3.8466689999999994</v>
      </c>
      <c r="J31" s="30">
        <f t="shared" si="35"/>
        <v>3.8466689999999994</v>
      </c>
      <c r="K31" s="30">
        <f t="shared" si="35"/>
        <v>-3.7305849999999996</v>
      </c>
      <c r="L31" s="30">
        <f t="shared" si="35"/>
        <v>-3.7305849999999996</v>
      </c>
      <c r="M31" s="30">
        <f t="shared" si="35"/>
        <v>-3.7305849999999996</v>
      </c>
      <c r="N31" s="30">
        <f t="shared" si="35"/>
        <v>9.7804710000000021</v>
      </c>
      <c r="O31" s="30">
        <f t="shared" si="35"/>
        <v>9.7804710000000021</v>
      </c>
      <c r="P31" s="30">
        <f t="shared" si="35"/>
        <v>9.7804710000000021</v>
      </c>
      <c r="Q31" s="30">
        <f t="shared" si="35"/>
        <v>6.6597999999999997</v>
      </c>
      <c r="R31" s="30">
        <f t="shared" si="35"/>
        <v>6.6597999999999997</v>
      </c>
      <c r="S31" s="30">
        <f t="shared" si="35"/>
        <v>6.6597999999999997</v>
      </c>
      <c r="T31" s="30">
        <f t="shared" si="35"/>
        <v>-2.391</v>
      </c>
      <c r="U31" s="30">
        <f t="shared" si="35"/>
        <v>-2.391</v>
      </c>
      <c r="V31" s="30">
        <f t="shared" si="35"/>
        <v>-2.391</v>
      </c>
      <c r="W31" s="30">
        <f t="shared" si="35"/>
        <v>5.3670689999999999</v>
      </c>
      <c r="X31" s="30">
        <f t="shared" si="35"/>
        <v>5.3670689999999999</v>
      </c>
      <c r="Y31" s="30">
        <f t="shared" si="35"/>
        <v>5.3670689999999999</v>
      </c>
      <c r="Z31" s="30">
        <f t="shared" si="35"/>
        <v>10.08333</v>
      </c>
      <c r="AA31" s="30">
        <f t="shared" si="35"/>
        <v>10.08333</v>
      </c>
      <c r="AB31" s="30">
        <f t="shared" si="35"/>
        <v>10.08333</v>
      </c>
      <c r="AC31" s="30">
        <f t="shared" si="35"/>
        <v>-0.15144100000000016</v>
      </c>
      <c r="AD31" s="30">
        <f t="shared" si="35"/>
        <v>-0.15144100000000016</v>
      </c>
      <c r="AE31" s="30">
        <f t="shared" si="35"/>
        <v>-0.15144100000000016</v>
      </c>
      <c r="AF31" s="30">
        <f t="shared" si="35"/>
        <v>-0.46971700000000016</v>
      </c>
      <c r="AG31" s="30">
        <f t="shared" si="35"/>
        <v>-0.46971700000000016</v>
      </c>
      <c r="AH31" s="30">
        <f t="shared" si="35"/>
        <v>-0.46971700000000016</v>
      </c>
      <c r="AI31" s="30">
        <f t="shared" si="35"/>
        <v>-3.7300000000000004</v>
      </c>
      <c r="AJ31" s="30">
        <f t="shared" si="35"/>
        <v>-3.7300000000000004</v>
      </c>
      <c r="AK31" s="30">
        <f t="shared" si="35"/>
        <v>-3.7300000000000004</v>
      </c>
      <c r="AL31" s="30">
        <f>AL6-AL5</f>
        <v>4</v>
      </c>
      <c r="AM31" s="30">
        <f>AM6-AM5</f>
        <v>4</v>
      </c>
      <c r="AN31" s="30">
        <f t="shared" ref="AN31:AW31" si="36">AN6-AN5</f>
        <v>4</v>
      </c>
      <c r="AO31" s="30">
        <f t="shared" si="36"/>
        <v>0.5</v>
      </c>
      <c r="AP31" s="30">
        <f t="shared" si="36"/>
        <v>0.5</v>
      </c>
      <c r="AQ31" s="30">
        <f t="shared" si="36"/>
        <v>0.5</v>
      </c>
      <c r="AR31" s="30">
        <f t="shared" si="36"/>
        <v>0</v>
      </c>
      <c r="AS31" s="30">
        <f t="shared" si="36"/>
        <v>0</v>
      </c>
      <c r="AT31" s="30">
        <f t="shared" si="36"/>
        <v>0</v>
      </c>
      <c r="AU31" s="30">
        <f t="shared" si="36"/>
        <v>0</v>
      </c>
      <c r="AV31" s="30">
        <f t="shared" si="36"/>
        <v>0</v>
      </c>
      <c r="AW31" s="30">
        <f t="shared" si="36"/>
        <v>0</v>
      </c>
    </row>
    <row r="32" spans="1:52" ht="25" customHeight="1">
      <c r="A32" s="41" t="s">
        <v>10</v>
      </c>
      <c r="B32" s="30">
        <f>B3-B9</f>
        <v>3.5723073999999997</v>
      </c>
      <c r="C32" s="30">
        <f t="shared" ref="C32:AK32" si="37">C3-C9</f>
        <v>3.5723073999999997</v>
      </c>
      <c r="D32" s="30">
        <f t="shared" si="37"/>
        <v>3.5723073999999997</v>
      </c>
      <c r="E32" s="30">
        <f t="shared" si="37"/>
        <v>3.1629925999999999</v>
      </c>
      <c r="F32" s="30">
        <f t="shared" si="37"/>
        <v>3.1629925999999999</v>
      </c>
      <c r="G32" s="30">
        <f t="shared" si="37"/>
        <v>3.1629925999999999</v>
      </c>
      <c r="H32" s="30">
        <f t="shared" si="37"/>
        <v>1.8808</v>
      </c>
      <c r="I32" s="30">
        <f t="shared" si="37"/>
        <v>1.8808</v>
      </c>
      <c r="J32" s="30">
        <f t="shared" si="37"/>
        <v>1.8808</v>
      </c>
      <c r="K32" s="30">
        <f t="shared" si="37"/>
        <v>3.0246561000000001</v>
      </c>
      <c r="L32" s="30">
        <f t="shared" si="37"/>
        <v>3.0246561000000001</v>
      </c>
      <c r="M32" s="30">
        <f t="shared" si="37"/>
        <v>3.0246561000000001</v>
      </c>
      <c r="N32" s="30">
        <f t="shared" si="37"/>
        <v>2.076632</v>
      </c>
      <c r="O32" s="30">
        <f t="shared" si="37"/>
        <v>2.076632</v>
      </c>
      <c r="P32" s="30">
        <f t="shared" si="37"/>
        <v>2.076632</v>
      </c>
      <c r="Q32" s="30">
        <f t="shared" si="37"/>
        <v>1.528654</v>
      </c>
      <c r="R32" s="30">
        <f t="shared" si="37"/>
        <v>1.528654</v>
      </c>
      <c r="S32" s="30">
        <f t="shared" si="37"/>
        <v>1.528654</v>
      </c>
      <c r="T32" s="30">
        <f t="shared" si="37"/>
        <v>2.1273079999999998</v>
      </c>
      <c r="U32" s="30">
        <f t="shared" si="37"/>
        <v>2.1273079999999998</v>
      </c>
      <c r="V32" s="30">
        <f t="shared" si="37"/>
        <v>2.1273079999999998</v>
      </c>
      <c r="W32" s="30">
        <f t="shared" si="37"/>
        <v>1.716996</v>
      </c>
      <c r="X32" s="30">
        <f t="shared" si="37"/>
        <v>1.716996</v>
      </c>
      <c r="Y32" s="30">
        <f t="shared" si="37"/>
        <v>1.716996</v>
      </c>
      <c r="Z32" s="30">
        <f t="shared" si="37"/>
        <v>3.4260730000000001</v>
      </c>
      <c r="AA32" s="30">
        <f t="shared" si="37"/>
        <v>3.4260730000000001</v>
      </c>
      <c r="AB32" s="30">
        <f t="shared" si="37"/>
        <v>3.4260730000000001</v>
      </c>
      <c r="AC32" s="30">
        <f t="shared" si="37"/>
        <v>0.78995000000000015</v>
      </c>
      <c r="AD32" s="30">
        <f t="shared" si="37"/>
        <v>0.78995000000000015</v>
      </c>
      <c r="AE32" s="30">
        <f t="shared" si="37"/>
        <v>0.78995000000000015</v>
      </c>
      <c r="AF32" s="30">
        <f t="shared" si="37"/>
        <v>0.39000000000000012</v>
      </c>
      <c r="AG32" s="30">
        <f t="shared" si="37"/>
        <v>0.39000000000000012</v>
      </c>
      <c r="AH32" s="30">
        <f t="shared" si="37"/>
        <v>0.39000000000000012</v>
      </c>
      <c r="AI32" s="30">
        <f t="shared" si="37"/>
        <v>-0.33999999999999986</v>
      </c>
      <c r="AJ32" s="30">
        <f t="shared" si="37"/>
        <v>-0.33999999999999986</v>
      </c>
      <c r="AK32" s="30">
        <f t="shared" si="37"/>
        <v>-0.33999999999999986</v>
      </c>
      <c r="AL32" s="30">
        <f>AL3-AL9</f>
        <v>-0.83000000000000007</v>
      </c>
      <c r="AM32" s="30">
        <f>AM3-AM9</f>
        <v>-0.83000000000000007</v>
      </c>
      <c r="AN32" s="30">
        <f t="shared" ref="AN32:AW32" si="38">AN3-AN9</f>
        <v>-0.83000000000000007</v>
      </c>
      <c r="AO32" s="30">
        <f t="shared" si="38"/>
        <v>-0.5</v>
      </c>
      <c r="AP32" s="30">
        <f t="shared" si="38"/>
        <v>-0.5</v>
      </c>
      <c r="AQ32" s="30">
        <f t="shared" si="38"/>
        <v>-0.5</v>
      </c>
      <c r="AR32" s="30">
        <f t="shared" si="38"/>
        <v>-0.39999999999999991</v>
      </c>
      <c r="AS32" s="30">
        <f t="shared" si="38"/>
        <v>-0.39999999999999991</v>
      </c>
      <c r="AT32" s="30">
        <f t="shared" si="38"/>
        <v>-0.39999999999999991</v>
      </c>
      <c r="AU32" s="30">
        <f t="shared" si="38"/>
        <v>0</v>
      </c>
      <c r="AV32" s="30">
        <f t="shared" si="38"/>
        <v>0</v>
      </c>
      <c r="AW32" s="30">
        <f t="shared" si="38"/>
        <v>0</v>
      </c>
    </row>
    <row r="33" spans="1:49" ht="25" customHeight="1">
      <c r="A33" s="41" t="s">
        <v>58</v>
      </c>
      <c r="B33" s="30">
        <f>B3-B6</f>
        <v>-6.1586666000000001</v>
      </c>
      <c r="C33" s="30">
        <f t="shared" ref="C33:AK33" si="39">C3-C6</f>
        <v>-6.1586666000000001</v>
      </c>
      <c r="D33" s="30">
        <f t="shared" si="39"/>
        <v>-6.1586666000000001</v>
      </c>
      <c r="E33" s="30">
        <f t="shared" si="39"/>
        <v>-7.5811934000000001</v>
      </c>
      <c r="F33" s="30">
        <f t="shared" si="39"/>
        <v>-7.5811934000000001</v>
      </c>
      <c r="G33" s="30">
        <f t="shared" si="39"/>
        <v>-7.5811934000000001</v>
      </c>
      <c r="H33" s="30">
        <f t="shared" si="39"/>
        <v>-9.3186459999999993</v>
      </c>
      <c r="I33" s="30">
        <f t="shared" si="39"/>
        <v>-9.3186459999999993</v>
      </c>
      <c r="J33" s="30">
        <f t="shared" si="39"/>
        <v>-9.3186459999999993</v>
      </c>
      <c r="K33" s="30">
        <f t="shared" si="39"/>
        <v>-1.0725209</v>
      </c>
      <c r="L33" s="30">
        <f t="shared" si="39"/>
        <v>-1.0725209</v>
      </c>
      <c r="M33" s="30">
        <f t="shared" si="39"/>
        <v>-1.0725209</v>
      </c>
      <c r="N33" s="30">
        <f t="shared" si="39"/>
        <v>-15.557110000000002</v>
      </c>
      <c r="O33" s="30">
        <f t="shared" si="39"/>
        <v>-15.557110000000002</v>
      </c>
      <c r="P33" s="30">
        <f t="shared" si="39"/>
        <v>-15.557110000000002</v>
      </c>
      <c r="Q33" s="30">
        <f t="shared" si="39"/>
        <v>-13.471169999999999</v>
      </c>
      <c r="R33" s="30">
        <f t="shared" si="39"/>
        <v>-13.471169999999999</v>
      </c>
      <c r="S33" s="30">
        <f t="shared" si="39"/>
        <v>-13.471169999999999</v>
      </c>
      <c r="T33" s="30">
        <f t="shared" si="39"/>
        <v>-4.2987330000000004</v>
      </c>
      <c r="U33" s="30">
        <f t="shared" si="39"/>
        <v>-4.2987330000000004</v>
      </c>
      <c r="V33" s="30">
        <f t="shared" si="39"/>
        <v>-4.2987330000000004</v>
      </c>
      <c r="W33" s="30">
        <f t="shared" si="39"/>
        <v>-12.776164999999999</v>
      </c>
      <c r="X33" s="30">
        <f t="shared" si="39"/>
        <v>-12.776164999999999</v>
      </c>
      <c r="Y33" s="30">
        <f t="shared" si="39"/>
        <v>-12.776164999999999</v>
      </c>
      <c r="Z33" s="30">
        <f t="shared" si="39"/>
        <v>-17.123390000000001</v>
      </c>
      <c r="AA33" s="30">
        <f t="shared" si="39"/>
        <v>-17.123390000000001</v>
      </c>
      <c r="AB33" s="30">
        <f t="shared" si="39"/>
        <v>-17.123390000000001</v>
      </c>
      <c r="AC33" s="30">
        <f t="shared" si="39"/>
        <v>-6.65</v>
      </c>
      <c r="AD33" s="30">
        <f t="shared" si="39"/>
        <v>-6.65</v>
      </c>
      <c r="AE33" s="30">
        <f t="shared" si="39"/>
        <v>-6.65</v>
      </c>
      <c r="AF33" s="30">
        <f t="shared" si="39"/>
        <v>-7.23</v>
      </c>
      <c r="AG33" s="30">
        <f t="shared" si="39"/>
        <v>-7.23</v>
      </c>
      <c r="AH33" s="30">
        <f t="shared" si="39"/>
        <v>-7.23</v>
      </c>
      <c r="AI33" s="30">
        <f t="shared" si="39"/>
        <v>-4.37</v>
      </c>
      <c r="AJ33" s="30">
        <f t="shared" si="39"/>
        <v>-4.37</v>
      </c>
      <c r="AK33" s="30">
        <f t="shared" si="39"/>
        <v>-4.37</v>
      </c>
      <c r="AL33" s="30">
        <f>AL3-AL6</f>
        <v>-13.45</v>
      </c>
      <c r="AM33" s="30">
        <f>AM3-AM6</f>
        <v>-13.45</v>
      </c>
      <c r="AN33" s="30">
        <f t="shared" ref="AN33:AW33" si="40">AN3-AN6</f>
        <v>-13.45</v>
      </c>
      <c r="AO33" s="30">
        <f t="shared" si="40"/>
        <v>-9.6</v>
      </c>
      <c r="AP33" s="30">
        <f t="shared" si="40"/>
        <v>-9.6</v>
      </c>
      <c r="AQ33" s="30">
        <f t="shared" si="40"/>
        <v>-9.6</v>
      </c>
      <c r="AR33" s="30">
        <f t="shared" si="40"/>
        <v>-8.9</v>
      </c>
      <c r="AS33" s="30">
        <f t="shared" si="40"/>
        <v>-8.9</v>
      </c>
      <c r="AT33" s="30">
        <f t="shared" si="40"/>
        <v>-8.9</v>
      </c>
      <c r="AU33" s="30">
        <f t="shared" si="40"/>
        <v>0</v>
      </c>
      <c r="AV33" s="30">
        <f t="shared" si="40"/>
        <v>0</v>
      </c>
      <c r="AW33" s="30">
        <f t="shared" si="40"/>
        <v>0</v>
      </c>
    </row>
    <row r="34" spans="1:49" ht="25" customHeight="1">
      <c r="A34" s="41" t="s">
        <v>18</v>
      </c>
      <c r="B34" s="30">
        <f>B3-B5</f>
        <v>-1.8877536000000001</v>
      </c>
      <c r="C34" s="30">
        <f t="shared" ref="C34:AK34" si="41">C3-C5</f>
        <v>-1.8877536000000001</v>
      </c>
      <c r="D34" s="30">
        <f t="shared" si="41"/>
        <v>-1.8877536000000001</v>
      </c>
      <c r="E34" s="30">
        <f t="shared" si="41"/>
        <v>-4.1792423999999997</v>
      </c>
      <c r="F34" s="30">
        <f t="shared" si="41"/>
        <v>-4.1792423999999997</v>
      </c>
      <c r="G34" s="30">
        <f t="shared" si="41"/>
        <v>-4.1792423999999997</v>
      </c>
      <c r="H34" s="30">
        <f t="shared" si="41"/>
        <v>-5.4719769999999999</v>
      </c>
      <c r="I34" s="30">
        <f t="shared" si="41"/>
        <v>-5.4719769999999999</v>
      </c>
      <c r="J34" s="30">
        <f t="shared" si="41"/>
        <v>-5.4719769999999999</v>
      </c>
      <c r="K34" s="30">
        <f t="shared" si="41"/>
        <v>-4.8031058999999994</v>
      </c>
      <c r="L34" s="30">
        <f t="shared" si="41"/>
        <v>-4.8031058999999994</v>
      </c>
      <c r="M34" s="30">
        <f t="shared" si="41"/>
        <v>-4.8031058999999994</v>
      </c>
      <c r="N34" s="30">
        <f t="shared" si="41"/>
        <v>-5.7766389999999994</v>
      </c>
      <c r="O34" s="30">
        <f t="shared" si="41"/>
        <v>-5.7766389999999994</v>
      </c>
      <c r="P34" s="30">
        <f t="shared" si="41"/>
        <v>-5.7766389999999994</v>
      </c>
      <c r="Q34" s="30">
        <f t="shared" si="41"/>
        <v>-6.8113700000000001</v>
      </c>
      <c r="R34" s="30">
        <f t="shared" si="41"/>
        <v>-6.8113700000000001</v>
      </c>
      <c r="S34" s="30">
        <f t="shared" si="41"/>
        <v>-6.8113700000000001</v>
      </c>
      <c r="T34" s="30">
        <f t="shared" si="41"/>
        <v>-6.6897330000000004</v>
      </c>
      <c r="U34" s="30">
        <f t="shared" si="41"/>
        <v>-6.6897330000000004</v>
      </c>
      <c r="V34" s="30">
        <f t="shared" si="41"/>
        <v>-6.6897330000000004</v>
      </c>
      <c r="W34" s="30">
        <f t="shared" si="41"/>
        <v>-7.4090959999999999</v>
      </c>
      <c r="X34" s="30">
        <f t="shared" si="41"/>
        <v>-7.4090959999999999</v>
      </c>
      <c r="Y34" s="30">
        <f t="shared" si="41"/>
        <v>-7.4090959999999999</v>
      </c>
      <c r="Z34" s="30">
        <f t="shared" si="41"/>
        <v>-7.0400600000000004</v>
      </c>
      <c r="AA34" s="30">
        <f t="shared" si="41"/>
        <v>-7.0400600000000004</v>
      </c>
      <c r="AB34" s="30">
        <f t="shared" si="41"/>
        <v>-7.0400600000000004</v>
      </c>
      <c r="AC34" s="30">
        <f t="shared" si="41"/>
        <v>-6.8014410000000005</v>
      </c>
      <c r="AD34" s="30">
        <f t="shared" si="41"/>
        <v>-6.8014410000000005</v>
      </c>
      <c r="AE34" s="30">
        <f t="shared" si="41"/>
        <v>-6.8014410000000005</v>
      </c>
      <c r="AF34" s="30">
        <f t="shared" si="41"/>
        <v>-7.6997169999999997</v>
      </c>
      <c r="AG34" s="30">
        <f t="shared" si="41"/>
        <v>-7.6997169999999997</v>
      </c>
      <c r="AH34" s="30">
        <f t="shared" si="41"/>
        <v>-7.6997169999999997</v>
      </c>
      <c r="AI34" s="30">
        <f t="shared" si="41"/>
        <v>-8.1</v>
      </c>
      <c r="AJ34" s="30">
        <f t="shared" si="41"/>
        <v>-8.1</v>
      </c>
      <c r="AK34" s="30">
        <f t="shared" si="41"/>
        <v>-8.1</v>
      </c>
      <c r="AL34" s="30">
        <f>AL3-AL5</f>
        <v>-9.4499999999999993</v>
      </c>
      <c r="AM34" s="30">
        <f>AM3-AM5</f>
        <v>-9.4499999999999993</v>
      </c>
      <c r="AN34" s="30">
        <f t="shared" ref="AN34:AW34" si="42">AN3-AN5</f>
        <v>-9.4499999999999993</v>
      </c>
      <c r="AO34" s="30">
        <f t="shared" si="42"/>
        <v>-9.1</v>
      </c>
      <c r="AP34" s="30">
        <f t="shared" si="42"/>
        <v>-9.1</v>
      </c>
      <c r="AQ34" s="30">
        <f t="shared" si="42"/>
        <v>-9.1</v>
      </c>
      <c r="AR34" s="30">
        <f t="shared" si="42"/>
        <v>-8.9</v>
      </c>
      <c r="AS34" s="30">
        <f t="shared" si="42"/>
        <v>-8.9</v>
      </c>
      <c r="AT34" s="30">
        <f t="shared" si="42"/>
        <v>-8.9</v>
      </c>
      <c r="AU34" s="30">
        <f t="shared" si="42"/>
        <v>0</v>
      </c>
      <c r="AV34" s="30">
        <f t="shared" si="42"/>
        <v>0</v>
      </c>
      <c r="AW34" s="30">
        <f t="shared" si="42"/>
        <v>0</v>
      </c>
    </row>
    <row r="35" spans="1:49" ht="25" customHeight="1">
      <c r="A35" s="41" t="s">
        <v>59</v>
      </c>
      <c r="B35" s="30">
        <f>B3-B7</f>
        <v>7.7115993999999999</v>
      </c>
      <c r="C35" s="30">
        <f t="shared" ref="C35:AK35" si="43">C3-C7</f>
        <v>7.7115993999999999</v>
      </c>
      <c r="D35" s="30">
        <f t="shared" si="43"/>
        <v>7.7115993999999999</v>
      </c>
      <c r="E35" s="30">
        <f t="shared" si="43"/>
        <v>5.6954216000000004</v>
      </c>
      <c r="F35" s="30">
        <f t="shared" si="43"/>
        <v>5.6954216000000004</v>
      </c>
      <c r="G35" s="30">
        <f t="shared" si="43"/>
        <v>5.6954216000000004</v>
      </c>
      <c r="H35" s="30">
        <f t="shared" si="43"/>
        <v>4.8264950000000004</v>
      </c>
      <c r="I35" s="30">
        <f t="shared" si="43"/>
        <v>4.8264950000000004</v>
      </c>
      <c r="J35" s="30">
        <f t="shared" si="43"/>
        <v>4.8264950000000004</v>
      </c>
      <c r="K35" s="30">
        <f t="shared" si="43"/>
        <v>5.1269471000000006</v>
      </c>
      <c r="L35" s="30">
        <f t="shared" si="43"/>
        <v>5.1269471000000006</v>
      </c>
      <c r="M35" s="30">
        <f t="shared" si="43"/>
        <v>5.1269471000000006</v>
      </c>
      <c r="N35" s="30">
        <f t="shared" si="43"/>
        <v>3.7674300000000001</v>
      </c>
      <c r="O35" s="30">
        <f t="shared" si="43"/>
        <v>3.7674300000000001</v>
      </c>
      <c r="P35" s="30">
        <f t="shared" si="43"/>
        <v>3.7674300000000001</v>
      </c>
      <c r="Q35" s="30">
        <f t="shared" si="43"/>
        <v>2.7530740000000002</v>
      </c>
      <c r="R35" s="30">
        <f t="shared" si="43"/>
        <v>2.7530740000000002</v>
      </c>
      <c r="S35" s="30">
        <f t="shared" si="43"/>
        <v>2.7530740000000002</v>
      </c>
      <c r="T35" s="30">
        <f t="shared" si="43"/>
        <v>2.4360170000000001</v>
      </c>
      <c r="U35" s="30">
        <f t="shared" si="43"/>
        <v>2.4360170000000001</v>
      </c>
      <c r="V35" s="30">
        <f t="shared" si="43"/>
        <v>2.4360170000000001</v>
      </c>
      <c r="W35" s="30">
        <f t="shared" si="43"/>
        <v>1.0416970000000001</v>
      </c>
      <c r="X35" s="30">
        <f t="shared" si="43"/>
        <v>1.0416970000000001</v>
      </c>
      <c r="Y35" s="30">
        <f t="shared" si="43"/>
        <v>1.0416970000000001</v>
      </c>
      <c r="Z35" s="30">
        <f t="shared" si="43"/>
        <v>1.3136079999999999</v>
      </c>
      <c r="AA35" s="30">
        <f t="shared" si="43"/>
        <v>1.3136079999999999</v>
      </c>
      <c r="AB35" s="30">
        <f t="shared" si="43"/>
        <v>1.3136079999999999</v>
      </c>
      <c r="AC35" s="30">
        <f t="shared" si="43"/>
        <v>0.81368799999999997</v>
      </c>
      <c r="AD35" s="30">
        <f t="shared" si="43"/>
        <v>0.81368799999999997</v>
      </c>
      <c r="AE35" s="30">
        <f t="shared" si="43"/>
        <v>0.81368799999999997</v>
      </c>
      <c r="AF35" s="30">
        <f t="shared" si="43"/>
        <v>-7.23</v>
      </c>
      <c r="AG35" s="30">
        <f t="shared" si="43"/>
        <v>0.6872250000000002</v>
      </c>
      <c r="AH35" s="30">
        <f t="shared" si="43"/>
        <v>0.6872250000000002</v>
      </c>
      <c r="AI35" s="30">
        <f t="shared" si="43"/>
        <v>0.77</v>
      </c>
      <c r="AJ35" s="30">
        <f t="shared" si="43"/>
        <v>0.77</v>
      </c>
      <c r="AK35" s="30">
        <f t="shared" si="43"/>
        <v>0.77</v>
      </c>
      <c r="AL35" s="30">
        <f>AL3-AL7</f>
        <v>0.27</v>
      </c>
      <c r="AM35" s="30">
        <f>AM3-AM7</f>
        <v>0.27</v>
      </c>
      <c r="AN35" s="30">
        <f t="shared" ref="AN35:AW35" si="44">AN3-AN7</f>
        <v>0.27</v>
      </c>
      <c r="AO35" s="30">
        <f t="shared" si="44"/>
        <v>0.29999999999999982</v>
      </c>
      <c r="AP35" s="30">
        <f t="shared" si="44"/>
        <v>0.29999999999999982</v>
      </c>
      <c r="AQ35" s="30">
        <f t="shared" si="44"/>
        <v>0.29999999999999982</v>
      </c>
      <c r="AR35" s="30">
        <f t="shared" si="44"/>
        <v>0.35000000000000009</v>
      </c>
      <c r="AS35" s="30">
        <f t="shared" si="44"/>
        <v>0.35000000000000009</v>
      </c>
      <c r="AT35" s="30">
        <f t="shared" si="44"/>
        <v>0.35000000000000009</v>
      </c>
      <c r="AU35" s="30">
        <f t="shared" si="44"/>
        <v>0</v>
      </c>
      <c r="AV35" s="30">
        <f t="shared" si="44"/>
        <v>0</v>
      </c>
      <c r="AW35" s="30">
        <f t="shared" si="44"/>
        <v>0</v>
      </c>
    </row>
    <row r="36" spans="1:49" ht="25" customHeight="1">
      <c r="A36" s="41" t="s">
        <v>20</v>
      </c>
      <c r="B36" s="30">
        <f>B3-B4</f>
        <v>1.1308161000000001</v>
      </c>
      <c r="C36" s="30">
        <f t="shared" ref="C36:AK37" si="45">C3-C4</f>
        <v>1.1308161000000001</v>
      </c>
      <c r="D36" s="30">
        <f t="shared" si="45"/>
        <v>1.1308161000000001</v>
      </c>
      <c r="E36" s="30">
        <f t="shared" si="45"/>
        <v>0.52583409999999997</v>
      </c>
      <c r="F36" s="30">
        <f t="shared" si="45"/>
        <v>0.52583409999999997</v>
      </c>
      <c r="G36" s="30">
        <f t="shared" si="45"/>
        <v>0.52583409999999997</v>
      </c>
      <c r="H36" s="30">
        <f t="shared" si="45"/>
        <v>-0.46620770000000011</v>
      </c>
      <c r="I36" s="30">
        <f t="shared" si="45"/>
        <v>-0.46620770000000011</v>
      </c>
      <c r="J36" s="30">
        <f t="shared" si="45"/>
        <v>-0.46620770000000011</v>
      </c>
      <c r="K36" s="30">
        <f t="shared" si="45"/>
        <v>-0.13104300000000002</v>
      </c>
      <c r="L36" s="30">
        <f t="shared" si="45"/>
        <v>-0.13104300000000002</v>
      </c>
      <c r="M36" s="30">
        <f t="shared" si="45"/>
        <v>-0.13104300000000002</v>
      </c>
      <c r="N36" s="30">
        <f t="shared" si="45"/>
        <v>-0.78870630000000008</v>
      </c>
      <c r="O36" s="30">
        <f t="shared" si="45"/>
        <v>-0.78870630000000008</v>
      </c>
      <c r="P36" s="30">
        <f t="shared" si="45"/>
        <v>-0.78870630000000008</v>
      </c>
      <c r="Q36" s="30">
        <f t="shared" si="45"/>
        <v>-1.9202408</v>
      </c>
      <c r="R36" s="30">
        <f t="shared" si="45"/>
        <v>-1.9202408</v>
      </c>
      <c r="S36" s="30">
        <f t="shared" si="45"/>
        <v>-1.9202408</v>
      </c>
      <c r="T36" s="30">
        <f t="shared" si="45"/>
        <v>-1.7025108</v>
      </c>
      <c r="U36" s="30">
        <f t="shared" si="45"/>
        <v>-1.7025108</v>
      </c>
      <c r="V36" s="30">
        <f t="shared" si="45"/>
        <v>-1.7025108</v>
      </c>
      <c r="W36" s="30">
        <f t="shared" si="45"/>
        <v>-2.3664708000000001</v>
      </c>
      <c r="X36" s="30">
        <f t="shared" si="45"/>
        <v>-2.3664708000000001</v>
      </c>
      <c r="Y36" s="30">
        <f t="shared" si="45"/>
        <v>-2.3664708000000001</v>
      </c>
      <c r="Z36" s="30">
        <f t="shared" si="45"/>
        <v>-2.0514671</v>
      </c>
      <c r="AA36" s="30">
        <f t="shared" si="45"/>
        <v>-2.0514671</v>
      </c>
      <c r="AB36" s="30">
        <f t="shared" si="45"/>
        <v>-2.0514671</v>
      </c>
      <c r="AC36" s="30">
        <f t="shared" si="45"/>
        <v>0.2071679999999998</v>
      </c>
      <c r="AD36" s="30">
        <f t="shared" si="45"/>
        <v>0.2071679999999998</v>
      </c>
      <c r="AE36" s="30">
        <f t="shared" si="45"/>
        <v>0.2071679999999998</v>
      </c>
      <c r="AF36" s="30">
        <f t="shared" si="45"/>
        <v>-2.04</v>
      </c>
      <c r="AG36" s="30">
        <f t="shared" si="45"/>
        <v>-2.04</v>
      </c>
      <c r="AH36" s="30">
        <f t="shared" si="45"/>
        <v>-2.04</v>
      </c>
      <c r="AI36" s="30">
        <f t="shared" si="45"/>
        <v>-3.03</v>
      </c>
      <c r="AJ36" s="30">
        <f t="shared" si="45"/>
        <v>-3.03</v>
      </c>
      <c r="AK36" s="30">
        <f t="shared" si="45"/>
        <v>-3.03</v>
      </c>
      <c r="AL36" s="30">
        <f>AL3-AL4</f>
        <v>-2.81</v>
      </c>
      <c r="AM36" s="30">
        <f>AM3-AM4</f>
        <v>-2.81</v>
      </c>
      <c r="AN36" s="30">
        <f t="shared" ref="AN36:AW36" si="46">AN3-AN4</f>
        <v>-2.81</v>
      </c>
      <c r="AO36" s="30">
        <f t="shared" si="46"/>
        <v>-2.8</v>
      </c>
      <c r="AP36" s="30">
        <f t="shared" si="46"/>
        <v>-2.8</v>
      </c>
      <c r="AQ36" s="30">
        <f t="shared" si="46"/>
        <v>-2.8</v>
      </c>
      <c r="AR36" s="30">
        <f t="shared" si="46"/>
        <v>-2.5</v>
      </c>
      <c r="AS36" s="30">
        <f t="shared" si="46"/>
        <v>-2.5</v>
      </c>
      <c r="AT36" s="30">
        <f t="shared" si="46"/>
        <v>-2.5</v>
      </c>
      <c r="AU36" s="30">
        <f t="shared" si="46"/>
        <v>0</v>
      </c>
      <c r="AV36" s="30">
        <f t="shared" si="46"/>
        <v>0</v>
      </c>
      <c r="AW36" s="30">
        <f t="shared" si="46"/>
        <v>0</v>
      </c>
    </row>
    <row r="37" spans="1:49" ht="25" customHeight="1">
      <c r="A37" s="42" t="s">
        <v>19</v>
      </c>
      <c r="B37" s="30">
        <f>B4-B5</f>
        <v>-3.0185697</v>
      </c>
      <c r="C37" s="30">
        <f t="shared" si="45"/>
        <v>-3.0185697</v>
      </c>
      <c r="D37" s="30">
        <f t="shared" si="45"/>
        <v>-3.0185697</v>
      </c>
      <c r="E37" s="30">
        <f t="shared" si="45"/>
        <v>-4.7050764999999997</v>
      </c>
      <c r="F37" s="30">
        <f t="shared" si="45"/>
        <v>-4.7050764999999997</v>
      </c>
      <c r="G37" s="30">
        <f t="shared" si="45"/>
        <v>-4.7050764999999997</v>
      </c>
      <c r="H37" s="30">
        <f t="shared" si="45"/>
        <v>-5.0057692999999999</v>
      </c>
      <c r="I37" s="30">
        <f t="shared" si="45"/>
        <v>-5.0057692999999999</v>
      </c>
      <c r="J37" s="30">
        <f t="shared" si="45"/>
        <v>-5.0057692999999999</v>
      </c>
      <c r="K37" s="30">
        <f t="shared" si="45"/>
        <v>-4.6720628999999994</v>
      </c>
      <c r="L37" s="30">
        <f t="shared" si="45"/>
        <v>-4.6720628999999994</v>
      </c>
      <c r="M37" s="30">
        <f t="shared" si="45"/>
        <v>-4.6720628999999994</v>
      </c>
      <c r="N37" s="30">
        <f t="shared" si="45"/>
        <v>-4.9879327</v>
      </c>
      <c r="O37" s="30">
        <f t="shared" si="45"/>
        <v>-4.9879327</v>
      </c>
      <c r="P37" s="30">
        <f t="shared" si="45"/>
        <v>-4.9879327</v>
      </c>
      <c r="Q37" s="30">
        <f t="shared" si="45"/>
        <v>-4.8911292</v>
      </c>
      <c r="R37" s="30">
        <f t="shared" si="45"/>
        <v>-4.8911292</v>
      </c>
      <c r="S37" s="30">
        <f t="shared" si="45"/>
        <v>-4.8911292</v>
      </c>
      <c r="T37" s="30">
        <f t="shared" si="45"/>
        <v>-4.9872221999999997</v>
      </c>
      <c r="U37" s="30">
        <f t="shared" si="45"/>
        <v>-4.9872221999999997</v>
      </c>
      <c r="V37" s="30">
        <f t="shared" si="45"/>
        <v>-4.9872221999999997</v>
      </c>
      <c r="W37" s="30">
        <f t="shared" si="45"/>
        <v>-5.0426251999999998</v>
      </c>
      <c r="X37" s="30">
        <f t="shared" si="45"/>
        <v>-5.0426251999999998</v>
      </c>
      <c r="Y37" s="30">
        <f t="shared" si="45"/>
        <v>-5.0426251999999998</v>
      </c>
      <c r="Z37" s="30">
        <f t="shared" si="45"/>
        <v>-4.9885928999999996</v>
      </c>
      <c r="AA37" s="30">
        <f t="shared" si="45"/>
        <v>-4.9885928999999996</v>
      </c>
      <c r="AB37" s="30">
        <f t="shared" si="45"/>
        <v>-4.9885928999999996</v>
      </c>
      <c r="AC37" s="30">
        <f t="shared" si="45"/>
        <v>-7.0086089999999999</v>
      </c>
      <c r="AD37" s="30">
        <f t="shared" si="45"/>
        <v>-7.0086089999999999</v>
      </c>
      <c r="AE37" s="30">
        <f t="shared" si="45"/>
        <v>-7.0086089999999999</v>
      </c>
      <c r="AF37" s="30">
        <f t="shared" si="45"/>
        <v>-5.6597170000000006</v>
      </c>
      <c r="AG37" s="30">
        <f t="shared" si="45"/>
        <v>-5.6597170000000006</v>
      </c>
      <c r="AH37" s="30">
        <f t="shared" si="45"/>
        <v>-5.6597170000000006</v>
      </c>
      <c r="AI37" s="30">
        <f t="shared" si="45"/>
        <v>-5.07</v>
      </c>
      <c r="AJ37" s="30">
        <f t="shared" si="45"/>
        <v>-5.07</v>
      </c>
      <c r="AK37" s="30">
        <f t="shared" si="45"/>
        <v>-5.07</v>
      </c>
      <c r="AL37" s="30">
        <f>AL4-AL5</f>
        <v>-6.64</v>
      </c>
      <c r="AM37" s="30">
        <f>AM4-AM5</f>
        <v>-6.64</v>
      </c>
      <c r="AN37" s="30">
        <f t="shared" ref="AN37:AW37" si="47">AN4-AN5</f>
        <v>-6.64</v>
      </c>
      <c r="AO37" s="30">
        <f t="shared" si="47"/>
        <v>-6.3</v>
      </c>
      <c r="AP37" s="30">
        <f t="shared" si="47"/>
        <v>-6.3</v>
      </c>
      <c r="AQ37" s="30">
        <f t="shared" si="47"/>
        <v>-6.3</v>
      </c>
      <c r="AR37" s="30">
        <f t="shared" si="47"/>
        <v>-6.4</v>
      </c>
      <c r="AS37" s="30">
        <f t="shared" si="47"/>
        <v>-6.4</v>
      </c>
      <c r="AT37" s="30">
        <f t="shared" si="47"/>
        <v>-6.4</v>
      </c>
      <c r="AU37" s="30">
        <f t="shared" si="47"/>
        <v>0</v>
      </c>
      <c r="AV37" s="30">
        <f t="shared" si="47"/>
        <v>0</v>
      </c>
      <c r="AW37" s="30">
        <f t="shared" si="47"/>
        <v>0</v>
      </c>
    </row>
    <row r="43" spans="1:49" ht="25" customHeight="1">
      <c r="A43" s="28" t="s">
        <v>45</v>
      </c>
      <c r="B43" s="185">
        <v>44927</v>
      </c>
      <c r="C43" s="185">
        <v>44958</v>
      </c>
      <c r="D43" s="185">
        <v>44986</v>
      </c>
      <c r="E43" s="185">
        <v>45017</v>
      </c>
      <c r="F43" s="185">
        <v>45047</v>
      </c>
      <c r="G43" s="185">
        <v>45078</v>
      </c>
      <c r="H43" s="185">
        <v>45108</v>
      </c>
      <c r="I43" s="185">
        <v>45139</v>
      </c>
      <c r="J43" s="185">
        <v>45170</v>
      </c>
      <c r="K43" s="185">
        <v>45200</v>
      </c>
      <c r="L43" s="185">
        <v>45231</v>
      </c>
      <c r="M43" s="185">
        <v>45261</v>
      </c>
      <c r="N43" s="185">
        <v>45292</v>
      </c>
      <c r="O43" s="185">
        <v>45323</v>
      </c>
      <c r="P43" s="185">
        <v>45352</v>
      </c>
      <c r="Q43" s="185">
        <v>45383</v>
      </c>
      <c r="R43" s="185">
        <v>45413</v>
      </c>
      <c r="S43" s="185">
        <v>45444</v>
      </c>
      <c r="T43" s="185">
        <v>45474</v>
      </c>
      <c r="U43" s="185">
        <v>45505</v>
      </c>
      <c r="V43" s="185">
        <v>45536</v>
      </c>
      <c r="W43" s="185">
        <v>45566</v>
      </c>
      <c r="X43" s="185">
        <v>45597</v>
      </c>
      <c r="Y43" s="185">
        <v>45627</v>
      </c>
      <c r="Z43" s="185">
        <v>45658</v>
      </c>
      <c r="AA43" s="185">
        <v>45689</v>
      </c>
      <c r="AB43" s="185">
        <v>45717</v>
      </c>
      <c r="AC43" s="185">
        <v>45748</v>
      </c>
      <c r="AD43" s="185">
        <v>45778</v>
      </c>
      <c r="AE43" s="185">
        <v>45809</v>
      </c>
      <c r="AF43" s="185">
        <v>45839</v>
      </c>
      <c r="AG43" s="185">
        <v>45870</v>
      </c>
      <c r="AH43" s="185">
        <v>45901</v>
      </c>
      <c r="AI43" s="185">
        <v>45931</v>
      </c>
      <c r="AJ43" s="185">
        <v>45962</v>
      </c>
      <c r="AK43" s="185">
        <v>45992</v>
      </c>
      <c r="AL43" s="185">
        <v>46023</v>
      </c>
      <c r="AM43" s="185">
        <v>46054</v>
      </c>
      <c r="AN43" s="185">
        <v>46082</v>
      </c>
      <c r="AO43" s="185">
        <v>46113</v>
      </c>
      <c r="AP43" s="185">
        <v>46143</v>
      </c>
      <c r="AQ43" s="185">
        <v>46174</v>
      </c>
      <c r="AR43" s="185">
        <v>46204</v>
      </c>
      <c r="AS43" s="185">
        <v>46235</v>
      </c>
      <c r="AT43" s="185">
        <v>46266</v>
      </c>
      <c r="AU43" s="185">
        <v>46296</v>
      </c>
      <c r="AV43" s="185">
        <v>46327</v>
      </c>
      <c r="AW43" s="185">
        <v>46357</v>
      </c>
    </row>
    <row r="44" spans="1:49" ht="25" customHeight="1">
      <c r="A44" s="43" t="s">
        <v>16</v>
      </c>
      <c r="B44" s="30" cm="1">
        <f t="array" ref="B44">_xlfn.XLOOKUP(MIN(ABS($AY$7:$AY$27 - MEDIAN(MIN($AY$7:$AY$27), MAX($AY$7:$AY$27), B15))), ABS($AY$7:$AY$27 - MEDIAN(MIN($AY$7:$AY$27), MAX($AY$7:$AY$27), B15)), $AZ$7:$AZ$27, "Not Found", 0)</f>
        <v>-3</v>
      </c>
      <c r="C44" s="30" cm="1">
        <f t="array" ref="C44">_xlfn.XLOOKUP(MIN(ABS($AY$7:$AY$27 - MEDIAN(MIN($AY$7:$AY$27), MAX($AY$7:$AY$27), C15))), ABS($AY$7:$AY$27 - MEDIAN(MIN($AY$7:$AY$27), MAX($AY$7:$AY$27), C15)), $AZ$7:$AZ$27, "Not Found", 0)</f>
        <v>-3</v>
      </c>
      <c r="D44" s="30" cm="1">
        <f t="array" ref="D44">_xlfn.XLOOKUP(MIN(ABS($AY$7:$AY$27 - MEDIAN(MIN($AY$7:$AY$27), MAX($AY$7:$AY$27), D15))), ABS($AY$7:$AY$27 - MEDIAN(MIN($AY$7:$AY$27), MAX($AY$7:$AY$27), D15)), $AZ$7:$AZ$27, "Not Found", 0)</f>
        <v>-3</v>
      </c>
      <c r="E44" s="30" cm="1">
        <f t="array" ref="E44">_xlfn.XLOOKUP(MIN(ABS($AY$7:$AY$27 - MEDIAN(MIN($AY$7:$AY$27), MAX($AY$7:$AY$27), E15))), ABS($AY$7:$AY$27 - MEDIAN(MIN($AY$7:$AY$27), MAX($AY$7:$AY$27), E15)), $AZ$7:$AZ$27, "Not Found", 0)</f>
        <v>-4</v>
      </c>
      <c r="F44" s="30" cm="1">
        <f t="array" ref="F44">_xlfn.XLOOKUP(MIN(ABS($AY$7:$AY$27 - MEDIAN(MIN($AY$7:$AY$27), MAX($AY$7:$AY$27), F15))), ABS($AY$7:$AY$27 - MEDIAN(MIN($AY$7:$AY$27), MAX($AY$7:$AY$27), F15)), $AZ$7:$AZ$27, "Not Found", 0)</f>
        <v>-4</v>
      </c>
      <c r="G44" s="30" cm="1">
        <f t="array" ref="G44">_xlfn.XLOOKUP(MIN(ABS($AY$7:$AY$27 - MEDIAN(MIN($AY$7:$AY$27), MAX($AY$7:$AY$27), G15))), ABS($AY$7:$AY$27 - MEDIAN(MIN($AY$7:$AY$27), MAX($AY$7:$AY$27), G15)), $AZ$7:$AZ$27, "Not Found", 0)</f>
        <v>-4</v>
      </c>
      <c r="H44" s="30" cm="1">
        <f t="array" ref="H44">_xlfn.XLOOKUP(MIN(ABS($AY$7:$AY$27 - MEDIAN(MIN($AY$7:$AY$27), MAX($AY$7:$AY$27), H15))), ABS($AY$7:$AY$27 - MEDIAN(MIN($AY$7:$AY$27), MAX($AY$7:$AY$27), H15)), $AZ$7:$AZ$27, "Not Found", 0)</f>
        <v>-4</v>
      </c>
      <c r="I44" s="30" cm="1">
        <f t="array" ref="I44">_xlfn.XLOOKUP(MIN(ABS($AY$7:$AY$27 - MEDIAN(MIN($AY$7:$AY$27), MAX($AY$7:$AY$27), I15))), ABS($AY$7:$AY$27 - MEDIAN(MIN($AY$7:$AY$27), MAX($AY$7:$AY$27), I15)), $AZ$7:$AZ$27, "Not Found", 0)</f>
        <v>-4</v>
      </c>
      <c r="J44" s="30" cm="1">
        <f t="array" ref="J44">_xlfn.XLOOKUP(MIN(ABS($AY$7:$AY$27 - MEDIAN(MIN($AY$7:$AY$27), MAX($AY$7:$AY$27), J15))), ABS($AY$7:$AY$27 - MEDIAN(MIN($AY$7:$AY$27), MAX($AY$7:$AY$27), J15)), $AZ$7:$AZ$27, "Not Found", 0)</f>
        <v>-4</v>
      </c>
      <c r="K44" s="30" cm="1">
        <f t="array" ref="K44">_xlfn.XLOOKUP(MIN(ABS($AY$7:$AY$27 - MEDIAN(MIN($AY$7:$AY$27), MAX($AY$7:$AY$27), K15))), ABS($AY$7:$AY$27 - MEDIAN(MIN($AY$7:$AY$27), MAX($AY$7:$AY$27), K15)), $AZ$7:$AZ$27, "Not Found", 0)</f>
        <v>-5</v>
      </c>
      <c r="L44" s="30" cm="1">
        <f t="array" ref="L44">_xlfn.XLOOKUP(MIN(ABS($AY$7:$AY$27 - MEDIAN(MIN($AY$7:$AY$27), MAX($AY$7:$AY$27), L15))), ABS($AY$7:$AY$27 - MEDIAN(MIN($AY$7:$AY$27), MAX($AY$7:$AY$27), L15)), $AZ$7:$AZ$27, "Not Found", 0)</f>
        <v>-5</v>
      </c>
      <c r="M44" s="30" cm="1">
        <f t="array" ref="M44">_xlfn.XLOOKUP(MIN(ABS($AY$7:$AY$27 - MEDIAN(MIN($AY$7:$AY$27), MAX($AY$7:$AY$27), M15))), ABS($AY$7:$AY$27 - MEDIAN(MIN($AY$7:$AY$27), MAX($AY$7:$AY$27), M15)), $AZ$7:$AZ$27, "Not Found", 0)</f>
        <v>-5</v>
      </c>
      <c r="N44" s="30" cm="1">
        <f t="array" ref="N44">_xlfn.XLOOKUP(MIN(ABS($AY$7:$AY$27 - MEDIAN(MIN($AY$7:$AY$27), MAX($AY$7:$AY$27), N15))), ABS($AY$7:$AY$27 - MEDIAN(MIN($AY$7:$AY$27), MAX($AY$7:$AY$27), N15)), $AZ$7:$AZ$27, "Not Found", 0)</f>
        <v>-5</v>
      </c>
      <c r="O44" s="30" cm="1">
        <f t="array" ref="O44">_xlfn.XLOOKUP(MIN(ABS($AY$7:$AY$27 - MEDIAN(MIN($AY$7:$AY$27), MAX($AY$7:$AY$27), O15))), ABS($AY$7:$AY$27 - MEDIAN(MIN($AY$7:$AY$27), MAX($AY$7:$AY$27), O15)), $AZ$7:$AZ$27, "Not Found", 0)</f>
        <v>-5</v>
      </c>
      <c r="P44" s="30" cm="1">
        <f t="array" ref="P44">_xlfn.XLOOKUP(MIN(ABS($AY$7:$AY$27 - MEDIAN(MIN($AY$7:$AY$27), MAX($AY$7:$AY$27), P15))), ABS($AY$7:$AY$27 - MEDIAN(MIN($AY$7:$AY$27), MAX($AY$7:$AY$27), P15)), $AZ$7:$AZ$27, "Not Found", 0)</f>
        <v>-5</v>
      </c>
      <c r="Q44" s="30" cm="1">
        <f t="array" ref="Q44">_xlfn.XLOOKUP(MIN(ABS($AY$7:$AY$27 - MEDIAN(MIN($AY$7:$AY$27), MAX($AY$7:$AY$27), Q15))), ABS($AY$7:$AY$27 - MEDIAN(MIN($AY$7:$AY$27), MAX($AY$7:$AY$27), Q15)), $AZ$7:$AZ$27, "Not Found", 0)</f>
        <v>-5</v>
      </c>
      <c r="R44" s="30" cm="1">
        <f t="array" ref="R44">_xlfn.XLOOKUP(MIN(ABS($AY$7:$AY$27 - MEDIAN(MIN($AY$7:$AY$27), MAX($AY$7:$AY$27), R15))), ABS($AY$7:$AY$27 - MEDIAN(MIN($AY$7:$AY$27), MAX($AY$7:$AY$27), R15)), $AZ$7:$AZ$27, "Not Found", 0)</f>
        <v>-5</v>
      </c>
      <c r="S44" s="30" cm="1">
        <f t="array" ref="S44">_xlfn.XLOOKUP(MIN(ABS($AY$7:$AY$27 - MEDIAN(MIN($AY$7:$AY$27), MAX($AY$7:$AY$27), S15))), ABS($AY$7:$AY$27 - MEDIAN(MIN($AY$7:$AY$27), MAX($AY$7:$AY$27), S15)), $AZ$7:$AZ$27, "Not Found", 0)</f>
        <v>-5</v>
      </c>
      <c r="T44" s="30" cm="1">
        <f t="array" ref="T44">_xlfn.XLOOKUP(MIN(ABS($AY$7:$AY$27 - MEDIAN(MIN($AY$7:$AY$27), MAX($AY$7:$AY$27), T15))), ABS($AY$7:$AY$27 - MEDIAN(MIN($AY$7:$AY$27), MAX($AY$7:$AY$27), T15)), $AZ$7:$AZ$27, "Not Found", 0)</f>
        <v>-6</v>
      </c>
      <c r="U44" s="30" cm="1">
        <f t="array" ref="U44">_xlfn.XLOOKUP(MIN(ABS($AY$7:$AY$27 - MEDIAN(MIN($AY$7:$AY$27), MAX($AY$7:$AY$27), U15))), ABS($AY$7:$AY$27 - MEDIAN(MIN($AY$7:$AY$27), MAX($AY$7:$AY$27), U15)), $AZ$7:$AZ$27, "Not Found", 0)</f>
        <v>-6</v>
      </c>
      <c r="V44" s="30" cm="1">
        <f t="array" ref="V44">_xlfn.XLOOKUP(MIN(ABS($AY$7:$AY$27 - MEDIAN(MIN($AY$7:$AY$27), MAX($AY$7:$AY$27), V15))), ABS($AY$7:$AY$27 - MEDIAN(MIN($AY$7:$AY$27), MAX($AY$7:$AY$27), V15)), $AZ$7:$AZ$27, "Not Found", 0)</f>
        <v>-6</v>
      </c>
      <c r="W44" s="30" cm="1">
        <f t="array" ref="W44">_xlfn.XLOOKUP(MIN(ABS($AY$7:$AY$27 - MEDIAN(MIN($AY$7:$AY$27), MAX($AY$7:$AY$27), W15))), ABS($AY$7:$AY$27 - MEDIAN(MIN($AY$7:$AY$27), MAX($AY$7:$AY$27), W15)), $AZ$7:$AZ$27, "Not Found", 0)</f>
        <v>-6</v>
      </c>
      <c r="X44" s="30" cm="1">
        <f t="array" ref="X44">_xlfn.XLOOKUP(MIN(ABS($AY$7:$AY$27 - MEDIAN(MIN($AY$7:$AY$27), MAX($AY$7:$AY$27), X15))), ABS($AY$7:$AY$27 - MEDIAN(MIN($AY$7:$AY$27), MAX($AY$7:$AY$27), X15)), $AZ$7:$AZ$27, "Not Found", 0)</f>
        <v>-6</v>
      </c>
      <c r="Y44" s="30" cm="1">
        <f t="array" ref="Y44">_xlfn.XLOOKUP(MIN(ABS($AY$7:$AY$27 - MEDIAN(MIN($AY$7:$AY$27), MAX($AY$7:$AY$27), Y15))), ABS($AY$7:$AY$27 - MEDIAN(MIN($AY$7:$AY$27), MAX($AY$7:$AY$27), Y15)), $AZ$7:$AZ$27, "Not Found", 0)</f>
        <v>-6</v>
      </c>
      <c r="Z44" s="30" cm="1">
        <f t="array" ref="Z44">_xlfn.XLOOKUP(MIN(ABS($AY$7:$AY$27 - MEDIAN(MIN($AY$7:$AY$27), MAX($AY$7:$AY$27), Z15))), ABS($AY$7:$AY$27 - MEDIAN(MIN($AY$7:$AY$27), MAX($AY$7:$AY$27), Z15)), $AZ$7:$AZ$27, "Not Found", 0)</f>
        <v>-7</v>
      </c>
      <c r="AA44" s="30" cm="1">
        <f t="array" ref="AA44">_xlfn.XLOOKUP(MIN(ABS($AY$7:$AY$27 - MEDIAN(MIN($AY$7:$AY$27), MAX($AY$7:$AY$27), AA15))), ABS($AY$7:$AY$27 - MEDIAN(MIN($AY$7:$AY$27), MAX($AY$7:$AY$27), AA15)), $AZ$7:$AZ$27, "Not Found", 0)</f>
        <v>-7</v>
      </c>
      <c r="AB44" s="30" cm="1">
        <f t="array" ref="AB44">_xlfn.XLOOKUP(MIN(ABS($AY$7:$AY$27 - MEDIAN(MIN($AY$7:$AY$27), MAX($AY$7:$AY$27), AB15))), ABS($AY$7:$AY$27 - MEDIAN(MIN($AY$7:$AY$27), MAX($AY$7:$AY$27), AB15)), $AZ$7:$AZ$27, "Not Found", 0)</f>
        <v>-7</v>
      </c>
      <c r="AC44" s="30" cm="1">
        <f t="array" ref="AC44">_xlfn.XLOOKUP(MIN(ABS($AY$7:$AY$27 - MEDIAN(MIN($AY$7:$AY$27), MAX($AY$7:$AY$27), AC15))), ABS($AY$7:$AY$27 - MEDIAN(MIN($AY$7:$AY$27), MAX($AY$7:$AY$27), AC15)), $AZ$7:$AZ$27, "Not Found", 0)</f>
        <v>-5</v>
      </c>
      <c r="AD44" s="30" cm="1">
        <f t="array" ref="AD44">_xlfn.XLOOKUP(MIN(ABS($AY$7:$AY$27 - MEDIAN(MIN($AY$7:$AY$27), MAX($AY$7:$AY$27), AD15))), ABS($AY$7:$AY$27 - MEDIAN(MIN($AY$7:$AY$27), MAX($AY$7:$AY$27), AD15)), $AZ$7:$AZ$27, "Not Found", 0)</f>
        <v>-5</v>
      </c>
      <c r="AE44" s="30" cm="1">
        <f t="array" ref="AE44">_xlfn.XLOOKUP(MIN(ABS($AY$7:$AY$27 - MEDIAN(MIN($AY$7:$AY$27), MAX($AY$7:$AY$27), AE15))), ABS($AY$7:$AY$27 - MEDIAN(MIN($AY$7:$AY$27), MAX($AY$7:$AY$27), AE15)), $AZ$7:$AZ$27, "Not Found", 0)</f>
        <v>-5</v>
      </c>
      <c r="AF44" s="30" cm="1">
        <f t="array" ref="AF44">_xlfn.XLOOKUP(MIN(ABS($AY$7:$AY$27 - MEDIAN(MIN($AY$7:$AY$27), MAX($AY$7:$AY$27), AF15))), ABS($AY$7:$AY$27 - MEDIAN(MIN($AY$7:$AY$27), MAX($AY$7:$AY$27), AF15)), $AZ$7:$AZ$27, "Not Found", 0)</f>
        <v>-5</v>
      </c>
      <c r="AG44" s="30" cm="1">
        <f t="array" ref="AG44">_xlfn.XLOOKUP(MIN(ABS($AY$7:$AY$27 - MEDIAN(MIN($AY$7:$AY$27), MAX($AY$7:$AY$27), AG15))), ABS($AY$7:$AY$27 - MEDIAN(MIN($AY$7:$AY$27), MAX($AY$7:$AY$27), AG15)), $AZ$7:$AZ$27, "Not Found", 0)</f>
        <v>-5</v>
      </c>
      <c r="AH44" s="30" cm="1">
        <f t="array" ref="AH44">_xlfn.XLOOKUP(MIN(ABS($AY$7:$AY$27 - MEDIAN(MIN($AY$7:$AY$27), MAX($AY$7:$AY$27), AH15))), ABS($AY$7:$AY$27 - MEDIAN(MIN($AY$7:$AY$27), MAX($AY$7:$AY$27), AH15)), $AZ$7:$AZ$27, "Not Found", 0)</f>
        <v>-5</v>
      </c>
      <c r="AI44" s="30" cm="1">
        <f t="array" ref="AI44">_xlfn.XLOOKUP(MIN(ABS($AY$7:$AY$27 - MEDIAN(MIN($AY$7:$AY$27), MAX($AY$7:$AY$27), AI15))), ABS($AY$7:$AY$27 - MEDIAN(MIN($AY$7:$AY$27), MAX($AY$7:$AY$27), AI15)), $AZ$7:$AZ$27, "Not Found", 0)</f>
        <v>-5</v>
      </c>
      <c r="AJ44" s="30" cm="1">
        <f t="array" ref="AJ44">_xlfn.XLOOKUP(MIN(ABS($AY$7:$AY$27 - MEDIAN(MIN($AY$7:$AY$27), MAX($AY$7:$AY$27), AJ15))), ABS($AY$7:$AY$27 - MEDIAN(MIN($AY$7:$AY$27), MAX($AY$7:$AY$27), AJ15)), $AZ$7:$AZ$27, "Not Found", 0)</f>
        <v>-5</v>
      </c>
      <c r="AK44" s="30" cm="1">
        <f t="array" ref="AK44">_xlfn.XLOOKUP(MIN(ABS($AY$7:$AY$27 - MEDIAN(MIN($AY$7:$AY$27), MAX($AY$7:$AY$27), AK15))), ABS($AY$7:$AY$27 - MEDIAN(MIN($AY$7:$AY$27), MAX($AY$7:$AY$27), AK15)), $AZ$7:$AZ$27, "Not Found", 0)</f>
        <v>-5</v>
      </c>
      <c r="AL44" s="30" cm="1">
        <f t="array" ref="AL44">_xlfn.XLOOKUP(MIN(ABS($AY$7:$AY$27 - MEDIAN(MIN($AY$7:$AY$27), MAX($AY$7:$AY$27), AL15))), ABS($AY$7:$AY$27 - MEDIAN(MIN($AY$7:$AY$27), MAX($AY$7:$AY$27), AL15)), $AZ$7:$AZ$27, "Not Found", 0)</f>
        <v>-6</v>
      </c>
      <c r="AM44" s="30" cm="1">
        <f t="array" ref="AM44">_xlfn.XLOOKUP(MIN(ABS($AY$7:$AY$27 - MEDIAN(MIN($AY$7:$AY$27), MAX($AY$7:$AY$27), AM15))), ABS($AY$7:$AY$27 - MEDIAN(MIN($AY$7:$AY$27), MAX($AY$7:$AY$27), AM15)), $AZ$7:$AZ$27, "Not Found", 0)</f>
        <v>-6</v>
      </c>
      <c r="AN44" s="30" cm="1">
        <f t="array" ref="AN44">_xlfn.XLOOKUP(MIN(ABS($AY$7:$AY$27 - MEDIAN(MIN($AY$7:$AY$27), MAX($AY$7:$AY$27), AN15))), ABS($AY$7:$AY$27 - MEDIAN(MIN($AY$7:$AY$27), MAX($AY$7:$AY$27), AN15)), $AZ$7:$AZ$27, "Not Found", 0)</f>
        <v>-6</v>
      </c>
      <c r="AO44" s="30" cm="1">
        <f t="array" ref="AO44">_xlfn.XLOOKUP(MIN(ABS($AY$7:$AY$27 - MEDIAN(MIN($AY$7:$AY$27), MAX($AY$7:$AY$27), AO15))), ABS($AY$7:$AY$27 - MEDIAN(MIN($AY$7:$AY$27), MAX($AY$7:$AY$27), AO15)), $AZ$7:$AZ$27, "Not Found", 0)</f>
        <v>-6</v>
      </c>
      <c r="AP44" s="30" cm="1">
        <f t="array" ref="AP44">_xlfn.XLOOKUP(MIN(ABS($AY$7:$AY$27 - MEDIAN(MIN($AY$7:$AY$27), MAX($AY$7:$AY$27), AP15))), ABS($AY$7:$AY$27 - MEDIAN(MIN($AY$7:$AY$27), MAX($AY$7:$AY$27), AP15)), $AZ$7:$AZ$27, "Not Found", 0)</f>
        <v>-6</v>
      </c>
      <c r="AQ44" s="30" cm="1">
        <f t="array" ref="AQ44">_xlfn.XLOOKUP(MIN(ABS($AY$7:$AY$27 - MEDIAN(MIN($AY$7:$AY$27), MAX($AY$7:$AY$27), AQ15))), ABS($AY$7:$AY$27 - MEDIAN(MIN($AY$7:$AY$27), MAX($AY$7:$AY$27), AQ15)), $AZ$7:$AZ$27, "Not Found", 0)</f>
        <v>-6</v>
      </c>
      <c r="AR44" s="30" cm="1">
        <f t="array" ref="AR44">_xlfn.XLOOKUP(MIN(ABS($AY$7:$AY$27 - MEDIAN(MIN($AY$7:$AY$27), MAX($AY$7:$AY$27), AR15))), ABS($AY$7:$AY$27 - MEDIAN(MIN($AY$7:$AY$27), MAX($AY$7:$AY$27), AR15)), $AZ$7:$AZ$27, "Not Found", 0)</f>
        <v>-5</v>
      </c>
      <c r="AS44" s="30" cm="1">
        <f t="array" ref="AS44">_xlfn.XLOOKUP(MIN(ABS($AY$7:$AY$27 - MEDIAN(MIN($AY$7:$AY$27), MAX($AY$7:$AY$27), AS15))), ABS($AY$7:$AY$27 - MEDIAN(MIN($AY$7:$AY$27), MAX($AY$7:$AY$27), AS15)), $AZ$7:$AZ$27, "Not Found", 0)</f>
        <v>-5</v>
      </c>
      <c r="AT44" s="30" cm="1">
        <f t="array" ref="AT44">_xlfn.XLOOKUP(MIN(ABS($AY$7:$AY$27 - MEDIAN(MIN($AY$7:$AY$27), MAX($AY$7:$AY$27), AT15))), ABS($AY$7:$AY$27 - MEDIAN(MIN($AY$7:$AY$27), MAX($AY$7:$AY$27), AT15)), $AZ$7:$AZ$27, "Not Found", 0)</f>
        <v>-5</v>
      </c>
      <c r="AU44" s="30" cm="1">
        <f t="array" ref="AU44">_xlfn.XLOOKUP(MIN(ABS($AY$7:$AY$27 - MEDIAN(MIN($AY$7:$AY$27), MAX($AY$7:$AY$27), AU15))), ABS($AY$7:$AY$27 - MEDIAN(MIN($AY$7:$AY$27), MAX($AY$7:$AY$27), AU15)), $AZ$7:$AZ$27, "Not Found", 0)</f>
        <v>0</v>
      </c>
      <c r="AV44" s="30" cm="1">
        <f t="array" ref="AV44">_xlfn.XLOOKUP(MIN(ABS($AY$7:$AY$27 - MEDIAN(MIN($AY$7:$AY$27), MAX($AY$7:$AY$27), AV15))), ABS($AY$7:$AY$27 - MEDIAN(MIN($AY$7:$AY$27), MAX($AY$7:$AY$27), AV15)), $AZ$7:$AZ$27, "Not Found", 0)</f>
        <v>0</v>
      </c>
      <c r="AW44" s="30" cm="1">
        <f t="array" ref="AW44">_xlfn.XLOOKUP(MIN(ABS($AY$7:$AY$27 - MEDIAN(MIN($AY$7:$AY$27), MAX($AY$7:$AY$27), AW15))), ABS($AY$7:$AY$27 - MEDIAN(MIN($AY$7:$AY$27), MAX($AY$7:$AY$27), AW15)), $AZ$7:$AZ$27, "Not Found", 0)</f>
        <v>0</v>
      </c>
    </row>
    <row r="45" spans="1:49" ht="25" customHeight="1">
      <c r="A45" s="45" t="s">
        <v>46</v>
      </c>
      <c r="B45" s="30" cm="1">
        <f t="array" ref="B45">_xlfn.XLOOKUP(MIN(ABS($AY$7:$AY$27 - MEDIAN(MIN($AY$7:$AY$27), MAX($AY$7:$AY$27), B16))), ABS($AY$7:$AY$27 - MEDIAN(MIN($AY$7:$AY$27), MAX($AY$7:$AY$27), B16)), $AZ$7:$AZ$27, "Not Found", 0)</f>
        <v>-7</v>
      </c>
      <c r="C45" s="30" cm="1">
        <f t="array" ref="C45">_xlfn.XLOOKUP(MIN(ABS($AY$7:$AY$27 - MEDIAN(MIN($AY$7:$AY$27), MAX($AY$7:$AY$27), C16))), ABS($AY$7:$AY$27 - MEDIAN(MIN($AY$7:$AY$27), MAX($AY$7:$AY$27), C16)), $AZ$7:$AZ$27, "Not Found", 0)</f>
        <v>-7</v>
      </c>
      <c r="D45" s="30" cm="1">
        <f t="array" ref="D45">_xlfn.XLOOKUP(MIN(ABS($AY$7:$AY$27 - MEDIAN(MIN($AY$7:$AY$27), MAX($AY$7:$AY$27), D16))), ABS($AY$7:$AY$27 - MEDIAN(MIN($AY$7:$AY$27), MAX($AY$7:$AY$27), D16)), $AZ$7:$AZ$27, "Not Found", 0)</f>
        <v>-7</v>
      </c>
      <c r="E45" s="30" cm="1">
        <f t="array" ref="E45">_xlfn.XLOOKUP(MIN(ABS($AY$7:$AY$27 - MEDIAN(MIN($AY$7:$AY$27), MAX($AY$7:$AY$27), E16))), ABS($AY$7:$AY$27 - MEDIAN(MIN($AY$7:$AY$27), MAX($AY$7:$AY$27), E16)), $AZ$7:$AZ$27, "Not Found", 0)</f>
        <v>-8</v>
      </c>
      <c r="F45" s="30" cm="1">
        <f t="array" ref="F45">_xlfn.XLOOKUP(MIN(ABS($AY$7:$AY$27 - MEDIAN(MIN($AY$7:$AY$27), MAX($AY$7:$AY$27), F16))), ABS($AY$7:$AY$27 - MEDIAN(MIN($AY$7:$AY$27), MAX($AY$7:$AY$27), F16)), $AZ$7:$AZ$27, "Not Found", 0)</f>
        <v>-8</v>
      </c>
      <c r="G45" s="30" cm="1">
        <f t="array" ref="G45">_xlfn.XLOOKUP(MIN(ABS($AY$7:$AY$27 - MEDIAN(MIN($AY$7:$AY$27), MAX($AY$7:$AY$27), G16))), ABS($AY$7:$AY$27 - MEDIAN(MIN($AY$7:$AY$27), MAX($AY$7:$AY$27), G16)), $AZ$7:$AZ$27, "Not Found", 0)</f>
        <v>-8</v>
      </c>
      <c r="H45" s="30" cm="1">
        <f t="array" ref="H45">_xlfn.XLOOKUP(MIN(ABS($AY$7:$AY$27 - MEDIAN(MIN($AY$7:$AY$27), MAX($AY$7:$AY$27), H16))), ABS($AY$7:$AY$27 - MEDIAN(MIN($AY$7:$AY$27), MAX($AY$7:$AY$27), H16)), $AZ$7:$AZ$27, "Not Found", 0)</f>
        <v>-8</v>
      </c>
      <c r="I45" s="30" cm="1">
        <f t="array" ref="I45">_xlfn.XLOOKUP(MIN(ABS($AY$7:$AY$27 - MEDIAN(MIN($AY$7:$AY$27), MAX($AY$7:$AY$27), I16))), ABS($AY$7:$AY$27 - MEDIAN(MIN($AY$7:$AY$27), MAX($AY$7:$AY$27), I16)), $AZ$7:$AZ$27, "Not Found", 0)</f>
        <v>-8</v>
      </c>
      <c r="J45" s="30" cm="1">
        <f t="array" ref="J45">_xlfn.XLOOKUP(MIN(ABS($AY$7:$AY$27 - MEDIAN(MIN($AY$7:$AY$27), MAX($AY$7:$AY$27), J16))), ABS($AY$7:$AY$27 - MEDIAN(MIN($AY$7:$AY$27), MAX($AY$7:$AY$27), J16)), $AZ$7:$AZ$27, "Not Found", 0)</f>
        <v>-8</v>
      </c>
      <c r="K45" s="30" cm="1">
        <f t="array" ref="K45">_xlfn.XLOOKUP(MIN(ABS($AY$7:$AY$27 - MEDIAN(MIN($AY$7:$AY$27), MAX($AY$7:$AY$27), K16))), ABS($AY$7:$AY$27 - MEDIAN(MIN($AY$7:$AY$27), MAX($AY$7:$AY$27), K16)), $AZ$7:$AZ$27, "Not Found", 0)</f>
        <v>-2</v>
      </c>
      <c r="L45" s="30" cm="1">
        <f t="array" ref="L45">_xlfn.XLOOKUP(MIN(ABS($AY$7:$AY$27 - MEDIAN(MIN($AY$7:$AY$27), MAX($AY$7:$AY$27), L16))), ABS($AY$7:$AY$27 - MEDIAN(MIN($AY$7:$AY$27), MAX($AY$7:$AY$27), L16)), $AZ$7:$AZ$27, "Not Found", 0)</f>
        <v>-2</v>
      </c>
      <c r="M45" s="30" cm="1">
        <f t="array" ref="M45">_xlfn.XLOOKUP(MIN(ABS($AY$7:$AY$27 - MEDIAN(MIN($AY$7:$AY$27), MAX($AY$7:$AY$27), M16))), ABS($AY$7:$AY$27 - MEDIAN(MIN($AY$7:$AY$27), MAX($AY$7:$AY$27), M16)), $AZ$7:$AZ$27, "Not Found", 0)</f>
        <v>-2</v>
      </c>
      <c r="N45" s="30" cm="1">
        <f t="array" ref="N45">_xlfn.XLOOKUP(MIN(ABS($AY$7:$AY$27 - MEDIAN(MIN($AY$7:$AY$27), MAX($AY$7:$AY$27), N16))), ABS($AY$7:$AY$27 - MEDIAN(MIN($AY$7:$AY$27), MAX($AY$7:$AY$27), N16)), $AZ$7:$AZ$27, "Not Found", 0)</f>
        <v>-10</v>
      </c>
      <c r="O45" s="30" cm="1">
        <f t="array" ref="O45">_xlfn.XLOOKUP(MIN(ABS($AY$7:$AY$27 - MEDIAN(MIN($AY$7:$AY$27), MAX($AY$7:$AY$27), O16))), ABS($AY$7:$AY$27 - MEDIAN(MIN($AY$7:$AY$27), MAX($AY$7:$AY$27), O16)), $AZ$7:$AZ$27, "Not Found", 0)</f>
        <v>-10</v>
      </c>
      <c r="P45" s="30" cm="1">
        <f t="array" ref="P45">_xlfn.XLOOKUP(MIN(ABS($AY$7:$AY$27 - MEDIAN(MIN($AY$7:$AY$27), MAX($AY$7:$AY$27), P16))), ABS($AY$7:$AY$27 - MEDIAN(MIN($AY$7:$AY$27), MAX($AY$7:$AY$27), P16)), $AZ$7:$AZ$27, "Not Found", 0)</f>
        <v>-10</v>
      </c>
      <c r="Q45" s="30" cm="1">
        <f t="array" ref="Q45">_xlfn.XLOOKUP(MIN(ABS($AY$7:$AY$27 - MEDIAN(MIN($AY$7:$AY$27), MAX($AY$7:$AY$27), Q16))), ABS($AY$7:$AY$27 - MEDIAN(MIN($AY$7:$AY$27), MAX($AY$7:$AY$27), Q16)), $AZ$7:$AZ$27, "Not Found", 0)</f>
        <v>-10</v>
      </c>
      <c r="R45" s="30" cm="1">
        <f t="array" ref="R45">_xlfn.XLOOKUP(MIN(ABS($AY$7:$AY$27 - MEDIAN(MIN($AY$7:$AY$27), MAX($AY$7:$AY$27), R16))), ABS($AY$7:$AY$27 - MEDIAN(MIN($AY$7:$AY$27), MAX($AY$7:$AY$27), R16)), $AZ$7:$AZ$27, "Not Found", 0)</f>
        <v>-10</v>
      </c>
      <c r="S45" s="30" cm="1">
        <f t="array" ref="S45">_xlfn.XLOOKUP(MIN(ABS($AY$7:$AY$27 - MEDIAN(MIN($AY$7:$AY$27), MAX($AY$7:$AY$27), S16))), ABS($AY$7:$AY$27 - MEDIAN(MIN($AY$7:$AY$27), MAX($AY$7:$AY$27), S16)), $AZ$7:$AZ$27, "Not Found", 0)</f>
        <v>-10</v>
      </c>
      <c r="T45" s="30" cm="1">
        <f t="array" ref="T45">_xlfn.XLOOKUP(MIN(ABS($AY$7:$AY$27 - MEDIAN(MIN($AY$7:$AY$27), MAX($AY$7:$AY$27), T16))), ABS($AY$7:$AY$27 - MEDIAN(MIN($AY$7:$AY$27), MAX($AY$7:$AY$27), T16)), $AZ$7:$AZ$27, "Not Found", 0)</f>
        <v>-3</v>
      </c>
      <c r="U45" s="30" cm="1">
        <f t="array" ref="U45">_xlfn.XLOOKUP(MIN(ABS($AY$7:$AY$27 - MEDIAN(MIN($AY$7:$AY$27), MAX($AY$7:$AY$27), U16))), ABS($AY$7:$AY$27 - MEDIAN(MIN($AY$7:$AY$27), MAX($AY$7:$AY$27), U16)), $AZ$7:$AZ$27, "Not Found", 0)</f>
        <v>-3</v>
      </c>
      <c r="V45" s="30" cm="1">
        <f t="array" ref="V45">_xlfn.XLOOKUP(MIN(ABS($AY$7:$AY$27 - MEDIAN(MIN($AY$7:$AY$27), MAX($AY$7:$AY$27), V16))), ABS($AY$7:$AY$27 - MEDIAN(MIN($AY$7:$AY$27), MAX($AY$7:$AY$27), V16)), $AZ$7:$AZ$27, "Not Found", 0)</f>
        <v>-3</v>
      </c>
      <c r="W45" s="30" cm="1">
        <f t="array" ref="W45">_xlfn.XLOOKUP(MIN(ABS($AY$7:$AY$27 - MEDIAN(MIN($AY$7:$AY$27), MAX($AY$7:$AY$27), W16))), ABS($AY$7:$AY$27 - MEDIAN(MIN($AY$7:$AY$27), MAX($AY$7:$AY$27), W16)), $AZ$7:$AZ$27, "Not Found", 0)</f>
        <v>-10</v>
      </c>
      <c r="X45" s="30" cm="1">
        <f t="array" ref="X45">_xlfn.XLOOKUP(MIN(ABS($AY$7:$AY$27 - MEDIAN(MIN($AY$7:$AY$27), MAX($AY$7:$AY$27), X16))), ABS($AY$7:$AY$27 - MEDIAN(MIN($AY$7:$AY$27), MAX($AY$7:$AY$27), X16)), $AZ$7:$AZ$27, "Not Found", 0)</f>
        <v>-10</v>
      </c>
      <c r="Y45" s="30" cm="1">
        <f t="array" ref="Y45">_xlfn.XLOOKUP(MIN(ABS($AY$7:$AY$27 - MEDIAN(MIN($AY$7:$AY$27), MAX($AY$7:$AY$27), Y16))), ABS($AY$7:$AY$27 - MEDIAN(MIN($AY$7:$AY$27), MAX($AY$7:$AY$27), Y16)), $AZ$7:$AZ$27, "Not Found", 0)</f>
        <v>-10</v>
      </c>
      <c r="Z45" s="30" cm="1">
        <f t="array" ref="Z45">_xlfn.XLOOKUP(MIN(ABS($AY$7:$AY$27 - MEDIAN(MIN($AY$7:$AY$27), MAX($AY$7:$AY$27), Z16))), ABS($AY$7:$AY$27 - MEDIAN(MIN($AY$7:$AY$27), MAX($AY$7:$AY$27), Z16)), $AZ$7:$AZ$27, "Not Found", 0)</f>
        <v>-10</v>
      </c>
      <c r="AA45" s="30" cm="1">
        <f t="array" ref="AA45">_xlfn.XLOOKUP(MIN(ABS($AY$7:$AY$27 - MEDIAN(MIN($AY$7:$AY$27), MAX($AY$7:$AY$27), AA16))), ABS($AY$7:$AY$27 - MEDIAN(MIN($AY$7:$AY$27), MAX($AY$7:$AY$27), AA16)), $AZ$7:$AZ$27, "Not Found", 0)</f>
        <v>-10</v>
      </c>
      <c r="AB45" s="30" cm="1">
        <f t="array" ref="AB45">_xlfn.XLOOKUP(MIN(ABS($AY$7:$AY$27 - MEDIAN(MIN($AY$7:$AY$27), MAX($AY$7:$AY$27), AB16))), ABS($AY$7:$AY$27 - MEDIAN(MIN($AY$7:$AY$27), MAX($AY$7:$AY$27), AB16)), $AZ$7:$AZ$27, "Not Found", 0)</f>
        <v>-10</v>
      </c>
      <c r="AC45" s="30" cm="1">
        <f t="array" ref="AC45">_xlfn.XLOOKUP(MIN(ABS($AY$7:$AY$27 - MEDIAN(MIN($AY$7:$AY$27), MAX($AY$7:$AY$27), AC16))), ABS($AY$7:$AY$27 - MEDIAN(MIN($AY$7:$AY$27), MAX($AY$7:$AY$27), AC16)), $AZ$7:$AZ$27, "Not Found", 0)</f>
        <v>-4</v>
      </c>
      <c r="AD45" s="30" cm="1">
        <f t="array" ref="AD45">_xlfn.XLOOKUP(MIN(ABS($AY$7:$AY$27 - MEDIAN(MIN($AY$7:$AY$27), MAX($AY$7:$AY$27), AD16))), ABS($AY$7:$AY$27 - MEDIAN(MIN($AY$7:$AY$27), MAX($AY$7:$AY$27), AD16)), $AZ$7:$AZ$27, "Not Found", 0)</f>
        <v>-4</v>
      </c>
      <c r="AE45" s="30" cm="1">
        <f t="array" ref="AE45">_xlfn.XLOOKUP(MIN(ABS($AY$7:$AY$27 - MEDIAN(MIN($AY$7:$AY$27), MAX($AY$7:$AY$27), AE16))), ABS($AY$7:$AY$27 - MEDIAN(MIN($AY$7:$AY$27), MAX($AY$7:$AY$27), AE16)), $AZ$7:$AZ$27, "Not Found", 0)</f>
        <v>-4</v>
      </c>
      <c r="AF45" s="30" cm="1">
        <f t="array" ref="AF45">_xlfn.XLOOKUP(MIN(ABS($AY$7:$AY$27 - MEDIAN(MIN($AY$7:$AY$27), MAX($AY$7:$AY$27), AF16))), ABS($AY$7:$AY$27 - MEDIAN(MIN($AY$7:$AY$27), MAX($AY$7:$AY$27), AF16)), $AZ$7:$AZ$27, "Not Found", 0)</f>
        <v>-5</v>
      </c>
      <c r="AG45" s="30" cm="1">
        <f t="array" ref="AG45">_xlfn.XLOOKUP(MIN(ABS($AY$7:$AY$27 - MEDIAN(MIN($AY$7:$AY$27), MAX($AY$7:$AY$27), AG16))), ABS($AY$7:$AY$27 - MEDIAN(MIN($AY$7:$AY$27), MAX($AY$7:$AY$27), AG16)), $AZ$7:$AZ$27, "Not Found", 0)</f>
        <v>-5</v>
      </c>
      <c r="AH45" s="30" cm="1">
        <f t="array" ref="AH45">_xlfn.XLOOKUP(MIN(ABS($AY$7:$AY$27 - MEDIAN(MIN($AY$7:$AY$27), MAX($AY$7:$AY$27), AH16))), ABS($AY$7:$AY$27 - MEDIAN(MIN($AY$7:$AY$27), MAX($AY$7:$AY$27), AH16)), $AZ$7:$AZ$27, "Not Found", 0)</f>
        <v>-5</v>
      </c>
      <c r="AI45" s="30" cm="1">
        <f t="array" ref="AI45">_xlfn.XLOOKUP(MIN(ABS($AY$7:$AY$27 - MEDIAN(MIN($AY$7:$AY$27), MAX($AY$7:$AY$27), AI16))), ABS($AY$7:$AY$27 - MEDIAN(MIN($AY$7:$AY$27), MAX($AY$7:$AY$27), AI16)), $AZ$7:$AZ$27, "Not Found", 0)</f>
        <v>-2</v>
      </c>
      <c r="AJ45" s="30" cm="1">
        <f t="array" ref="AJ45">_xlfn.XLOOKUP(MIN(ABS($AY$7:$AY$27 - MEDIAN(MIN($AY$7:$AY$27), MAX($AY$7:$AY$27), AJ16))), ABS($AY$7:$AY$27 - MEDIAN(MIN($AY$7:$AY$27), MAX($AY$7:$AY$27), AJ16)), $AZ$7:$AZ$27, "Not Found", 0)</f>
        <v>-2</v>
      </c>
      <c r="AK45" s="30" cm="1">
        <f t="array" ref="AK45">_xlfn.XLOOKUP(MIN(ABS($AY$7:$AY$27 - MEDIAN(MIN($AY$7:$AY$27), MAX($AY$7:$AY$27), AK16))), ABS($AY$7:$AY$27 - MEDIAN(MIN($AY$7:$AY$27), MAX($AY$7:$AY$27), AK16)), $AZ$7:$AZ$27, "Not Found", 0)</f>
        <v>0</v>
      </c>
      <c r="AL45" s="30" cm="1">
        <f t="array" ref="AL45">_xlfn.XLOOKUP(MIN(ABS($AY$7:$AY$27 - MEDIAN(MIN($AY$7:$AY$27), MAX($AY$7:$AY$27), AL16))), ABS($AY$7:$AY$27 - MEDIAN(MIN($AY$7:$AY$27), MAX($AY$7:$AY$27), AL16)), $AZ$7:$AZ$27, "Not Found", 0)</f>
        <v>-5</v>
      </c>
      <c r="AM45" s="30" cm="1">
        <f t="array" ref="AM45">_xlfn.XLOOKUP(MIN(ABS($AY$7:$AY$27 - MEDIAN(MIN($AY$7:$AY$27), MAX($AY$7:$AY$27), AM16))), ABS($AY$7:$AY$27 - MEDIAN(MIN($AY$7:$AY$27), MAX($AY$7:$AY$27), AM16)), $AZ$7:$AZ$27, "Not Found", 0)</f>
        <v>-5</v>
      </c>
      <c r="AN45" s="30" cm="1">
        <f t="array" ref="AN45">_xlfn.XLOOKUP(MIN(ABS($AY$7:$AY$27 - MEDIAN(MIN($AY$7:$AY$27), MAX($AY$7:$AY$27), AN16))), ABS($AY$7:$AY$27 - MEDIAN(MIN($AY$7:$AY$27), MAX($AY$7:$AY$27), AN16)), $AZ$7:$AZ$27, "Not Found", 0)</f>
        <v>-5</v>
      </c>
      <c r="AO45" s="30" cm="1">
        <f t="array" ref="AO45">_xlfn.XLOOKUP(MIN(ABS($AY$7:$AY$27 - MEDIAN(MIN($AY$7:$AY$27), MAX($AY$7:$AY$27), AO16))), ABS($AY$7:$AY$27 - MEDIAN(MIN($AY$7:$AY$27), MAX($AY$7:$AY$27), AO16)), $AZ$7:$AZ$27, "Not Found", 0)</f>
        <v>-2</v>
      </c>
      <c r="AP45" s="30" cm="1">
        <f t="array" ref="AP45">_xlfn.XLOOKUP(MIN(ABS($AY$7:$AY$27 - MEDIAN(MIN($AY$7:$AY$27), MAX($AY$7:$AY$27), AP16))), ABS($AY$7:$AY$27 - MEDIAN(MIN($AY$7:$AY$27), MAX($AY$7:$AY$27), AP16)), $AZ$7:$AZ$27, "Not Found", 0)</f>
        <v>-2</v>
      </c>
      <c r="AQ45" s="30" cm="1">
        <f t="array" ref="AQ45">_xlfn.XLOOKUP(MIN(ABS($AY$7:$AY$27 - MEDIAN(MIN($AY$7:$AY$27), MAX($AY$7:$AY$27), AQ16))), ABS($AY$7:$AY$27 - MEDIAN(MIN($AY$7:$AY$27), MAX($AY$7:$AY$27), AQ16)), $AZ$7:$AZ$27, "Not Found", 0)</f>
        <v>-2</v>
      </c>
      <c r="AR45" s="30" cm="1">
        <f t="array" ref="AR45">_xlfn.XLOOKUP(MIN(ABS($AY$7:$AY$27 - MEDIAN(MIN($AY$7:$AY$27), MAX($AY$7:$AY$27), AR16))), ABS($AY$7:$AY$27 - MEDIAN(MIN($AY$7:$AY$27), MAX($AY$7:$AY$27), AR16)), $AZ$7:$AZ$27, "Not Found", 0)</f>
        <v>-2</v>
      </c>
      <c r="AS45" s="30" cm="1">
        <f t="array" ref="AS45">_xlfn.XLOOKUP(MIN(ABS($AY$7:$AY$27 - MEDIAN(MIN($AY$7:$AY$27), MAX($AY$7:$AY$27), AS16))), ABS($AY$7:$AY$27 - MEDIAN(MIN($AY$7:$AY$27), MAX($AY$7:$AY$27), AS16)), $AZ$7:$AZ$27, "Not Found", 0)</f>
        <v>-2</v>
      </c>
      <c r="AT45" s="30" cm="1">
        <f t="array" ref="AT45">_xlfn.XLOOKUP(MIN(ABS($AY$7:$AY$27 - MEDIAN(MIN($AY$7:$AY$27), MAX($AY$7:$AY$27), AT16))), ABS($AY$7:$AY$27 - MEDIAN(MIN($AY$7:$AY$27), MAX($AY$7:$AY$27), AT16)), $AZ$7:$AZ$27, "Not Found", 0)</f>
        <v>-2</v>
      </c>
      <c r="AU45" s="30" cm="1">
        <f t="array" ref="AU45">_xlfn.XLOOKUP(MIN(ABS($AY$7:$AY$27 - MEDIAN(MIN($AY$7:$AY$27), MAX($AY$7:$AY$27), AU16))), ABS($AY$7:$AY$27 - MEDIAN(MIN($AY$7:$AY$27), MAX($AY$7:$AY$27), AU16)), $AZ$7:$AZ$27, "Not Found", 0)</f>
        <v>0</v>
      </c>
      <c r="AV45" s="30" cm="1">
        <f t="array" ref="AV45">_xlfn.XLOOKUP(MIN(ABS($AY$7:$AY$27 - MEDIAN(MIN($AY$7:$AY$27), MAX($AY$7:$AY$27), AV16))), ABS($AY$7:$AY$27 - MEDIAN(MIN($AY$7:$AY$27), MAX($AY$7:$AY$27), AV16)), $AZ$7:$AZ$27, "Not Found", 0)</f>
        <v>0</v>
      </c>
      <c r="AW45" s="30" cm="1">
        <f t="array" ref="AW45">_xlfn.XLOOKUP(MIN(ABS($AY$7:$AY$27 - MEDIAN(MIN($AY$7:$AY$27), MAX($AY$7:$AY$27), AW16))), ABS($AY$7:$AY$27 - MEDIAN(MIN($AY$7:$AY$27), MAX($AY$7:$AY$27), AW16)), $AZ$7:$AZ$27, "Not Found", 0)</f>
        <v>0</v>
      </c>
    </row>
    <row r="46" spans="1:49" ht="25" customHeight="1">
      <c r="A46" s="45" t="s">
        <v>17</v>
      </c>
      <c r="B46" s="30" cm="1">
        <f t="array" ref="B46">_xlfn.XLOOKUP(MIN(ABS($AY$7:$AY$27 - MEDIAN(MIN($AY$7:$AY$27), MAX($AY$7:$AY$27), B17))), ABS($AY$7:$AY$27 - MEDIAN(MIN($AY$7:$AY$27), MAX($AY$7:$AY$27), B17)), $AZ$7:$AZ$27, "Not Found", 0)</f>
        <v>-1</v>
      </c>
      <c r="C46" s="30" cm="1">
        <f t="array" ref="C46">_xlfn.XLOOKUP(MIN(ABS($AY$7:$AY$27 - MEDIAN(MIN($AY$7:$AY$27), MAX($AY$7:$AY$27), C17))), ABS($AY$7:$AY$27 - MEDIAN(MIN($AY$7:$AY$27), MAX($AY$7:$AY$27), C17)), $AZ$7:$AZ$27, "Not Found", 0)</f>
        <v>-1</v>
      </c>
      <c r="D46" s="30" cm="1">
        <f t="array" ref="D46">_xlfn.XLOOKUP(MIN(ABS($AY$7:$AY$27 - MEDIAN(MIN($AY$7:$AY$27), MAX($AY$7:$AY$27), D17))), ABS($AY$7:$AY$27 - MEDIAN(MIN($AY$7:$AY$27), MAX($AY$7:$AY$27), D17)), $AZ$7:$AZ$27, "Not Found", 0)</f>
        <v>-1</v>
      </c>
      <c r="E46" s="30" cm="1">
        <f t="array" ref="E46">_xlfn.XLOOKUP(MIN(ABS($AY$7:$AY$27 - MEDIAN(MIN($AY$7:$AY$27), MAX($AY$7:$AY$27), E17))), ABS($AY$7:$AY$27 - MEDIAN(MIN($AY$7:$AY$27), MAX($AY$7:$AY$27), E17)), $AZ$7:$AZ$27, "Not Found", 0)</f>
        <v>-1</v>
      </c>
      <c r="F46" s="30" cm="1">
        <f t="array" ref="F46">_xlfn.XLOOKUP(MIN(ABS($AY$7:$AY$27 - MEDIAN(MIN($AY$7:$AY$27), MAX($AY$7:$AY$27), F17))), ABS($AY$7:$AY$27 - MEDIAN(MIN($AY$7:$AY$27), MAX($AY$7:$AY$27), F17)), $AZ$7:$AZ$27, "Not Found", 0)</f>
        <v>-1</v>
      </c>
      <c r="G46" s="30" cm="1">
        <f t="array" ref="G46">_xlfn.XLOOKUP(MIN(ABS($AY$7:$AY$27 - MEDIAN(MIN($AY$7:$AY$27), MAX($AY$7:$AY$27), G17))), ABS($AY$7:$AY$27 - MEDIAN(MIN($AY$7:$AY$27), MAX($AY$7:$AY$27), G17)), $AZ$7:$AZ$27, "Not Found", 0)</f>
        <v>-1</v>
      </c>
      <c r="H46" s="30" cm="1">
        <f t="array" ref="H46">_xlfn.XLOOKUP(MIN(ABS($AY$7:$AY$27 - MEDIAN(MIN($AY$7:$AY$27), MAX($AY$7:$AY$27), H17))), ABS($AY$7:$AY$27 - MEDIAN(MIN($AY$7:$AY$27), MAX($AY$7:$AY$27), H17)), $AZ$7:$AZ$27, "Not Found", 0)</f>
        <v>-1</v>
      </c>
      <c r="I46" s="30" cm="1">
        <f t="array" ref="I46">_xlfn.XLOOKUP(MIN(ABS($AY$7:$AY$27 - MEDIAN(MIN($AY$7:$AY$27), MAX($AY$7:$AY$27), I17))), ABS($AY$7:$AY$27 - MEDIAN(MIN($AY$7:$AY$27), MAX($AY$7:$AY$27), I17)), $AZ$7:$AZ$27, "Not Found", 0)</f>
        <v>-1</v>
      </c>
      <c r="J46" s="30" cm="1">
        <f t="array" ref="J46">_xlfn.XLOOKUP(MIN(ABS($AY$7:$AY$27 - MEDIAN(MIN($AY$7:$AY$27), MAX($AY$7:$AY$27), J17))), ABS($AY$7:$AY$27 - MEDIAN(MIN($AY$7:$AY$27), MAX($AY$7:$AY$27), J17)), $AZ$7:$AZ$27, "Not Found", 0)</f>
        <v>-1</v>
      </c>
      <c r="K46" s="30" cm="1">
        <f t="array" ref="K46">_xlfn.XLOOKUP(MIN(ABS($AY$7:$AY$27 - MEDIAN(MIN($AY$7:$AY$27), MAX($AY$7:$AY$27), K17))), ABS($AY$7:$AY$27 - MEDIAN(MIN($AY$7:$AY$27), MAX($AY$7:$AY$27), K17)), $AZ$7:$AZ$27, "Not Found", 0)</f>
        <v>-2</v>
      </c>
      <c r="L46" s="30" cm="1">
        <f t="array" ref="L46">_xlfn.XLOOKUP(MIN(ABS($AY$7:$AY$27 - MEDIAN(MIN($AY$7:$AY$27), MAX($AY$7:$AY$27), L17))), ABS($AY$7:$AY$27 - MEDIAN(MIN($AY$7:$AY$27), MAX($AY$7:$AY$27), L17)), $AZ$7:$AZ$27, "Not Found", 0)</f>
        <v>-2</v>
      </c>
      <c r="M46" s="30" cm="1">
        <f t="array" ref="M46">_xlfn.XLOOKUP(MIN(ABS($AY$7:$AY$27 - MEDIAN(MIN($AY$7:$AY$27), MAX($AY$7:$AY$27), M17))), ABS($AY$7:$AY$27 - MEDIAN(MIN($AY$7:$AY$27), MAX($AY$7:$AY$27), M17)), $AZ$7:$AZ$27, "Not Found", 0)</f>
        <v>-2</v>
      </c>
      <c r="N46" s="30" cm="1">
        <f t="array" ref="N46">_xlfn.XLOOKUP(MIN(ABS($AY$7:$AY$27 - MEDIAN(MIN($AY$7:$AY$27), MAX($AY$7:$AY$27), N17))), ABS($AY$7:$AY$27 - MEDIAN(MIN($AY$7:$AY$27), MAX($AY$7:$AY$27), N17)), $AZ$7:$AZ$27, "Not Found", 0)</f>
        <v>-1</v>
      </c>
      <c r="O46" s="30" cm="1">
        <f t="array" ref="O46">_xlfn.XLOOKUP(MIN(ABS($AY$7:$AY$27 - MEDIAN(MIN($AY$7:$AY$27), MAX($AY$7:$AY$27), O17))), ABS($AY$7:$AY$27 - MEDIAN(MIN($AY$7:$AY$27), MAX($AY$7:$AY$27), O17)), $AZ$7:$AZ$27, "Not Found", 0)</f>
        <v>-1</v>
      </c>
      <c r="P46" s="30" cm="1">
        <f t="array" ref="P46">_xlfn.XLOOKUP(MIN(ABS($AY$7:$AY$27 - MEDIAN(MIN($AY$7:$AY$27), MAX($AY$7:$AY$27), P17))), ABS($AY$7:$AY$27 - MEDIAN(MIN($AY$7:$AY$27), MAX($AY$7:$AY$27), P17)), $AZ$7:$AZ$27, "Not Found", 0)</f>
        <v>-1</v>
      </c>
      <c r="Q46" s="30" cm="1">
        <f t="array" ref="Q46">_xlfn.XLOOKUP(MIN(ABS($AY$7:$AY$27 - MEDIAN(MIN($AY$7:$AY$27), MAX($AY$7:$AY$27), Q17))), ABS($AY$7:$AY$27 - MEDIAN(MIN($AY$7:$AY$27), MAX($AY$7:$AY$27), Q17)), $AZ$7:$AZ$27, "Not Found", 0)</f>
        <v>-2</v>
      </c>
      <c r="R46" s="30" cm="1">
        <f t="array" ref="R46">_xlfn.XLOOKUP(MIN(ABS($AY$7:$AY$27 - MEDIAN(MIN($AY$7:$AY$27), MAX($AY$7:$AY$27), R17))), ABS($AY$7:$AY$27 - MEDIAN(MIN($AY$7:$AY$27), MAX($AY$7:$AY$27), R17)), $AZ$7:$AZ$27, "Not Found", 0)</f>
        <v>-2</v>
      </c>
      <c r="S46" s="30" cm="1">
        <f t="array" ref="S46">_xlfn.XLOOKUP(MIN(ABS($AY$7:$AY$27 - MEDIAN(MIN($AY$7:$AY$27), MAX($AY$7:$AY$27), S17))), ABS($AY$7:$AY$27 - MEDIAN(MIN($AY$7:$AY$27), MAX($AY$7:$AY$27), S17)), $AZ$7:$AZ$27, "Not Found", 0)</f>
        <v>-2</v>
      </c>
      <c r="T46" s="30" cm="1">
        <f t="array" ref="T46">_xlfn.XLOOKUP(MIN(ABS($AY$7:$AY$27 - MEDIAN(MIN($AY$7:$AY$27), MAX($AY$7:$AY$27), T17))), ABS($AY$7:$AY$27 - MEDIAN(MIN($AY$7:$AY$27), MAX($AY$7:$AY$27), T17)), $AZ$7:$AZ$27, "Not Found", 0)</f>
        <v>-2</v>
      </c>
      <c r="U46" s="30" cm="1">
        <f t="array" ref="U46">_xlfn.XLOOKUP(MIN(ABS($AY$7:$AY$27 - MEDIAN(MIN($AY$7:$AY$27), MAX($AY$7:$AY$27), U17))), ABS($AY$7:$AY$27 - MEDIAN(MIN($AY$7:$AY$27), MAX($AY$7:$AY$27), U17)), $AZ$7:$AZ$27, "Not Found", 0)</f>
        <v>-2</v>
      </c>
      <c r="V46" s="30" cm="1">
        <f t="array" ref="V46">_xlfn.XLOOKUP(MIN(ABS($AY$7:$AY$27 - MEDIAN(MIN($AY$7:$AY$27), MAX($AY$7:$AY$27), V17))), ABS($AY$7:$AY$27 - MEDIAN(MIN($AY$7:$AY$27), MAX($AY$7:$AY$27), V17)), $AZ$7:$AZ$27, "Not Found", 0)</f>
        <v>-2</v>
      </c>
      <c r="W46" s="30" cm="1">
        <f t="array" ref="W46">_xlfn.XLOOKUP(MIN(ABS($AY$7:$AY$27 - MEDIAN(MIN($AY$7:$AY$27), MAX($AY$7:$AY$27), W17))), ABS($AY$7:$AY$27 - MEDIAN(MIN($AY$7:$AY$27), MAX($AY$7:$AY$27), W17)), $AZ$7:$AZ$27, "Not Found", 0)</f>
        <v>-2</v>
      </c>
      <c r="X46" s="30" cm="1">
        <f t="array" ref="X46">_xlfn.XLOOKUP(MIN(ABS($AY$7:$AY$27 - MEDIAN(MIN($AY$7:$AY$27), MAX($AY$7:$AY$27), X17))), ABS($AY$7:$AY$27 - MEDIAN(MIN($AY$7:$AY$27), MAX($AY$7:$AY$27), X17)), $AZ$7:$AZ$27, "Not Found", 0)</f>
        <v>-2</v>
      </c>
      <c r="Y46" s="30" cm="1">
        <f t="array" ref="Y46">_xlfn.XLOOKUP(MIN(ABS($AY$7:$AY$27 - MEDIAN(MIN($AY$7:$AY$27), MAX($AY$7:$AY$27), Y17))), ABS($AY$7:$AY$27 - MEDIAN(MIN($AY$7:$AY$27), MAX($AY$7:$AY$27), Y17)), $AZ$7:$AZ$27, "Not Found", 0)</f>
        <v>-2</v>
      </c>
      <c r="Z46" s="30" cm="1">
        <f t="array" ref="Z46">_xlfn.XLOOKUP(MIN(ABS($AY$7:$AY$27 - MEDIAN(MIN($AY$7:$AY$27), MAX($AY$7:$AY$27), Z17))), ABS($AY$7:$AY$27 - MEDIAN(MIN($AY$7:$AY$27), MAX($AY$7:$AY$27), Z17)), $AZ$7:$AZ$27, "Not Found", 0)</f>
        <v>-3</v>
      </c>
      <c r="AA46" s="30" cm="1">
        <f t="array" ref="AA46">_xlfn.XLOOKUP(MIN(ABS($AY$7:$AY$27 - MEDIAN(MIN($AY$7:$AY$27), MAX($AY$7:$AY$27), AA17))), ABS($AY$7:$AY$27 - MEDIAN(MIN($AY$7:$AY$27), MAX($AY$7:$AY$27), AA17)), $AZ$7:$AZ$27, "Not Found", 0)</f>
        <v>-3</v>
      </c>
      <c r="AB46" s="30" cm="1">
        <f t="array" ref="AB46">_xlfn.XLOOKUP(MIN(ABS($AY$7:$AY$27 - MEDIAN(MIN($AY$7:$AY$27), MAX($AY$7:$AY$27), AB17))), ABS($AY$7:$AY$27 - MEDIAN(MIN($AY$7:$AY$27), MAX($AY$7:$AY$27), AB17)), $AZ$7:$AZ$27, "Not Found", 0)</f>
        <v>-3</v>
      </c>
      <c r="AC46" s="30" cm="1">
        <f t="array" ref="AC46">_xlfn.XLOOKUP(MIN(ABS($AY$7:$AY$27 - MEDIAN(MIN($AY$7:$AY$27), MAX($AY$7:$AY$27), AC17))), ABS($AY$7:$AY$27 - MEDIAN(MIN($AY$7:$AY$27), MAX($AY$7:$AY$27), AC17)), $AZ$7:$AZ$27, "Not Found", 0)</f>
        <v>0</v>
      </c>
      <c r="AD46" s="30" cm="1">
        <f t="array" ref="AD46">_xlfn.XLOOKUP(MIN(ABS($AY$7:$AY$27 - MEDIAN(MIN($AY$7:$AY$27), MAX($AY$7:$AY$27), AD17))), ABS($AY$7:$AY$27 - MEDIAN(MIN($AY$7:$AY$27), MAX($AY$7:$AY$27), AD17)), $AZ$7:$AZ$27, "Not Found", 0)</f>
        <v>0</v>
      </c>
      <c r="AE46" s="30" cm="1">
        <f t="array" ref="AE46">_xlfn.XLOOKUP(MIN(ABS($AY$7:$AY$27 - MEDIAN(MIN($AY$7:$AY$27), MAX($AY$7:$AY$27), AE17))), ABS($AY$7:$AY$27 - MEDIAN(MIN($AY$7:$AY$27), MAX($AY$7:$AY$27), AE17)), $AZ$7:$AZ$27, "Not Found", 0)</f>
        <v>0</v>
      </c>
      <c r="AF46" s="30" cm="1">
        <f t="array" ref="AF46">_xlfn.XLOOKUP(MIN(ABS($AY$7:$AY$27 - MEDIAN(MIN($AY$7:$AY$27), MAX($AY$7:$AY$27), AF17))), ABS($AY$7:$AY$27 - MEDIAN(MIN($AY$7:$AY$27), MAX($AY$7:$AY$27), AF17)), $AZ$7:$AZ$27, "Not Found", 0)</f>
        <v>-1</v>
      </c>
      <c r="AG46" s="30" cm="1">
        <f t="array" ref="AG46">_xlfn.XLOOKUP(MIN(ABS($AY$7:$AY$27 - MEDIAN(MIN($AY$7:$AY$27), MAX($AY$7:$AY$27), AG17))), ABS($AY$7:$AY$27 - MEDIAN(MIN($AY$7:$AY$27), MAX($AY$7:$AY$27), AG17)), $AZ$7:$AZ$27, "Not Found", 0)</f>
        <v>-1</v>
      </c>
      <c r="AH46" s="30" cm="1">
        <f t="array" ref="AH46">_xlfn.XLOOKUP(MIN(ABS($AY$7:$AY$27 - MEDIAN(MIN($AY$7:$AY$27), MAX($AY$7:$AY$27), AH17))), ABS($AY$7:$AY$27 - MEDIAN(MIN($AY$7:$AY$27), MAX($AY$7:$AY$27), AH17)), $AZ$7:$AZ$27, "Not Found", 0)</f>
        <v>-1</v>
      </c>
      <c r="AI46" s="30" cm="1">
        <f t="array" ref="AI46">_xlfn.XLOOKUP(MIN(ABS($AY$7:$AY$27 - MEDIAN(MIN($AY$7:$AY$27), MAX($AY$7:$AY$27), AI17))), ABS($AY$7:$AY$27 - MEDIAN(MIN($AY$7:$AY$27), MAX($AY$7:$AY$27), AI17)), $AZ$7:$AZ$27, "Not Found", 0)</f>
        <v>-1</v>
      </c>
      <c r="AJ46" s="30" cm="1">
        <f t="array" ref="AJ46">_xlfn.XLOOKUP(MIN(ABS($AY$7:$AY$27 - MEDIAN(MIN($AY$7:$AY$27), MAX($AY$7:$AY$27), AJ17))), ABS($AY$7:$AY$27 - MEDIAN(MIN($AY$7:$AY$27), MAX($AY$7:$AY$27), AJ17)), $AZ$7:$AZ$27, "Not Found", 0)</f>
        <v>-1</v>
      </c>
      <c r="AK46" s="30" cm="1">
        <f t="array" ref="AK46">_xlfn.XLOOKUP(MIN(ABS($AY$7:$AY$27 - MEDIAN(MIN($AY$7:$AY$27), MAX($AY$7:$AY$27), AK17))), ABS($AY$7:$AY$27 - MEDIAN(MIN($AY$7:$AY$27), MAX($AY$7:$AY$27), AK17)), $AZ$7:$AZ$27, "Not Found", 0)</f>
        <v>-1</v>
      </c>
      <c r="AL46" s="30" cm="1">
        <f t="array" ref="AL46">_xlfn.XLOOKUP(MIN(ABS($AY$7:$AY$27 - MEDIAN(MIN($AY$7:$AY$27), MAX($AY$7:$AY$27), AL17))), ABS($AY$7:$AY$27 - MEDIAN(MIN($AY$7:$AY$27), MAX($AY$7:$AY$27), AL17)), $AZ$7:$AZ$27, "Not Found", 0)</f>
        <v>-1</v>
      </c>
      <c r="AM46" s="30" cm="1">
        <f t="array" ref="AM46">_xlfn.XLOOKUP(MIN(ABS($AY$7:$AY$27 - MEDIAN(MIN($AY$7:$AY$27), MAX($AY$7:$AY$27), AM17))), ABS($AY$7:$AY$27 - MEDIAN(MIN($AY$7:$AY$27), MAX($AY$7:$AY$27), AM17)), $AZ$7:$AZ$27, "Not Found", 0)</f>
        <v>-1</v>
      </c>
      <c r="AN46" s="30" cm="1">
        <f t="array" ref="AN46">_xlfn.XLOOKUP(MIN(ABS($AY$7:$AY$27 - MEDIAN(MIN($AY$7:$AY$27), MAX($AY$7:$AY$27), AN17))), ABS($AY$7:$AY$27 - MEDIAN(MIN($AY$7:$AY$27), MAX($AY$7:$AY$27), AN17)), $AZ$7:$AZ$27, "Not Found", 0)</f>
        <v>-1</v>
      </c>
      <c r="AO46" s="30" cm="1">
        <f t="array" ref="AO46">_xlfn.XLOOKUP(MIN(ABS($AY$7:$AY$27 - MEDIAN(MIN($AY$7:$AY$27), MAX($AY$7:$AY$27), AO17))), ABS($AY$7:$AY$27 - MEDIAN(MIN($AY$7:$AY$27), MAX($AY$7:$AY$27), AO17)), $AZ$7:$AZ$27, "Not Found", 0)</f>
        <v>-1</v>
      </c>
      <c r="AP46" s="30" cm="1">
        <f t="array" ref="AP46">_xlfn.XLOOKUP(MIN(ABS($AY$7:$AY$27 - MEDIAN(MIN($AY$7:$AY$27), MAX($AY$7:$AY$27), AP17))), ABS($AY$7:$AY$27 - MEDIAN(MIN($AY$7:$AY$27), MAX($AY$7:$AY$27), AP17)), $AZ$7:$AZ$27, "Not Found", 0)</f>
        <v>-1</v>
      </c>
      <c r="AQ46" s="30" cm="1">
        <f t="array" ref="AQ46">_xlfn.XLOOKUP(MIN(ABS($AY$7:$AY$27 - MEDIAN(MIN($AY$7:$AY$27), MAX($AY$7:$AY$27), AQ17))), ABS($AY$7:$AY$27 - MEDIAN(MIN($AY$7:$AY$27), MAX($AY$7:$AY$27), AQ17)), $AZ$7:$AZ$27, "Not Found", 0)</f>
        <v>-1</v>
      </c>
      <c r="AR46" s="30" cm="1">
        <f t="array" ref="AR46">_xlfn.XLOOKUP(MIN(ABS($AY$7:$AY$27 - MEDIAN(MIN($AY$7:$AY$27), MAX($AY$7:$AY$27), AR17))), ABS($AY$7:$AY$27 - MEDIAN(MIN($AY$7:$AY$27), MAX($AY$7:$AY$27), AR17)), $AZ$7:$AZ$27, "Not Found", 0)</f>
        <v>-1</v>
      </c>
      <c r="AS46" s="30" cm="1">
        <f t="array" ref="AS46">_xlfn.XLOOKUP(MIN(ABS($AY$7:$AY$27 - MEDIAN(MIN($AY$7:$AY$27), MAX($AY$7:$AY$27), AS17))), ABS($AY$7:$AY$27 - MEDIAN(MIN($AY$7:$AY$27), MAX($AY$7:$AY$27), AS17)), $AZ$7:$AZ$27, "Not Found", 0)</f>
        <v>-1</v>
      </c>
      <c r="AT46" s="30" cm="1">
        <f t="array" ref="AT46">_xlfn.XLOOKUP(MIN(ABS($AY$7:$AY$27 - MEDIAN(MIN($AY$7:$AY$27), MAX($AY$7:$AY$27), AT17))), ABS($AY$7:$AY$27 - MEDIAN(MIN($AY$7:$AY$27), MAX($AY$7:$AY$27), AT17)), $AZ$7:$AZ$27, "Not Found", 0)</f>
        <v>-1</v>
      </c>
      <c r="AU46" s="30" cm="1">
        <f t="array" ref="AU46">_xlfn.XLOOKUP(MIN(ABS($AY$7:$AY$27 - MEDIAN(MIN($AY$7:$AY$27), MAX($AY$7:$AY$27), AU17))), ABS($AY$7:$AY$27 - MEDIAN(MIN($AY$7:$AY$27), MAX($AY$7:$AY$27), AU17)), $AZ$7:$AZ$27, "Not Found", 0)</f>
        <v>0</v>
      </c>
      <c r="AV46" s="30" cm="1">
        <f t="array" ref="AV46">_xlfn.XLOOKUP(MIN(ABS($AY$7:$AY$27 - MEDIAN(MIN($AY$7:$AY$27), MAX($AY$7:$AY$27), AV17))), ABS($AY$7:$AY$27 - MEDIAN(MIN($AY$7:$AY$27), MAX($AY$7:$AY$27), AV17)), $AZ$7:$AZ$27, "Not Found", 0)</f>
        <v>0</v>
      </c>
      <c r="AW46" s="30" cm="1">
        <f t="array" ref="AW46">_xlfn.XLOOKUP(MIN(ABS($AY$7:$AY$27 - MEDIAN(MIN($AY$7:$AY$27), MAX($AY$7:$AY$27), AW17))), ABS($AY$7:$AY$27 - MEDIAN(MIN($AY$7:$AY$27), MAX($AY$7:$AY$27), AW17)), $AZ$7:$AZ$27, "Not Found", 0)</f>
        <v>0</v>
      </c>
    </row>
    <row r="47" spans="1:49" ht="25" customHeight="1">
      <c r="A47" s="46" t="s">
        <v>47</v>
      </c>
      <c r="B47" s="30" cm="1">
        <f t="array" ref="B47">_xlfn.XLOOKUP(MIN(ABS($AY$7:$AY$27 - MEDIAN(MIN($AY$7:$AY$27), MAX($AY$7:$AY$27), B18))), ABS($AY$7:$AY$27 - MEDIAN(MIN($AY$7:$AY$27), MAX($AY$7:$AY$27), B18)), $AZ$7:$AZ$27, "Not Found", 0)</f>
        <v>2</v>
      </c>
      <c r="C47" s="30" cm="1">
        <f t="array" ref="C47">_xlfn.XLOOKUP(MIN(ABS($AY$7:$AY$27 - MEDIAN(MIN($AY$7:$AY$27), MAX($AY$7:$AY$27), C18))), ABS($AY$7:$AY$27 - MEDIAN(MIN($AY$7:$AY$27), MAX($AY$7:$AY$27), C18)), $AZ$7:$AZ$27, "Not Found", 0)</f>
        <v>2</v>
      </c>
      <c r="D47" s="30" cm="1">
        <f t="array" ref="D47">_xlfn.XLOOKUP(MIN(ABS($AY$7:$AY$27 - MEDIAN(MIN($AY$7:$AY$27), MAX($AY$7:$AY$27), D18))), ABS($AY$7:$AY$27 - MEDIAN(MIN($AY$7:$AY$27), MAX($AY$7:$AY$27), D18)), $AZ$7:$AZ$27, "Not Found", 0)</f>
        <v>2</v>
      </c>
      <c r="E47" s="30" cm="1">
        <f t="array" ref="E47">_xlfn.XLOOKUP(MIN(ABS($AY$7:$AY$27 - MEDIAN(MIN($AY$7:$AY$27), MAX($AY$7:$AY$27), E18))), ABS($AY$7:$AY$27 - MEDIAN(MIN($AY$7:$AY$27), MAX($AY$7:$AY$27), E18)), $AZ$7:$AZ$27, "Not Found", 0)</f>
        <v>3</v>
      </c>
      <c r="F47" s="30" cm="1">
        <f t="array" ref="F47">_xlfn.XLOOKUP(MIN(ABS($AY$7:$AY$27 - MEDIAN(MIN($AY$7:$AY$27), MAX($AY$7:$AY$27), F18))), ABS($AY$7:$AY$27 - MEDIAN(MIN($AY$7:$AY$27), MAX($AY$7:$AY$27), F18)), $AZ$7:$AZ$27, "Not Found", 0)</f>
        <v>3</v>
      </c>
      <c r="G47" s="30" cm="1">
        <f t="array" ref="G47">_xlfn.XLOOKUP(MIN(ABS($AY$7:$AY$27 - MEDIAN(MIN($AY$7:$AY$27), MAX($AY$7:$AY$27), G18))), ABS($AY$7:$AY$27 - MEDIAN(MIN($AY$7:$AY$27), MAX($AY$7:$AY$27), G18)), $AZ$7:$AZ$27, "Not Found", 0)</f>
        <v>3</v>
      </c>
      <c r="H47" s="30" cm="1">
        <f t="array" ref="H47">_xlfn.XLOOKUP(MIN(ABS($AY$7:$AY$27 - MEDIAN(MIN($AY$7:$AY$27), MAX($AY$7:$AY$27), H18))), ABS($AY$7:$AY$27 - MEDIAN(MIN($AY$7:$AY$27), MAX($AY$7:$AY$27), H18)), $AZ$7:$AZ$27, "Not Found", 0)</f>
        <v>3</v>
      </c>
      <c r="I47" s="30" cm="1">
        <f t="array" ref="I47">_xlfn.XLOOKUP(MIN(ABS($AY$7:$AY$27 - MEDIAN(MIN($AY$7:$AY$27), MAX($AY$7:$AY$27), I18))), ABS($AY$7:$AY$27 - MEDIAN(MIN($AY$7:$AY$27), MAX($AY$7:$AY$27), I18)), $AZ$7:$AZ$27, "Not Found", 0)</f>
        <v>3</v>
      </c>
      <c r="J47" s="30" cm="1">
        <f t="array" ref="J47">_xlfn.XLOOKUP(MIN(ABS($AY$7:$AY$27 - MEDIAN(MIN($AY$7:$AY$27), MAX($AY$7:$AY$27), J18))), ABS($AY$7:$AY$27 - MEDIAN(MIN($AY$7:$AY$27), MAX($AY$7:$AY$27), J18)), $AZ$7:$AZ$27, "Not Found", 0)</f>
        <v>3</v>
      </c>
      <c r="K47" s="30" cm="1">
        <f t="array" ref="K47">_xlfn.XLOOKUP(MIN(ABS($AY$7:$AY$27 - MEDIAN(MIN($AY$7:$AY$27), MAX($AY$7:$AY$27), K18))), ABS($AY$7:$AY$27 - MEDIAN(MIN($AY$7:$AY$27), MAX($AY$7:$AY$27), K18)), $AZ$7:$AZ$27, "Not Found", 0)</f>
        <v>3</v>
      </c>
      <c r="L47" s="30" cm="1">
        <f t="array" ref="L47">_xlfn.XLOOKUP(MIN(ABS($AY$7:$AY$27 - MEDIAN(MIN($AY$7:$AY$27), MAX($AY$7:$AY$27), L18))), ABS($AY$7:$AY$27 - MEDIAN(MIN($AY$7:$AY$27), MAX($AY$7:$AY$27), L18)), $AZ$7:$AZ$27, "Not Found", 0)</f>
        <v>3</v>
      </c>
      <c r="M47" s="30" cm="1">
        <f t="array" ref="M47">_xlfn.XLOOKUP(MIN(ABS($AY$7:$AY$27 - MEDIAN(MIN($AY$7:$AY$27), MAX($AY$7:$AY$27), M18))), ABS($AY$7:$AY$27 - MEDIAN(MIN($AY$7:$AY$27), MAX($AY$7:$AY$27), M18)), $AZ$7:$AZ$27, "Not Found", 0)</f>
        <v>3</v>
      </c>
      <c r="N47" s="30" cm="1">
        <f t="array" ref="N47">_xlfn.XLOOKUP(MIN(ABS($AY$7:$AY$27 - MEDIAN(MIN($AY$7:$AY$27), MAX($AY$7:$AY$27), N18))), ABS($AY$7:$AY$27 - MEDIAN(MIN($AY$7:$AY$27), MAX($AY$7:$AY$27), N18)), $AZ$7:$AZ$27, "Not Found", 0)</f>
        <v>4</v>
      </c>
      <c r="O47" s="30" cm="1">
        <f t="array" ref="O47">_xlfn.XLOOKUP(MIN(ABS($AY$7:$AY$27 - MEDIAN(MIN($AY$7:$AY$27), MAX($AY$7:$AY$27), O18))), ABS($AY$7:$AY$27 - MEDIAN(MIN($AY$7:$AY$27), MAX($AY$7:$AY$27), O18)), $AZ$7:$AZ$27, "Not Found", 0)</f>
        <v>4</v>
      </c>
      <c r="P47" s="30" cm="1">
        <f t="array" ref="P47">_xlfn.XLOOKUP(MIN(ABS($AY$7:$AY$27 - MEDIAN(MIN($AY$7:$AY$27), MAX($AY$7:$AY$27), P18))), ABS($AY$7:$AY$27 - MEDIAN(MIN($AY$7:$AY$27), MAX($AY$7:$AY$27), P18)), $AZ$7:$AZ$27, "Not Found", 0)</f>
        <v>4</v>
      </c>
      <c r="Q47" s="30" cm="1">
        <f t="array" ref="Q47">_xlfn.XLOOKUP(MIN(ABS($AY$7:$AY$27 - MEDIAN(MIN($AY$7:$AY$27), MAX($AY$7:$AY$27), Q18))), ABS($AY$7:$AY$27 - MEDIAN(MIN($AY$7:$AY$27), MAX($AY$7:$AY$27), Q18)), $AZ$7:$AZ$27, "Not Found", 0)</f>
        <v>4</v>
      </c>
      <c r="R47" s="30" cm="1">
        <f t="array" ref="R47">_xlfn.XLOOKUP(MIN(ABS($AY$7:$AY$27 - MEDIAN(MIN($AY$7:$AY$27), MAX($AY$7:$AY$27), R18))), ABS($AY$7:$AY$27 - MEDIAN(MIN($AY$7:$AY$27), MAX($AY$7:$AY$27), R18)), $AZ$7:$AZ$27, "Not Found", 0)</f>
        <v>4</v>
      </c>
      <c r="S47" s="30" cm="1">
        <f t="array" ref="S47">_xlfn.XLOOKUP(MIN(ABS($AY$7:$AY$27 - MEDIAN(MIN($AY$7:$AY$27), MAX($AY$7:$AY$27), S18))), ABS($AY$7:$AY$27 - MEDIAN(MIN($AY$7:$AY$27), MAX($AY$7:$AY$27), S18)), $AZ$7:$AZ$27, "Not Found", 0)</f>
        <v>4</v>
      </c>
      <c r="T47" s="30" cm="1">
        <f t="array" ref="T47">_xlfn.XLOOKUP(MIN(ABS($AY$7:$AY$27 - MEDIAN(MIN($AY$7:$AY$27), MAX($AY$7:$AY$27), T18))), ABS($AY$7:$AY$27 - MEDIAN(MIN($AY$7:$AY$27), MAX($AY$7:$AY$27), T18)), $AZ$7:$AZ$27, "Not Found", 0)</f>
        <v>4</v>
      </c>
      <c r="U47" s="30" cm="1">
        <f t="array" ref="U47">_xlfn.XLOOKUP(MIN(ABS($AY$7:$AY$27 - MEDIAN(MIN($AY$7:$AY$27), MAX($AY$7:$AY$27), U18))), ABS($AY$7:$AY$27 - MEDIAN(MIN($AY$7:$AY$27), MAX($AY$7:$AY$27), U18)), $AZ$7:$AZ$27, "Not Found", 0)</f>
        <v>4</v>
      </c>
      <c r="V47" s="30" cm="1">
        <f t="array" ref="V47">_xlfn.XLOOKUP(MIN(ABS($AY$7:$AY$27 - MEDIAN(MIN($AY$7:$AY$27), MAX($AY$7:$AY$27), V18))), ABS($AY$7:$AY$27 - MEDIAN(MIN($AY$7:$AY$27), MAX($AY$7:$AY$27), V18)), $AZ$7:$AZ$27, "Not Found", 0)</f>
        <v>4</v>
      </c>
      <c r="W47" s="30" cm="1">
        <f t="array" ref="W47">_xlfn.XLOOKUP(MIN(ABS($AY$7:$AY$27 - MEDIAN(MIN($AY$7:$AY$27), MAX($AY$7:$AY$27), W18))), ABS($AY$7:$AY$27 - MEDIAN(MIN($AY$7:$AY$27), MAX($AY$7:$AY$27), W18)), $AZ$7:$AZ$27, "Not Found", 0)</f>
        <v>3</v>
      </c>
      <c r="X47" s="30" cm="1">
        <f t="array" ref="X47">_xlfn.XLOOKUP(MIN(ABS($AY$7:$AY$27 - MEDIAN(MIN($AY$7:$AY$27), MAX($AY$7:$AY$27), X18))), ABS($AY$7:$AY$27 - MEDIAN(MIN($AY$7:$AY$27), MAX($AY$7:$AY$27), X18)), $AZ$7:$AZ$27, "Not Found", 0)</f>
        <v>3</v>
      </c>
      <c r="Y47" s="30" cm="1">
        <f t="array" ref="Y47">_xlfn.XLOOKUP(MIN(ABS($AY$7:$AY$27 - MEDIAN(MIN($AY$7:$AY$27), MAX($AY$7:$AY$27), Y18))), ABS($AY$7:$AY$27 - MEDIAN(MIN($AY$7:$AY$27), MAX($AY$7:$AY$27), Y18)), $AZ$7:$AZ$27, "Not Found", 0)</f>
        <v>3</v>
      </c>
      <c r="Z47" s="30" cm="1">
        <f t="array" ref="Z47">_xlfn.XLOOKUP(MIN(ABS($AY$7:$AY$27 - MEDIAN(MIN($AY$7:$AY$27), MAX($AY$7:$AY$27), Z18))), ABS($AY$7:$AY$27 - MEDIAN(MIN($AY$7:$AY$27), MAX($AY$7:$AY$27), Z18)), $AZ$7:$AZ$27, "Not Found", 0)</f>
        <v>5</v>
      </c>
      <c r="AA47" s="30" cm="1">
        <f t="array" ref="AA47">_xlfn.XLOOKUP(MIN(ABS($AY$7:$AY$27 - MEDIAN(MIN($AY$7:$AY$27), MAX($AY$7:$AY$27), AA18))), ABS($AY$7:$AY$27 - MEDIAN(MIN($AY$7:$AY$27), MAX($AY$7:$AY$27), AA18)), $AZ$7:$AZ$27, "Not Found", 0)</f>
        <v>5</v>
      </c>
      <c r="AB47" s="30" cm="1">
        <f t="array" ref="AB47">_xlfn.XLOOKUP(MIN(ABS($AY$7:$AY$27 - MEDIAN(MIN($AY$7:$AY$27), MAX($AY$7:$AY$27), AB18))), ABS($AY$7:$AY$27 - MEDIAN(MIN($AY$7:$AY$27), MAX($AY$7:$AY$27), AB18)), $AZ$7:$AZ$27, "Not Found", 0)</f>
        <v>5</v>
      </c>
      <c r="AC47" s="30" cm="1">
        <f t="array" ref="AC47">_xlfn.XLOOKUP(MIN(ABS($AY$7:$AY$27 - MEDIAN(MIN($AY$7:$AY$27), MAX($AY$7:$AY$27), AC18))), ABS($AY$7:$AY$27 - MEDIAN(MIN($AY$7:$AY$27), MAX($AY$7:$AY$27), AC18)), $AZ$7:$AZ$27, "Not Found", 0)</f>
        <v>3</v>
      </c>
      <c r="AD47" s="30" cm="1">
        <f t="array" ref="AD47">_xlfn.XLOOKUP(MIN(ABS($AY$7:$AY$27 - MEDIAN(MIN($AY$7:$AY$27), MAX($AY$7:$AY$27), AD18))), ABS($AY$7:$AY$27 - MEDIAN(MIN($AY$7:$AY$27), MAX($AY$7:$AY$27), AD18)), $AZ$7:$AZ$27, "Not Found", 0)</f>
        <v>3</v>
      </c>
      <c r="AE47" s="30" cm="1">
        <f t="array" ref="AE47">_xlfn.XLOOKUP(MIN(ABS($AY$7:$AY$27 - MEDIAN(MIN($AY$7:$AY$27), MAX($AY$7:$AY$27), AE18))), ABS($AY$7:$AY$27 - MEDIAN(MIN($AY$7:$AY$27), MAX($AY$7:$AY$27), AE18)), $AZ$7:$AZ$27, "Not Found", 0)</f>
        <v>3</v>
      </c>
      <c r="AF47" s="30" cm="1">
        <f t="array" ref="AF47">_xlfn.XLOOKUP(MIN(ABS($AY$7:$AY$27 - MEDIAN(MIN($AY$7:$AY$27), MAX($AY$7:$AY$27), AF18))), ABS($AY$7:$AY$27 - MEDIAN(MIN($AY$7:$AY$27), MAX($AY$7:$AY$27), AF18)), $AZ$7:$AZ$27, "Not Found", 0)</f>
        <v>2</v>
      </c>
      <c r="AG47" s="30" cm="1">
        <f t="array" ref="AG47">_xlfn.XLOOKUP(MIN(ABS($AY$7:$AY$27 - MEDIAN(MIN($AY$7:$AY$27), MAX($AY$7:$AY$27), AG18))), ABS($AY$7:$AY$27 - MEDIAN(MIN($AY$7:$AY$27), MAX($AY$7:$AY$27), AG18)), $AZ$7:$AZ$27, "Not Found", 0)</f>
        <v>2</v>
      </c>
      <c r="AH47" s="30" cm="1">
        <f t="array" ref="AH47">_xlfn.XLOOKUP(MIN(ABS($AY$7:$AY$27 - MEDIAN(MIN($AY$7:$AY$27), MAX($AY$7:$AY$27), AH18))), ABS($AY$7:$AY$27 - MEDIAN(MIN($AY$7:$AY$27), MAX($AY$7:$AY$27), AH18)), $AZ$7:$AZ$27, "Not Found", 0)</f>
        <v>2</v>
      </c>
      <c r="AI47" s="30" cm="1">
        <f t="array" ref="AI47">_xlfn.XLOOKUP(MIN(ABS($AY$7:$AY$27 - MEDIAN(MIN($AY$7:$AY$27), MAX($AY$7:$AY$27), AI18))), ABS($AY$7:$AY$27 - MEDIAN(MIN($AY$7:$AY$27), MAX($AY$7:$AY$27), AI18)), $AZ$7:$AZ$27, "Not Found", 0)</f>
        <v>2</v>
      </c>
      <c r="AJ47" s="30" cm="1">
        <f t="array" ref="AJ47">_xlfn.XLOOKUP(MIN(ABS($AY$7:$AY$27 - MEDIAN(MIN($AY$7:$AY$27), MAX($AY$7:$AY$27), AJ18))), ABS($AY$7:$AY$27 - MEDIAN(MIN($AY$7:$AY$27), MAX($AY$7:$AY$27), AJ18)), $AZ$7:$AZ$27, "Not Found", 0)</f>
        <v>2</v>
      </c>
      <c r="AK47" s="30" cm="1">
        <f t="array" ref="AK47">_xlfn.XLOOKUP(MIN(ABS($AY$7:$AY$27 - MEDIAN(MIN($AY$7:$AY$27), MAX($AY$7:$AY$27), AK18))), ABS($AY$7:$AY$27 - MEDIAN(MIN($AY$7:$AY$27), MAX($AY$7:$AY$27), AK18)), $AZ$7:$AZ$27, "Not Found", 0)</f>
        <v>2</v>
      </c>
      <c r="AL47" s="30" cm="1">
        <f t="array" ref="AL47">_xlfn.XLOOKUP(MIN(ABS($AY$7:$AY$27 - MEDIAN(MIN($AY$7:$AY$27), MAX($AY$7:$AY$27), AL18))), ABS($AY$7:$AY$27 - MEDIAN(MIN($AY$7:$AY$27), MAX($AY$7:$AY$27), AL18)), $AZ$7:$AZ$27, "Not Found", 0)</f>
        <v>2</v>
      </c>
      <c r="AM47" s="30" cm="1">
        <f t="array" ref="AM47">_xlfn.XLOOKUP(MIN(ABS($AY$7:$AY$27 - MEDIAN(MIN($AY$7:$AY$27), MAX($AY$7:$AY$27), AM18))), ABS($AY$7:$AY$27 - MEDIAN(MIN($AY$7:$AY$27), MAX($AY$7:$AY$27), AM18)), $AZ$7:$AZ$27, "Not Found", 0)</f>
        <v>2</v>
      </c>
      <c r="AN47" s="30" cm="1">
        <f t="array" ref="AN47">_xlfn.XLOOKUP(MIN(ABS($AY$7:$AY$27 - MEDIAN(MIN($AY$7:$AY$27), MAX($AY$7:$AY$27), AN18))), ABS($AY$7:$AY$27 - MEDIAN(MIN($AY$7:$AY$27), MAX($AY$7:$AY$27), AN18)), $AZ$7:$AZ$27, "Not Found", 0)</f>
        <v>2</v>
      </c>
      <c r="AO47" s="30" cm="1">
        <f t="array" ref="AO47">_xlfn.XLOOKUP(MIN(ABS($AY$7:$AY$27 - MEDIAN(MIN($AY$7:$AY$27), MAX($AY$7:$AY$27), AO18))), ABS($AY$7:$AY$27 - MEDIAN(MIN($AY$7:$AY$27), MAX($AY$7:$AY$27), AO18)), $AZ$7:$AZ$27, "Not Found", 0)</f>
        <v>3</v>
      </c>
      <c r="AP47" s="30" cm="1">
        <f t="array" ref="AP47">_xlfn.XLOOKUP(MIN(ABS($AY$7:$AY$27 - MEDIAN(MIN($AY$7:$AY$27), MAX($AY$7:$AY$27), AP18))), ABS($AY$7:$AY$27 - MEDIAN(MIN($AY$7:$AY$27), MAX($AY$7:$AY$27), AP18)), $AZ$7:$AZ$27, "Not Found", 0)</f>
        <v>3</v>
      </c>
      <c r="AQ47" s="30" cm="1">
        <f t="array" ref="AQ47">_xlfn.XLOOKUP(MIN(ABS($AY$7:$AY$27 - MEDIAN(MIN($AY$7:$AY$27), MAX($AY$7:$AY$27), AQ18))), ABS($AY$7:$AY$27 - MEDIAN(MIN($AY$7:$AY$27), MAX($AY$7:$AY$27), AQ18)), $AZ$7:$AZ$27, "Not Found", 0)</f>
        <v>3</v>
      </c>
      <c r="AR47" s="30" cm="1">
        <f t="array" ref="AR47">_xlfn.XLOOKUP(MIN(ABS($AY$7:$AY$27 - MEDIAN(MIN($AY$7:$AY$27), MAX($AY$7:$AY$27), AR18))), ABS($AY$7:$AY$27 - MEDIAN(MIN($AY$7:$AY$27), MAX($AY$7:$AY$27), AR18)), $AZ$7:$AZ$27, "Not Found", 0)</f>
        <v>2</v>
      </c>
      <c r="AS47" s="30" cm="1">
        <f t="array" ref="AS47">_xlfn.XLOOKUP(MIN(ABS($AY$7:$AY$27 - MEDIAN(MIN($AY$7:$AY$27), MAX($AY$7:$AY$27), AS18))), ABS($AY$7:$AY$27 - MEDIAN(MIN($AY$7:$AY$27), MAX($AY$7:$AY$27), AS18)), $AZ$7:$AZ$27, "Not Found", 0)</f>
        <v>2</v>
      </c>
      <c r="AT47" s="30" cm="1">
        <f t="array" ref="AT47">_xlfn.XLOOKUP(MIN(ABS($AY$7:$AY$27 - MEDIAN(MIN($AY$7:$AY$27), MAX($AY$7:$AY$27), AT18))), ABS($AY$7:$AY$27 - MEDIAN(MIN($AY$7:$AY$27), MAX($AY$7:$AY$27), AT18)), $AZ$7:$AZ$27, "Not Found", 0)</f>
        <v>2</v>
      </c>
      <c r="AU47" s="30" cm="1">
        <f t="array" ref="AU47">_xlfn.XLOOKUP(MIN(ABS($AY$7:$AY$27 - MEDIAN(MIN($AY$7:$AY$27), MAX($AY$7:$AY$27), AU18))), ABS($AY$7:$AY$27 - MEDIAN(MIN($AY$7:$AY$27), MAX($AY$7:$AY$27), AU18)), $AZ$7:$AZ$27, "Not Found", 0)</f>
        <v>0</v>
      </c>
      <c r="AV47" s="30" cm="1">
        <f t="array" ref="AV47">_xlfn.XLOOKUP(MIN(ABS($AY$7:$AY$27 - MEDIAN(MIN($AY$7:$AY$27), MAX($AY$7:$AY$27), AV18))), ABS($AY$7:$AY$27 - MEDIAN(MIN($AY$7:$AY$27), MAX($AY$7:$AY$27), AV18)), $AZ$7:$AZ$27, "Not Found", 0)</f>
        <v>0</v>
      </c>
      <c r="AW47" s="30" cm="1">
        <f t="array" ref="AW47">_xlfn.XLOOKUP(MIN(ABS($AY$7:$AY$27 - MEDIAN(MIN($AY$7:$AY$27), MAX($AY$7:$AY$27), AW18))), ABS($AY$7:$AY$27 - MEDIAN(MIN($AY$7:$AY$27), MAX($AY$7:$AY$27), AW18)), $AZ$7:$AZ$27, "Not Found", 0)</f>
        <v>0</v>
      </c>
    </row>
    <row r="48" spans="1:49" ht="25" customHeight="1">
      <c r="A48" s="46" t="s">
        <v>14</v>
      </c>
      <c r="B48" s="30" cm="1">
        <f t="array" ref="B48">_xlfn.XLOOKUP(MIN(ABS($AY$7:$AY$27 - MEDIAN(MIN($AY$7:$AY$27), MAX($AY$7:$AY$27), B19))), ABS($AY$7:$AY$27 - MEDIAN(MIN($AY$7:$AY$27), MAX($AY$7:$AY$27), B19)), $AZ$7:$AZ$27, "Not Found", 0)</f>
        <v>-1</v>
      </c>
      <c r="C48" s="30" cm="1">
        <f t="array" ref="C48">_xlfn.XLOOKUP(MIN(ABS($AY$7:$AY$27 - MEDIAN(MIN($AY$7:$AY$27), MAX($AY$7:$AY$27), C19))), ABS($AY$7:$AY$27 - MEDIAN(MIN($AY$7:$AY$27), MAX($AY$7:$AY$27), C19)), $AZ$7:$AZ$27, "Not Found", 0)</f>
        <v>-1</v>
      </c>
      <c r="D48" s="30" cm="1">
        <f t="array" ref="D48">_xlfn.XLOOKUP(MIN(ABS($AY$7:$AY$27 - MEDIAN(MIN($AY$7:$AY$27), MAX($AY$7:$AY$27), D19))), ABS($AY$7:$AY$27 - MEDIAN(MIN($AY$7:$AY$27), MAX($AY$7:$AY$27), D19)), $AZ$7:$AZ$27, "Not Found", 0)</f>
        <v>-1</v>
      </c>
      <c r="E48" s="30" cm="1">
        <f t="array" ref="E48">_xlfn.XLOOKUP(MIN(ABS($AY$7:$AY$27 - MEDIAN(MIN($AY$7:$AY$27), MAX($AY$7:$AY$27), E19))), ABS($AY$7:$AY$27 - MEDIAN(MIN($AY$7:$AY$27), MAX($AY$7:$AY$27), E19)), $AZ$7:$AZ$27, "Not Found", 0)</f>
        <v>-1</v>
      </c>
      <c r="F48" s="30" cm="1">
        <f t="array" ref="F48">_xlfn.XLOOKUP(MIN(ABS($AY$7:$AY$27 - MEDIAN(MIN($AY$7:$AY$27), MAX($AY$7:$AY$27), F19))), ABS($AY$7:$AY$27 - MEDIAN(MIN($AY$7:$AY$27), MAX($AY$7:$AY$27), F19)), $AZ$7:$AZ$27, "Not Found", 0)</f>
        <v>-1</v>
      </c>
      <c r="G48" s="30" cm="1">
        <f t="array" ref="G48">_xlfn.XLOOKUP(MIN(ABS($AY$7:$AY$27 - MEDIAN(MIN($AY$7:$AY$27), MAX($AY$7:$AY$27), G19))), ABS($AY$7:$AY$27 - MEDIAN(MIN($AY$7:$AY$27), MAX($AY$7:$AY$27), G19)), $AZ$7:$AZ$27, "Not Found", 0)</f>
        <v>-1</v>
      </c>
      <c r="H48" s="30" cm="1">
        <f t="array" ref="H48">_xlfn.XLOOKUP(MIN(ABS($AY$7:$AY$27 - MEDIAN(MIN($AY$7:$AY$27), MAX($AY$7:$AY$27), H19))), ABS($AY$7:$AY$27 - MEDIAN(MIN($AY$7:$AY$27), MAX($AY$7:$AY$27), H19)), $AZ$7:$AZ$27, "Not Found", 0)</f>
        <v>-1</v>
      </c>
      <c r="I48" s="30" cm="1">
        <f t="array" ref="I48">_xlfn.XLOOKUP(MIN(ABS($AY$7:$AY$27 - MEDIAN(MIN($AY$7:$AY$27), MAX($AY$7:$AY$27), I19))), ABS($AY$7:$AY$27 - MEDIAN(MIN($AY$7:$AY$27), MAX($AY$7:$AY$27), I19)), $AZ$7:$AZ$27, "Not Found", 0)</f>
        <v>-1</v>
      </c>
      <c r="J48" s="30" cm="1">
        <f t="array" ref="J48">_xlfn.XLOOKUP(MIN(ABS($AY$7:$AY$27 - MEDIAN(MIN($AY$7:$AY$27), MAX($AY$7:$AY$27), J19))), ABS($AY$7:$AY$27 - MEDIAN(MIN($AY$7:$AY$27), MAX($AY$7:$AY$27), J19)), $AZ$7:$AZ$27, "Not Found", 0)</f>
        <v>-1</v>
      </c>
      <c r="K48" s="30" cm="1">
        <f t="array" ref="K48">_xlfn.XLOOKUP(MIN(ABS($AY$7:$AY$27 - MEDIAN(MIN($AY$7:$AY$27), MAX($AY$7:$AY$27), K19))), ABS($AY$7:$AY$27 - MEDIAN(MIN($AY$7:$AY$27), MAX($AY$7:$AY$27), K19)), $AZ$7:$AZ$27, "Not Found", 0)</f>
        <v>-1</v>
      </c>
      <c r="L48" s="30" cm="1">
        <f t="array" ref="L48">_xlfn.XLOOKUP(MIN(ABS($AY$7:$AY$27 - MEDIAN(MIN($AY$7:$AY$27), MAX($AY$7:$AY$27), L19))), ABS($AY$7:$AY$27 - MEDIAN(MIN($AY$7:$AY$27), MAX($AY$7:$AY$27), L19)), $AZ$7:$AZ$27, "Not Found", 0)</f>
        <v>-1</v>
      </c>
      <c r="M48" s="30" cm="1">
        <f t="array" ref="M48">_xlfn.XLOOKUP(MIN(ABS($AY$7:$AY$27 - MEDIAN(MIN($AY$7:$AY$27), MAX($AY$7:$AY$27), M19))), ABS($AY$7:$AY$27 - MEDIAN(MIN($AY$7:$AY$27), MAX($AY$7:$AY$27), M19)), $AZ$7:$AZ$27, "Not Found", 0)</f>
        <v>-1</v>
      </c>
      <c r="N48" s="30" cm="1">
        <f t="array" ref="N48">_xlfn.XLOOKUP(MIN(ABS($AY$7:$AY$27 - MEDIAN(MIN($AY$7:$AY$27), MAX($AY$7:$AY$27), N19))), ABS($AY$7:$AY$27 - MEDIAN(MIN($AY$7:$AY$27), MAX($AY$7:$AY$27), N19)), $AZ$7:$AZ$27, "Not Found", 0)</f>
        <v>-1</v>
      </c>
      <c r="O48" s="30" cm="1">
        <f t="array" ref="O48">_xlfn.XLOOKUP(MIN(ABS($AY$7:$AY$27 - MEDIAN(MIN($AY$7:$AY$27), MAX($AY$7:$AY$27), O19))), ABS($AY$7:$AY$27 - MEDIAN(MIN($AY$7:$AY$27), MAX($AY$7:$AY$27), O19)), $AZ$7:$AZ$27, "Not Found", 0)</f>
        <v>-1</v>
      </c>
      <c r="P48" s="30" cm="1">
        <f t="array" ref="P48">_xlfn.XLOOKUP(MIN(ABS($AY$7:$AY$27 - MEDIAN(MIN($AY$7:$AY$27), MAX($AY$7:$AY$27), P19))), ABS($AY$7:$AY$27 - MEDIAN(MIN($AY$7:$AY$27), MAX($AY$7:$AY$27), P19)), $AZ$7:$AZ$27, "Not Found", 0)</f>
        <v>-1</v>
      </c>
      <c r="Q48" s="30" cm="1">
        <f t="array" ref="Q48">_xlfn.XLOOKUP(MIN(ABS($AY$7:$AY$27 - MEDIAN(MIN($AY$7:$AY$27), MAX($AY$7:$AY$27), Q19))), ABS($AY$7:$AY$27 - MEDIAN(MIN($AY$7:$AY$27), MAX($AY$7:$AY$27), Q19)), $AZ$7:$AZ$27, "Not Found", 0)</f>
        <v>-1</v>
      </c>
      <c r="R48" s="30" cm="1">
        <f t="array" ref="R48">_xlfn.XLOOKUP(MIN(ABS($AY$7:$AY$27 - MEDIAN(MIN($AY$7:$AY$27), MAX($AY$7:$AY$27), R19))), ABS($AY$7:$AY$27 - MEDIAN(MIN($AY$7:$AY$27), MAX($AY$7:$AY$27), R19)), $AZ$7:$AZ$27, "Not Found", 0)</f>
        <v>-1</v>
      </c>
      <c r="S48" s="30" cm="1">
        <f t="array" ref="S48">_xlfn.XLOOKUP(MIN(ABS($AY$7:$AY$27 - MEDIAN(MIN($AY$7:$AY$27), MAX($AY$7:$AY$27), S19))), ABS($AY$7:$AY$27 - MEDIAN(MIN($AY$7:$AY$27), MAX($AY$7:$AY$27), S19)), $AZ$7:$AZ$27, "Not Found", 0)</f>
        <v>-1</v>
      </c>
      <c r="T48" s="30" cm="1">
        <f t="array" ref="T48">_xlfn.XLOOKUP(MIN(ABS($AY$7:$AY$27 - MEDIAN(MIN($AY$7:$AY$27), MAX($AY$7:$AY$27), T19))), ABS($AY$7:$AY$27 - MEDIAN(MIN($AY$7:$AY$27), MAX($AY$7:$AY$27), T19)), $AZ$7:$AZ$27, "Not Found", 0)</f>
        <v>-1</v>
      </c>
      <c r="U48" s="30" cm="1">
        <f t="array" ref="U48">_xlfn.XLOOKUP(MIN(ABS($AY$7:$AY$27 - MEDIAN(MIN($AY$7:$AY$27), MAX($AY$7:$AY$27), U19))), ABS($AY$7:$AY$27 - MEDIAN(MIN($AY$7:$AY$27), MAX($AY$7:$AY$27), U19)), $AZ$7:$AZ$27, "Not Found", 0)</f>
        <v>-1</v>
      </c>
      <c r="V48" s="30" cm="1">
        <f t="array" ref="V48">_xlfn.XLOOKUP(MIN(ABS($AY$7:$AY$27 - MEDIAN(MIN($AY$7:$AY$27), MAX($AY$7:$AY$27), V19))), ABS($AY$7:$AY$27 - MEDIAN(MIN($AY$7:$AY$27), MAX($AY$7:$AY$27), V19)), $AZ$7:$AZ$27, "Not Found", 0)</f>
        <v>-1</v>
      </c>
      <c r="W48" s="30" cm="1">
        <f t="array" ref="W48">_xlfn.XLOOKUP(MIN(ABS($AY$7:$AY$27 - MEDIAN(MIN($AY$7:$AY$27), MAX($AY$7:$AY$27), W19))), ABS($AY$7:$AY$27 - MEDIAN(MIN($AY$7:$AY$27), MAX($AY$7:$AY$27), W19)), $AZ$7:$AZ$27, "Not Found", 0)</f>
        <v>-1</v>
      </c>
      <c r="X48" s="30" cm="1">
        <f t="array" ref="X48">_xlfn.XLOOKUP(MIN(ABS($AY$7:$AY$27 - MEDIAN(MIN($AY$7:$AY$27), MAX($AY$7:$AY$27), X19))), ABS($AY$7:$AY$27 - MEDIAN(MIN($AY$7:$AY$27), MAX($AY$7:$AY$27), X19)), $AZ$7:$AZ$27, "Not Found", 0)</f>
        <v>-1</v>
      </c>
      <c r="Y48" s="30" cm="1">
        <f t="array" ref="Y48">_xlfn.XLOOKUP(MIN(ABS($AY$7:$AY$27 - MEDIAN(MIN($AY$7:$AY$27), MAX($AY$7:$AY$27), Y19))), ABS($AY$7:$AY$27 - MEDIAN(MIN($AY$7:$AY$27), MAX($AY$7:$AY$27), Y19)), $AZ$7:$AZ$27, "Not Found", 0)</f>
        <v>-1</v>
      </c>
      <c r="Z48" s="30" cm="1">
        <f t="array" ref="Z48">_xlfn.XLOOKUP(MIN(ABS($AY$7:$AY$27 - MEDIAN(MIN($AY$7:$AY$27), MAX($AY$7:$AY$27), Z19))), ABS($AY$7:$AY$27 - MEDIAN(MIN($AY$7:$AY$27), MAX($AY$7:$AY$27), Z19)), $AZ$7:$AZ$27, "Not Found", 0)</f>
        <v>-1</v>
      </c>
      <c r="AA48" s="30" cm="1">
        <f t="array" ref="AA48">_xlfn.XLOOKUP(MIN(ABS($AY$7:$AY$27 - MEDIAN(MIN($AY$7:$AY$27), MAX($AY$7:$AY$27), AA19))), ABS($AY$7:$AY$27 - MEDIAN(MIN($AY$7:$AY$27), MAX($AY$7:$AY$27), AA19)), $AZ$7:$AZ$27, "Not Found", 0)</f>
        <v>-1</v>
      </c>
      <c r="AB48" s="30" cm="1">
        <f t="array" ref="AB48">_xlfn.XLOOKUP(MIN(ABS($AY$7:$AY$27 - MEDIAN(MIN($AY$7:$AY$27), MAX($AY$7:$AY$27), AB19))), ABS($AY$7:$AY$27 - MEDIAN(MIN($AY$7:$AY$27), MAX($AY$7:$AY$27), AB19)), $AZ$7:$AZ$27, "Not Found", 0)</f>
        <v>-1</v>
      </c>
      <c r="AC48" s="30" cm="1">
        <f t="array" ref="AC48">_xlfn.XLOOKUP(MIN(ABS($AY$7:$AY$27 - MEDIAN(MIN($AY$7:$AY$27), MAX($AY$7:$AY$27), AC19))), ABS($AY$7:$AY$27 - MEDIAN(MIN($AY$7:$AY$27), MAX($AY$7:$AY$27), AC19)), $AZ$7:$AZ$27, "Not Found", 0)</f>
        <v>-1</v>
      </c>
      <c r="AD48" s="30" cm="1">
        <f t="array" ref="AD48">_xlfn.XLOOKUP(MIN(ABS($AY$7:$AY$27 - MEDIAN(MIN($AY$7:$AY$27), MAX($AY$7:$AY$27), AD19))), ABS($AY$7:$AY$27 - MEDIAN(MIN($AY$7:$AY$27), MAX($AY$7:$AY$27), AD19)), $AZ$7:$AZ$27, "Not Found", 0)</f>
        <v>-1</v>
      </c>
      <c r="AE48" s="30" cm="1">
        <f t="array" ref="AE48">_xlfn.XLOOKUP(MIN(ABS($AY$7:$AY$27 - MEDIAN(MIN($AY$7:$AY$27), MAX($AY$7:$AY$27), AE19))), ABS($AY$7:$AY$27 - MEDIAN(MIN($AY$7:$AY$27), MAX($AY$7:$AY$27), AE19)), $AZ$7:$AZ$27, "Not Found", 0)</f>
        <v>-1</v>
      </c>
      <c r="AF48" s="30" cm="1">
        <f t="array" ref="AF48">_xlfn.XLOOKUP(MIN(ABS($AY$7:$AY$27 - MEDIAN(MIN($AY$7:$AY$27), MAX($AY$7:$AY$27), AF19))), ABS($AY$7:$AY$27 - MEDIAN(MIN($AY$7:$AY$27), MAX($AY$7:$AY$27), AF19)), $AZ$7:$AZ$27, "Not Found", 0)</f>
        <v>-2</v>
      </c>
      <c r="AG48" s="30" cm="1">
        <f t="array" ref="AG48">_xlfn.XLOOKUP(MIN(ABS($AY$7:$AY$27 - MEDIAN(MIN($AY$7:$AY$27), MAX($AY$7:$AY$27), AG19))), ABS($AY$7:$AY$27 - MEDIAN(MIN($AY$7:$AY$27), MAX($AY$7:$AY$27), AG19)), $AZ$7:$AZ$27, "Not Found", 0)</f>
        <v>-2</v>
      </c>
      <c r="AH48" s="30" cm="1">
        <f t="array" ref="AH48">_xlfn.XLOOKUP(MIN(ABS($AY$7:$AY$27 - MEDIAN(MIN($AY$7:$AY$27), MAX($AY$7:$AY$27), AH19))), ABS($AY$7:$AY$27 - MEDIAN(MIN($AY$7:$AY$27), MAX($AY$7:$AY$27), AH19)), $AZ$7:$AZ$27, "Not Found", 0)</f>
        <v>-2</v>
      </c>
      <c r="AI48" s="30" cm="1">
        <f t="array" ref="AI48">_xlfn.XLOOKUP(MIN(ABS($AY$7:$AY$27 - MEDIAN(MIN($AY$7:$AY$27), MAX($AY$7:$AY$27), AI19))), ABS($AY$7:$AY$27 - MEDIAN(MIN($AY$7:$AY$27), MAX($AY$7:$AY$27), AI19)), $AZ$7:$AZ$27, "Not Found", 0)</f>
        <v>-2</v>
      </c>
      <c r="AJ48" s="30" cm="1">
        <f t="array" ref="AJ48">_xlfn.XLOOKUP(MIN(ABS($AY$7:$AY$27 - MEDIAN(MIN($AY$7:$AY$27), MAX($AY$7:$AY$27), AJ19))), ABS($AY$7:$AY$27 - MEDIAN(MIN($AY$7:$AY$27), MAX($AY$7:$AY$27), AJ19)), $AZ$7:$AZ$27, "Not Found", 0)</f>
        <v>-2</v>
      </c>
      <c r="AK48" s="30" cm="1">
        <f t="array" ref="AK48">_xlfn.XLOOKUP(MIN(ABS($AY$7:$AY$27 - MEDIAN(MIN($AY$7:$AY$27), MAX($AY$7:$AY$27), AK19))), ABS($AY$7:$AY$27 - MEDIAN(MIN($AY$7:$AY$27), MAX($AY$7:$AY$27), AK19)), $AZ$7:$AZ$27, "Not Found", 0)</f>
        <v>-2</v>
      </c>
      <c r="AL48" s="30" cm="1">
        <f t="array" ref="AL48">_xlfn.XLOOKUP(MIN(ABS($AY$7:$AY$27 - MEDIAN(MIN($AY$7:$AY$27), MAX($AY$7:$AY$27), AL19))), ABS($AY$7:$AY$27 - MEDIAN(MIN($AY$7:$AY$27), MAX($AY$7:$AY$27), AL19)), $AZ$7:$AZ$27, "Not Found", 0)</f>
        <v>-2</v>
      </c>
      <c r="AM48" s="30" cm="1">
        <f t="array" ref="AM48">_xlfn.XLOOKUP(MIN(ABS($AY$7:$AY$27 - MEDIAN(MIN($AY$7:$AY$27), MAX($AY$7:$AY$27), AM19))), ABS($AY$7:$AY$27 - MEDIAN(MIN($AY$7:$AY$27), MAX($AY$7:$AY$27), AM19)), $AZ$7:$AZ$27, "Not Found", 0)</f>
        <v>-2</v>
      </c>
      <c r="AN48" s="30" cm="1">
        <f t="array" ref="AN48">_xlfn.XLOOKUP(MIN(ABS($AY$7:$AY$27 - MEDIAN(MIN($AY$7:$AY$27), MAX($AY$7:$AY$27), AN19))), ABS($AY$7:$AY$27 - MEDIAN(MIN($AY$7:$AY$27), MAX($AY$7:$AY$27), AN19)), $AZ$7:$AZ$27, "Not Found", 0)</f>
        <v>-2</v>
      </c>
      <c r="AO48" s="30" cm="1">
        <f t="array" ref="AO48">_xlfn.XLOOKUP(MIN(ABS($AY$7:$AY$27 - MEDIAN(MIN($AY$7:$AY$27), MAX($AY$7:$AY$27), AO19))), ABS($AY$7:$AY$27 - MEDIAN(MIN($AY$7:$AY$27), MAX($AY$7:$AY$27), AO19)), $AZ$7:$AZ$27, "Not Found", 0)</f>
        <v>-2</v>
      </c>
      <c r="AP48" s="30" cm="1">
        <f t="array" ref="AP48">_xlfn.XLOOKUP(MIN(ABS($AY$7:$AY$27 - MEDIAN(MIN($AY$7:$AY$27), MAX($AY$7:$AY$27), AP19))), ABS($AY$7:$AY$27 - MEDIAN(MIN($AY$7:$AY$27), MAX($AY$7:$AY$27), AP19)), $AZ$7:$AZ$27, "Not Found", 0)</f>
        <v>-2</v>
      </c>
      <c r="AQ48" s="30" cm="1">
        <f t="array" ref="AQ48">_xlfn.XLOOKUP(MIN(ABS($AY$7:$AY$27 - MEDIAN(MIN($AY$7:$AY$27), MAX($AY$7:$AY$27), AQ19))), ABS($AY$7:$AY$27 - MEDIAN(MIN($AY$7:$AY$27), MAX($AY$7:$AY$27), AQ19)), $AZ$7:$AZ$27, "Not Found", 0)</f>
        <v>-2</v>
      </c>
      <c r="AR48" s="30" cm="1">
        <f t="array" ref="AR48">_xlfn.XLOOKUP(MIN(ABS($AY$7:$AY$27 - MEDIAN(MIN($AY$7:$AY$27), MAX($AY$7:$AY$27), AR19))), ABS($AY$7:$AY$27 - MEDIAN(MIN($AY$7:$AY$27), MAX($AY$7:$AY$27), AR19)), $AZ$7:$AZ$27, "Not Found", 0)</f>
        <v>-2</v>
      </c>
      <c r="AS48" s="30" cm="1">
        <f t="array" ref="AS48">_xlfn.XLOOKUP(MIN(ABS($AY$7:$AY$27 - MEDIAN(MIN($AY$7:$AY$27), MAX($AY$7:$AY$27), AS19))), ABS($AY$7:$AY$27 - MEDIAN(MIN($AY$7:$AY$27), MAX($AY$7:$AY$27), AS19)), $AZ$7:$AZ$27, "Not Found", 0)</f>
        <v>-2</v>
      </c>
      <c r="AT48" s="30" cm="1">
        <f t="array" ref="AT48">_xlfn.XLOOKUP(MIN(ABS($AY$7:$AY$27 - MEDIAN(MIN($AY$7:$AY$27), MAX($AY$7:$AY$27), AT19))), ABS($AY$7:$AY$27 - MEDIAN(MIN($AY$7:$AY$27), MAX($AY$7:$AY$27), AT19)), $AZ$7:$AZ$27, "Not Found", 0)</f>
        <v>-2</v>
      </c>
      <c r="AU48" s="30" cm="1">
        <f t="array" ref="AU48">_xlfn.XLOOKUP(MIN(ABS($AY$7:$AY$27 - MEDIAN(MIN($AY$7:$AY$27), MAX($AY$7:$AY$27), AU19))), ABS($AY$7:$AY$27 - MEDIAN(MIN($AY$7:$AY$27), MAX($AY$7:$AY$27), AU19)), $AZ$7:$AZ$27, "Not Found", 0)</f>
        <v>0</v>
      </c>
      <c r="AV48" s="30" cm="1">
        <f t="array" ref="AV48">_xlfn.XLOOKUP(MIN(ABS($AY$7:$AY$27 - MEDIAN(MIN($AY$7:$AY$27), MAX($AY$7:$AY$27), AV19))), ABS($AY$7:$AY$27 - MEDIAN(MIN($AY$7:$AY$27), MAX($AY$7:$AY$27), AV19)), $AZ$7:$AZ$27, "Not Found", 0)</f>
        <v>0</v>
      </c>
      <c r="AW48" s="30" cm="1">
        <f t="array" ref="AW48">_xlfn.XLOOKUP(MIN(ABS($AY$7:$AY$27 - MEDIAN(MIN($AY$7:$AY$27), MAX($AY$7:$AY$27), AW19))), ABS($AY$7:$AY$27 - MEDIAN(MIN($AY$7:$AY$27), MAX($AY$7:$AY$27), AW19)), $AZ$7:$AZ$27, "Not Found", 0)</f>
        <v>0</v>
      </c>
    </row>
    <row r="49" spans="1:49" ht="25" customHeight="1">
      <c r="A49" s="46" t="s">
        <v>48</v>
      </c>
      <c r="B49" s="30" cm="1">
        <f t="array" ref="B49">_xlfn.XLOOKUP(MIN(ABS($AY$7:$AY$27 - MEDIAN(MIN($AY$7:$AY$27), MAX($AY$7:$AY$27), B20))), ABS($AY$7:$AY$27 - MEDIAN(MIN($AY$7:$AY$27), MAX($AY$7:$AY$27), B20)), $AZ$7:$AZ$27, "Not Found", 0)</f>
        <v>-3</v>
      </c>
      <c r="C49" s="30" cm="1">
        <f t="array" ref="C49">_xlfn.XLOOKUP(MIN(ABS($AY$7:$AY$27 - MEDIAN(MIN($AY$7:$AY$27), MAX($AY$7:$AY$27), C20))), ABS($AY$7:$AY$27 - MEDIAN(MIN($AY$7:$AY$27), MAX($AY$7:$AY$27), C20)), $AZ$7:$AZ$27, "Not Found", 0)</f>
        <v>-3</v>
      </c>
      <c r="D49" s="30" cm="1">
        <f t="array" ref="D49">_xlfn.XLOOKUP(MIN(ABS($AY$7:$AY$27 - MEDIAN(MIN($AY$7:$AY$27), MAX($AY$7:$AY$27), D20))), ABS($AY$7:$AY$27 - MEDIAN(MIN($AY$7:$AY$27), MAX($AY$7:$AY$27), D20)), $AZ$7:$AZ$27, "Not Found", 0)</f>
        <v>-3</v>
      </c>
      <c r="E49" s="30" cm="1">
        <f t="array" ref="E49">_xlfn.XLOOKUP(MIN(ABS($AY$7:$AY$27 - MEDIAN(MIN($AY$7:$AY$27), MAX($AY$7:$AY$27), E20))), ABS($AY$7:$AY$27 - MEDIAN(MIN($AY$7:$AY$27), MAX($AY$7:$AY$27), E20)), $AZ$7:$AZ$27, "Not Found", 0)</f>
        <v>-3</v>
      </c>
      <c r="F49" s="30" cm="1">
        <f t="array" ref="F49">_xlfn.XLOOKUP(MIN(ABS($AY$7:$AY$27 - MEDIAN(MIN($AY$7:$AY$27), MAX($AY$7:$AY$27), F20))), ABS($AY$7:$AY$27 - MEDIAN(MIN($AY$7:$AY$27), MAX($AY$7:$AY$27), F20)), $AZ$7:$AZ$27, "Not Found", 0)</f>
        <v>-3</v>
      </c>
      <c r="G49" s="30" cm="1">
        <f t="array" ref="G49">_xlfn.XLOOKUP(MIN(ABS($AY$7:$AY$27 - MEDIAN(MIN($AY$7:$AY$27), MAX($AY$7:$AY$27), G20))), ABS($AY$7:$AY$27 - MEDIAN(MIN($AY$7:$AY$27), MAX($AY$7:$AY$27), G20)), $AZ$7:$AZ$27, "Not Found", 0)</f>
        <v>-3</v>
      </c>
      <c r="H49" s="30" cm="1">
        <f t="array" ref="H49">_xlfn.XLOOKUP(MIN(ABS($AY$7:$AY$27 - MEDIAN(MIN($AY$7:$AY$27), MAX($AY$7:$AY$27), H20))), ABS($AY$7:$AY$27 - MEDIAN(MIN($AY$7:$AY$27), MAX($AY$7:$AY$27), H20)), $AZ$7:$AZ$27, "Not Found", 0)</f>
        <v>-3</v>
      </c>
      <c r="I49" s="30" cm="1">
        <f t="array" ref="I49">_xlfn.XLOOKUP(MIN(ABS($AY$7:$AY$27 - MEDIAN(MIN($AY$7:$AY$27), MAX($AY$7:$AY$27), I20))), ABS($AY$7:$AY$27 - MEDIAN(MIN($AY$7:$AY$27), MAX($AY$7:$AY$27), I20)), $AZ$7:$AZ$27, "Not Found", 0)</f>
        <v>-3</v>
      </c>
      <c r="J49" s="30" cm="1">
        <f t="array" ref="J49">_xlfn.XLOOKUP(MIN(ABS($AY$7:$AY$27 - MEDIAN(MIN($AY$7:$AY$27), MAX($AY$7:$AY$27), J20))), ABS($AY$7:$AY$27 - MEDIAN(MIN($AY$7:$AY$27), MAX($AY$7:$AY$27), J20)), $AZ$7:$AZ$27, "Not Found", 0)</f>
        <v>-3</v>
      </c>
      <c r="K49" s="30" cm="1">
        <f t="array" ref="K49">_xlfn.XLOOKUP(MIN(ABS($AY$7:$AY$27 - MEDIAN(MIN($AY$7:$AY$27), MAX($AY$7:$AY$27), K20))), ABS($AY$7:$AY$27 - MEDIAN(MIN($AY$7:$AY$27), MAX($AY$7:$AY$27), K20)), $AZ$7:$AZ$27, "Not Found", 0)</f>
        <v>1</v>
      </c>
      <c r="L49" s="30" cm="1">
        <f t="array" ref="L49">_xlfn.XLOOKUP(MIN(ABS($AY$7:$AY$27 - MEDIAN(MIN($AY$7:$AY$27), MAX($AY$7:$AY$27), L20))), ABS($AY$7:$AY$27 - MEDIAN(MIN($AY$7:$AY$27), MAX($AY$7:$AY$27), L20)), $AZ$7:$AZ$27, "Not Found", 0)</f>
        <v>1</v>
      </c>
      <c r="M49" s="30" cm="1">
        <f t="array" ref="M49">_xlfn.XLOOKUP(MIN(ABS($AY$7:$AY$27 - MEDIAN(MIN($AY$7:$AY$27), MAX($AY$7:$AY$27), M20))), ABS($AY$7:$AY$27 - MEDIAN(MIN($AY$7:$AY$27), MAX($AY$7:$AY$27), M20)), $AZ$7:$AZ$27, "Not Found", 0)</f>
        <v>1</v>
      </c>
      <c r="N49" s="30" cm="1">
        <f t="array" ref="N49">_xlfn.XLOOKUP(MIN(ABS($AY$7:$AY$27 - MEDIAN(MIN($AY$7:$AY$27), MAX($AY$7:$AY$27), N20))), ABS($AY$7:$AY$27 - MEDIAN(MIN($AY$7:$AY$27), MAX($AY$7:$AY$27), N20)), $AZ$7:$AZ$27, "Not Found", 0)</f>
        <v>-8</v>
      </c>
      <c r="O49" s="30" cm="1">
        <f t="array" ref="O49">_xlfn.XLOOKUP(MIN(ABS($AY$7:$AY$27 - MEDIAN(MIN($AY$7:$AY$27), MAX($AY$7:$AY$27), O20))), ABS($AY$7:$AY$27 - MEDIAN(MIN($AY$7:$AY$27), MAX($AY$7:$AY$27), O20)), $AZ$7:$AZ$27, "Not Found", 0)</f>
        <v>-8</v>
      </c>
      <c r="P49" s="30" cm="1">
        <f t="array" ref="P49">_xlfn.XLOOKUP(MIN(ABS($AY$7:$AY$27 - MEDIAN(MIN($AY$7:$AY$27), MAX($AY$7:$AY$27), P20))), ABS($AY$7:$AY$27 - MEDIAN(MIN($AY$7:$AY$27), MAX($AY$7:$AY$27), P20)), $AZ$7:$AZ$27, "Not Found", 0)</f>
        <v>-8</v>
      </c>
      <c r="Q49" s="30" cm="1">
        <f t="array" ref="Q49">_xlfn.XLOOKUP(MIN(ABS($AY$7:$AY$27 - MEDIAN(MIN($AY$7:$AY$27), MAX($AY$7:$AY$27), Q20))), ABS($AY$7:$AY$27 - MEDIAN(MIN($AY$7:$AY$27), MAX($AY$7:$AY$27), Q20)), $AZ$7:$AZ$27, "Not Found", 0)</f>
        <v>-5</v>
      </c>
      <c r="R49" s="30" cm="1">
        <f t="array" ref="R49">_xlfn.XLOOKUP(MIN(ABS($AY$7:$AY$27 - MEDIAN(MIN($AY$7:$AY$27), MAX($AY$7:$AY$27), R20))), ABS($AY$7:$AY$27 - MEDIAN(MIN($AY$7:$AY$27), MAX($AY$7:$AY$27), R20)), $AZ$7:$AZ$27, "Not Found", 0)</f>
        <v>-5</v>
      </c>
      <c r="S49" s="30" cm="1">
        <f t="array" ref="S49">_xlfn.XLOOKUP(MIN(ABS($AY$7:$AY$27 - MEDIAN(MIN($AY$7:$AY$27), MAX($AY$7:$AY$27), S20))), ABS($AY$7:$AY$27 - MEDIAN(MIN($AY$7:$AY$27), MAX($AY$7:$AY$27), S20)), $AZ$7:$AZ$27, "Not Found", 0)</f>
        <v>-5</v>
      </c>
      <c r="T49" s="30" cm="1">
        <f t="array" ref="T49">_xlfn.XLOOKUP(MIN(ABS($AY$7:$AY$27 - MEDIAN(MIN($AY$7:$AY$27), MAX($AY$7:$AY$27), T20))), ABS($AY$7:$AY$27 - MEDIAN(MIN($AY$7:$AY$27), MAX($AY$7:$AY$27), T20)), $AZ$7:$AZ$27, "Not Found", 0)</f>
        <v>0</v>
      </c>
      <c r="U49" s="30" cm="1">
        <f t="array" ref="U49">_xlfn.XLOOKUP(MIN(ABS($AY$7:$AY$27 - MEDIAN(MIN($AY$7:$AY$27), MAX($AY$7:$AY$27), U20))), ABS($AY$7:$AY$27 - MEDIAN(MIN($AY$7:$AY$27), MAX($AY$7:$AY$27), U20)), $AZ$7:$AZ$27, "Not Found", 0)</f>
        <v>0</v>
      </c>
      <c r="V49" s="30" cm="1">
        <f t="array" ref="V49">_xlfn.XLOOKUP(MIN(ABS($AY$7:$AY$27 - MEDIAN(MIN($AY$7:$AY$27), MAX($AY$7:$AY$27), V20))), ABS($AY$7:$AY$27 - MEDIAN(MIN($AY$7:$AY$27), MAX($AY$7:$AY$27), V20)), $AZ$7:$AZ$27, "Not Found", 0)</f>
        <v>0</v>
      </c>
      <c r="W49" s="30" cm="1">
        <f t="array" ref="W49">_xlfn.XLOOKUP(MIN(ABS($AY$7:$AY$27 - MEDIAN(MIN($AY$7:$AY$27), MAX($AY$7:$AY$27), W20))), ABS($AY$7:$AY$27 - MEDIAN(MIN($AY$7:$AY$27), MAX($AY$7:$AY$27), W20)), $AZ$7:$AZ$27, "Not Found", 0)</f>
        <v>-5</v>
      </c>
      <c r="X49" s="30" cm="1">
        <f t="array" ref="X49">_xlfn.XLOOKUP(MIN(ABS($AY$7:$AY$27 - MEDIAN(MIN($AY$7:$AY$27), MAX($AY$7:$AY$27), X20))), ABS($AY$7:$AY$27 - MEDIAN(MIN($AY$7:$AY$27), MAX($AY$7:$AY$27), X20)), $AZ$7:$AZ$27, "Not Found", 0)</f>
        <v>-5</v>
      </c>
      <c r="Y49" s="30" cm="1">
        <f t="array" ref="Y49">_xlfn.XLOOKUP(MIN(ABS($AY$7:$AY$27 - MEDIAN(MIN($AY$7:$AY$27), MAX($AY$7:$AY$27), Y20))), ABS($AY$7:$AY$27 - MEDIAN(MIN($AY$7:$AY$27), MAX($AY$7:$AY$27), Y20)), $AZ$7:$AZ$27, "Not Found", 0)</f>
        <v>-5</v>
      </c>
      <c r="Z49" s="30" cm="1">
        <f t="array" ref="Z49">_xlfn.XLOOKUP(MIN(ABS($AY$7:$AY$27 - MEDIAN(MIN($AY$7:$AY$27), MAX($AY$7:$AY$27), Z20))), ABS($AY$7:$AY$27 - MEDIAN(MIN($AY$7:$AY$27), MAX($AY$7:$AY$27), Z20)), $AZ$7:$AZ$27, "Not Found", 0)</f>
        <v>-9</v>
      </c>
      <c r="AA49" s="30" cm="1">
        <f t="array" ref="AA49">_xlfn.XLOOKUP(MIN(ABS($AY$7:$AY$27 - MEDIAN(MIN($AY$7:$AY$27), MAX($AY$7:$AY$27), AA20))), ABS($AY$7:$AY$27 - MEDIAN(MIN($AY$7:$AY$27), MAX($AY$7:$AY$27), AA20)), $AZ$7:$AZ$27, "Not Found", 0)</f>
        <v>-9</v>
      </c>
      <c r="AB49" s="30" cm="1">
        <f t="array" ref="AB49">_xlfn.XLOOKUP(MIN(ABS($AY$7:$AY$27 - MEDIAN(MIN($AY$7:$AY$27), MAX($AY$7:$AY$27), AB20))), ABS($AY$7:$AY$27 - MEDIAN(MIN($AY$7:$AY$27), MAX($AY$7:$AY$27), AB20)), $AZ$7:$AZ$27, "Not Found", 0)</f>
        <v>-9</v>
      </c>
      <c r="AC49" s="30" cm="1">
        <f t="array" ref="AC49">_xlfn.XLOOKUP(MIN(ABS($AY$7:$AY$27 - MEDIAN(MIN($AY$7:$AY$27), MAX($AY$7:$AY$27), AC20))), ABS($AY$7:$AY$27 - MEDIAN(MIN($AY$7:$AY$27), MAX($AY$7:$AY$27), AC20)), $AZ$7:$AZ$27, "Not Found", 0)</f>
        <v>-1</v>
      </c>
      <c r="AD49" s="30" cm="1">
        <f t="array" ref="AD49">_xlfn.XLOOKUP(MIN(ABS($AY$7:$AY$27 - MEDIAN(MIN($AY$7:$AY$27), MAX($AY$7:$AY$27), AD20))), ABS($AY$7:$AY$27 - MEDIAN(MIN($AY$7:$AY$27), MAX($AY$7:$AY$27), AD20)), $AZ$7:$AZ$27, "Not Found", 0)</f>
        <v>-1</v>
      </c>
      <c r="AE49" s="30" cm="1">
        <f t="array" ref="AE49">_xlfn.XLOOKUP(MIN(ABS($AY$7:$AY$27 - MEDIAN(MIN($AY$7:$AY$27), MAX($AY$7:$AY$27), AE20))), ABS($AY$7:$AY$27 - MEDIAN(MIN($AY$7:$AY$27), MAX($AY$7:$AY$27), AE20)), $AZ$7:$AZ$27, "Not Found", 0)</f>
        <v>-1</v>
      </c>
      <c r="AF49" s="30" cm="1">
        <f t="array" ref="AF49">_xlfn.XLOOKUP(MIN(ABS($AY$7:$AY$27 - MEDIAN(MIN($AY$7:$AY$27), MAX($AY$7:$AY$27), AF20))), ABS($AY$7:$AY$27 - MEDIAN(MIN($AY$7:$AY$27), MAX($AY$7:$AY$27), AF20)), $AZ$7:$AZ$27, "Not Found", 0)</f>
        <v>-1</v>
      </c>
      <c r="AG49" s="30" cm="1">
        <f t="array" ref="AG49">_xlfn.XLOOKUP(MIN(ABS($AY$7:$AY$27 - MEDIAN(MIN($AY$7:$AY$27), MAX($AY$7:$AY$27), AG20))), ABS($AY$7:$AY$27 - MEDIAN(MIN($AY$7:$AY$27), MAX($AY$7:$AY$27), AG20)), $AZ$7:$AZ$27, "Not Found", 0)</f>
        <v>-1</v>
      </c>
      <c r="AH49" s="30" cm="1">
        <f t="array" ref="AH49">_xlfn.XLOOKUP(MIN(ABS($AY$7:$AY$27 - MEDIAN(MIN($AY$7:$AY$27), MAX($AY$7:$AY$27), AH20))), ABS($AY$7:$AY$27 - MEDIAN(MIN($AY$7:$AY$27), MAX($AY$7:$AY$27), AH20)), $AZ$7:$AZ$27, "Not Found", 0)</f>
        <v>-1</v>
      </c>
      <c r="AI49" s="30" cm="1">
        <f t="array" ref="AI49">_xlfn.XLOOKUP(MIN(ABS($AY$7:$AY$27 - MEDIAN(MIN($AY$7:$AY$27), MAX($AY$7:$AY$27), AI20))), ABS($AY$7:$AY$27 - MEDIAN(MIN($AY$7:$AY$27), MAX($AY$7:$AY$27), AI20)), $AZ$7:$AZ$27, "Not Found", 0)</f>
        <v>0</v>
      </c>
      <c r="AJ49" s="30" cm="1">
        <f t="array" ref="AJ49">_xlfn.XLOOKUP(MIN(ABS($AY$7:$AY$27 - MEDIAN(MIN($AY$7:$AY$27), MAX($AY$7:$AY$27), AJ20))), ABS($AY$7:$AY$27 - MEDIAN(MIN($AY$7:$AY$27), MAX($AY$7:$AY$27), AJ20)), $AZ$7:$AZ$27, "Not Found", 0)</f>
        <v>0</v>
      </c>
      <c r="AK49" s="30" cm="1">
        <f t="array" ref="AK49">_xlfn.XLOOKUP(MIN(ABS($AY$7:$AY$27 - MEDIAN(MIN($AY$7:$AY$27), MAX($AY$7:$AY$27), AK20))), ABS($AY$7:$AY$27 - MEDIAN(MIN($AY$7:$AY$27), MAX($AY$7:$AY$27), AK20)), $AZ$7:$AZ$27, "Not Found", 0)</f>
        <v>0</v>
      </c>
      <c r="AL49" s="30" cm="1">
        <f t="array" ref="AL49">_xlfn.XLOOKUP(MIN(ABS($AY$7:$AY$27 - MEDIAN(MIN($AY$7:$AY$27), MAX($AY$7:$AY$27), AL20))), ABS($AY$7:$AY$27 - MEDIAN(MIN($AY$7:$AY$27), MAX($AY$7:$AY$27), AL20)), $AZ$7:$AZ$27, "Not Found", 0)</f>
        <v>-5</v>
      </c>
      <c r="AM49" s="30" cm="1">
        <f t="array" ref="AM49">_xlfn.XLOOKUP(MIN(ABS($AY$7:$AY$27 - MEDIAN(MIN($AY$7:$AY$27), MAX($AY$7:$AY$27), AM20))), ABS($AY$7:$AY$27 - MEDIAN(MIN($AY$7:$AY$27), MAX($AY$7:$AY$27), AM20)), $AZ$7:$AZ$27, "Not Found", 0)</f>
        <v>-5</v>
      </c>
      <c r="AN49" s="30" cm="1">
        <f t="array" ref="AN49">_xlfn.XLOOKUP(MIN(ABS($AY$7:$AY$27 - MEDIAN(MIN($AY$7:$AY$27), MAX($AY$7:$AY$27), AN20))), ABS($AY$7:$AY$27 - MEDIAN(MIN($AY$7:$AY$27), MAX($AY$7:$AY$27), AN20)), $AZ$7:$AZ$27, "Not Found", 0)</f>
        <v>-5</v>
      </c>
      <c r="AO49" s="30" cm="1">
        <f t="array" ref="AO49">_xlfn.XLOOKUP(MIN(ABS($AY$7:$AY$27 - MEDIAN(MIN($AY$7:$AY$27), MAX($AY$7:$AY$27), AO20))), ABS($AY$7:$AY$27 - MEDIAN(MIN($AY$7:$AY$27), MAX($AY$7:$AY$27), AO20)), $AZ$7:$AZ$27, "Not Found", 0)</f>
        <v>-2</v>
      </c>
      <c r="AP49" s="30" cm="1">
        <f t="array" ref="AP49">_xlfn.XLOOKUP(MIN(ABS($AY$7:$AY$27 - MEDIAN(MIN($AY$7:$AY$27), MAX($AY$7:$AY$27), AP20))), ABS($AY$7:$AY$27 - MEDIAN(MIN($AY$7:$AY$27), MAX($AY$7:$AY$27), AP20)), $AZ$7:$AZ$27, "Not Found", 0)</f>
        <v>-2</v>
      </c>
      <c r="AQ49" s="30" cm="1">
        <f t="array" ref="AQ49">_xlfn.XLOOKUP(MIN(ABS($AY$7:$AY$27 - MEDIAN(MIN($AY$7:$AY$27), MAX($AY$7:$AY$27), AQ20))), ABS($AY$7:$AY$27 - MEDIAN(MIN($AY$7:$AY$27), MAX($AY$7:$AY$27), AQ20)), $AZ$7:$AZ$27, "Not Found", 0)</f>
        <v>-2</v>
      </c>
      <c r="AR49" s="30" cm="1">
        <f t="array" ref="AR49">_xlfn.XLOOKUP(MIN(ABS($AY$7:$AY$27 - MEDIAN(MIN($AY$7:$AY$27), MAX($AY$7:$AY$27), AR20))), ABS($AY$7:$AY$27 - MEDIAN(MIN($AY$7:$AY$27), MAX($AY$7:$AY$27), AR20)), $AZ$7:$AZ$27, "Not Found", 0)</f>
        <v>-2</v>
      </c>
      <c r="AS49" s="30" cm="1">
        <f t="array" ref="AS49">_xlfn.XLOOKUP(MIN(ABS($AY$7:$AY$27 - MEDIAN(MIN($AY$7:$AY$27), MAX($AY$7:$AY$27), AS20))), ABS($AY$7:$AY$27 - MEDIAN(MIN($AY$7:$AY$27), MAX($AY$7:$AY$27), AS20)), $AZ$7:$AZ$27, "Not Found", 0)</f>
        <v>-2</v>
      </c>
      <c r="AT49" s="30" cm="1">
        <f t="array" ref="AT49">_xlfn.XLOOKUP(MIN(ABS($AY$7:$AY$27 - MEDIAN(MIN($AY$7:$AY$27), MAX($AY$7:$AY$27), AT20))), ABS($AY$7:$AY$27 - MEDIAN(MIN($AY$7:$AY$27), MAX($AY$7:$AY$27), AT20)), $AZ$7:$AZ$27, "Not Found", 0)</f>
        <v>-2</v>
      </c>
      <c r="AU49" s="30" cm="1">
        <f t="array" ref="AU49">_xlfn.XLOOKUP(MIN(ABS($AY$7:$AY$27 - MEDIAN(MIN($AY$7:$AY$27), MAX($AY$7:$AY$27), AU20))), ABS($AY$7:$AY$27 - MEDIAN(MIN($AY$7:$AY$27), MAX($AY$7:$AY$27), AU20)), $AZ$7:$AZ$27, "Not Found", 0)</f>
        <v>0</v>
      </c>
      <c r="AV49" s="30" cm="1">
        <f t="array" ref="AV49">_xlfn.XLOOKUP(MIN(ABS($AY$7:$AY$27 - MEDIAN(MIN($AY$7:$AY$27), MAX($AY$7:$AY$27), AV20))), ABS($AY$7:$AY$27 - MEDIAN(MIN($AY$7:$AY$27), MAX($AY$7:$AY$27), AV20)), $AZ$7:$AZ$27, "Not Found", 0)</f>
        <v>0</v>
      </c>
      <c r="AW49" s="30" cm="1">
        <f t="array" ref="AW49">_xlfn.XLOOKUP(MIN(ABS($AY$7:$AY$27 - MEDIAN(MIN($AY$7:$AY$27), MAX($AY$7:$AY$27), AW20))), ABS($AY$7:$AY$27 - MEDIAN(MIN($AY$7:$AY$27), MAX($AY$7:$AY$27), AW20)), $AZ$7:$AZ$27, "Not Found", 0)</f>
        <v>0</v>
      </c>
    </row>
    <row r="50" spans="1:49" ht="25" customHeight="1">
      <c r="A50" s="46" t="s">
        <v>49</v>
      </c>
      <c r="B50" s="30" cm="1">
        <f t="array" ref="B50">_xlfn.XLOOKUP(MIN(ABS($AY$7:$AY$27 - MEDIAN(MIN($AY$7:$AY$27), MAX($AY$7:$AY$27), B21))), ABS($AY$7:$AY$27 - MEDIAN(MIN($AY$7:$AY$27), MAX($AY$7:$AY$27), B21)), $AZ$7:$AZ$27, "Not Found", 0)</f>
        <v>2</v>
      </c>
      <c r="C50" s="30" cm="1">
        <f t="array" ref="C50">_xlfn.XLOOKUP(MIN(ABS($AY$7:$AY$27 - MEDIAN(MIN($AY$7:$AY$27), MAX($AY$7:$AY$27), C21))), ABS($AY$7:$AY$27 - MEDIAN(MIN($AY$7:$AY$27), MAX($AY$7:$AY$27), C21)), $AZ$7:$AZ$27, "Not Found", 0)</f>
        <v>2</v>
      </c>
      <c r="D50" s="30" cm="1">
        <f t="array" ref="D50">_xlfn.XLOOKUP(MIN(ABS($AY$7:$AY$27 - MEDIAN(MIN($AY$7:$AY$27), MAX($AY$7:$AY$27), D21))), ABS($AY$7:$AY$27 - MEDIAN(MIN($AY$7:$AY$27), MAX($AY$7:$AY$27), D21)), $AZ$7:$AZ$27, "Not Found", 0)</f>
        <v>2</v>
      </c>
      <c r="E50" s="30" cm="1">
        <f t="array" ref="E50">_xlfn.XLOOKUP(MIN(ABS($AY$7:$AY$27 - MEDIAN(MIN($AY$7:$AY$27), MAX($AY$7:$AY$27), E21))), ABS($AY$7:$AY$27 - MEDIAN(MIN($AY$7:$AY$27), MAX($AY$7:$AY$27), E21)), $AZ$7:$AZ$27, "Not Found", 0)</f>
        <v>4</v>
      </c>
      <c r="F50" s="30" cm="1">
        <f t="array" ref="F50">_xlfn.XLOOKUP(MIN(ABS($AY$7:$AY$27 - MEDIAN(MIN($AY$7:$AY$27), MAX($AY$7:$AY$27), F21))), ABS($AY$7:$AY$27 - MEDIAN(MIN($AY$7:$AY$27), MAX($AY$7:$AY$27), F21)), $AZ$7:$AZ$27, "Not Found", 0)</f>
        <v>4</v>
      </c>
      <c r="G50" s="30" cm="1">
        <f t="array" ref="G50">_xlfn.XLOOKUP(MIN(ABS($AY$7:$AY$27 - MEDIAN(MIN($AY$7:$AY$27), MAX($AY$7:$AY$27), G21))), ABS($AY$7:$AY$27 - MEDIAN(MIN($AY$7:$AY$27), MAX($AY$7:$AY$27), G21)), $AZ$7:$AZ$27, "Not Found", 0)</f>
        <v>4</v>
      </c>
      <c r="H50" s="30" cm="1">
        <f t="array" ref="H50">_xlfn.XLOOKUP(MIN(ABS($AY$7:$AY$27 - MEDIAN(MIN($AY$7:$AY$27), MAX($AY$7:$AY$27), H21))), ABS($AY$7:$AY$27 - MEDIAN(MIN($AY$7:$AY$27), MAX($AY$7:$AY$27), H21)), $AZ$7:$AZ$27, "Not Found", 0)</f>
        <v>2</v>
      </c>
      <c r="I50" s="30" cm="1">
        <f t="array" ref="I50">_xlfn.XLOOKUP(MIN(ABS($AY$7:$AY$27 - MEDIAN(MIN($AY$7:$AY$27), MAX($AY$7:$AY$27), I21))), ABS($AY$7:$AY$27 - MEDIAN(MIN($AY$7:$AY$27), MAX($AY$7:$AY$27), I21)), $AZ$7:$AZ$27, "Not Found", 0)</f>
        <v>2</v>
      </c>
      <c r="J50" s="30" cm="1">
        <f t="array" ref="J50">_xlfn.XLOOKUP(MIN(ABS($AY$7:$AY$27 - MEDIAN(MIN($AY$7:$AY$27), MAX($AY$7:$AY$27), J21))), ABS($AY$7:$AY$27 - MEDIAN(MIN($AY$7:$AY$27), MAX($AY$7:$AY$27), J21)), $AZ$7:$AZ$27, "Not Found", 0)</f>
        <v>2</v>
      </c>
      <c r="K50" s="30" cm="1">
        <f t="array" ref="K50">_xlfn.XLOOKUP(MIN(ABS($AY$7:$AY$27 - MEDIAN(MIN($AY$7:$AY$27), MAX($AY$7:$AY$27), K21))), ABS($AY$7:$AY$27 - MEDIAN(MIN($AY$7:$AY$27), MAX($AY$7:$AY$27), K21)), $AZ$7:$AZ$27, "Not Found", 0)</f>
        <v>4</v>
      </c>
      <c r="L50" s="30" cm="1">
        <f t="array" ref="L50">_xlfn.XLOOKUP(MIN(ABS($AY$7:$AY$27 - MEDIAN(MIN($AY$7:$AY$27), MAX($AY$7:$AY$27), L21))), ABS($AY$7:$AY$27 - MEDIAN(MIN($AY$7:$AY$27), MAX($AY$7:$AY$27), L21)), $AZ$7:$AZ$27, "Not Found", 0)</f>
        <v>4</v>
      </c>
      <c r="M50" s="30" cm="1">
        <f t="array" ref="M50">_xlfn.XLOOKUP(MIN(ABS($AY$7:$AY$27 - MEDIAN(MIN($AY$7:$AY$27), MAX($AY$7:$AY$27), M21))), ABS($AY$7:$AY$27 - MEDIAN(MIN($AY$7:$AY$27), MAX($AY$7:$AY$27), M21)), $AZ$7:$AZ$27, "Not Found", 0)</f>
        <v>4</v>
      </c>
      <c r="N50" s="30" cm="1">
        <f t="array" ref="N50">_xlfn.XLOOKUP(MIN(ABS($AY$7:$AY$27 - MEDIAN(MIN($AY$7:$AY$27), MAX($AY$7:$AY$27), N21))), ABS($AY$7:$AY$27 - MEDIAN(MIN($AY$7:$AY$27), MAX($AY$7:$AY$27), N21)), $AZ$7:$AZ$27, "Not Found", 0)</f>
        <v>3</v>
      </c>
      <c r="O50" s="30" cm="1">
        <f t="array" ref="O50">_xlfn.XLOOKUP(MIN(ABS($AY$7:$AY$27 - MEDIAN(MIN($AY$7:$AY$27), MAX($AY$7:$AY$27), O21))), ABS($AY$7:$AY$27 - MEDIAN(MIN($AY$7:$AY$27), MAX($AY$7:$AY$27), O21)), $AZ$7:$AZ$27, "Not Found", 0)</f>
        <v>3</v>
      </c>
      <c r="P50" s="30" cm="1">
        <f t="array" ref="P50">_xlfn.XLOOKUP(MIN(ABS($AY$7:$AY$27 - MEDIAN(MIN($AY$7:$AY$27), MAX($AY$7:$AY$27), P21))), ABS($AY$7:$AY$27 - MEDIAN(MIN($AY$7:$AY$27), MAX($AY$7:$AY$27), P21)), $AZ$7:$AZ$27, "Not Found", 0)</f>
        <v>3</v>
      </c>
      <c r="Q50" s="30" cm="1">
        <f t="array" ref="Q50">_xlfn.XLOOKUP(MIN(ABS($AY$7:$AY$27 - MEDIAN(MIN($AY$7:$AY$27), MAX($AY$7:$AY$27), Q21))), ABS($AY$7:$AY$27 - MEDIAN(MIN($AY$7:$AY$27), MAX($AY$7:$AY$27), Q21)), $AZ$7:$AZ$27, "Not Found", 0)</f>
        <v>3</v>
      </c>
      <c r="R50" s="30" cm="1">
        <f t="array" ref="R50">_xlfn.XLOOKUP(MIN(ABS($AY$7:$AY$27 - MEDIAN(MIN($AY$7:$AY$27), MAX($AY$7:$AY$27), R21))), ABS($AY$7:$AY$27 - MEDIAN(MIN($AY$7:$AY$27), MAX($AY$7:$AY$27), R21)), $AZ$7:$AZ$27, "Not Found", 0)</f>
        <v>3</v>
      </c>
      <c r="S50" s="30" cm="1">
        <f t="array" ref="S50">_xlfn.XLOOKUP(MIN(ABS($AY$7:$AY$27 - MEDIAN(MIN($AY$7:$AY$27), MAX($AY$7:$AY$27), S21))), ABS($AY$7:$AY$27 - MEDIAN(MIN($AY$7:$AY$27), MAX($AY$7:$AY$27), S21)), $AZ$7:$AZ$27, "Not Found", 0)</f>
        <v>3</v>
      </c>
      <c r="T50" s="30" cm="1">
        <f t="array" ref="T50">_xlfn.XLOOKUP(MIN(ABS($AY$7:$AY$27 - MEDIAN(MIN($AY$7:$AY$27), MAX($AY$7:$AY$27), T21))), ABS($AY$7:$AY$27 - MEDIAN(MIN($AY$7:$AY$27), MAX($AY$7:$AY$27), T21)), $AZ$7:$AZ$27, "Not Found", 0)</f>
        <v>0</v>
      </c>
      <c r="U50" s="30" cm="1">
        <f t="array" ref="U50">_xlfn.XLOOKUP(MIN(ABS($AY$7:$AY$27 - MEDIAN(MIN($AY$7:$AY$27), MAX($AY$7:$AY$27), U21))), ABS($AY$7:$AY$27 - MEDIAN(MIN($AY$7:$AY$27), MAX($AY$7:$AY$27), U21)), $AZ$7:$AZ$27, "Not Found", 0)</f>
        <v>0</v>
      </c>
      <c r="V50" s="30" cm="1">
        <f t="array" ref="V50">_xlfn.XLOOKUP(MIN(ABS($AY$7:$AY$27 - MEDIAN(MIN($AY$7:$AY$27), MAX($AY$7:$AY$27), V21))), ABS($AY$7:$AY$27 - MEDIAN(MIN($AY$7:$AY$27), MAX($AY$7:$AY$27), V21)), $AZ$7:$AZ$27, "Not Found", 0)</f>
        <v>0</v>
      </c>
      <c r="W50" s="30" cm="1">
        <f t="array" ref="W50">_xlfn.XLOOKUP(MIN(ABS($AY$7:$AY$27 - MEDIAN(MIN($AY$7:$AY$27), MAX($AY$7:$AY$27), W21))), ABS($AY$7:$AY$27 - MEDIAN(MIN($AY$7:$AY$27), MAX($AY$7:$AY$27), W21)), $AZ$7:$AZ$27, "Not Found", 0)</f>
        <v>3</v>
      </c>
      <c r="X50" s="30" cm="1">
        <f t="array" ref="X50">_xlfn.XLOOKUP(MIN(ABS($AY$7:$AY$27 - MEDIAN(MIN($AY$7:$AY$27), MAX($AY$7:$AY$27), X21))), ABS($AY$7:$AY$27 - MEDIAN(MIN($AY$7:$AY$27), MAX($AY$7:$AY$27), X21)), $AZ$7:$AZ$27, "Not Found", 0)</f>
        <v>3</v>
      </c>
      <c r="Y50" s="30" cm="1">
        <f t="array" ref="Y50">_xlfn.XLOOKUP(MIN(ABS($AY$7:$AY$27 - MEDIAN(MIN($AY$7:$AY$27), MAX($AY$7:$AY$27), Y21))), ABS($AY$7:$AY$27 - MEDIAN(MIN($AY$7:$AY$27), MAX($AY$7:$AY$27), Y21)), $AZ$7:$AZ$27, "Not Found", 0)</f>
        <v>3</v>
      </c>
      <c r="Z50" s="30" cm="1">
        <f t="array" ref="Z50">_xlfn.XLOOKUP(MIN(ABS($AY$7:$AY$27 - MEDIAN(MIN($AY$7:$AY$27), MAX($AY$7:$AY$27), Z21))), ABS($AY$7:$AY$27 - MEDIAN(MIN($AY$7:$AY$27), MAX($AY$7:$AY$27), Z21)), $AZ$7:$AZ$27, "Not Found", 0)</f>
        <v>3</v>
      </c>
      <c r="AA50" s="30" cm="1">
        <f t="array" ref="AA50">_xlfn.XLOOKUP(MIN(ABS($AY$7:$AY$27 - MEDIAN(MIN($AY$7:$AY$27), MAX($AY$7:$AY$27), AA21))), ABS($AY$7:$AY$27 - MEDIAN(MIN($AY$7:$AY$27), MAX($AY$7:$AY$27), AA21)), $AZ$7:$AZ$27, "Not Found", 0)</f>
        <v>3</v>
      </c>
      <c r="AB50" s="30" cm="1">
        <f t="array" ref="AB50">_xlfn.XLOOKUP(MIN(ABS($AY$7:$AY$27 - MEDIAN(MIN($AY$7:$AY$27), MAX($AY$7:$AY$27), AB21))), ABS($AY$7:$AY$27 - MEDIAN(MIN($AY$7:$AY$27), MAX($AY$7:$AY$27), AB21)), $AZ$7:$AZ$27, "Not Found", 0)</f>
        <v>3</v>
      </c>
      <c r="AC50" s="30" cm="1">
        <f t="array" ref="AC50">_xlfn.XLOOKUP(MIN(ABS($AY$7:$AY$27 - MEDIAN(MIN($AY$7:$AY$27), MAX($AY$7:$AY$27), AC21))), ABS($AY$7:$AY$27 - MEDIAN(MIN($AY$7:$AY$27), MAX($AY$7:$AY$27), AC21)), $AZ$7:$AZ$27, "Not Found", 0)</f>
        <v>3</v>
      </c>
      <c r="AD50" s="30" cm="1">
        <f t="array" ref="AD50">_xlfn.XLOOKUP(MIN(ABS($AY$7:$AY$27 - MEDIAN(MIN($AY$7:$AY$27), MAX($AY$7:$AY$27), AD21))), ABS($AY$7:$AY$27 - MEDIAN(MIN($AY$7:$AY$27), MAX($AY$7:$AY$27), AD21)), $AZ$7:$AZ$27, "Not Found", 0)</f>
        <v>3</v>
      </c>
      <c r="AE50" s="30" cm="1">
        <f t="array" ref="AE50">_xlfn.XLOOKUP(MIN(ABS($AY$7:$AY$27 - MEDIAN(MIN($AY$7:$AY$27), MAX($AY$7:$AY$27), AE21))), ABS($AY$7:$AY$27 - MEDIAN(MIN($AY$7:$AY$27), MAX($AY$7:$AY$27), AE21)), $AZ$7:$AZ$27, "Not Found", 0)</f>
        <v>3</v>
      </c>
      <c r="AF50" s="30" cm="1">
        <f t="array" ref="AF50">_xlfn.XLOOKUP(MIN(ABS($AY$7:$AY$27 - MEDIAN(MIN($AY$7:$AY$27), MAX($AY$7:$AY$27), AF21))), ABS($AY$7:$AY$27 - MEDIAN(MIN($AY$7:$AY$27), MAX($AY$7:$AY$27), AF21)), $AZ$7:$AZ$27, "Not Found", 0)</f>
        <v>2</v>
      </c>
      <c r="AG50" s="30" cm="1">
        <f t="array" ref="AG50">_xlfn.XLOOKUP(MIN(ABS($AY$7:$AY$27 - MEDIAN(MIN($AY$7:$AY$27), MAX($AY$7:$AY$27), AG21))), ABS($AY$7:$AY$27 - MEDIAN(MIN($AY$7:$AY$27), MAX($AY$7:$AY$27), AG21)), $AZ$7:$AZ$27, "Not Found", 0)</f>
        <v>2</v>
      </c>
      <c r="AH50" s="30" cm="1">
        <f t="array" ref="AH50">_xlfn.XLOOKUP(MIN(ABS($AY$7:$AY$27 - MEDIAN(MIN($AY$7:$AY$27), MAX($AY$7:$AY$27), AH21))), ABS($AY$7:$AY$27 - MEDIAN(MIN($AY$7:$AY$27), MAX($AY$7:$AY$27), AH21)), $AZ$7:$AZ$27, "Not Found", 0)</f>
        <v>2</v>
      </c>
      <c r="AI50" s="30" cm="1">
        <f t="array" ref="AI50">_xlfn.XLOOKUP(MIN(ABS($AY$7:$AY$27 - MEDIAN(MIN($AY$7:$AY$27), MAX($AY$7:$AY$27), AI21))), ABS($AY$7:$AY$27 - MEDIAN(MIN($AY$7:$AY$27), MAX($AY$7:$AY$27), AI21)), $AZ$7:$AZ$27, "Not Found", 0)</f>
        <v>3</v>
      </c>
      <c r="AJ50" s="30" cm="1">
        <f t="array" ref="AJ50">_xlfn.XLOOKUP(MIN(ABS($AY$7:$AY$27 - MEDIAN(MIN($AY$7:$AY$27), MAX($AY$7:$AY$27), AJ21))), ABS($AY$7:$AY$27 - MEDIAN(MIN($AY$7:$AY$27), MAX($AY$7:$AY$27), AJ21)), $AZ$7:$AZ$27, "Not Found", 0)</f>
        <v>3</v>
      </c>
      <c r="AK50" s="30" cm="1">
        <f t="array" ref="AK50">_xlfn.XLOOKUP(MIN(ABS($AY$7:$AY$27 - MEDIAN(MIN($AY$7:$AY$27), MAX($AY$7:$AY$27), AK21))), ABS($AY$7:$AY$27 - MEDIAN(MIN($AY$7:$AY$27), MAX($AY$7:$AY$27), AK21)), $AZ$7:$AZ$27, "Not Found", 0)</f>
        <v>3</v>
      </c>
      <c r="AL50" s="30" cm="1">
        <f t="array" ref="AL50">_xlfn.XLOOKUP(MIN(ABS($AY$7:$AY$27 - MEDIAN(MIN($AY$7:$AY$27), MAX($AY$7:$AY$27), AL21))), ABS($AY$7:$AY$27 - MEDIAN(MIN($AY$7:$AY$27), MAX($AY$7:$AY$27), AL21)), $AZ$7:$AZ$27, "Not Found", 0)</f>
        <v>2</v>
      </c>
      <c r="AM50" s="30" cm="1">
        <f t="array" ref="AM50">_xlfn.XLOOKUP(MIN(ABS($AY$7:$AY$27 - MEDIAN(MIN($AY$7:$AY$27), MAX($AY$7:$AY$27), AM21))), ABS($AY$7:$AY$27 - MEDIAN(MIN($AY$7:$AY$27), MAX($AY$7:$AY$27), AM21)), $AZ$7:$AZ$27, "Not Found", 0)</f>
        <v>2</v>
      </c>
      <c r="AN50" s="30" cm="1">
        <f t="array" ref="AN50">_xlfn.XLOOKUP(MIN(ABS($AY$7:$AY$27 - MEDIAN(MIN($AY$7:$AY$27), MAX($AY$7:$AY$27), AN21))), ABS($AY$7:$AY$27 - MEDIAN(MIN($AY$7:$AY$27), MAX($AY$7:$AY$27), AN21)), $AZ$7:$AZ$27, "Not Found", 0)</f>
        <v>2</v>
      </c>
      <c r="AO50" s="30" cm="1">
        <f t="array" ref="AO50">_xlfn.XLOOKUP(MIN(ABS($AY$7:$AY$27 - MEDIAN(MIN($AY$7:$AY$27), MAX($AY$7:$AY$27), AO21))), ABS($AY$7:$AY$27 - MEDIAN(MIN($AY$7:$AY$27), MAX($AY$7:$AY$27), AO21)), $AZ$7:$AZ$27, "Not Found", 0)</f>
        <v>2</v>
      </c>
      <c r="AP50" s="30" cm="1">
        <f t="array" ref="AP50">_xlfn.XLOOKUP(MIN(ABS($AY$7:$AY$27 - MEDIAN(MIN($AY$7:$AY$27), MAX($AY$7:$AY$27), AP21))), ABS($AY$7:$AY$27 - MEDIAN(MIN($AY$7:$AY$27), MAX($AY$7:$AY$27), AP21)), $AZ$7:$AZ$27, "Not Found", 0)</f>
        <v>2</v>
      </c>
      <c r="AQ50" s="30" cm="1">
        <f t="array" ref="AQ50">_xlfn.XLOOKUP(MIN(ABS($AY$7:$AY$27 - MEDIAN(MIN($AY$7:$AY$27), MAX($AY$7:$AY$27), AQ21))), ABS($AY$7:$AY$27 - MEDIAN(MIN($AY$7:$AY$27), MAX($AY$7:$AY$27), AQ21)), $AZ$7:$AZ$27, "Not Found", 0)</f>
        <v>2</v>
      </c>
      <c r="AR50" s="30" cm="1">
        <f t="array" ref="AR50">_xlfn.XLOOKUP(MIN(ABS($AY$7:$AY$27 - MEDIAN(MIN($AY$7:$AY$27), MAX($AY$7:$AY$27), AR21))), ABS($AY$7:$AY$27 - MEDIAN(MIN($AY$7:$AY$27), MAX($AY$7:$AY$27), AR21)), $AZ$7:$AZ$27, "Not Found", 0)</f>
        <v>2</v>
      </c>
      <c r="AS50" s="30" cm="1">
        <f t="array" ref="AS50">_xlfn.XLOOKUP(MIN(ABS($AY$7:$AY$27 - MEDIAN(MIN($AY$7:$AY$27), MAX($AY$7:$AY$27), AS21))), ABS($AY$7:$AY$27 - MEDIAN(MIN($AY$7:$AY$27), MAX($AY$7:$AY$27), AS21)), $AZ$7:$AZ$27, "Not Found", 0)</f>
        <v>2</v>
      </c>
      <c r="AT50" s="30" cm="1">
        <f t="array" ref="AT50">_xlfn.XLOOKUP(MIN(ABS($AY$7:$AY$27 - MEDIAN(MIN($AY$7:$AY$27), MAX($AY$7:$AY$27), AT21))), ABS($AY$7:$AY$27 - MEDIAN(MIN($AY$7:$AY$27), MAX($AY$7:$AY$27), AT21)), $AZ$7:$AZ$27, "Not Found", 0)</f>
        <v>2</v>
      </c>
      <c r="AU50" s="30" cm="1">
        <f t="array" ref="AU50">_xlfn.XLOOKUP(MIN(ABS($AY$7:$AY$27 - MEDIAN(MIN($AY$7:$AY$27), MAX($AY$7:$AY$27), AU21))), ABS($AY$7:$AY$27 - MEDIAN(MIN($AY$7:$AY$27), MAX($AY$7:$AY$27), AU21)), $AZ$7:$AZ$27, "Not Found", 0)</f>
        <v>0</v>
      </c>
      <c r="AV50" s="30" cm="1">
        <f t="array" ref="AV50">_xlfn.XLOOKUP(MIN(ABS($AY$7:$AY$27 - MEDIAN(MIN($AY$7:$AY$27), MAX($AY$7:$AY$27), AV21))), ABS($AY$7:$AY$27 - MEDIAN(MIN($AY$7:$AY$27), MAX($AY$7:$AY$27), AV21)), $AZ$7:$AZ$27, "Not Found", 0)</f>
        <v>0</v>
      </c>
      <c r="AW50" s="30" cm="1">
        <f t="array" ref="AW50">_xlfn.XLOOKUP(MIN(ABS($AY$7:$AY$27 - MEDIAN(MIN($AY$7:$AY$27), MAX($AY$7:$AY$27), AW21))), ABS($AY$7:$AY$27 - MEDIAN(MIN($AY$7:$AY$27), MAX($AY$7:$AY$27), AW21)), $AZ$7:$AZ$27, "Not Found", 0)</f>
        <v>0</v>
      </c>
    </row>
    <row r="51" spans="1:49" ht="25" customHeight="1">
      <c r="A51" s="46" t="s">
        <v>15</v>
      </c>
      <c r="B51" s="30" cm="1">
        <f t="array" ref="B51">_xlfn.XLOOKUP(MIN(ABS($AY$7:$AY$27 - MEDIAN(MIN($AY$7:$AY$27), MAX($AY$7:$AY$27), B22))), ABS($AY$7:$AY$27 - MEDIAN(MIN($AY$7:$AY$27), MAX($AY$7:$AY$27), B22)), $AZ$7:$AZ$27, "Not Found", 0)</f>
        <v>1</v>
      </c>
      <c r="C51" s="30" cm="1">
        <f t="array" ref="C51">_xlfn.XLOOKUP(MIN(ABS($AY$7:$AY$27 - MEDIAN(MIN($AY$7:$AY$27), MAX($AY$7:$AY$27), C22))), ABS($AY$7:$AY$27 - MEDIAN(MIN($AY$7:$AY$27), MAX($AY$7:$AY$27), C22)), $AZ$7:$AZ$27, "Not Found", 0)</f>
        <v>1</v>
      </c>
      <c r="D51" s="30" cm="1">
        <f t="array" ref="D51">_xlfn.XLOOKUP(MIN(ABS($AY$7:$AY$27 - MEDIAN(MIN($AY$7:$AY$27), MAX($AY$7:$AY$27), D22))), ABS($AY$7:$AY$27 - MEDIAN(MIN($AY$7:$AY$27), MAX($AY$7:$AY$27), D22)), $AZ$7:$AZ$27, "Not Found", 0)</f>
        <v>1</v>
      </c>
      <c r="E51" s="30" cm="1">
        <f t="array" ref="E51">_xlfn.XLOOKUP(MIN(ABS($AY$7:$AY$27 - MEDIAN(MIN($AY$7:$AY$27), MAX($AY$7:$AY$27), E22))), ABS($AY$7:$AY$27 - MEDIAN(MIN($AY$7:$AY$27), MAX($AY$7:$AY$27), E22)), $AZ$7:$AZ$27, "Not Found", 0)</f>
        <v>1</v>
      </c>
      <c r="F51" s="30" cm="1">
        <f t="array" ref="F51">_xlfn.XLOOKUP(MIN(ABS($AY$7:$AY$27 - MEDIAN(MIN($AY$7:$AY$27), MAX($AY$7:$AY$27), F22))), ABS($AY$7:$AY$27 - MEDIAN(MIN($AY$7:$AY$27), MAX($AY$7:$AY$27), F22)), $AZ$7:$AZ$27, "Not Found", 0)</f>
        <v>1</v>
      </c>
      <c r="G51" s="30" cm="1">
        <f t="array" ref="G51">_xlfn.XLOOKUP(MIN(ABS($AY$7:$AY$27 - MEDIAN(MIN($AY$7:$AY$27), MAX($AY$7:$AY$27), G22))), ABS($AY$7:$AY$27 - MEDIAN(MIN($AY$7:$AY$27), MAX($AY$7:$AY$27), G22)), $AZ$7:$AZ$27, "Not Found", 0)</f>
        <v>1</v>
      </c>
      <c r="H51" s="30" cm="1">
        <f t="array" ref="H51">_xlfn.XLOOKUP(MIN(ABS($AY$7:$AY$27 - MEDIAN(MIN($AY$7:$AY$27), MAX($AY$7:$AY$27), H22))), ABS($AY$7:$AY$27 - MEDIAN(MIN($AY$7:$AY$27), MAX($AY$7:$AY$27), H22)), $AZ$7:$AZ$27, "Not Found", 0)</f>
        <v>1</v>
      </c>
      <c r="I51" s="30" cm="1">
        <f t="array" ref="I51">_xlfn.XLOOKUP(MIN(ABS($AY$7:$AY$27 - MEDIAN(MIN($AY$7:$AY$27), MAX($AY$7:$AY$27), I22))), ABS($AY$7:$AY$27 - MEDIAN(MIN($AY$7:$AY$27), MAX($AY$7:$AY$27), I22)), $AZ$7:$AZ$27, "Not Found", 0)</f>
        <v>1</v>
      </c>
      <c r="J51" s="30" cm="1">
        <f t="array" ref="J51">_xlfn.XLOOKUP(MIN(ABS($AY$7:$AY$27 - MEDIAN(MIN($AY$7:$AY$27), MAX($AY$7:$AY$27), J22))), ABS($AY$7:$AY$27 - MEDIAN(MIN($AY$7:$AY$27), MAX($AY$7:$AY$27), J22)), $AZ$7:$AZ$27, "Not Found", 0)</f>
        <v>1</v>
      </c>
      <c r="K51" s="30" cm="1">
        <f t="array" ref="K51">_xlfn.XLOOKUP(MIN(ABS($AY$7:$AY$27 - MEDIAN(MIN($AY$7:$AY$27), MAX($AY$7:$AY$27), K22))), ABS($AY$7:$AY$27 - MEDIAN(MIN($AY$7:$AY$27), MAX($AY$7:$AY$27), K22)), $AZ$7:$AZ$27, "Not Found", 0)</f>
        <v>1</v>
      </c>
      <c r="L51" s="30" cm="1">
        <f t="array" ref="L51">_xlfn.XLOOKUP(MIN(ABS($AY$7:$AY$27 - MEDIAN(MIN($AY$7:$AY$27), MAX($AY$7:$AY$27), L22))), ABS($AY$7:$AY$27 - MEDIAN(MIN($AY$7:$AY$27), MAX($AY$7:$AY$27), L22)), $AZ$7:$AZ$27, "Not Found", 0)</f>
        <v>1</v>
      </c>
      <c r="M51" s="30" cm="1">
        <f t="array" ref="M51">_xlfn.XLOOKUP(MIN(ABS($AY$7:$AY$27 - MEDIAN(MIN($AY$7:$AY$27), MAX($AY$7:$AY$27), M22))), ABS($AY$7:$AY$27 - MEDIAN(MIN($AY$7:$AY$27), MAX($AY$7:$AY$27), M22)), $AZ$7:$AZ$27, "Not Found", 0)</f>
        <v>1</v>
      </c>
      <c r="N51" s="30" cm="1">
        <f t="array" ref="N51">_xlfn.XLOOKUP(MIN(ABS($AY$7:$AY$27 - MEDIAN(MIN($AY$7:$AY$27), MAX($AY$7:$AY$27), N22))), ABS($AY$7:$AY$27 - MEDIAN(MIN($AY$7:$AY$27), MAX($AY$7:$AY$27), N22)), $AZ$7:$AZ$27, "Not Found", 0)</f>
        <v>2</v>
      </c>
      <c r="O51" s="30" cm="1">
        <f t="array" ref="O51">_xlfn.XLOOKUP(MIN(ABS($AY$7:$AY$27 - MEDIAN(MIN($AY$7:$AY$27), MAX($AY$7:$AY$27), O22))), ABS($AY$7:$AY$27 - MEDIAN(MIN($AY$7:$AY$27), MAX($AY$7:$AY$27), O22)), $AZ$7:$AZ$27, "Not Found", 0)</f>
        <v>2</v>
      </c>
      <c r="P51" s="30" cm="1">
        <f t="array" ref="P51">_xlfn.XLOOKUP(MIN(ABS($AY$7:$AY$27 - MEDIAN(MIN($AY$7:$AY$27), MAX($AY$7:$AY$27), P22))), ABS($AY$7:$AY$27 - MEDIAN(MIN($AY$7:$AY$27), MAX($AY$7:$AY$27), P22)), $AZ$7:$AZ$27, "Not Found", 0)</f>
        <v>2</v>
      </c>
      <c r="Q51" s="30" cm="1">
        <f t="array" ref="Q51">_xlfn.XLOOKUP(MIN(ABS($AY$7:$AY$27 - MEDIAN(MIN($AY$7:$AY$27), MAX($AY$7:$AY$27), Q22))), ABS($AY$7:$AY$27 - MEDIAN(MIN($AY$7:$AY$27), MAX($AY$7:$AY$27), Q22)), $AZ$7:$AZ$27, "Not Found", 0)</f>
        <v>2</v>
      </c>
      <c r="R51" s="30" cm="1">
        <f t="array" ref="R51">_xlfn.XLOOKUP(MIN(ABS($AY$7:$AY$27 - MEDIAN(MIN($AY$7:$AY$27), MAX($AY$7:$AY$27), R22))), ABS($AY$7:$AY$27 - MEDIAN(MIN($AY$7:$AY$27), MAX($AY$7:$AY$27), R22)), $AZ$7:$AZ$27, "Not Found", 0)</f>
        <v>2</v>
      </c>
      <c r="S51" s="30" cm="1">
        <f t="array" ref="S51">_xlfn.XLOOKUP(MIN(ABS($AY$7:$AY$27 - MEDIAN(MIN($AY$7:$AY$27), MAX($AY$7:$AY$27), S22))), ABS($AY$7:$AY$27 - MEDIAN(MIN($AY$7:$AY$27), MAX($AY$7:$AY$27), S22)), $AZ$7:$AZ$27, "Not Found", 0)</f>
        <v>2</v>
      </c>
      <c r="T51" s="30" cm="1">
        <f t="array" ref="T51">_xlfn.XLOOKUP(MIN(ABS($AY$7:$AY$27 - MEDIAN(MIN($AY$7:$AY$27), MAX($AY$7:$AY$27), T22))), ABS($AY$7:$AY$27 - MEDIAN(MIN($AY$7:$AY$27), MAX($AY$7:$AY$27), T22)), $AZ$7:$AZ$27, "Not Found", 0)</f>
        <v>1</v>
      </c>
      <c r="U51" s="30" cm="1">
        <f t="array" ref="U51">_xlfn.XLOOKUP(MIN(ABS($AY$7:$AY$27 - MEDIAN(MIN($AY$7:$AY$27), MAX($AY$7:$AY$27), U22))), ABS($AY$7:$AY$27 - MEDIAN(MIN($AY$7:$AY$27), MAX($AY$7:$AY$27), U22)), $AZ$7:$AZ$27, "Not Found", 0)</f>
        <v>1</v>
      </c>
      <c r="V51" s="30" cm="1">
        <f t="array" ref="V51">_xlfn.XLOOKUP(MIN(ABS($AY$7:$AY$27 - MEDIAN(MIN($AY$7:$AY$27), MAX($AY$7:$AY$27), V22))), ABS($AY$7:$AY$27 - MEDIAN(MIN($AY$7:$AY$27), MAX($AY$7:$AY$27), V22)), $AZ$7:$AZ$27, "Not Found", 0)</f>
        <v>1</v>
      </c>
      <c r="W51" s="30" cm="1">
        <f t="array" ref="W51">_xlfn.XLOOKUP(MIN(ABS($AY$7:$AY$27 - MEDIAN(MIN($AY$7:$AY$27), MAX($AY$7:$AY$27), W22))), ABS($AY$7:$AY$27 - MEDIAN(MIN($AY$7:$AY$27), MAX($AY$7:$AY$27), W22)), $AZ$7:$AZ$27, "Not Found", 0)</f>
        <v>1</v>
      </c>
      <c r="X51" s="30" cm="1">
        <f t="array" ref="X51">_xlfn.XLOOKUP(MIN(ABS($AY$7:$AY$27 - MEDIAN(MIN($AY$7:$AY$27), MAX($AY$7:$AY$27), X22))), ABS($AY$7:$AY$27 - MEDIAN(MIN($AY$7:$AY$27), MAX($AY$7:$AY$27), X22)), $AZ$7:$AZ$27, "Not Found", 0)</f>
        <v>1</v>
      </c>
      <c r="Y51" s="30" cm="1">
        <f t="array" ref="Y51">_xlfn.XLOOKUP(MIN(ABS($AY$7:$AY$27 - MEDIAN(MIN($AY$7:$AY$27), MAX($AY$7:$AY$27), Y22))), ABS($AY$7:$AY$27 - MEDIAN(MIN($AY$7:$AY$27), MAX($AY$7:$AY$27), Y22)), $AZ$7:$AZ$27, "Not Found", 0)</f>
        <v>1</v>
      </c>
      <c r="Z51" s="30" cm="1">
        <f t="array" ref="Z51">_xlfn.XLOOKUP(MIN(ABS($AY$7:$AY$27 - MEDIAN(MIN($AY$7:$AY$27), MAX($AY$7:$AY$27), Z22))), ABS($AY$7:$AY$27 - MEDIAN(MIN($AY$7:$AY$27), MAX($AY$7:$AY$27), Z22)), $AZ$7:$AZ$27, "Not Found", 0)</f>
        <v>1</v>
      </c>
      <c r="AA51" s="30" cm="1">
        <f t="array" ref="AA51">_xlfn.XLOOKUP(MIN(ABS($AY$7:$AY$27 - MEDIAN(MIN($AY$7:$AY$27), MAX($AY$7:$AY$27), AA22))), ABS($AY$7:$AY$27 - MEDIAN(MIN($AY$7:$AY$27), MAX($AY$7:$AY$27), AA22)), $AZ$7:$AZ$27, "Not Found", 0)</f>
        <v>1</v>
      </c>
      <c r="AB51" s="30" cm="1">
        <f t="array" ref="AB51">_xlfn.XLOOKUP(MIN(ABS($AY$7:$AY$27 - MEDIAN(MIN($AY$7:$AY$27), MAX($AY$7:$AY$27), AB22))), ABS($AY$7:$AY$27 - MEDIAN(MIN($AY$7:$AY$27), MAX($AY$7:$AY$27), AB22)), $AZ$7:$AZ$27, "Not Found", 0)</f>
        <v>1</v>
      </c>
      <c r="AC51" s="30" cm="1">
        <f t="array" ref="AC51">_xlfn.XLOOKUP(MIN(ABS($AY$7:$AY$27 - MEDIAN(MIN($AY$7:$AY$27), MAX($AY$7:$AY$27), AC22))), ABS($AY$7:$AY$27 - MEDIAN(MIN($AY$7:$AY$27), MAX($AY$7:$AY$27), AC22)), $AZ$7:$AZ$27, "Not Found", 0)</f>
        <v>2</v>
      </c>
      <c r="AD51" s="30" cm="1">
        <f t="array" ref="AD51">_xlfn.XLOOKUP(MIN(ABS($AY$7:$AY$27 - MEDIAN(MIN($AY$7:$AY$27), MAX($AY$7:$AY$27), AD22))), ABS($AY$7:$AY$27 - MEDIAN(MIN($AY$7:$AY$27), MAX($AY$7:$AY$27), AD22)), $AZ$7:$AZ$27, "Not Found", 0)</f>
        <v>2</v>
      </c>
      <c r="AE51" s="30" cm="1">
        <f t="array" ref="AE51">_xlfn.XLOOKUP(MIN(ABS($AY$7:$AY$27 - MEDIAN(MIN($AY$7:$AY$27), MAX($AY$7:$AY$27), AE22))), ABS($AY$7:$AY$27 - MEDIAN(MIN($AY$7:$AY$27), MAX($AY$7:$AY$27), AE22)), $AZ$7:$AZ$27, "Not Found", 0)</f>
        <v>2</v>
      </c>
      <c r="AF51" s="30" cm="1">
        <f t="array" ref="AF51">_xlfn.XLOOKUP(MIN(ABS($AY$7:$AY$27 - MEDIAN(MIN($AY$7:$AY$27), MAX($AY$7:$AY$27), AF22))), ABS($AY$7:$AY$27 - MEDIAN(MIN($AY$7:$AY$27), MAX($AY$7:$AY$27), AF22)), $AZ$7:$AZ$27, "Not Found", 0)</f>
        <v>1</v>
      </c>
      <c r="AG51" s="30" cm="1">
        <f t="array" ref="AG51">_xlfn.XLOOKUP(MIN(ABS($AY$7:$AY$27 - MEDIAN(MIN($AY$7:$AY$27), MAX($AY$7:$AY$27), AG22))), ABS($AY$7:$AY$27 - MEDIAN(MIN($AY$7:$AY$27), MAX($AY$7:$AY$27), AG22)), $AZ$7:$AZ$27, "Not Found", 0)</f>
        <v>1</v>
      </c>
      <c r="AH51" s="30" cm="1">
        <f t="array" ref="AH51">_xlfn.XLOOKUP(MIN(ABS($AY$7:$AY$27 - MEDIAN(MIN($AY$7:$AY$27), MAX($AY$7:$AY$27), AH22))), ABS($AY$7:$AY$27 - MEDIAN(MIN($AY$7:$AY$27), MAX($AY$7:$AY$27), AH22)), $AZ$7:$AZ$27, "Not Found", 0)</f>
        <v>1</v>
      </c>
      <c r="AI51" s="30" cm="1">
        <f t="array" ref="AI51">_xlfn.XLOOKUP(MIN(ABS($AY$7:$AY$27 - MEDIAN(MIN($AY$7:$AY$27), MAX($AY$7:$AY$27), AI22))), ABS($AY$7:$AY$27 - MEDIAN(MIN($AY$7:$AY$27), MAX($AY$7:$AY$27), AI22)), $AZ$7:$AZ$27, "Not Found", 0)</f>
        <v>1</v>
      </c>
      <c r="AJ51" s="30" cm="1">
        <f t="array" ref="AJ51">_xlfn.XLOOKUP(MIN(ABS($AY$7:$AY$27 - MEDIAN(MIN($AY$7:$AY$27), MAX($AY$7:$AY$27), AJ22))), ABS($AY$7:$AY$27 - MEDIAN(MIN($AY$7:$AY$27), MAX($AY$7:$AY$27), AJ22)), $AZ$7:$AZ$27, "Not Found", 0)</f>
        <v>1</v>
      </c>
      <c r="AK51" s="30" cm="1">
        <f t="array" ref="AK51">_xlfn.XLOOKUP(MIN(ABS($AY$7:$AY$27 - MEDIAN(MIN($AY$7:$AY$27), MAX($AY$7:$AY$27), AK22))), ABS($AY$7:$AY$27 - MEDIAN(MIN($AY$7:$AY$27), MAX($AY$7:$AY$27), AK22)), $AZ$7:$AZ$27, "Not Found", 0)</f>
        <v>1</v>
      </c>
      <c r="AL51" s="30" cm="1">
        <f t="array" ref="AL51">_xlfn.XLOOKUP(MIN(ABS($AY$7:$AY$27 - MEDIAN(MIN($AY$7:$AY$27), MAX($AY$7:$AY$27), AL22))), ABS($AY$7:$AY$27 - MEDIAN(MIN($AY$7:$AY$27), MAX($AY$7:$AY$27), AL22)), $AZ$7:$AZ$27, "Not Found", 0)</f>
        <v>1</v>
      </c>
      <c r="AM51" s="30" cm="1">
        <f t="array" ref="AM51">_xlfn.XLOOKUP(MIN(ABS($AY$7:$AY$27 - MEDIAN(MIN($AY$7:$AY$27), MAX($AY$7:$AY$27), AM22))), ABS($AY$7:$AY$27 - MEDIAN(MIN($AY$7:$AY$27), MAX($AY$7:$AY$27), AM22)), $AZ$7:$AZ$27, "Not Found", 0)</f>
        <v>1</v>
      </c>
      <c r="AN51" s="30" cm="1">
        <f t="array" ref="AN51">_xlfn.XLOOKUP(MIN(ABS($AY$7:$AY$27 - MEDIAN(MIN($AY$7:$AY$27), MAX($AY$7:$AY$27), AN22))), ABS($AY$7:$AY$27 - MEDIAN(MIN($AY$7:$AY$27), MAX($AY$7:$AY$27), AN22)), $AZ$7:$AZ$27, "Not Found", 0)</f>
        <v>1</v>
      </c>
      <c r="AO51" s="30" cm="1">
        <f t="array" ref="AO51">_xlfn.XLOOKUP(MIN(ABS($AY$7:$AY$27 - MEDIAN(MIN($AY$7:$AY$27), MAX($AY$7:$AY$27), AO22))), ABS($AY$7:$AY$27 - MEDIAN(MIN($AY$7:$AY$27), MAX($AY$7:$AY$27), AO22)), $AZ$7:$AZ$27, "Not Found", 0)</f>
        <v>1</v>
      </c>
      <c r="AP51" s="30" cm="1">
        <f t="array" ref="AP51">_xlfn.XLOOKUP(MIN(ABS($AY$7:$AY$27 - MEDIAN(MIN($AY$7:$AY$27), MAX($AY$7:$AY$27), AP22))), ABS($AY$7:$AY$27 - MEDIAN(MIN($AY$7:$AY$27), MAX($AY$7:$AY$27), AP22)), $AZ$7:$AZ$27, "Not Found", 0)</f>
        <v>1</v>
      </c>
      <c r="AQ51" s="30" cm="1">
        <f t="array" ref="AQ51">_xlfn.XLOOKUP(MIN(ABS($AY$7:$AY$27 - MEDIAN(MIN($AY$7:$AY$27), MAX($AY$7:$AY$27), AQ22))), ABS($AY$7:$AY$27 - MEDIAN(MIN($AY$7:$AY$27), MAX($AY$7:$AY$27), AQ22)), $AZ$7:$AZ$27, "Not Found", 0)</f>
        <v>1</v>
      </c>
      <c r="AR51" s="30" cm="1">
        <f t="array" ref="AR51">_xlfn.XLOOKUP(MIN(ABS($AY$7:$AY$27 - MEDIAN(MIN($AY$7:$AY$27), MAX($AY$7:$AY$27), AR22))), ABS($AY$7:$AY$27 - MEDIAN(MIN($AY$7:$AY$27), MAX($AY$7:$AY$27), AR22)), $AZ$7:$AZ$27, "Not Found", 0)</f>
        <v>1</v>
      </c>
      <c r="AS51" s="30" cm="1">
        <f t="array" ref="AS51">_xlfn.XLOOKUP(MIN(ABS($AY$7:$AY$27 - MEDIAN(MIN($AY$7:$AY$27), MAX($AY$7:$AY$27), AS22))), ABS($AY$7:$AY$27 - MEDIAN(MIN($AY$7:$AY$27), MAX($AY$7:$AY$27), AS22)), $AZ$7:$AZ$27, "Not Found", 0)</f>
        <v>1</v>
      </c>
      <c r="AT51" s="30" cm="1">
        <f t="array" ref="AT51">_xlfn.XLOOKUP(MIN(ABS($AY$7:$AY$27 - MEDIAN(MIN($AY$7:$AY$27), MAX($AY$7:$AY$27), AT22))), ABS($AY$7:$AY$27 - MEDIAN(MIN($AY$7:$AY$27), MAX($AY$7:$AY$27), AT22)), $AZ$7:$AZ$27, "Not Found", 0)</f>
        <v>1</v>
      </c>
      <c r="AU51" s="30" cm="1">
        <f t="array" ref="AU51">_xlfn.XLOOKUP(MIN(ABS($AY$7:$AY$27 - MEDIAN(MIN($AY$7:$AY$27), MAX($AY$7:$AY$27), AU22))), ABS($AY$7:$AY$27 - MEDIAN(MIN($AY$7:$AY$27), MAX($AY$7:$AY$27), AU22)), $AZ$7:$AZ$27, "Not Found", 0)</f>
        <v>0</v>
      </c>
      <c r="AV51" s="30" cm="1">
        <f t="array" ref="AV51">_xlfn.XLOOKUP(MIN(ABS($AY$7:$AY$27 - MEDIAN(MIN($AY$7:$AY$27), MAX($AY$7:$AY$27), AV22))), ABS($AY$7:$AY$27 - MEDIAN(MIN($AY$7:$AY$27), MAX($AY$7:$AY$27), AV22)), $AZ$7:$AZ$27, "Not Found", 0)</f>
        <v>0</v>
      </c>
      <c r="AW51" s="30" cm="1">
        <f t="array" ref="AW51">_xlfn.XLOOKUP(MIN(ABS($AY$7:$AY$27 - MEDIAN(MIN($AY$7:$AY$27), MAX($AY$7:$AY$27), AW22))), ABS($AY$7:$AY$27 - MEDIAN(MIN($AY$7:$AY$27), MAX($AY$7:$AY$27), AW22)), $AZ$7:$AZ$27, "Not Found", 0)</f>
        <v>0</v>
      </c>
    </row>
    <row r="52" spans="1:49" ht="25" customHeight="1">
      <c r="A52" s="46" t="s">
        <v>12</v>
      </c>
      <c r="B52" s="30" cm="1">
        <f t="array" ref="B52">_xlfn.XLOOKUP(MIN(ABS($AY$7:$AY$27 - MEDIAN(MIN($AY$7:$AY$27), MAX($AY$7:$AY$27), B23))), ABS($AY$7:$AY$27 - MEDIAN(MIN($AY$7:$AY$27), MAX($AY$7:$AY$27), B23)), $AZ$7:$AZ$27, "Not Found", 0)</f>
        <v>0</v>
      </c>
      <c r="C52" s="30" cm="1">
        <f t="array" ref="C52">_xlfn.XLOOKUP(MIN(ABS($AY$7:$AY$27 - MEDIAN(MIN($AY$7:$AY$27), MAX($AY$7:$AY$27), C23))), ABS($AY$7:$AY$27 - MEDIAN(MIN($AY$7:$AY$27), MAX($AY$7:$AY$27), C23)), $AZ$7:$AZ$27, "Not Found", 0)</f>
        <v>0</v>
      </c>
      <c r="D52" s="30" cm="1">
        <f t="array" ref="D52">_xlfn.XLOOKUP(MIN(ABS($AY$7:$AY$27 - MEDIAN(MIN($AY$7:$AY$27), MAX($AY$7:$AY$27), D23))), ABS($AY$7:$AY$27 - MEDIAN(MIN($AY$7:$AY$27), MAX($AY$7:$AY$27), D23)), $AZ$7:$AZ$27, "Not Found", 0)</f>
        <v>0</v>
      </c>
      <c r="E52" s="30" cm="1">
        <f t="array" ref="E52">_xlfn.XLOOKUP(MIN(ABS($AY$7:$AY$27 - MEDIAN(MIN($AY$7:$AY$27), MAX($AY$7:$AY$27), E23))), ABS($AY$7:$AY$27 - MEDIAN(MIN($AY$7:$AY$27), MAX($AY$7:$AY$27), E23)), $AZ$7:$AZ$27, "Not Found", 0)</f>
        <v>0</v>
      </c>
      <c r="F52" s="30" cm="1">
        <f t="array" ref="F52">_xlfn.XLOOKUP(MIN(ABS($AY$7:$AY$27 - MEDIAN(MIN($AY$7:$AY$27), MAX($AY$7:$AY$27), F23))), ABS($AY$7:$AY$27 - MEDIAN(MIN($AY$7:$AY$27), MAX($AY$7:$AY$27), F23)), $AZ$7:$AZ$27, "Not Found", 0)</f>
        <v>0</v>
      </c>
      <c r="G52" s="30" cm="1">
        <f t="array" ref="G52">_xlfn.XLOOKUP(MIN(ABS($AY$7:$AY$27 - MEDIAN(MIN($AY$7:$AY$27), MAX($AY$7:$AY$27), G23))), ABS($AY$7:$AY$27 - MEDIAN(MIN($AY$7:$AY$27), MAX($AY$7:$AY$27), G23)), $AZ$7:$AZ$27, "Not Found", 0)</f>
        <v>0</v>
      </c>
      <c r="H52" s="30" cm="1">
        <f t="array" ref="H52">_xlfn.XLOOKUP(MIN(ABS($AY$7:$AY$27 - MEDIAN(MIN($AY$7:$AY$27), MAX($AY$7:$AY$27), H23))), ABS($AY$7:$AY$27 - MEDIAN(MIN($AY$7:$AY$27), MAX($AY$7:$AY$27), H23)), $AZ$7:$AZ$27, "Not Found", 0)</f>
        <v>0</v>
      </c>
      <c r="I52" s="30" cm="1">
        <f t="array" ref="I52">_xlfn.XLOOKUP(MIN(ABS($AY$7:$AY$27 - MEDIAN(MIN($AY$7:$AY$27), MAX($AY$7:$AY$27), I23))), ABS($AY$7:$AY$27 - MEDIAN(MIN($AY$7:$AY$27), MAX($AY$7:$AY$27), I23)), $AZ$7:$AZ$27, "Not Found", 0)</f>
        <v>0</v>
      </c>
      <c r="J52" s="30" cm="1">
        <f t="array" ref="J52">_xlfn.XLOOKUP(MIN(ABS($AY$7:$AY$27 - MEDIAN(MIN($AY$7:$AY$27), MAX($AY$7:$AY$27), J23))), ABS($AY$7:$AY$27 - MEDIAN(MIN($AY$7:$AY$27), MAX($AY$7:$AY$27), J23)), $AZ$7:$AZ$27, "Not Found", 0)</f>
        <v>0</v>
      </c>
      <c r="K52" s="30" cm="1">
        <f t="array" ref="K52">_xlfn.XLOOKUP(MIN(ABS($AY$7:$AY$27 - MEDIAN(MIN($AY$7:$AY$27), MAX($AY$7:$AY$27), K23))), ABS($AY$7:$AY$27 - MEDIAN(MIN($AY$7:$AY$27), MAX($AY$7:$AY$27), K23)), $AZ$7:$AZ$27, "Not Found", 0)</f>
        <v>0</v>
      </c>
      <c r="L52" s="30" cm="1">
        <f t="array" ref="L52">_xlfn.XLOOKUP(MIN(ABS($AY$7:$AY$27 - MEDIAN(MIN($AY$7:$AY$27), MAX($AY$7:$AY$27), L23))), ABS($AY$7:$AY$27 - MEDIAN(MIN($AY$7:$AY$27), MAX($AY$7:$AY$27), L23)), $AZ$7:$AZ$27, "Not Found", 0)</f>
        <v>0</v>
      </c>
      <c r="M52" s="30" cm="1">
        <f t="array" ref="M52">_xlfn.XLOOKUP(MIN(ABS($AY$7:$AY$27 - MEDIAN(MIN($AY$7:$AY$27), MAX($AY$7:$AY$27), M23))), ABS($AY$7:$AY$27 - MEDIAN(MIN($AY$7:$AY$27), MAX($AY$7:$AY$27), M23)), $AZ$7:$AZ$27, "Not Found", 0)</f>
        <v>0</v>
      </c>
      <c r="N52" s="30" cm="1">
        <f t="array" ref="N52">_xlfn.XLOOKUP(MIN(ABS($AY$7:$AY$27 - MEDIAN(MIN($AY$7:$AY$27), MAX($AY$7:$AY$27), N23))), ABS($AY$7:$AY$27 - MEDIAN(MIN($AY$7:$AY$27), MAX($AY$7:$AY$27), N23)), $AZ$7:$AZ$27, "Not Found", 0)</f>
        <v>0</v>
      </c>
      <c r="O52" s="30" cm="1">
        <f t="array" ref="O52">_xlfn.XLOOKUP(MIN(ABS($AY$7:$AY$27 - MEDIAN(MIN($AY$7:$AY$27), MAX($AY$7:$AY$27), O23))), ABS($AY$7:$AY$27 - MEDIAN(MIN($AY$7:$AY$27), MAX($AY$7:$AY$27), O23)), $AZ$7:$AZ$27, "Not Found", 0)</f>
        <v>0</v>
      </c>
      <c r="P52" s="30" cm="1">
        <f t="array" ref="P52">_xlfn.XLOOKUP(MIN(ABS($AY$7:$AY$27 - MEDIAN(MIN($AY$7:$AY$27), MAX($AY$7:$AY$27), P23))), ABS($AY$7:$AY$27 - MEDIAN(MIN($AY$7:$AY$27), MAX($AY$7:$AY$27), P23)), $AZ$7:$AZ$27, "Not Found", 0)</f>
        <v>0</v>
      </c>
      <c r="Q52" s="30" cm="1">
        <f t="array" ref="Q52">_xlfn.XLOOKUP(MIN(ABS($AY$7:$AY$27 - MEDIAN(MIN($AY$7:$AY$27), MAX($AY$7:$AY$27), Q23))), ABS($AY$7:$AY$27 - MEDIAN(MIN($AY$7:$AY$27), MAX($AY$7:$AY$27), Q23)), $AZ$7:$AZ$27, "Not Found", 0)</f>
        <v>0</v>
      </c>
      <c r="R52" s="30" cm="1">
        <f t="array" ref="R52">_xlfn.XLOOKUP(MIN(ABS($AY$7:$AY$27 - MEDIAN(MIN($AY$7:$AY$27), MAX($AY$7:$AY$27), R23))), ABS($AY$7:$AY$27 - MEDIAN(MIN($AY$7:$AY$27), MAX($AY$7:$AY$27), R23)), $AZ$7:$AZ$27, "Not Found", 0)</f>
        <v>0</v>
      </c>
      <c r="S52" s="30" cm="1">
        <f t="array" ref="S52">_xlfn.XLOOKUP(MIN(ABS($AY$7:$AY$27 - MEDIAN(MIN($AY$7:$AY$27), MAX($AY$7:$AY$27), S23))), ABS($AY$7:$AY$27 - MEDIAN(MIN($AY$7:$AY$27), MAX($AY$7:$AY$27), S23)), $AZ$7:$AZ$27, "Not Found", 0)</f>
        <v>0</v>
      </c>
      <c r="T52" s="30" cm="1">
        <f t="array" ref="T52">_xlfn.XLOOKUP(MIN(ABS($AY$7:$AY$27 - MEDIAN(MIN($AY$7:$AY$27), MAX($AY$7:$AY$27), T23))), ABS($AY$7:$AY$27 - MEDIAN(MIN($AY$7:$AY$27), MAX($AY$7:$AY$27), T23)), $AZ$7:$AZ$27, "Not Found", 0)</f>
        <v>0</v>
      </c>
      <c r="U52" s="30" cm="1">
        <f t="array" ref="U52">_xlfn.XLOOKUP(MIN(ABS($AY$7:$AY$27 - MEDIAN(MIN($AY$7:$AY$27), MAX($AY$7:$AY$27), U23))), ABS($AY$7:$AY$27 - MEDIAN(MIN($AY$7:$AY$27), MAX($AY$7:$AY$27), U23)), $AZ$7:$AZ$27, "Not Found", 0)</f>
        <v>0</v>
      </c>
      <c r="V52" s="30" cm="1">
        <f t="array" ref="V52">_xlfn.XLOOKUP(MIN(ABS($AY$7:$AY$27 - MEDIAN(MIN($AY$7:$AY$27), MAX($AY$7:$AY$27), V23))), ABS($AY$7:$AY$27 - MEDIAN(MIN($AY$7:$AY$27), MAX($AY$7:$AY$27), V23)), $AZ$7:$AZ$27, "Not Found", 0)</f>
        <v>0</v>
      </c>
      <c r="W52" s="30" cm="1">
        <f t="array" ref="W52">_xlfn.XLOOKUP(MIN(ABS($AY$7:$AY$27 - MEDIAN(MIN($AY$7:$AY$27), MAX($AY$7:$AY$27), W23))), ABS($AY$7:$AY$27 - MEDIAN(MIN($AY$7:$AY$27), MAX($AY$7:$AY$27), W23)), $AZ$7:$AZ$27, "Not Found", 0)</f>
        <v>0</v>
      </c>
      <c r="X52" s="30" cm="1">
        <f t="array" ref="X52">_xlfn.XLOOKUP(MIN(ABS($AY$7:$AY$27 - MEDIAN(MIN($AY$7:$AY$27), MAX($AY$7:$AY$27), X23))), ABS($AY$7:$AY$27 - MEDIAN(MIN($AY$7:$AY$27), MAX($AY$7:$AY$27), X23)), $AZ$7:$AZ$27, "Not Found", 0)</f>
        <v>0</v>
      </c>
      <c r="Y52" s="30" cm="1">
        <f t="array" ref="Y52">_xlfn.XLOOKUP(MIN(ABS($AY$7:$AY$27 - MEDIAN(MIN($AY$7:$AY$27), MAX($AY$7:$AY$27), Y23))), ABS($AY$7:$AY$27 - MEDIAN(MIN($AY$7:$AY$27), MAX($AY$7:$AY$27), Y23)), $AZ$7:$AZ$27, "Not Found", 0)</f>
        <v>0</v>
      </c>
      <c r="Z52" s="30" cm="1">
        <f t="array" ref="Z52">_xlfn.XLOOKUP(MIN(ABS($AY$7:$AY$27 - MEDIAN(MIN($AY$7:$AY$27), MAX($AY$7:$AY$27), Z23))), ABS($AY$7:$AY$27 - MEDIAN(MIN($AY$7:$AY$27), MAX($AY$7:$AY$27), Z23)), $AZ$7:$AZ$27, "Not Found", 0)</f>
        <v>0</v>
      </c>
      <c r="AA52" s="30" cm="1">
        <f t="array" ref="AA52">_xlfn.XLOOKUP(MIN(ABS($AY$7:$AY$27 - MEDIAN(MIN($AY$7:$AY$27), MAX($AY$7:$AY$27), AA23))), ABS($AY$7:$AY$27 - MEDIAN(MIN($AY$7:$AY$27), MAX($AY$7:$AY$27), AA23)), $AZ$7:$AZ$27, "Not Found", 0)</f>
        <v>0</v>
      </c>
      <c r="AB52" s="30" cm="1">
        <f t="array" ref="AB52">_xlfn.XLOOKUP(MIN(ABS($AY$7:$AY$27 - MEDIAN(MIN($AY$7:$AY$27), MAX($AY$7:$AY$27), AB23))), ABS($AY$7:$AY$27 - MEDIAN(MIN($AY$7:$AY$27), MAX($AY$7:$AY$27), AB23)), $AZ$7:$AZ$27, "Not Found", 0)</f>
        <v>0</v>
      </c>
      <c r="AC52" s="30" cm="1">
        <f t="array" ref="AC52">_xlfn.XLOOKUP(MIN(ABS($AY$7:$AY$27 - MEDIAN(MIN($AY$7:$AY$27), MAX($AY$7:$AY$27), AC23))), ABS($AY$7:$AY$27 - MEDIAN(MIN($AY$7:$AY$27), MAX($AY$7:$AY$27), AC23)), $AZ$7:$AZ$27, "Not Found", 0)</f>
        <v>2</v>
      </c>
      <c r="AD52" s="30" cm="1">
        <f t="array" ref="AD52">_xlfn.XLOOKUP(MIN(ABS($AY$7:$AY$27 - MEDIAN(MIN($AY$7:$AY$27), MAX($AY$7:$AY$27), AD23))), ABS($AY$7:$AY$27 - MEDIAN(MIN($AY$7:$AY$27), MAX($AY$7:$AY$27), AD23)), $AZ$7:$AZ$27, "Not Found", 0)</f>
        <v>2</v>
      </c>
      <c r="AE52" s="30" cm="1">
        <f t="array" ref="AE52">_xlfn.XLOOKUP(MIN(ABS($AY$7:$AY$27 - MEDIAN(MIN($AY$7:$AY$27), MAX($AY$7:$AY$27), AE23))), ABS($AY$7:$AY$27 - MEDIAN(MIN($AY$7:$AY$27), MAX($AY$7:$AY$27), AE23)), $AZ$7:$AZ$27, "Not Found", 0)</f>
        <v>2</v>
      </c>
      <c r="AF52" s="30" cm="1">
        <f t="array" ref="AF52">_xlfn.XLOOKUP(MIN(ABS($AY$7:$AY$27 - MEDIAN(MIN($AY$7:$AY$27), MAX($AY$7:$AY$27), AF23))), ABS($AY$7:$AY$27 - MEDIAN(MIN($AY$7:$AY$27), MAX($AY$7:$AY$27), AF23)), $AZ$7:$AZ$27, "Not Found", 0)</f>
        <v>2</v>
      </c>
      <c r="AG52" s="30" cm="1">
        <f t="array" ref="AG52">_xlfn.XLOOKUP(MIN(ABS($AY$7:$AY$27 - MEDIAN(MIN($AY$7:$AY$27), MAX($AY$7:$AY$27), AG23))), ABS($AY$7:$AY$27 - MEDIAN(MIN($AY$7:$AY$27), MAX($AY$7:$AY$27), AG23)), $AZ$7:$AZ$27, "Not Found", 0)</f>
        <v>2</v>
      </c>
      <c r="AH52" s="30" cm="1">
        <f t="array" ref="AH52">_xlfn.XLOOKUP(MIN(ABS($AY$7:$AY$27 - MEDIAN(MIN($AY$7:$AY$27), MAX($AY$7:$AY$27), AH23))), ABS($AY$7:$AY$27 - MEDIAN(MIN($AY$7:$AY$27), MAX($AY$7:$AY$27), AH23)), $AZ$7:$AZ$27, "Not Found", 0)</f>
        <v>2</v>
      </c>
      <c r="AI52" s="30" cm="1">
        <f t="array" ref="AI52">_xlfn.XLOOKUP(MIN(ABS($AY$7:$AY$27 - MEDIAN(MIN($AY$7:$AY$27), MAX($AY$7:$AY$27), AI23))), ABS($AY$7:$AY$27 - MEDIAN(MIN($AY$7:$AY$27), MAX($AY$7:$AY$27), AI23)), $AZ$7:$AZ$27, "Not Found", 0)</f>
        <v>2</v>
      </c>
      <c r="AJ52" s="30" cm="1">
        <f t="array" ref="AJ52">_xlfn.XLOOKUP(MIN(ABS($AY$7:$AY$27 - MEDIAN(MIN($AY$7:$AY$27), MAX($AY$7:$AY$27), AJ23))), ABS($AY$7:$AY$27 - MEDIAN(MIN($AY$7:$AY$27), MAX($AY$7:$AY$27), AJ23)), $AZ$7:$AZ$27, "Not Found", 0)</f>
        <v>2</v>
      </c>
      <c r="AK52" s="30" cm="1">
        <f t="array" ref="AK52">_xlfn.XLOOKUP(MIN(ABS($AY$7:$AY$27 - MEDIAN(MIN($AY$7:$AY$27), MAX($AY$7:$AY$27), AK23))), ABS($AY$7:$AY$27 - MEDIAN(MIN($AY$7:$AY$27), MAX($AY$7:$AY$27), AK23)), $AZ$7:$AZ$27, "Not Found", 0)</f>
        <v>2</v>
      </c>
      <c r="AL52" s="30" cm="1">
        <f t="array" ref="AL52">_xlfn.XLOOKUP(MIN(ABS($AY$7:$AY$27 - MEDIAN(MIN($AY$7:$AY$27), MAX($AY$7:$AY$27), AL23))), ABS($AY$7:$AY$27 - MEDIAN(MIN($AY$7:$AY$27), MAX($AY$7:$AY$27), AL23)), $AZ$7:$AZ$27, "Not Found", 0)</f>
        <v>3</v>
      </c>
      <c r="AM52" s="30" cm="1">
        <f t="array" ref="AM52">_xlfn.XLOOKUP(MIN(ABS($AY$7:$AY$27 - MEDIAN(MIN($AY$7:$AY$27), MAX($AY$7:$AY$27), AM23))), ABS($AY$7:$AY$27 - MEDIAN(MIN($AY$7:$AY$27), MAX($AY$7:$AY$27), AM23)), $AZ$7:$AZ$27, "Not Found", 0)</f>
        <v>3</v>
      </c>
      <c r="AN52" s="30" cm="1">
        <f t="array" ref="AN52">_xlfn.XLOOKUP(MIN(ABS($AY$7:$AY$27 - MEDIAN(MIN($AY$7:$AY$27), MAX($AY$7:$AY$27), AN23))), ABS($AY$7:$AY$27 - MEDIAN(MIN($AY$7:$AY$27), MAX($AY$7:$AY$27), AN23)), $AZ$7:$AZ$27, "Not Found", 0)</f>
        <v>3</v>
      </c>
      <c r="AO52" s="30" cm="1">
        <f t="array" ref="AO52">_xlfn.XLOOKUP(MIN(ABS($AY$7:$AY$27 - MEDIAN(MIN($AY$7:$AY$27), MAX($AY$7:$AY$27), AO23))), ABS($AY$7:$AY$27 - MEDIAN(MIN($AY$7:$AY$27), MAX($AY$7:$AY$27), AO23)), $AZ$7:$AZ$27, "Not Found", 0)</f>
        <v>3</v>
      </c>
      <c r="AP52" s="30" cm="1">
        <f t="array" ref="AP52">_xlfn.XLOOKUP(MIN(ABS($AY$7:$AY$27 - MEDIAN(MIN($AY$7:$AY$27), MAX($AY$7:$AY$27), AP23))), ABS($AY$7:$AY$27 - MEDIAN(MIN($AY$7:$AY$27), MAX($AY$7:$AY$27), AP23)), $AZ$7:$AZ$27, "Not Found", 0)</f>
        <v>3</v>
      </c>
      <c r="AQ52" s="30" cm="1">
        <f t="array" ref="AQ52">_xlfn.XLOOKUP(MIN(ABS($AY$7:$AY$27 - MEDIAN(MIN($AY$7:$AY$27), MAX($AY$7:$AY$27), AQ23))), ABS($AY$7:$AY$27 - MEDIAN(MIN($AY$7:$AY$27), MAX($AY$7:$AY$27), AQ23)), $AZ$7:$AZ$27, "Not Found", 0)</f>
        <v>3</v>
      </c>
      <c r="AR52" s="30" cm="1">
        <f t="array" ref="AR52">_xlfn.XLOOKUP(MIN(ABS($AY$7:$AY$27 - MEDIAN(MIN($AY$7:$AY$27), MAX($AY$7:$AY$27), AR23))), ABS($AY$7:$AY$27 - MEDIAN(MIN($AY$7:$AY$27), MAX($AY$7:$AY$27), AR23)), $AZ$7:$AZ$27, "Not Found", 0)</f>
        <v>3</v>
      </c>
      <c r="AS52" s="30" cm="1">
        <f t="array" ref="AS52">_xlfn.XLOOKUP(MIN(ABS($AY$7:$AY$27 - MEDIAN(MIN($AY$7:$AY$27), MAX($AY$7:$AY$27), AS23))), ABS($AY$7:$AY$27 - MEDIAN(MIN($AY$7:$AY$27), MAX($AY$7:$AY$27), AS23)), $AZ$7:$AZ$27, "Not Found", 0)</f>
        <v>3</v>
      </c>
      <c r="AT52" s="30" cm="1">
        <f t="array" ref="AT52">_xlfn.XLOOKUP(MIN(ABS($AY$7:$AY$27 - MEDIAN(MIN($AY$7:$AY$27), MAX($AY$7:$AY$27), AT23))), ABS($AY$7:$AY$27 - MEDIAN(MIN($AY$7:$AY$27), MAX($AY$7:$AY$27), AT23)), $AZ$7:$AZ$27, "Not Found", 0)</f>
        <v>3</v>
      </c>
      <c r="AU52" s="30" cm="1">
        <f t="array" ref="AU52">_xlfn.XLOOKUP(MIN(ABS($AY$7:$AY$27 - MEDIAN(MIN($AY$7:$AY$27), MAX($AY$7:$AY$27), AU23))), ABS($AY$7:$AY$27 - MEDIAN(MIN($AY$7:$AY$27), MAX($AY$7:$AY$27), AU23)), $AZ$7:$AZ$27, "Not Found", 0)</f>
        <v>0</v>
      </c>
      <c r="AV52" s="30" cm="1">
        <f t="array" ref="AV52">_xlfn.XLOOKUP(MIN(ABS($AY$7:$AY$27 - MEDIAN(MIN($AY$7:$AY$27), MAX($AY$7:$AY$27), AV23))), ABS($AY$7:$AY$27 - MEDIAN(MIN($AY$7:$AY$27), MAX($AY$7:$AY$27), AV23)), $AZ$7:$AZ$27, "Not Found", 0)</f>
        <v>0</v>
      </c>
      <c r="AW52" s="30" cm="1">
        <f t="array" ref="AW52">_xlfn.XLOOKUP(MIN(ABS($AY$7:$AY$27 - MEDIAN(MIN($AY$7:$AY$27), MAX($AY$7:$AY$27), AW23))), ABS($AY$7:$AY$27 - MEDIAN(MIN($AY$7:$AY$27), MAX($AY$7:$AY$27), AW23)), $AZ$7:$AZ$27, "Not Found", 0)</f>
        <v>0</v>
      </c>
    </row>
    <row r="53" spans="1:49" ht="25" customHeight="1">
      <c r="A53" s="47" t="s">
        <v>50</v>
      </c>
      <c r="B53" s="30" cm="1">
        <f t="array" ref="B53">_xlfn.XLOOKUP(MIN(ABS($AY$7:$AY$27 - MEDIAN(MIN($AY$7:$AY$27), MAX($AY$7:$AY$27), B24))), ABS($AY$7:$AY$27 - MEDIAN(MIN($AY$7:$AY$27), MAX($AY$7:$AY$27), B24)), $AZ$7:$AZ$27, "Not Found", 0)</f>
        <v>6</v>
      </c>
      <c r="C53" s="30" cm="1">
        <f t="array" ref="C53">_xlfn.XLOOKUP(MIN(ABS($AY$7:$AY$27 - MEDIAN(MIN($AY$7:$AY$27), MAX($AY$7:$AY$27), C24))), ABS($AY$7:$AY$27 - MEDIAN(MIN($AY$7:$AY$27), MAX($AY$7:$AY$27), C24)), $AZ$7:$AZ$27, "Not Found", 0)</f>
        <v>6</v>
      </c>
      <c r="D53" s="30" cm="1">
        <f t="array" ref="D53">_xlfn.XLOOKUP(MIN(ABS($AY$7:$AY$27 - MEDIAN(MIN($AY$7:$AY$27), MAX($AY$7:$AY$27), D24))), ABS($AY$7:$AY$27 - MEDIAN(MIN($AY$7:$AY$27), MAX($AY$7:$AY$27), D24)), $AZ$7:$AZ$27, "Not Found", 0)</f>
        <v>6</v>
      </c>
      <c r="E53" s="30" cm="1">
        <f t="array" ref="E53">_xlfn.XLOOKUP(MIN(ABS($AY$7:$AY$27 - MEDIAN(MIN($AY$7:$AY$27), MAX($AY$7:$AY$27), E24))), ABS($AY$7:$AY$27 - MEDIAN(MIN($AY$7:$AY$27), MAX($AY$7:$AY$27), E24)), $AZ$7:$AZ$27, "Not Found", 0)</f>
        <v>5</v>
      </c>
      <c r="F53" s="30" cm="1">
        <f t="array" ref="F53">_xlfn.XLOOKUP(MIN(ABS($AY$7:$AY$27 - MEDIAN(MIN($AY$7:$AY$27), MAX($AY$7:$AY$27), F24))), ABS($AY$7:$AY$27 - MEDIAN(MIN($AY$7:$AY$27), MAX($AY$7:$AY$27), F24)), $AZ$7:$AZ$27, "Not Found", 0)</f>
        <v>5</v>
      </c>
      <c r="G53" s="30" cm="1">
        <f t="array" ref="G53">_xlfn.XLOOKUP(MIN(ABS($AY$7:$AY$27 - MEDIAN(MIN($AY$7:$AY$27), MAX($AY$7:$AY$27), G24))), ABS($AY$7:$AY$27 - MEDIAN(MIN($AY$7:$AY$27), MAX($AY$7:$AY$27), G24)), $AZ$7:$AZ$27, "Not Found", 0)</f>
        <v>5</v>
      </c>
      <c r="H53" s="30" cm="1">
        <f t="array" ref="H53">_xlfn.XLOOKUP(MIN(ABS($AY$7:$AY$27 - MEDIAN(MIN($AY$7:$AY$27), MAX($AY$7:$AY$27), H24))), ABS($AY$7:$AY$27 - MEDIAN(MIN($AY$7:$AY$27), MAX($AY$7:$AY$27), H24)), $AZ$7:$AZ$27, "Not Found", 0)</f>
        <v>5</v>
      </c>
      <c r="I53" s="30" cm="1">
        <f t="array" ref="I53">_xlfn.XLOOKUP(MIN(ABS($AY$7:$AY$27 - MEDIAN(MIN($AY$7:$AY$27), MAX($AY$7:$AY$27), I24))), ABS($AY$7:$AY$27 - MEDIAN(MIN($AY$7:$AY$27), MAX($AY$7:$AY$27), I24)), $AZ$7:$AZ$27, "Not Found", 0)</f>
        <v>5</v>
      </c>
      <c r="J53" s="30" cm="1">
        <f t="array" ref="J53">_xlfn.XLOOKUP(MIN(ABS($AY$7:$AY$27 - MEDIAN(MIN($AY$7:$AY$27), MAX($AY$7:$AY$27), J24))), ABS($AY$7:$AY$27 - MEDIAN(MIN($AY$7:$AY$27), MAX($AY$7:$AY$27), J24)), $AZ$7:$AZ$27, "Not Found", 0)</f>
        <v>5</v>
      </c>
      <c r="K53" s="30" cm="1">
        <f t="array" ref="K53">_xlfn.XLOOKUP(MIN(ABS($AY$7:$AY$27 - MEDIAN(MIN($AY$7:$AY$27), MAX($AY$7:$AY$27), K24))), ABS($AY$7:$AY$27 - MEDIAN(MIN($AY$7:$AY$27), MAX($AY$7:$AY$27), K24)), $AZ$7:$AZ$27, "Not Found", 0)</f>
        <v>5</v>
      </c>
      <c r="L53" s="30" cm="1">
        <f t="array" ref="L53">_xlfn.XLOOKUP(MIN(ABS($AY$7:$AY$27 - MEDIAN(MIN($AY$7:$AY$27), MAX($AY$7:$AY$27), L24))), ABS($AY$7:$AY$27 - MEDIAN(MIN($AY$7:$AY$27), MAX($AY$7:$AY$27), L24)), $AZ$7:$AZ$27, "Not Found", 0)</f>
        <v>5</v>
      </c>
      <c r="M53" s="30" cm="1">
        <f t="array" ref="M53">_xlfn.XLOOKUP(MIN(ABS($AY$7:$AY$27 - MEDIAN(MIN($AY$7:$AY$27), MAX($AY$7:$AY$27), M24))), ABS($AY$7:$AY$27 - MEDIAN(MIN($AY$7:$AY$27), MAX($AY$7:$AY$27), M24)), $AZ$7:$AZ$27, "Not Found", 0)</f>
        <v>5</v>
      </c>
      <c r="N53" s="30" cm="1">
        <f t="array" ref="N53">_xlfn.XLOOKUP(MIN(ABS($AY$7:$AY$27 - MEDIAN(MIN($AY$7:$AY$27), MAX($AY$7:$AY$27), N24))), ABS($AY$7:$AY$27 - MEDIAN(MIN($AY$7:$AY$27), MAX($AY$7:$AY$27), N24)), $AZ$7:$AZ$27, "Not Found", 0)</f>
        <v>5</v>
      </c>
      <c r="O53" s="30" cm="1">
        <f t="array" ref="O53">_xlfn.XLOOKUP(MIN(ABS($AY$7:$AY$27 - MEDIAN(MIN($AY$7:$AY$27), MAX($AY$7:$AY$27), O24))), ABS($AY$7:$AY$27 - MEDIAN(MIN($AY$7:$AY$27), MAX($AY$7:$AY$27), O24)), $AZ$7:$AZ$27, "Not Found", 0)</f>
        <v>5</v>
      </c>
      <c r="P53" s="30" cm="1">
        <f t="array" ref="P53">_xlfn.XLOOKUP(MIN(ABS($AY$7:$AY$27 - MEDIAN(MIN($AY$7:$AY$27), MAX($AY$7:$AY$27), P24))), ABS($AY$7:$AY$27 - MEDIAN(MIN($AY$7:$AY$27), MAX($AY$7:$AY$27), P24)), $AZ$7:$AZ$27, "Not Found", 0)</f>
        <v>5</v>
      </c>
      <c r="Q53" s="30" cm="1">
        <f t="array" ref="Q53">_xlfn.XLOOKUP(MIN(ABS($AY$7:$AY$27 - MEDIAN(MIN($AY$7:$AY$27), MAX($AY$7:$AY$27), Q24))), ABS($AY$7:$AY$27 - MEDIAN(MIN($AY$7:$AY$27), MAX($AY$7:$AY$27), Q24)), $AZ$7:$AZ$27, "Not Found", 0)</f>
        <v>5</v>
      </c>
      <c r="R53" s="30" cm="1">
        <f t="array" ref="R53">_xlfn.XLOOKUP(MIN(ABS($AY$7:$AY$27 - MEDIAN(MIN($AY$7:$AY$27), MAX($AY$7:$AY$27), R24))), ABS($AY$7:$AY$27 - MEDIAN(MIN($AY$7:$AY$27), MAX($AY$7:$AY$27), R24)), $AZ$7:$AZ$27, "Not Found", 0)</f>
        <v>5</v>
      </c>
      <c r="S53" s="30" cm="1">
        <f t="array" ref="S53">_xlfn.XLOOKUP(MIN(ABS($AY$7:$AY$27 - MEDIAN(MIN($AY$7:$AY$27), MAX($AY$7:$AY$27), S24))), ABS($AY$7:$AY$27 - MEDIAN(MIN($AY$7:$AY$27), MAX($AY$7:$AY$27), S24)), $AZ$7:$AZ$27, "Not Found", 0)</f>
        <v>5</v>
      </c>
      <c r="T53" s="30" cm="1">
        <f t="array" ref="T53">_xlfn.XLOOKUP(MIN(ABS($AY$7:$AY$27 - MEDIAN(MIN($AY$7:$AY$27), MAX($AY$7:$AY$27), T24))), ABS($AY$7:$AY$27 - MEDIAN(MIN($AY$7:$AY$27), MAX($AY$7:$AY$27), T24)), $AZ$7:$AZ$27, "Not Found", 0)</f>
        <v>4</v>
      </c>
      <c r="U53" s="30" cm="1">
        <f t="array" ref="U53">_xlfn.XLOOKUP(MIN(ABS($AY$7:$AY$27 - MEDIAN(MIN($AY$7:$AY$27), MAX($AY$7:$AY$27), U24))), ABS($AY$7:$AY$27 - MEDIAN(MIN($AY$7:$AY$27), MAX($AY$7:$AY$27), U24)), $AZ$7:$AZ$27, "Not Found", 0)</f>
        <v>4</v>
      </c>
      <c r="V53" s="30" cm="1">
        <f t="array" ref="V53">_xlfn.XLOOKUP(MIN(ABS($AY$7:$AY$27 - MEDIAN(MIN($AY$7:$AY$27), MAX($AY$7:$AY$27), V24))), ABS($AY$7:$AY$27 - MEDIAN(MIN($AY$7:$AY$27), MAX($AY$7:$AY$27), V24)), $AZ$7:$AZ$27, "Not Found", 0)</f>
        <v>4</v>
      </c>
      <c r="W53" s="30" cm="1">
        <f t="array" ref="W53">_xlfn.XLOOKUP(MIN(ABS($AY$7:$AY$27 - MEDIAN(MIN($AY$7:$AY$27), MAX($AY$7:$AY$27), W24))), ABS($AY$7:$AY$27 - MEDIAN(MIN($AY$7:$AY$27), MAX($AY$7:$AY$27), W24)), $AZ$7:$AZ$27, "Not Found", 0)</f>
        <v>3</v>
      </c>
      <c r="X53" s="30" cm="1">
        <f t="array" ref="X53">_xlfn.XLOOKUP(MIN(ABS($AY$7:$AY$27 - MEDIAN(MIN($AY$7:$AY$27), MAX($AY$7:$AY$27), X24))), ABS($AY$7:$AY$27 - MEDIAN(MIN($AY$7:$AY$27), MAX($AY$7:$AY$27), X24)), $AZ$7:$AZ$27, "Not Found", 0)</f>
        <v>3</v>
      </c>
      <c r="Y53" s="30" cm="1">
        <f t="array" ref="Y53">_xlfn.XLOOKUP(MIN(ABS($AY$7:$AY$27 - MEDIAN(MIN($AY$7:$AY$27), MAX($AY$7:$AY$27), Y24))), ABS($AY$7:$AY$27 - MEDIAN(MIN($AY$7:$AY$27), MAX($AY$7:$AY$27), Y24)), $AZ$7:$AZ$27, "Not Found", 0)</f>
        <v>3</v>
      </c>
      <c r="Z53" s="30" cm="1">
        <f t="array" ref="Z53">_xlfn.XLOOKUP(MIN(ABS($AY$7:$AY$27 - MEDIAN(MIN($AY$7:$AY$27), MAX($AY$7:$AY$27), Z24))), ABS($AY$7:$AY$27 - MEDIAN(MIN($AY$7:$AY$27), MAX($AY$7:$AY$27), Z24)), $AZ$7:$AZ$27, "Not Found", 0)</f>
        <v>3</v>
      </c>
      <c r="AA53" s="30" cm="1">
        <f t="array" ref="AA53">_xlfn.XLOOKUP(MIN(ABS($AY$7:$AY$27 - MEDIAN(MIN($AY$7:$AY$27), MAX($AY$7:$AY$27), AA24))), ABS($AY$7:$AY$27 - MEDIAN(MIN($AY$7:$AY$27), MAX($AY$7:$AY$27), AA24)), $AZ$7:$AZ$27, "Not Found", 0)</f>
        <v>3</v>
      </c>
      <c r="AB53" s="30" cm="1">
        <f t="array" ref="AB53">_xlfn.XLOOKUP(MIN(ABS($AY$7:$AY$27 - MEDIAN(MIN($AY$7:$AY$27), MAX($AY$7:$AY$27), AB24))), ABS($AY$7:$AY$27 - MEDIAN(MIN($AY$7:$AY$27), MAX($AY$7:$AY$27), AB24)), $AZ$7:$AZ$27, "Not Found", 0)</f>
        <v>3</v>
      </c>
      <c r="AC53" s="30" cm="1">
        <f t="array" ref="AC53">_xlfn.XLOOKUP(MIN(ABS($AY$7:$AY$27 - MEDIAN(MIN($AY$7:$AY$27), MAX($AY$7:$AY$27), AC24))), ABS($AY$7:$AY$27 - MEDIAN(MIN($AY$7:$AY$27), MAX($AY$7:$AY$27), AC24)), $AZ$7:$AZ$27, "Not Found", 0)</f>
        <v>3</v>
      </c>
      <c r="AD53" s="30" cm="1">
        <f t="array" ref="AD53">_xlfn.XLOOKUP(MIN(ABS($AY$7:$AY$27 - MEDIAN(MIN($AY$7:$AY$27), MAX($AY$7:$AY$27), AD24))), ABS($AY$7:$AY$27 - MEDIAN(MIN($AY$7:$AY$27), MAX($AY$7:$AY$27), AD24)), $AZ$7:$AZ$27, "Not Found", 0)</f>
        <v>3</v>
      </c>
      <c r="AE53" s="30" cm="1">
        <f t="array" ref="AE53">_xlfn.XLOOKUP(MIN(ABS($AY$7:$AY$27 - MEDIAN(MIN($AY$7:$AY$27), MAX($AY$7:$AY$27), AE24))), ABS($AY$7:$AY$27 - MEDIAN(MIN($AY$7:$AY$27), MAX($AY$7:$AY$27), AE24)), $AZ$7:$AZ$27, "Not Found", 0)</f>
        <v>3</v>
      </c>
      <c r="AF53" s="30" cm="1">
        <f t="array" ref="AF53">_xlfn.XLOOKUP(MIN(ABS($AY$7:$AY$27 - MEDIAN(MIN($AY$7:$AY$27), MAX($AY$7:$AY$27), AF24))), ABS($AY$7:$AY$27 - MEDIAN(MIN($AY$7:$AY$27), MAX($AY$7:$AY$27), AF24)), $AZ$7:$AZ$27, "Not Found", 0)</f>
        <v>-1</v>
      </c>
      <c r="AG53" s="30" cm="1">
        <f t="array" ref="AG53">_xlfn.XLOOKUP(MIN(ABS($AY$7:$AY$27 - MEDIAN(MIN($AY$7:$AY$27), MAX($AY$7:$AY$27), AG24))), ABS($AY$7:$AY$27 - MEDIAN(MIN($AY$7:$AY$27), MAX($AY$7:$AY$27), AG24)), $AZ$7:$AZ$27, "Not Found", 0)</f>
        <v>3</v>
      </c>
      <c r="AH53" s="30" cm="1">
        <f t="array" ref="AH53">_xlfn.XLOOKUP(MIN(ABS($AY$7:$AY$27 - MEDIAN(MIN($AY$7:$AY$27), MAX($AY$7:$AY$27), AH24))), ABS($AY$7:$AY$27 - MEDIAN(MIN($AY$7:$AY$27), MAX($AY$7:$AY$27), AH24)), $AZ$7:$AZ$27, "Not Found", 0)</f>
        <v>3</v>
      </c>
      <c r="AI53" s="30" cm="1">
        <f t="array" ref="AI53">_xlfn.XLOOKUP(MIN(ABS($AY$7:$AY$27 - MEDIAN(MIN($AY$7:$AY$27), MAX($AY$7:$AY$27), AI24))), ABS($AY$7:$AY$27 - MEDIAN(MIN($AY$7:$AY$27), MAX($AY$7:$AY$27), AI24)), $AZ$7:$AZ$27, "Not Found", 0)</f>
        <v>3</v>
      </c>
      <c r="AJ53" s="30" cm="1">
        <f t="array" ref="AJ53">_xlfn.XLOOKUP(MIN(ABS($AY$7:$AY$27 - MEDIAN(MIN($AY$7:$AY$27), MAX($AY$7:$AY$27), AJ24))), ABS($AY$7:$AY$27 - MEDIAN(MIN($AY$7:$AY$27), MAX($AY$7:$AY$27), AJ24)), $AZ$7:$AZ$27, "Not Found", 0)</f>
        <v>3</v>
      </c>
      <c r="AK53" s="30" cm="1">
        <f t="array" ref="AK53">_xlfn.XLOOKUP(MIN(ABS($AY$7:$AY$27 - MEDIAN(MIN($AY$7:$AY$27), MAX($AY$7:$AY$27), AK24))), ABS($AY$7:$AY$27 - MEDIAN(MIN($AY$7:$AY$27), MAX($AY$7:$AY$27), AK24)), $AZ$7:$AZ$27, "Not Found", 0)</f>
        <v>3</v>
      </c>
      <c r="AL53" s="30" cm="1">
        <f t="array" ref="AL53">_xlfn.XLOOKUP(MIN(ABS($AY$7:$AY$27 - MEDIAN(MIN($AY$7:$AY$27), MAX($AY$7:$AY$27), AL24))), ABS($AY$7:$AY$27 - MEDIAN(MIN($AY$7:$AY$27), MAX($AY$7:$AY$27), AL24)), $AZ$7:$AZ$27, "Not Found", 0)</f>
        <v>3</v>
      </c>
      <c r="AM53" s="30" cm="1">
        <f t="array" ref="AM53">_xlfn.XLOOKUP(MIN(ABS($AY$7:$AY$27 - MEDIAN(MIN($AY$7:$AY$27), MAX($AY$7:$AY$27), AM24))), ABS($AY$7:$AY$27 - MEDIAN(MIN($AY$7:$AY$27), MAX($AY$7:$AY$27), AM24)), $AZ$7:$AZ$27, "Not Found", 0)</f>
        <v>3</v>
      </c>
      <c r="AN53" s="30" cm="1">
        <f t="array" ref="AN53">_xlfn.XLOOKUP(MIN(ABS($AY$7:$AY$27 - MEDIAN(MIN($AY$7:$AY$27), MAX($AY$7:$AY$27), AN24))), ABS($AY$7:$AY$27 - MEDIAN(MIN($AY$7:$AY$27), MAX($AY$7:$AY$27), AN24)), $AZ$7:$AZ$27, "Not Found", 0)</f>
        <v>3</v>
      </c>
      <c r="AO53" s="30" cm="1">
        <f t="array" ref="AO53">_xlfn.XLOOKUP(MIN(ABS($AY$7:$AY$27 - MEDIAN(MIN($AY$7:$AY$27), MAX($AY$7:$AY$27), AO24))), ABS($AY$7:$AY$27 - MEDIAN(MIN($AY$7:$AY$27), MAX($AY$7:$AY$27), AO24)), $AZ$7:$AZ$27, "Not Found", 0)</f>
        <v>3</v>
      </c>
      <c r="AP53" s="30" cm="1">
        <f t="array" ref="AP53">_xlfn.XLOOKUP(MIN(ABS($AY$7:$AY$27 - MEDIAN(MIN($AY$7:$AY$27), MAX($AY$7:$AY$27), AP24))), ABS($AY$7:$AY$27 - MEDIAN(MIN($AY$7:$AY$27), MAX($AY$7:$AY$27), AP24)), $AZ$7:$AZ$27, "Not Found", 0)</f>
        <v>3</v>
      </c>
      <c r="AQ53" s="30" cm="1">
        <f t="array" ref="AQ53">_xlfn.XLOOKUP(MIN(ABS($AY$7:$AY$27 - MEDIAN(MIN($AY$7:$AY$27), MAX($AY$7:$AY$27), AQ24))), ABS($AY$7:$AY$27 - MEDIAN(MIN($AY$7:$AY$27), MAX($AY$7:$AY$27), AQ24)), $AZ$7:$AZ$27, "Not Found", 0)</f>
        <v>3</v>
      </c>
      <c r="AR53" s="30" cm="1">
        <f t="array" ref="AR53">_xlfn.XLOOKUP(MIN(ABS($AY$7:$AY$27 - MEDIAN(MIN($AY$7:$AY$27), MAX($AY$7:$AY$27), AR24))), ABS($AY$7:$AY$27 - MEDIAN(MIN($AY$7:$AY$27), MAX($AY$7:$AY$27), AR24)), $AZ$7:$AZ$27, "Not Found", 0)</f>
        <v>3</v>
      </c>
      <c r="AS53" s="30" cm="1">
        <f t="array" ref="AS53">_xlfn.XLOOKUP(MIN(ABS($AY$7:$AY$27 - MEDIAN(MIN($AY$7:$AY$27), MAX($AY$7:$AY$27), AS24))), ABS($AY$7:$AY$27 - MEDIAN(MIN($AY$7:$AY$27), MAX($AY$7:$AY$27), AS24)), $AZ$7:$AZ$27, "Not Found", 0)</f>
        <v>3</v>
      </c>
      <c r="AT53" s="30" cm="1">
        <f t="array" ref="AT53">_xlfn.XLOOKUP(MIN(ABS($AY$7:$AY$27 - MEDIAN(MIN($AY$7:$AY$27), MAX($AY$7:$AY$27), AT24))), ABS($AY$7:$AY$27 - MEDIAN(MIN($AY$7:$AY$27), MAX($AY$7:$AY$27), AT24)), $AZ$7:$AZ$27, "Not Found", 0)</f>
        <v>3</v>
      </c>
      <c r="AU53" s="30" cm="1">
        <f t="array" ref="AU53">_xlfn.XLOOKUP(MIN(ABS($AY$7:$AY$27 - MEDIAN(MIN($AY$7:$AY$27), MAX($AY$7:$AY$27), AU24))), ABS($AY$7:$AY$27 - MEDIAN(MIN($AY$7:$AY$27), MAX($AY$7:$AY$27), AU24)), $AZ$7:$AZ$27, "Not Found", 0)</f>
        <v>0</v>
      </c>
      <c r="AV53" s="30" cm="1">
        <f t="array" ref="AV53">_xlfn.XLOOKUP(MIN(ABS($AY$7:$AY$27 - MEDIAN(MIN($AY$7:$AY$27), MAX($AY$7:$AY$27), AV24))), ABS($AY$7:$AY$27 - MEDIAN(MIN($AY$7:$AY$27), MAX($AY$7:$AY$27), AV24)), $AZ$7:$AZ$27, "Not Found", 0)</f>
        <v>0</v>
      </c>
      <c r="AW53" s="30" cm="1">
        <f t="array" ref="AW53">_xlfn.XLOOKUP(MIN(ABS($AY$7:$AY$27 - MEDIAN(MIN($AY$7:$AY$27), MAX($AY$7:$AY$27), AW24))), ABS($AY$7:$AY$27 - MEDIAN(MIN($AY$7:$AY$27), MAX($AY$7:$AY$27), AW24)), $AZ$7:$AZ$27, "Not Found", 0)</f>
        <v>0</v>
      </c>
    </row>
    <row r="54" spans="1:49" ht="25" customHeight="1">
      <c r="A54" s="48" t="s">
        <v>51</v>
      </c>
      <c r="B54" s="30" cm="1">
        <f t="array" ref="B54">_xlfn.XLOOKUP(MIN(ABS($AY$7:$AY$27 - MEDIAN(MIN($AY$7:$AY$27), MAX($AY$7:$AY$27), B25))), ABS($AY$7:$AY$27 - MEDIAN(MIN($AY$7:$AY$27), MAX($AY$7:$AY$27), B25)), $AZ$7:$AZ$27, "Not Found", 0)</f>
        <v>0</v>
      </c>
      <c r="C54" s="30" cm="1">
        <f t="array" ref="C54">_xlfn.XLOOKUP(MIN(ABS($AY$7:$AY$27 - MEDIAN(MIN($AY$7:$AY$27), MAX($AY$7:$AY$27), C25))), ABS($AY$7:$AY$27 - MEDIAN(MIN($AY$7:$AY$27), MAX($AY$7:$AY$27), C25)), $AZ$7:$AZ$27, "Not Found", 0)</f>
        <v>0</v>
      </c>
      <c r="D54" s="30" cm="1">
        <f t="array" ref="D54">_xlfn.XLOOKUP(MIN(ABS($AY$7:$AY$27 - MEDIAN(MIN($AY$7:$AY$27), MAX($AY$7:$AY$27), D25))), ABS($AY$7:$AY$27 - MEDIAN(MIN($AY$7:$AY$27), MAX($AY$7:$AY$27), D25)), $AZ$7:$AZ$27, "Not Found", 0)</f>
        <v>0</v>
      </c>
      <c r="E54" s="30" cm="1">
        <f t="array" ref="E54">_xlfn.XLOOKUP(MIN(ABS($AY$7:$AY$27 - MEDIAN(MIN($AY$7:$AY$27), MAX($AY$7:$AY$27), E25))), ABS($AY$7:$AY$27 - MEDIAN(MIN($AY$7:$AY$27), MAX($AY$7:$AY$27), E25)), $AZ$7:$AZ$27, "Not Found", 0)</f>
        <v>-1</v>
      </c>
      <c r="F54" s="30" cm="1">
        <f t="array" ref="F54">_xlfn.XLOOKUP(MIN(ABS($AY$7:$AY$27 - MEDIAN(MIN($AY$7:$AY$27), MAX($AY$7:$AY$27), F25))), ABS($AY$7:$AY$27 - MEDIAN(MIN($AY$7:$AY$27), MAX($AY$7:$AY$27), F25)), $AZ$7:$AZ$27, "Not Found", 0)</f>
        <v>-1</v>
      </c>
      <c r="G54" s="30" cm="1">
        <f t="array" ref="G54">_xlfn.XLOOKUP(MIN(ABS($AY$7:$AY$27 - MEDIAN(MIN($AY$7:$AY$27), MAX($AY$7:$AY$27), G25))), ABS($AY$7:$AY$27 - MEDIAN(MIN($AY$7:$AY$27), MAX($AY$7:$AY$27), G25)), $AZ$7:$AZ$27, "Not Found", 0)</f>
        <v>-1</v>
      </c>
      <c r="H54" s="30" cm="1">
        <f t="array" ref="H54">_xlfn.XLOOKUP(MIN(ABS($AY$7:$AY$27 - MEDIAN(MIN($AY$7:$AY$27), MAX($AY$7:$AY$27), H25))), ABS($AY$7:$AY$27 - MEDIAN(MIN($AY$7:$AY$27), MAX($AY$7:$AY$27), H25)), $AZ$7:$AZ$27, "Not Found", 0)</f>
        <v>0</v>
      </c>
      <c r="I54" s="30" cm="1">
        <f t="array" ref="I54">_xlfn.XLOOKUP(MIN(ABS($AY$7:$AY$27 - MEDIAN(MIN($AY$7:$AY$27), MAX($AY$7:$AY$27), I25))), ABS($AY$7:$AY$27 - MEDIAN(MIN($AY$7:$AY$27), MAX($AY$7:$AY$27), I25)), $AZ$7:$AZ$27, "Not Found", 0)</f>
        <v>0</v>
      </c>
      <c r="J54" s="30" cm="1">
        <f t="array" ref="J54">_xlfn.XLOOKUP(MIN(ABS($AY$7:$AY$27 - MEDIAN(MIN($AY$7:$AY$27), MAX($AY$7:$AY$27), J25))), ABS($AY$7:$AY$27 - MEDIAN(MIN($AY$7:$AY$27), MAX($AY$7:$AY$27), J25)), $AZ$7:$AZ$27, "Not Found", 0)</f>
        <v>0</v>
      </c>
      <c r="K54" s="30" cm="1">
        <f t="array" ref="K54">_xlfn.XLOOKUP(MIN(ABS($AY$7:$AY$27 - MEDIAN(MIN($AY$7:$AY$27), MAX($AY$7:$AY$27), K25))), ABS($AY$7:$AY$27 - MEDIAN(MIN($AY$7:$AY$27), MAX($AY$7:$AY$27), K25)), $AZ$7:$AZ$27, "Not Found", 0)</f>
        <v>0</v>
      </c>
      <c r="L54" s="30" cm="1">
        <f t="array" ref="L54">_xlfn.XLOOKUP(MIN(ABS($AY$7:$AY$27 - MEDIAN(MIN($AY$7:$AY$27), MAX($AY$7:$AY$27), L25))), ABS($AY$7:$AY$27 - MEDIAN(MIN($AY$7:$AY$27), MAX($AY$7:$AY$27), L25)), $AZ$7:$AZ$27, "Not Found", 0)</f>
        <v>0</v>
      </c>
      <c r="M54" s="30" cm="1">
        <f t="array" ref="M54">_xlfn.XLOOKUP(MIN(ABS($AY$7:$AY$27 - MEDIAN(MIN($AY$7:$AY$27), MAX($AY$7:$AY$27), M25))), ABS($AY$7:$AY$27 - MEDIAN(MIN($AY$7:$AY$27), MAX($AY$7:$AY$27), M25)), $AZ$7:$AZ$27, "Not Found", 0)</f>
        <v>0</v>
      </c>
      <c r="N54" s="30" cm="1">
        <f t="array" ref="N54">_xlfn.XLOOKUP(MIN(ABS($AY$7:$AY$27 - MEDIAN(MIN($AY$7:$AY$27), MAX($AY$7:$AY$27), N25))), ABS($AY$7:$AY$27 - MEDIAN(MIN($AY$7:$AY$27), MAX($AY$7:$AY$27), N25)), $AZ$7:$AZ$27, "Not Found", 0)</f>
        <v>0</v>
      </c>
      <c r="O54" s="30" cm="1">
        <f t="array" ref="O54">_xlfn.XLOOKUP(MIN(ABS($AY$7:$AY$27 - MEDIAN(MIN($AY$7:$AY$27), MAX($AY$7:$AY$27), O25))), ABS($AY$7:$AY$27 - MEDIAN(MIN($AY$7:$AY$27), MAX($AY$7:$AY$27), O25)), $AZ$7:$AZ$27, "Not Found", 0)</f>
        <v>0</v>
      </c>
      <c r="P54" s="30" cm="1">
        <f t="array" ref="P54">_xlfn.XLOOKUP(MIN(ABS($AY$7:$AY$27 - MEDIAN(MIN($AY$7:$AY$27), MAX($AY$7:$AY$27), P25))), ABS($AY$7:$AY$27 - MEDIAN(MIN($AY$7:$AY$27), MAX($AY$7:$AY$27), P25)), $AZ$7:$AZ$27, "Not Found", 0)</f>
        <v>0</v>
      </c>
      <c r="Q54" s="30" cm="1">
        <f t="array" ref="Q54">_xlfn.XLOOKUP(MIN(ABS($AY$7:$AY$27 - MEDIAN(MIN($AY$7:$AY$27), MAX($AY$7:$AY$27), Q25))), ABS($AY$7:$AY$27 - MEDIAN(MIN($AY$7:$AY$27), MAX($AY$7:$AY$27), Q25)), $AZ$7:$AZ$27, "Not Found", 0)</f>
        <v>0</v>
      </c>
      <c r="R54" s="30" cm="1">
        <f t="array" ref="R54">_xlfn.XLOOKUP(MIN(ABS($AY$7:$AY$27 - MEDIAN(MIN($AY$7:$AY$27), MAX($AY$7:$AY$27), R25))), ABS($AY$7:$AY$27 - MEDIAN(MIN($AY$7:$AY$27), MAX($AY$7:$AY$27), R25)), $AZ$7:$AZ$27, "Not Found", 0)</f>
        <v>0</v>
      </c>
      <c r="S54" s="30" cm="1">
        <f t="array" ref="S54">_xlfn.XLOOKUP(MIN(ABS($AY$7:$AY$27 - MEDIAN(MIN($AY$7:$AY$27), MAX($AY$7:$AY$27), S25))), ABS($AY$7:$AY$27 - MEDIAN(MIN($AY$7:$AY$27), MAX($AY$7:$AY$27), S25)), $AZ$7:$AZ$27, "Not Found", 0)</f>
        <v>0</v>
      </c>
      <c r="T54" s="30" cm="1">
        <f t="array" ref="T54">_xlfn.XLOOKUP(MIN(ABS($AY$7:$AY$27 - MEDIAN(MIN($AY$7:$AY$27), MAX($AY$7:$AY$27), T25))), ABS($AY$7:$AY$27 - MEDIAN(MIN($AY$7:$AY$27), MAX($AY$7:$AY$27), T25)), $AZ$7:$AZ$27, "Not Found", 0)</f>
        <v>3</v>
      </c>
      <c r="U54" s="30" cm="1">
        <f t="array" ref="U54">_xlfn.XLOOKUP(MIN(ABS($AY$7:$AY$27 - MEDIAN(MIN($AY$7:$AY$27), MAX($AY$7:$AY$27), U25))), ABS($AY$7:$AY$27 - MEDIAN(MIN($AY$7:$AY$27), MAX($AY$7:$AY$27), U25)), $AZ$7:$AZ$27, "Not Found", 0)</f>
        <v>3</v>
      </c>
      <c r="V54" s="30" cm="1">
        <f t="array" ref="V54">_xlfn.XLOOKUP(MIN(ABS($AY$7:$AY$27 - MEDIAN(MIN($AY$7:$AY$27), MAX($AY$7:$AY$27), V25))), ABS($AY$7:$AY$27 - MEDIAN(MIN($AY$7:$AY$27), MAX($AY$7:$AY$27), V25)), $AZ$7:$AZ$27, "Not Found", 0)</f>
        <v>3</v>
      </c>
      <c r="W54" s="30" cm="1">
        <f t="array" ref="W54">_xlfn.XLOOKUP(MIN(ABS($AY$7:$AY$27 - MEDIAN(MIN($AY$7:$AY$27), MAX($AY$7:$AY$27), W25))), ABS($AY$7:$AY$27 - MEDIAN(MIN($AY$7:$AY$27), MAX($AY$7:$AY$27), W25)), $AZ$7:$AZ$27, "Not Found", 0)</f>
        <v>0</v>
      </c>
      <c r="X54" s="30" cm="1">
        <f t="array" ref="X54">_xlfn.XLOOKUP(MIN(ABS($AY$7:$AY$27 - MEDIAN(MIN($AY$7:$AY$27), MAX($AY$7:$AY$27), X25))), ABS($AY$7:$AY$27 - MEDIAN(MIN($AY$7:$AY$27), MAX($AY$7:$AY$27), X25)), $AZ$7:$AZ$27, "Not Found", 0)</f>
        <v>0</v>
      </c>
      <c r="Y54" s="30" cm="1">
        <f t="array" ref="Y54">_xlfn.XLOOKUP(MIN(ABS($AY$7:$AY$27 - MEDIAN(MIN($AY$7:$AY$27), MAX($AY$7:$AY$27), Y25))), ABS($AY$7:$AY$27 - MEDIAN(MIN($AY$7:$AY$27), MAX($AY$7:$AY$27), Y25)), $AZ$7:$AZ$27, "Not Found", 0)</f>
        <v>0</v>
      </c>
      <c r="Z54" s="30" cm="1">
        <f t="array" ref="Z54">_xlfn.XLOOKUP(MIN(ABS($AY$7:$AY$27 - MEDIAN(MIN($AY$7:$AY$27), MAX($AY$7:$AY$27), Z25))), ABS($AY$7:$AY$27 - MEDIAN(MIN($AY$7:$AY$27), MAX($AY$7:$AY$27), Z25)), $AZ$7:$AZ$27, "Not Found", 0)</f>
        <v>1</v>
      </c>
      <c r="AA54" s="30" cm="1">
        <f t="array" ref="AA54">_xlfn.XLOOKUP(MIN(ABS($AY$7:$AY$27 - MEDIAN(MIN($AY$7:$AY$27), MAX($AY$7:$AY$27), AA25))), ABS($AY$7:$AY$27 - MEDIAN(MIN($AY$7:$AY$27), MAX($AY$7:$AY$27), AA25)), $AZ$7:$AZ$27, "Not Found", 0)</f>
        <v>1</v>
      </c>
      <c r="AB54" s="30" cm="1">
        <f t="array" ref="AB54">_xlfn.XLOOKUP(MIN(ABS($AY$7:$AY$27 - MEDIAN(MIN($AY$7:$AY$27), MAX($AY$7:$AY$27), AB25))), ABS($AY$7:$AY$27 - MEDIAN(MIN($AY$7:$AY$27), MAX($AY$7:$AY$27), AB25)), $AZ$7:$AZ$27, "Not Found", 0)</f>
        <v>1</v>
      </c>
      <c r="AC54" s="30" cm="1">
        <f t="array" ref="AC54">_xlfn.XLOOKUP(MIN(ABS($AY$7:$AY$27 - MEDIAN(MIN($AY$7:$AY$27), MAX($AY$7:$AY$27), AC25))), ABS($AY$7:$AY$27 - MEDIAN(MIN($AY$7:$AY$27), MAX($AY$7:$AY$27), AC25)), $AZ$7:$AZ$27, "Not Found", 0)</f>
        <v>0</v>
      </c>
      <c r="AD54" s="30" cm="1">
        <f t="array" ref="AD54">_xlfn.XLOOKUP(MIN(ABS($AY$7:$AY$27 - MEDIAN(MIN($AY$7:$AY$27), MAX($AY$7:$AY$27), AD25))), ABS($AY$7:$AY$27 - MEDIAN(MIN($AY$7:$AY$27), MAX($AY$7:$AY$27), AD25)), $AZ$7:$AZ$27, "Not Found", 0)</f>
        <v>0</v>
      </c>
      <c r="AE54" s="30" cm="1">
        <f t="array" ref="AE54">_xlfn.XLOOKUP(MIN(ABS($AY$7:$AY$27 - MEDIAN(MIN($AY$7:$AY$27), MAX($AY$7:$AY$27), AE25))), ABS($AY$7:$AY$27 - MEDIAN(MIN($AY$7:$AY$27), MAX($AY$7:$AY$27), AE25)), $AZ$7:$AZ$27, "Not Found", 0)</f>
        <v>0</v>
      </c>
      <c r="AF54" s="30" cm="1">
        <f t="array" ref="AF54">_xlfn.XLOOKUP(MIN(ABS($AY$7:$AY$27 - MEDIAN(MIN($AY$7:$AY$27), MAX($AY$7:$AY$27), AF25))), ABS($AY$7:$AY$27 - MEDIAN(MIN($AY$7:$AY$27), MAX($AY$7:$AY$27), AF25)), $AZ$7:$AZ$27, "Not Found", 0)</f>
        <v>0</v>
      </c>
      <c r="AG54" s="30" cm="1">
        <f t="array" ref="AG54">_xlfn.XLOOKUP(MIN(ABS($AY$7:$AY$27 - MEDIAN(MIN($AY$7:$AY$27), MAX($AY$7:$AY$27), AG25))), ABS($AY$7:$AY$27 - MEDIAN(MIN($AY$7:$AY$27), MAX($AY$7:$AY$27), AG25)), $AZ$7:$AZ$27, "Not Found", 0)</f>
        <v>0</v>
      </c>
      <c r="AH54" s="30" cm="1">
        <f t="array" ref="AH54">_xlfn.XLOOKUP(MIN(ABS($AY$7:$AY$27 - MEDIAN(MIN($AY$7:$AY$27), MAX($AY$7:$AY$27), AH25))), ABS($AY$7:$AY$27 - MEDIAN(MIN($AY$7:$AY$27), MAX($AY$7:$AY$27), AH25)), $AZ$7:$AZ$27, "Not Found", 0)</f>
        <v>0</v>
      </c>
      <c r="AI54" s="30" cm="1">
        <f t="array" ref="AI54">_xlfn.XLOOKUP(MIN(ABS($AY$7:$AY$27 - MEDIAN(MIN($AY$7:$AY$27), MAX($AY$7:$AY$27), AI25))), ABS($AY$7:$AY$27 - MEDIAN(MIN($AY$7:$AY$27), MAX($AY$7:$AY$27), AI25)), $AZ$7:$AZ$27, "Not Found", 0)</f>
        <v>0</v>
      </c>
      <c r="AJ54" s="30" cm="1">
        <f t="array" ref="AJ54">_xlfn.XLOOKUP(MIN(ABS($AY$7:$AY$27 - MEDIAN(MIN($AY$7:$AY$27), MAX($AY$7:$AY$27), AJ25))), ABS($AY$7:$AY$27 - MEDIAN(MIN($AY$7:$AY$27), MAX($AY$7:$AY$27), AJ25)), $AZ$7:$AZ$27, "Not Found", 0)</f>
        <v>0</v>
      </c>
      <c r="AK54" s="30" cm="1">
        <f t="array" ref="AK54">_xlfn.XLOOKUP(MIN(ABS($AY$7:$AY$27 - MEDIAN(MIN($AY$7:$AY$27), MAX($AY$7:$AY$27), AK25))), ABS($AY$7:$AY$27 - MEDIAN(MIN($AY$7:$AY$27), MAX($AY$7:$AY$27), AK25)), $AZ$7:$AZ$27, "Not Found", 0)</f>
        <v>0</v>
      </c>
      <c r="AL54" s="30" cm="1">
        <f t="array" ref="AL54">_xlfn.XLOOKUP(MIN(ABS($AY$7:$AY$27 - MEDIAN(MIN($AY$7:$AY$27), MAX($AY$7:$AY$27), AL25))), ABS($AY$7:$AY$27 - MEDIAN(MIN($AY$7:$AY$27), MAX($AY$7:$AY$27), AL25)), $AZ$7:$AZ$27, "Not Found", 0)</f>
        <v>0</v>
      </c>
      <c r="AM54" s="30" cm="1">
        <f t="array" ref="AM54">_xlfn.XLOOKUP(MIN(ABS($AY$7:$AY$27 - MEDIAN(MIN($AY$7:$AY$27), MAX($AY$7:$AY$27), AM25))), ABS($AY$7:$AY$27 - MEDIAN(MIN($AY$7:$AY$27), MAX($AY$7:$AY$27), AM25)), $AZ$7:$AZ$27, "Not Found", 0)</f>
        <v>0</v>
      </c>
      <c r="AN54" s="30" cm="1">
        <f t="array" ref="AN54">_xlfn.XLOOKUP(MIN(ABS($AY$7:$AY$27 - MEDIAN(MIN($AY$7:$AY$27), MAX($AY$7:$AY$27), AN25))), ABS($AY$7:$AY$27 - MEDIAN(MIN($AY$7:$AY$27), MAX($AY$7:$AY$27), AN25)), $AZ$7:$AZ$27, "Not Found", 0)</f>
        <v>0</v>
      </c>
      <c r="AO54" s="30" cm="1">
        <f t="array" ref="AO54">_xlfn.XLOOKUP(MIN(ABS($AY$7:$AY$27 - MEDIAN(MIN($AY$7:$AY$27), MAX($AY$7:$AY$27), AO25))), ABS($AY$7:$AY$27 - MEDIAN(MIN($AY$7:$AY$27), MAX($AY$7:$AY$27), AO25)), $AZ$7:$AZ$27, "Not Found", 0)</f>
        <v>0</v>
      </c>
      <c r="AP54" s="30" cm="1">
        <f t="array" ref="AP54">_xlfn.XLOOKUP(MIN(ABS($AY$7:$AY$27 - MEDIAN(MIN($AY$7:$AY$27), MAX($AY$7:$AY$27), AP25))), ABS($AY$7:$AY$27 - MEDIAN(MIN($AY$7:$AY$27), MAX($AY$7:$AY$27), AP25)), $AZ$7:$AZ$27, "Not Found", 0)</f>
        <v>0</v>
      </c>
      <c r="AQ54" s="30" cm="1">
        <f t="array" ref="AQ54">_xlfn.XLOOKUP(MIN(ABS($AY$7:$AY$27 - MEDIAN(MIN($AY$7:$AY$27), MAX($AY$7:$AY$27), AQ25))), ABS($AY$7:$AY$27 - MEDIAN(MIN($AY$7:$AY$27), MAX($AY$7:$AY$27), AQ25)), $AZ$7:$AZ$27, "Not Found", 0)</f>
        <v>0</v>
      </c>
      <c r="AR54" s="30" cm="1">
        <f t="array" ref="AR54">_xlfn.XLOOKUP(MIN(ABS($AY$7:$AY$27 - MEDIAN(MIN($AY$7:$AY$27), MAX($AY$7:$AY$27), AR25))), ABS($AY$7:$AY$27 - MEDIAN(MIN($AY$7:$AY$27), MAX($AY$7:$AY$27), AR25)), $AZ$7:$AZ$27, "Not Found", 0)</f>
        <v>0</v>
      </c>
      <c r="AS54" s="30" cm="1">
        <f t="array" ref="AS54">_xlfn.XLOOKUP(MIN(ABS($AY$7:$AY$27 - MEDIAN(MIN($AY$7:$AY$27), MAX($AY$7:$AY$27), AS25))), ABS($AY$7:$AY$27 - MEDIAN(MIN($AY$7:$AY$27), MAX($AY$7:$AY$27), AS25)), $AZ$7:$AZ$27, "Not Found", 0)</f>
        <v>0</v>
      </c>
      <c r="AT54" s="30" cm="1">
        <f t="array" ref="AT54">_xlfn.XLOOKUP(MIN(ABS($AY$7:$AY$27 - MEDIAN(MIN($AY$7:$AY$27), MAX($AY$7:$AY$27), AT25))), ABS($AY$7:$AY$27 - MEDIAN(MIN($AY$7:$AY$27), MAX($AY$7:$AY$27), AT25)), $AZ$7:$AZ$27, "Not Found", 0)</f>
        <v>0</v>
      </c>
      <c r="AU54" s="30" cm="1">
        <f t="array" ref="AU54">_xlfn.XLOOKUP(MIN(ABS($AY$7:$AY$27 - MEDIAN(MIN($AY$7:$AY$27), MAX($AY$7:$AY$27), AU25))), ABS($AY$7:$AY$27 - MEDIAN(MIN($AY$7:$AY$27), MAX($AY$7:$AY$27), AU25)), $AZ$7:$AZ$27, "Not Found", 0)</f>
        <v>0</v>
      </c>
      <c r="AV54" s="30" cm="1">
        <f t="array" ref="AV54">_xlfn.XLOOKUP(MIN(ABS($AY$7:$AY$27 - MEDIAN(MIN($AY$7:$AY$27), MAX($AY$7:$AY$27), AV25))), ABS($AY$7:$AY$27 - MEDIAN(MIN($AY$7:$AY$27), MAX($AY$7:$AY$27), AV25)), $AZ$7:$AZ$27, "Not Found", 0)</f>
        <v>0</v>
      </c>
      <c r="AW54" s="30" cm="1">
        <f t="array" ref="AW54">_xlfn.XLOOKUP(MIN(ABS($AY$7:$AY$27 - MEDIAN(MIN($AY$7:$AY$27), MAX($AY$7:$AY$27), AW25))), ABS($AY$7:$AY$27 - MEDIAN(MIN($AY$7:$AY$27), MAX($AY$7:$AY$27), AW25)), $AZ$7:$AZ$27, "Not Found", 0)</f>
        <v>0</v>
      </c>
    </row>
    <row r="55" spans="1:49" ht="25" customHeight="1">
      <c r="A55" s="48" t="s">
        <v>52</v>
      </c>
      <c r="B55" s="30" cm="1">
        <f t="array" ref="B55">_xlfn.XLOOKUP(MIN(ABS($AY$7:$AY$27 - MEDIAN(MIN($AY$7:$AY$27), MAX($AY$7:$AY$27), B26))), ABS($AY$7:$AY$27 - MEDIAN(MIN($AY$7:$AY$27), MAX($AY$7:$AY$27), B26)), $AZ$7:$AZ$27, "Not Found", 0)</f>
        <v>-3</v>
      </c>
      <c r="C55" s="30" cm="1">
        <f t="array" ref="C55">_xlfn.XLOOKUP(MIN(ABS($AY$7:$AY$27 - MEDIAN(MIN($AY$7:$AY$27), MAX($AY$7:$AY$27), C26))), ABS($AY$7:$AY$27 - MEDIAN(MIN($AY$7:$AY$27), MAX($AY$7:$AY$27), C26)), $AZ$7:$AZ$27, "Not Found", 0)</f>
        <v>-3</v>
      </c>
      <c r="D55" s="30" cm="1">
        <f t="array" ref="D55">_xlfn.XLOOKUP(MIN(ABS($AY$7:$AY$27 - MEDIAN(MIN($AY$7:$AY$27), MAX($AY$7:$AY$27), D26))), ABS($AY$7:$AY$27 - MEDIAN(MIN($AY$7:$AY$27), MAX($AY$7:$AY$27), D26)), $AZ$7:$AZ$27, "Not Found", 0)</f>
        <v>-3</v>
      </c>
      <c r="E55" s="30" cm="1">
        <f t="array" ref="E55">_xlfn.XLOOKUP(MIN(ABS($AY$7:$AY$27 - MEDIAN(MIN($AY$7:$AY$27), MAX($AY$7:$AY$27), E26))), ABS($AY$7:$AY$27 - MEDIAN(MIN($AY$7:$AY$27), MAX($AY$7:$AY$27), E26)), $AZ$7:$AZ$27, "Not Found", 0)</f>
        <v>-6</v>
      </c>
      <c r="F55" s="30" cm="1">
        <f t="array" ref="F55">_xlfn.XLOOKUP(MIN(ABS($AY$7:$AY$27 - MEDIAN(MIN($AY$7:$AY$27), MAX($AY$7:$AY$27), F26))), ABS($AY$7:$AY$27 - MEDIAN(MIN($AY$7:$AY$27), MAX($AY$7:$AY$27), F26)), $AZ$7:$AZ$27, "Not Found", 0)</f>
        <v>-6</v>
      </c>
      <c r="G55" s="30" cm="1">
        <f t="array" ref="G55">_xlfn.XLOOKUP(MIN(ABS($AY$7:$AY$27 - MEDIAN(MIN($AY$7:$AY$27), MAX($AY$7:$AY$27), G26))), ABS($AY$7:$AY$27 - MEDIAN(MIN($AY$7:$AY$27), MAX($AY$7:$AY$27), G26)), $AZ$7:$AZ$27, "Not Found", 0)</f>
        <v>-6</v>
      </c>
      <c r="H55" s="30" cm="1">
        <f t="array" ref="H55">_xlfn.XLOOKUP(MIN(ABS($AY$7:$AY$27 - MEDIAN(MIN($AY$7:$AY$27), MAX($AY$7:$AY$27), H26))), ABS($AY$7:$AY$27 - MEDIAN(MIN($AY$7:$AY$27), MAX($AY$7:$AY$27), H26)), $AZ$7:$AZ$27, "Not Found", 0)</f>
        <v>-3</v>
      </c>
      <c r="I55" s="30" cm="1">
        <f t="array" ref="I55">_xlfn.XLOOKUP(MIN(ABS($AY$7:$AY$27 - MEDIAN(MIN($AY$7:$AY$27), MAX($AY$7:$AY$27), I26))), ABS($AY$7:$AY$27 - MEDIAN(MIN($AY$7:$AY$27), MAX($AY$7:$AY$27), I26)), $AZ$7:$AZ$27, "Not Found", 0)</f>
        <v>-3</v>
      </c>
      <c r="J55" s="30" cm="1">
        <f t="array" ref="J55">_xlfn.XLOOKUP(MIN(ABS($AY$7:$AY$27 - MEDIAN(MIN($AY$7:$AY$27), MAX($AY$7:$AY$27), J26))), ABS($AY$7:$AY$27 - MEDIAN(MIN($AY$7:$AY$27), MAX($AY$7:$AY$27), J26)), $AZ$7:$AZ$27, "Not Found", 0)</f>
        <v>-3</v>
      </c>
      <c r="K55" s="30" cm="1">
        <f t="array" ref="K55">_xlfn.XLOOKUP(MIN(ABS($AY$7:$AY$27 - MEDIAN(MIN($AY$7:$AY$27), MAX($AY$7:$AY$27), K26))), ABS($AY$7:$AY$27 - MEDIAN(MIN($AY$7:$AY$27), MAX($AY$7:$AY$27), K26)), $AZ$7:$AZ$27, "Not Found", 0)</f>
        <v>-5</v>
      </c>
      <c r="L55" s="30" cm="1">
        <f t="array" ref="L55">_xlfn.XLOOKUP(MIN(ABS($AY$7:$AY$27 - MEDIAN(MIN($AY$7:$AY$27), MAX($AY$7:$AY$27), L26))), ABS($AY$7:$AY$27 - MEDIAN(MIN($AY$7:$AY$27), MAX($AY$7:$AY$27), L26)), $AZ$7:$AZ$27, "Not Found", 0)</f>
        <v>-5</v>
      </c>
      <c r="M55" s="30" cm="1">
        <f t="array" ref="M55">_xlfn.XLOOKUP(MIN(ABS($AY$7:$AY$27 - MEDIAN(MIN($AY$7:$AY$27), MAX($AY$7:$AY$27), M26))), ABS($AY$7:$AY$27 - MEDIAN(MIN($AY$7:$AY$27), MAX($AY$7:$AY$27), M26)), $AZ$7:$AZ$27, "Not Found", 0)</f>
        <v>-5</v>
      </c>
      <c r="N55" s="30" cm="1">
        <f t="array" ref="N55">_xlfn.XLOOKUP(MIN(ABS($AY$7:$AY$27 - MEDIAN(MIN($AY$7:$AY$27), MAX($AY$7:$AY$27), N26))), ABS($AY$7:$AY$27 - MEDIAN(MIN($AY$7:$AY$27), MAX($AY$7:$AY$27), N26)), $AZ$7:$AZ$27, "Not Found", 0)</f>
        <v>-4</v>
      </c>
      <c r="O55" s="30" cm="1">
        <f t="array" ref="O55">_xlfn.XLOOKUP(MIN(ABS($AY$7:$AY$27 - MEDIAN(MIN($AY$7:$AY$27), MAX($AY$7:$AY$27), O26))), ABS($AY$7:$AY$27 - MEDIAN(MIN($AY$7:$AY$27), MAX($AY$7:$AY$27), O26)), $AZ$7:$AZ$27, "Not Found", 0)</f>
        <v>-4</v>
      </c>
      <c r="P55" s="30" cm="1">
        <f t="array" ref="P55">_xlfn.XLOOKUP(MIN(ABS($AY$7:$AY$27 - MEDIAN(MIN($AY$7:$AY$27), MAX($AY$7:$AY$27), P26))), ABS($AY$7:$AY$27 - MEDIAN(MIN($AY$7:$AY$27), MAX($AY$7:$AY$27), P26)), $AZ$7:$AZ$27, "Not Found", 0)</f>
        <v>-4</v>
      </c>
      <c r="Q55" s="30" cm="1">
        <f t="array" ref="Q55">_xlfn.XLOOKUP(MIN(ABS($AY$7:$AY$27 - MEDIAN(MIN($AY$7:$AY$27), MAX($AY$7:$AY$27), Q26))), ABS($AY$7:$AY$27 - MEDIAN(MIN($AY$7:$AY$27), MAX($AY$7:$AY$27), Q26)), $AZ$7:$AZ$27, "Not Found", 0)</f>
        <v>-5</v>
      </c>
      <c r="R55" s="30" cm="1">
        <f t="array" ref="R55">_xlfn.XLOOKUP(MIN(ABS($AY$7:$AY$27 - MEDIAN(MIN($AY$7:$AY$27), MAX($AY$7:$AY$27), R26))), ABS($AY$7:$AY$27 - MEDIAN(MIN($AY$7:$AY$27), MAX($AY$7:$AY$27), R26)), $AZ$7:$AZ$27, "Not Found", 0)</f>
        <v>-5</v>
      </c>
      <c r="S55" s="30" cm="1">
        <f t="array" ref="S55">_xlfn.XLOOKUP(MIN(ABS($AY$7:$AY$27 - MEDIAN(MIN($AY$7:$AY$27), MAX($AY$7:$AY$27), S26))), ABS($AY$7:$AY$27 - MEDIAN(MIN($AY$7:$AY$27), MAX($AY$7:$AY$27), S26)), $AZ$7:$AZ$27, "Not Found", 0)</f>
        <v>-5</v>
      </c>
      <c r="T55" s="30" cm="1">
        <f t="array" ref="T55">_xlfn.XLOOKUP(MIN(ABS($AY$7:$AY$27 - MEDIAN(MIN($AY$7:$AY$27), MAX($AY$7:$AY$27), T26))), ABS($AY$7:$AY$27 - MEDIAN(MIN($AY$7:$AY$27), MAX($AY$7:$AY$27), T26)), $AZ$7:$AZ$27, "Not Found", 0)</f>
        <v>-1</v>
      </c>
      <c r="U55" s="30" cm="1">
        <f t="array" ref="U55">_xlfn.XLOOKUP(MIN(ABS($AY$7:$AY$27 - MEDIAN(MIN($AY$7:$AY$27), MAX($AY$7:$AY$27), U26))), ABS($AY$7:$AY$27 - MEDIAN(MIN($AY$7:$AY$27), MAX($AY$7:$AY$27), U26)), $AZ$7:$AZ$27, "Not Found", 0)</f>
        <v>-1</v>
      </c>
      <c r="V55" s="30" cm="1">
        <f t="array" ref="V55">_xlfn.XLOOKUP(MIN(ABS($AY$7:$AY$27 - MEDIAN(MIN($AY$7:$AY$27), MAX($AY$7:$AY$27), V26))), ABS($AY$7:$AY$27 - MEDIAN(MIN($AY$7:$AY$27), MAX($AY$7:$AY$27), V26)), $AZ$7:$AZ$27, "Not Found", 0)</f>
        <v>-1</v>
      </c>
      <c r="W55" s="30" cm="1">
        <f t="array" ref="W55">_xlfn.XLOOKUP(MIN(ABS($AY$7:$AY$27 - MEDIAN(MIN($AY$7:$AY$27), MAX($AY$7:$AY$27), W26))), ABS($AY$7:$AY$27 - MEDIAN(MIN($AY$7:$AY$27), MAX($AY$7:$AY$27), W26)), $AZ$7:$AZ$27, "Not Found", 0)</f>
        <v>-6</v>
      </c>
      <c r="X55" s="30" cm="1">
        <f t="array" ref="X55">_xlfn.XLOOKUP(MIN(ABS($AY$7:$AY$27 - MEDIAN(MIN($AY$7:$AY$27), MAX($AY$7:$AY$27), X26))), ABS($AY$7:$AY$27 - MEDIAN(MIN($AY$7:$AY$27), MAX($AY$7:$AY$27), X26)), $AZ$7:$AZ$27, "Not Found", 0)</f>
        <v>-6</v>
      </c>
      <c r="Y55" s="30" cm="1">
        <f t="array" ref="Y55">_xlfn.XLOOKUP(MIN(ABS($AY$7:$AY$27 - MEDIAN(MIN($AY$7:$AY$27), MAX($AY$7:$AY$27), Y26))), ABS($AY$7:$AY$27 - MEDIAN(MIN($AY$7:$AY$27), MAX($AY$7:$AY$27), Y26)), $AZ$7:$AZ$27, "Not Found", 0)</f>
        <v>-6</v>
      </c>
      <c r="Z55" s="30" cm="1">
        <f t="array" ref="Z55">_xlfn.XLOOKUP(MIN(ABS($AY$7:$AY$27 - MEDIAN(MIN($AY$7:$AY$27), MAX($AY$7:$AY$27), Z26))), ABS($AY$7:$AY$27 - MEDIAN(MIN($AY$7:$AY$27), MAX($AY$7:$AY$27), Z26)), $AZ$7:$AZ$27, "Not Found", 0)</f>
        <v>-5</v>
      </c>
      <c r="AA55" s="30" cm="1">
        <f t="array" ref="AA55">_xlfn.XLOOKUP(MIN(ABS($AY$7:$AY$27 - MEDIAN(MIN($AY$7:$AY$27), MAX($AY$7:$AY$27), AA26))), ABS($AY$7:$AY$27 - MEDIAN(MIN($AY$7:$AY$27), MAX($AY$7:$AY$27), AA26)), $AZ$7:$AZ$27, "Not Found", 0)</f>
        <v>-5</v>
      </c>
      <c r="AB55" s="30" cm="1">
        <f t="array" ref="AB55">_xlfn.XLOOKUP(MIN(ABS($AY$7:$AY$27 - MEDIAN(MIN($AY$7:$AY$27), MAX($AY$7:$AY$27), AB26))), ABS($AY$7:$AY$27 - MEDIAN(MIN($AY$7:$AY$27), MAX($AY$7:$AY$27), AB26)), $AZ$7:$AZ$27, "Not Found", 0)</f>
        <v>-5</v>
      </c>
      <c r="AC55" s="30" cm="1">
        <f t="array" ref="AC55">_xlfn.XLOOKUP(MIN(ABS($AY$7:$AY$27 - MEDIAN(MIN($AY$7:$AY$27), MAX($AY$7:$AY$27), AC26))), ABS($AY$7:$AY$27 - MEDIAN(MIN($AY$7:$AY$27), MAX($AY$7:$AY$27), AC26)), $AZ$7:$AZ$27, "Not Found", 0)</f>
        <v>-5</v>
      </c>
      <c r="AD55" s="30" cm="1">
        <f t="array" ref="AD55">_xlfn.XLOOKUP(MIN(ABS($AY$7:$AY$27 - MEDIAN(MIN($AY$7:$AY$27), MAX($AY$7:$AY$27), AD26))), ABS($AY$7:$AY$27 - MEDIAN(MIN($AY$7:$AY$27), MAX($AY$7:$AY$27), AD26)), $AZ$7:$AZ$27, "Not Found", 0)</f>
        <v>-5</v>
      </c>
      <c r="AE55" s="30" cm="1">
        <f t="array" ref="AE55">_xlfn.XLOOKUP(MIN(ABS($AY$7:$AY$27 - MEDIAN(MIN($AY$7:$AY$27), MAX($AY$7:$AY$27), AE26))), ABS($AY$7:$AY$27 - MEDIAN(MIN($AY$7:$AY$27), MAX($AY$7:$AY$27), AE26)), $AZ$7:$AZ$27, "Not Found", 0)</f>
        <v>-5</v>
      </c>
      <c r="AF55" s="30" cm="1">
        <f t="array" ref="AF55">_xlfn.XLOOKUP(MIN(ABS($AY$7:$AY$27 - MEDIAN(MIN($AY$7:$AY$27), MAX($AY$7:$AY$27), AF26))), ABS($AY$7:$AY$27 - MEDIAN(MIN($AY$7:$AY$27), MAX($AY$7:$AY$27), AF26)), $AZ$7:$AZ$27, "Not Found", 0)</f>
        <v>-5</v>
      </c>
      <c r="AG55" s="30" cm="1">
        <f t="array" ref="AG55">_xlfn.XLOOKUP(MIN(ABS($AY$7:$AY$27 - MEDIAN(MIN($AY$7:$AY$27), MAX($AY$7:$AY$27), AG26))), ABS($AY$7:$AY$27 - MEDIAN(MIN($AY$7:$AY$27), MAX($AY$7:$AY$27), AG26)), $AZ$7:$AZ$27, "Not Found", 0)</f>
        <v>-5</v>
      </c>
      <c r="AH55" s="30" cm="1">
        <f t="array" ref="AH55">_xlfn.XLOOKUP(MIN(ABS($AY$7:$AY$27 - MEDIAN(MIN($AY$7:$AY$27), MAX($AY$7:$AY$27), AH26))), ABS($AY$7:$AY$27 - MEDIAN(MIN($AY$7:$AY$27), MAX($AY$7:$AY$27), AH26)), $AZ$7:$AZ$27, "Not Found", 0)</f>
        <v>-5</v>
      </c>
      <c r="AI55" s="30" cm="1">
        <f t="array" ref="AI55">_xlfn.XLOOKUP(MIN(ABS($AY$7:$AY$27 - MEDIAN(MIN($AY$7:$AY$27), MAX($AY$7:$AY$27), AI26))), ABS($AY$7:$AY$27 - MEDIAN(MIN($AY$7:$AY$27), MAX($AY$7:$AY$27), AI26)), $AZ$7:$AZ$27, "Not Found", 0)</f>
        <v>-5</v>
      </c>
      <c r="AJ55" s="30" cm="1">
        <f t="array" ref="AJ55">_xlfn.XLOOKUP(MIN(ABS($AY$7:$AY$27 - MEDIAN(MIN($AY$7:$AY$27), MAX($AY$7:$AY$27), AJ26))), ABS($AY$7:$AY$27 - MEDIAN(MIN($AY$7:$AY$27), MAX($AY$7:$AY$27), AJ26)), $AZ$7:$AZ$27, "Not Found", 0)</f>
        <v>-5</v>
      </c>
      <c r="AK55" s="30" cm="1">
        <f t="array" ref="AK55">_xlfn.XLOOKUP(MIN(ABS($AY$7:$AY$27 - MEDIAN(MIN($AY$7:$AY$27), MAX($AY$7:$AY$27), AK26))), ABS($AY$7:$AY$27 - MEDIAN(MIN($AY$7:$AY$27), MAX($AY$7:$AY$27), AK26)), $AZ$7:$AZ$27, "Not Found", 0)</f>
        <v>-5</v>
      </c>
      <c r="AL55" s="30" cm="1">
        <f t="array" ref="AL55">_xlfn.XLOOKUP(MIN(ABS($AY$7:$AY$27 - MEDIAN(MIN($AY$7:$AY$27), MAX($AY$7:$AY$27), AL26))), ABS($AY$7:$AY$27 - MEDIAN(MIN($AY$7:$AY$27), MAX($AY$7:$AY$27), AL26)), $AZ$7:$AZ$27, "Not Found", 0)</f>
        <v>-6</v>
      </c>
      <c r="AM55" s="30" cm="1">
        <f t="array" ref="AM55">_xlfn.XLOOKUP(MIN(ABS($AY$7:$AY$27 - MEDIAN(MIN($AY$7:$AY$27), MAX($AY$7:$AY$27), AM26))), ABS($AY$7:$AY$27 - MEDIAN(MIN($AY$7:$AY$27), MAX($AY$7:$AY$27), AM26)), $AZ$7:$AZ$27, "Not Found", 0)</f>
        <v>-6</v>
      </c>
      <c r="AN55" s="30" cm="1">
        <f t="array" ref="AN55">_xlfn.XLOOKUP(MIN(ABS($AY$7:$AY$27 - MEDIAN(MIN($AY$7:$AY$27), MAX($AY$7:$AY$27), AN26))), ABS($AY$7:$AY$27 - MEDIAN(MIN($AY$7:$AY$27), MAX($AY$7:$AY$27), AN26)), $AZ$7:$AZ$27, "Not Found", 0)</f>
        <v>-6</v>
      </c>
      <c r="AO55" s="30" cm="1">
        <f t="array" ref="AO55">_xlfn.XLOOKUP(MIN(ABS($AY$7:$AY$27 - MEDIAN(MIN($AY$7:$AY$27), MAX($AY$7:$AY$27), AO26))), ABS($AY$7:$AY$27 - MEDIAN(MIN($AY$7:$AY$27), MAX($AY$7:$AY$27), AO26)), $AZ$7:$AZ$27, "Not Found", 0)</f>
        <v>-5</v>
      </c>
      <c r="AP55" s="30" cm="1">
        <f t="array" ref="AP55">_xlfn.XLOOKUP(MIN(ABS($AY$7:$AY$27 - MEDIAN(MIN($AY$7:$AY$27), MAX($AY$7:$AY$27), AP26))), ABS($AY$7:$AY$27 - MEDIAN(MIN($AY$7:$AY$27), MAX($AY$7:$AY$27), AP26)), $AZ$7:$AZ$27, "Not Found", 0)</f>
        <v>-5</v>
      </c>
      <c r="AQ55" s="30" cm="1">
        <f t="array" ref="AQ55">_xlfn.XLOOKUP(MIN(ABS($AY$7:$AY$27 - MEDIAN(MIN($AY$7:$AY$27), MAX($AY$7:$AY$27), AQ26))), ABS($AY$7:$AY$27 - MEDIAN(MIN($AY$7:$AY$27), MAX($AY$7:$AY$27), AQ26)), $AZ$7:$AZ$27, "Not Found", 0)</f>
        <v>-5</v>
      </c>
      <c r="AR55" s="30" cm="1">
        <f t="array" ref="AR55">_xlfn.XLOOKUP(MIN(ABS($AY$7:$AY$27 - MEDIAN(MIN($AY$7:$AY$27), MAX($AY$7:$AY$27), AR26))), ABS($AY$7:$AY$27 - MEDIAN(MIN($AY$7:$AY$27), MAX($AY$7:$AY$27), AR26)), $AZ$7:$AZ$27, "Not Found", 0)</f>
        <v>-5</v>
      </c>
      <c r="AS55" s="30" cm="1">
        <f t="array" ref="AS55">_xlfn.XLOOKUP(MIN(ABS($AY$7:$AY$27 - MEDIAN(MIN($AY$7:$AY$27), MAX($AY$7:$AY$27), AS26))), ABS($AY$7:$AY$27 - MEDIAN(MIN($AY$7:$AY$27), MAX($AY$7:$AY$27), AS26)), $AZ$7:$AZ$27, "Not Found", 0)</f>
        <v>-5</v>
      </c>
      <c r="AT55" s="30" cm="1">
        <f t="array" ref="AT55">_xlfn.XLOOKUP(MIN(ABS($AY$7:$AY$27 - MEDIAN(MIN($AY$7:$AY$27), MAX($AY$7:$AY$27), AT26))), ABS($AY$7:$AY$27 - MEDIAN(MIN($AY$7:$AY$27), MAX($AY$7:$AY$27), AT26)), $AZ$7:$AZ$27, "Not Found", 0)</f>
        <v>-5</v>
      </c>
      <c r="AU55" s="30" cm="1">
        <f t="array" ref="AU55">_xlfn.XLOOKUP(MIN(ABS($AY$7:$AY$27 - MEDIAN(MIN($AY$7:$AY$27), MAX($AY$7:$AY$27), AU26))), ABS($AY$7:$AY$27 - MEDIAN(MIN($AY$7:$AY$27), MAX($AY$7:$AY$27), AU26)), $AZ$7:$AZ$27, "Not Found", 0)</f>
        <v>0</v>
      </c>
      <c r="AV55" s="30" cm="1">
        <f t="array" ref="AV55">_xlfn.XLOOKUP(MIN(ABS($AY$7:$AY$27 - MEDIAN(MIN($AY$7:$AY$27), MAX($AY$7:$AY$27), AV26))), ABS($AY$7:$AY$27 - MEDIAN(MIN($AY$7:$AY$27), MAX($AY$7:$AY$27), AV26)), $AZ$7:$AZ$27, "Not Found", 0)</f>
        <v>0</v>
      </c>
      <c r="AW55" s="30" cm="1">
        <f t="array" ref="AW55">_xlfn.XLOOKUP(MIN(ABS($AY$7:$AY$27 - MEDIAN(MIN($AY$7:$AY$27), MAX($AY$7:$AY$27), AW26))), ABS($AY$7:$AY$27 - MEDIAN(MIN($AY$7:$AY$27), MAX($AY$7:$AY$27), AW26)), $AZ$7:$AZ$27, "Not Found", 0)</f>
        <v>0</v>
      </c>
    </row>
    <row r="56" spans="1:49" ht="25" customHeight="1">
      <c r="A56" s="48" t="s">
        <v>53</v>
      </c>
      <c r="B56" s="30" cm="1">
        <f t="array" ref="B56">_xlfn.XLOOKUP(MIN(ABS($AY$7:$AY$27 - MEDIAN(MIN($AY$7:$AY$27), MAX($AY$7:$AY$27), B27))), ABS($AY$7:$AY$27 - MEDIAN(MIN($AY$7:$AY$27), MAX($AY$7:$AY$27), B27)), $AZ$7:$AZ$27, "Not Found", 0)</f>
        <v>-6</v>
      </c>
      <c r="C56" s="30" cm="1">
        <f t="array" ref="C56">_xlfn.XLOOKUP(MIN(ABS($AY$7:$AY$27 - MEDIAN(MIN($AY$7:$AY$27), MAX($AY$7:$AY$27), C27))), ABS($AY$7:$AY$27 - MEDIAN(MIN($AY$7:$AY$27), MAX($AY$7:$AY$27), C27)), $AZ$7:$AZ$27, "Not Found", 0)</f>
        <v>-6</v>
      </c>
      <c r="D56" s="30" cm="1">
        <f t="array" ref="D56">_xlfn.XLOOKUP(MIN(ABS($AY$7:$AY$27 - MEDIAN(MIN($AY$7:$AY$27), MAX($AY$7:$AY$27), D27))), ABS($AY$7:$AY$27 - MEDIAN(MIN($AY$7:$AY$27), MAX($AY$7:$AY$27), D27)), $AZ$7:$AZ$27, "Not Found", 0)</f>
        <v>-6</v>
      </c>
      <c r="E56" s="30" cm="1">
        <f t="array" ref="E56">_xlfn.XLOOKUP(MIN(ABS($AY$7:$AY$27 - MEDIAN(MIN($AY$7:$AY$27), MAX($AY$7:$AY$27), E27))), ABS($AY$7:$AY$27 - MEDIAN(MIN($AY$7:$AY$27), MAX($AY$7:$AY$27), E27)), $AZ$7:$AZ$27, "Not Found", 0)</f>
        <v>-9</v>
      </c>
      <c r="F56" s="30" cm="1">
        <f t="array" ref="F56">_xlfn.XLOOKUP(MIN(ABS($AY$7:$AY$27 - MEDIAN(MIN($AY$7:$AY$27), MAX($AY$7:$AY$27), F27))), ABS($AY$7:$AY$27 - MEDIAN(MIN($AY$7:$AY$27), MAX($AY$7:$AY$27), F27)), $AZ$7:$AZ$27, "Not Found", 0)</f>
        <v>-9</v>
      </c>
      <c r="G56" s="30" cm="1">
        <f t="array" ref="G56">_xlfn.XLOOKUP(MIN(ABS($AY$7:$AY$27 - MEDIAN(MIN($AY$7:$AY$27), MAX($AY$7:$AY$27), G27))), ABS($AY$7:$AY$27 - MEDIAN(MIN($AY$7:$AY$27), MAX($AY$7:$AY$27), G27)), $AZ$7:$AZ$27, "Not Found", 0)</f>
        <v>-9</v>
      </c>
      <c r="H56" s="30" cm="1">
        <f t="array" ref="H56">_xlfn.XLOOKUP(MIN(ABS($AY$7:$AY$27 - MEDIAN(MIN($AY$7:$AY$27), MAX($AY$7:$AY$27), H27))), ABS($AY$7:$AY$27 - MEDIAN(MIN($AY$7:$AY$27), MAX($AY$7:$AY$27), H27)), $AZ$7:$AZ$27, "Not Found", 0)</f>
        <v>-7</v>
      </c>
      <c r="I56" s="30" cm="1">
        <f t="array" ref="I56">_xlfn.XLOOKUP(MIN(ABS($AY$7:$AY$27 - MEDIAN(MIN($AY$7:$AY$27), MAX($AY$7:$AY$27), I27))), ABS($AY$7:$AY$27 - MEDIAN(MIN($AY$7:$AY$27), MAX($AY$7:$AY$27), I27)), $AZ$7:$AZ$27, "Not Found", 0)</f>
        <v>-7</v>
      </c>
      <c r="J56" s="30" cm="1">
        <f t="array" ref="J56">_xlfn.XLOOKUP(MIN(ABS($AY$7:$AY$27 - MEDIAN(MIN($AY$7:$AY$27), MAX($AY$7:$AY$27), J27))), ABS($AY$7:$AY$27 - MEDIAN(MIN($AY$7:$AY$27), MAX($AY$7:$AY$27), J27)), $AZ$7:$AZ$27, "Not Found", 0)</f>
        <v>-7</v>
      </c>
      <c r="K56" s="30" cm="1">
        <f t="array" ref="K56">_xlfn.XLOOKUP(MIN(ABS($AY$7:$AY$27 - MEDIAN(MIN($AY$7:$AY$27), MAX($AY$7:$AY$27), K27))), ABS($AY$7:$AY$27 - MEDIAN(MIN($AY$7:$AY$27), MAX($AY$7:$AY$27), K27)), $AZ$7:$AZ$27, "Not Found", 0)</f>
        <v>-2</v>
      </c>
      <c r="L56" s="30" cm="1">
        <f t="array" ref="L56">_xlfn.XLOOKUP(MIN(ABS($AY$7:$AY$27 - MEDIAN(MIN($AY$7:$AY$27), MAX($AY$7:$AY$27), L27))), ABS($AY$7:$AY$27 - MEDIAN(MIN($AY$7:$AY$27), MAX($AY$7:$AY$27), L27)), $AZ$7:$AZ$27, "Not Found", 0)</f>
        <v>-2</v>
      </c>
      <c r="M56" s="30" cm="1">
        <f t="array" ref="M56">_xlfn.XLOOKUP(MIN(ABS($AY$7:$AY$27 - MEDIAN(MIN($AY$7:$AY$27), MAX($AY$7:$AY$27), M27))), ABS($AY$7:$AY$27 - MEDIAN(MIN($AY$7:$AY$27), MAX($AY$7:$AY$27), M27)), $AZ$7:$AZ$27, "Not Found", 0)</f>
        <v>-2</v>
      </c>
      <c r="N56" s="30" cm="1">
        <f t="array" ref="N56">_xlfn.XLOOKUP(MIN(ABS($AY$7:$AY$27 - MEDIAN(MIN($AY$7:$AY$27), MAX($AY$7:$AY$27), N27))), ABS($AY$7:$AY$27 - MEDIAN(MIN($AY$7:$AY$27), MAX($AY$7:$AY$27), N27)), $AZ$7:$AZ$27, "Not Found", 0)</f>
        <v>-10</v>
      </c>
      <c r="O56" s="30" cm="1">
        <f t="array" ref="O56">_xlfn.XLOOKUP(MIN(ABS($AY$7:$AY$27 - MEDIAN(MIN($AY$7:$AY$27), MAX($AY$7:$AY$27), O27))), ABS($AY$7:$AY$27 - MEDIAN(MIN($AY$7:$AY$27), MAX($AY$7:$AY$27), O27)), $AZ$7:$AZ$27, "Not Found", 0)</f>
        <v>-10</v>
      </c>
      <c r="P56" s="30" cm="1">
        <f t="array" ref="P56">_xlfn.XLOOKUP(MIN(ABS($AY$7:$AY$27 - MEDIAN(MIN($AY$7:$AY$27), MAX($AY$7:$AY$27), P27))), ABS($AY$7:$AY$27 - MEDIAN(MIN($AY$7:$AY$27), MAX($AY$7:$AY$27), P27)), $AZ$7:$AZ$27, "Not Found", 0)</f>
        <v>-10</v>
      </c>
      <c r="Q56" s="30" cm="1">
        <f t="array" ref="Q56">_xlfn.XLOOKUP(MIN(ABS($AY$7:$AY$27 - MEDIAN(MIN($AY$7:$AY$27), MAX($AY$7:$AY$27), Q27))), ABS($AY$7:$AY$27 - MEDIAN(MIN($AY$7:$AY$27), MAX($AY$7:$AY$27), Q27)), $AZ$7:$AZ$27, "Not Found", 0)</f>
        <v>-10</v>
      </c>
      <c r="R56" s="30" cm="1">
        <f t="array" ref="R56">_xlfn.XLOOKUP(MIN(ABS($AY$7:$AY$27 - MEDIAN(MIN($AY$7:$AY$27), MAX($AY$7:$AY$27), R27))), ABS($AY$7:$AY$27 - MEDIAN(MIN($AY$7:$AY$27), MAX($AY$7:$AY$27), R27)), $AZ$7:$AZ$27, "Not Found", 0)</f>
        <v>-10</v>
      </c>
      <c r="S56" s="30" cm="1">
        <f t="array" ref="S56">_xlfn.XLOOKUP(MIN(ABS($AY$7:$AY$27 - MEDIAN(MIN($AY$7:$AY$27), MAX($AY$7:$AY$27), S27))), ABS($AY$7:$AY$27 - MEDIAN(MIN($AY$7:$AY$27), MAX($AY$7:$AY$27), S27)), $AZ$7:$AZ$27, "Not Found", 0)</f>
        <v>-10</v>
      </c>
      <c r="T56" s="30" cm="1">
        <f t="array" ref="T56">_xlfn.XLOOKUP(MIN(ABS($AY$7:$AY$27 - MEDIAN(MIN($AY$7:$AY$27), MAX($AY$7:$AY$27), T27))), ABS($AY$7:$AY$27 - MEDIAN(MIN($AY$7:$AY$27), MAX($AY$7:$AY$27), T27)), $AZ$7:$AZ$27, "Not Found", 0)</f>
        <v>0</v>
      </c>
      <c r="U56" s="30" cm="1">
        <f t="array" ref="U56">_xlfn.XLOOKUP(MIN(ABS($AY$7:$AY$27 - MEDIAN(MIN($AY$7:$AY$27), MAX($AY$7:$AY$27), U27))), ABS($AY$7:$AY$27 - MEDIAN(MIN($AY$7:$AY$27), MAX($AY$7:$AY$27), U27)), $AZ$7:$AZ$27, "Not Found", 0)</f>
        <v>0</v>
      </c>
      <c r="V56" s="30" cm="1">
        <f t="array" ref="V56">_xlfn.XLOOKUP(MIN(ABS($AY$7:$AY$27 - MEDIAN(MIN($AY$7:$AY$27), MAX($AY$7:$AY$27), V27))), ABS($AY$7:$AY$27 - MEDIAN(MIN($AY$7:$AY$27), MAX($AY$7:$AY$27), V27)), $AZ$7:$AZ$27, "Not Found", 0)</f>
        <v>0</v>
      </c>
      <c r="W56" s="30" cm="1">
        <f t="array" ref="W56">_xlfn.XLOOKUP(MIN(ABS($AY$7:$AY$27 - MEDIAN(MIN($AY$7:$AY$27), MAX($AY$7:$AY$27), W27))), ABS($AY$7:$AY$27 - MEDIAN(MIN($AY$7:$AY$27), MAX($AY$7:$AY$27), W27)), $AZ$7:$AZ$27, "Not Found", 0)</f>
        <v>-10</v>
      </c>
      <c r="X56" s="30" cm="1">
        <f t="array" ref="X56">_xlfn.XLOOKUP(MIN(ABS($AY$7:$AY$27 - MEDIAN(MIN($AY$7:$AY$27), MAX($AY$7:$AY$27), X27))), ABS($AY$7:$AY$27 - MEDIAN(MIN($AY$7:$AY$27), MAX($AY$7:$AY$27), X27)), $AZ$7:$AZ$27, "Not Found", 0)</f>
        <v>-10</v>
      </c>
      <c r="Y56" s="30" cm="1">
        <f t="array" ref="Y56">_xlfn.XLOOKUP(MIN(ABS($AY$7:$AY$27 - MEDIAN(MIN($AY$7:$AY$27), MAX($AY$7:$AY$27), Y27))), ABS($AY$7:$AY$27 - MEDIAN(MIN($AY$7:$AY$27), MAX($AY$7:$AY$27), Y27)), $AZ$7:$AZ$27, "Not Found", 0)</f>
        <v>-10</v>
      </c>
      <c r="Z56" s="30" cm="1">
        <f t="array" ref="Z56">_xlfn.XLOOKUP(MIN(ABS($AY$7:$AY$27 - MEDIAN(MIN($AY$7:$AY$27), MAX($AY$7:$AY$27), Z27))), ABS($AY$7:$AY$27 - MEDIAN(MIN($AY$7:$AY$27), MAX($AY$7:$AY$27), Z27)), $AZ$7:$AZ$27, "Not Found", 0)</f>
        <v>-10</v>
      </c>
      <c r="AA56" s="30" cm="1">
        <f t="array" ref="AA56">_xlfn.XLOOKUP(MIN(ABS($AY$7:$AY$27 - MEDIAN(MIN($AY$7:$AY$27), MAX($AY$7:$AY$27), AA27))), ABS($AY$7:$AY$27 - MEDIAN(MIN($AY$7:$AY$27), MAX($AY$7:$AY$27), AA27)), $AZ$7:$AZ$27, "Not Found", 0)</f>
        <v>-10</v>
      </c>
      <c r="AB56" s="30" cm="1">
        <f t="array" ref="AB56">_xlfn.XLOOKUP(MIN(ABS($AY$7:$AY$27 - MEDIAN(MIN($AY$7:$AY$27), MAX($AY$7:$AY$27), AB27))), ABS($AY$7:$AY$27 - MEDIAN(MIN($AY$7:$AY$27), MAX($AY$7:$AY$27), AB27)), $AZ$7:$AZ$27, "Not Found", 0)</f>
        <v>-10</v>
      </c>
      <c r="AC56" s="30" cm="1">
        <f t="array" ref="AC56">_xlfn.XLOOKUP(MIN(ABS($AY$7:$AY$27 - MEDIAN(MIN($AY$7:$AY$27), MAX($AY$7:$AY$27), AC27))), ABS($AY$7:$AY$27 - MEDIAN(MIN($AY$7:$AY$27), MAX($AY$7:$AY$27), AC27)), $AZ$7:$AZ$27, "Not Found", 0)</f>
        <v>-4</v>
      </c>
      <c r="AD56" s="30" cm="1">
        <f t="array" ref="AD56">_xlfn.XLOOKUP(MIN(ABS($AY$7:$AY$27 - MEDIAN(MIN($AY$7:$AY$27), MAX($AY$7:$AY$27), AD27))), ABS($AY$7:$AY$27 - MEDIAN(MIN($AY$7:$AY$27), MAX($AY$7:$AY$27), AD27)), $AZ$7:$AZ$27, "Not Found", 0)</f>
        <v>-4</v>
      </c>
      <c r="AE56" s="30" cm="1">
        <f t="array" ref="AE56">_xlfn.XLOOKUP(MIN(ABS($AY$7:$AY$27 - MEDIAN(MIN($AY$7:$AY$27), MAX($AY$7:$AY$27), AE27))), ABS($AY$7:$AY$27 - MEDIAN(MIN($AY$7:$AY$27), MAX($AY$7:$AY$27), AE27)), $AZ$7:$AZ$27, "Not Found", 0)</f>
        <v>-4</v>
      </c>
      <c r="AF56" s="30" cm="1">
        <f t="array" ref="AF56">_xlfn.XLOOKUP(MIN(ABS($AY$7:$AY$27 - MEDIAN(MIN($AY$7:$AY$27), MAX($AY$7:$AY$27), AF27))), ABS($AY$7:$AY$27 - MEDIAN(MIN($AY$7:$AY$27), MAX($AY$7:$AY$27), AF27)), $AZ$7:$AZ$27, "Not Found", 0)</f>
        <v>-4</v>
      </c>
      <c r="AG56" s="30" cm="1">
        <f t="array" ref="AG56">_xlfn.XLOOKUP(MIN(ABS($AY$7:$AY$27 - MEDIAN(MIN($AY$7:$AY$27), MAX($AY$7:$AY$27), AG27))), ABS($AY$7:$AY$27 - MEDIAN(MIN($AY$7:$AY$27), MAX($AY$7:$AY$27), AG27)), $AZ$7:$AZ$27, "Not Found", 0)</f>
        <v>-4</v>
      </c>
      <c r="AH56" s="30" cm="1">
        <f t="array" ref="AH56">_xlfn.XLOOKUP(MIN(ABS($AY$7:$AY$27 - MEDIAN(MIN($AY$7:$AY$27), MAX($AY$7:$AY$27), AH27))), ABS($AY$7:$AY$27 - MEDIAN(MIN($AY$7:$AY$27), MAX($AY$7:$AY$27), AH27)), $AZ$7:$AZ$27, "Not Found", 0)</f>
        <v>-4</v>
      </c>
      <c r="AI56" s="30" cm="1">
        <f t="array" ref="AI56">_xlfn.XLOOKUP(MIN(ABS($AY$7:$AY$27 - MEDIAN(MIN($AY$7:$AY$27), MAX($AY$7:$AY$27), AI27))), ABS($AY$7:$AY$27 - MEDIAN(MIN($AY$7:$AY$27), MAX($AY$7:$AY$27), AI27)), $AZ$7:$AZ$27, "Not Found", 0)</f>
        <v>-2</v>
      </c>
      <c r="AJ56" s="30" cm="1">
        <f t="array" ref="AJ56">_xlfn.XLOOKUP(MIN(ABS($AY$7:$AY$27 - MEDIAN(MIN($AY$7:$AY$27), MAX($AY$7:$AY$27), AJ27))), ABS($AY$7:$AY$27 - MEDIAN(MIN($AY$7:$AY$27), MAX($AY$7:$AY$27), AJ27)), $AZ$7:$AZ$27, "Not Found", 0)</f>
        <v>-2</v>
      </c>
      <c r="AK56" s="30" cm="1">
        <f t="array" ref="AK56">_xlfn.XLOOKUP(MIN(ABS($AY$7:$AY$27 - MEDIAN(MIN($AY$7:$AY$27), MAX($AY$7:$AY$27), AK27))), ABS($AY$7:$AY$27 - MEDIAN(MIN($AY$7:$AY$27), MAX($AY$7:$AY$27), AK27)), $AZ$7:$AZ$27, "Not Found", 0)</f>
        <v>-2</v>
      </c>
      <c r="AL56" s="30" cm="1">
        <f t="array" ref="AL56">_xlfn.XLOOKUP(MIN(ABS($AY$7:$AY$27 - MEDIAN(MIN($AY$7:$AY$27), MAX($AY$7:$AY$27), AL27))), ABS($AY$7:$AY$27 - MEDIAN(MIN($AY$7:$AY$27), MAX($AY$7:$AY$27), AL27)), $AZ$7:$AZ$27, "Not Found", 0)</f>
        <v>-9</v>
      </c>
      <c r="AM56" s="30" cm="1">
        <f t="array" ref="AM56">_xlfn.XLOOKUP(MIN(ABS($AY$7:$AY$27 - MEDIAN(MIN($AY$7:$AY$27), MAX($AY$7:$AY$27), AM27))), ABS($AY$7:$AY$27 - MEDIAN(MIN($AY$7:$AY$27), MAX($AY$7:$AY$27), AM27)), $AZ$7:$AZ$27, "Not Found", 0)</f>
        <v>-9</v>
      </c>
      <c r="AN56" s="30" cm="1">
        <f t="array" ref="AN56">_xlfn.XLOOKUP(MIN(ABS($AY$7:$AY$27 - MEDIAN(MIN($AY$7:$AY$27), MAX($AY$7:$AY$27), AN27))), ABS($AY$7:$AY$27 - MEDIAN(MIN($AY$7:$AY$27), MAX($AY$7:$AY$27), AN27)), $AZ$7:$AZ$27, "Not Found", 0)</f>
        <v>-9</v>
      </c>
      <c r="AO56" s="30" cm="1">
        <f t="array" ref="AO56">_xlfn.XLOOKUP(MIN(ABS($AY$7:$AY$27 - MEDIAN(MIN($AY$7:$AY$27), MAX($AY$7:$AY$27), AO27))), ABS($AY$7:$AY$27 - MEDIAN(MIN($AY$7:$AY$27), MAX($AY$7:$AY$27), AO27)), $AZ$7:$AZ$27, "Not Found", 0)</f>
        <v>-5</v>
      </c>
      <c r="AP56" s="30" cm="1">
        <f t="array" ref="AP56">_xlfn.XLOOKUP(MIN(ABS($AY$7:$AY$27 - MEDIAN(MIN($AY$7:$AY$27), MAX($AY$7:$AY$27), AP27))), ABS($AY$7:$AY$27 - MEDIAN(MIN($AY$7:$AY$27), MAX($AY$7:$AY$27), AP27)), $AZ$7:$AZ$27, "Not Found", 0)</f>
        <v>-5</v>
      </c>
      <c r="AQ56" s="30" cm="1">
        <f t="array" ref="AQ56">_xlfn.XLOOKUP(MIN(ABS($AY$7:$AY$27 - MEDIAN(MIN($AY$7:$AY$27), MAX($AY$7:$AY$27), AQ27))), ABS($AY$7:$AY$27 - MEDIAN(MIN($AY$7:$AY$27), MAX($AY$7:$AY$27), AQ27)), $AZ$7:$AZ$27, "Not Found", 0)</f>
        <v>-5</v>
      </c>
      <c r="AR56" s="30" cm="1">
        <f t="array" ref="AR56">_xlfn.XLOOKUP(MIN(ABS($AY$7:$AY$27 - MEDIAN(MIN($AY$7:$AY$27), MAX($AY$7:$AY$27), AR27))), ABS($AY$7:$AY$27 - MEDIAN(MIN($AY$7:$AY$27), MAX($AY$7:$AY$27), AR27)), $AZ$7:$AZ$27, "Not Found", 0)</f>
        <v>-5</v>
      </c>
      <c r="AS56" s="30" cm="1">
        <f t="array" ref="AS56">_xlfn.XLOOKUP(MIN(ABS($AY$7:$AY$27 - MEDIAN(MIN($AY$7:$AY$27), MAX($AY$7:$AY$27), AS27))), ABS($AY$7:$AY$27 - MEDIAN(MIN($AY$7:$AY$27), MAX($AY$7:$AY$27), AS27)), $AZ$7:$AZ$27, "Not Found", 0)</f>
        <v>-5</v>
      </c>
      <c r="AT56" s="30" cm="1">
        <f t="array" ref="AT56">_xlfn.XLOOKUP(MIN(ABS($AY$7:$AY$27 - MEDIAN(MIN($AY$7:$AY$27), MAX($AY$7:$AY$27), AT27))), ABS($AY$7:$AY$27 - MEDIAN(MIN($AY$7:$AY$27), MAX($AY$7:$AY$27), AT27)), $AZ$7:$AZ$27, "Not Found", 0)</f>
        <v>-5</v>
      </c>
      <c r="AU56" s="30" cm="1">
        <f t="array" ref="AU56">_xlfn.XLOOKUP(MIN(ABS($AY$7:$AY$27 - MEDIAN(MIN($AY$7:$AY$27), MAX($AY$7:$AY$27), AU27))), ABS($AY$7:$AY$27 - MEDIAN(MIN($AY$7:$AY$27), MAX($AY$7:$AY$27), AU27)), $AZ$7:$AZ$27, "Not Found", 0)</f>
        <v>0</v>
      </c>
      <c r="AV56" s="30" cm="1">
        <f t="array" ref="AV56">_xlfn.XLOOKUP(MIN(ABS($AY$7:$AY$27 - MEDIAN(MIN($AY$7:$AY$27), MAX($AY$7:$AY$27), AV27))), ABS($AY$7:$AY$27 - MEDIAN(MIN($AY$7:$AY$27), MAX($AY$7:$AY$27), AV27)), $AZ$7:$AZ$27, "Not Found", 0)</f>
        <v>0</v>
      </c>
      <c r="AW56" s="30" cm="1">
        <f t="array" ref="AW56">_xlfn.XLOOKUP(MIN(ABS($AY$7:$AY$27 - MEDIAN(MIN($AY$7:$AY$27), MAX($AY$7:$AY$27), AW27))), ABS($AY$7:$AY$27 - MEDIAN(MIN($AY$7:$AY$27), MAX($AY$7:$AY$27), AW27)), $AZ$7:$AZ$27, "Not Found", 0)</f>
        <v>0</v>
      </c>
    </row>
    <row r="57" spans="1:49" ht="25" customHeight="1">
      <c r="A57" s="48" t="s">
        <v>54</v>
      </c>
      <c r="B57" s="30" cm="1">
        <f t="array" ref="B57">_xlfn.XLOOKUP(MIN(ABS($AY$7:$AY$27 - MEDIAN(MIN($AY$7:$AY$27), MAX($AY$7:$AY$27), B28))), ABS($AY$7:$AY$27 - MEDIAN(MIN($AY$7:$AY$27), MAX($AY$7:$AY$27), B28)), $AZ$7:$AZ$27, "Not Found", 0)</f>
        <v>-1</v>
      </c>
      <c r="C57" s="30" cm="1">
        <f t="array" ref="C57">_xlfn.XLOOKUP(MIN(ABS($AY$7:$AY$27 - MEDIAN(MIN($AY$7:$AY$27), MAX($AY$7:$AY$27), C28))), ABS($AY$7:$AY$27 - MEDIAN(MIN($AY$7:$AY$27), MAX($AY$7:$AY$27), C28)), $AZ$7:$AZ$27, "Not Found", 0)</f>
        <v>-1</v>
      </c>
      <c r="D57" s="30" cm="1">
        <f t="array" ref="D57">_xlfn.XLOOKUP(MIN(ABS($AY$7:$AY$27 - MEDIAN(MIN($AY$7:$AY$27), MAX($AY$7:$AY$27), D28))), ABS($AY$7:$AY$27 - MEDIAN(MIN($AY$7:$AY$27), MAX($AY$7:$AY$27), D28)), $AZ$7:$AZ$27, "Not Found", 0)</f>
        <v>-1</v>
      </c>
      <c r="E57" s="30" cm="1">
        <f t="array" ref="E57">_xlfn.XLOOKUP(MIN(ABS($AY$7:$AY$27 - MEDIAN(MIN($AY$7:$AY$27), MAX($AY$7:$AY$27), E28))), ABS($AY$7:$AY$27 - MEDIAN(MIN($AY$7:$AY$27), MAX($AY$7:$AY$27), E28)), $AZ$7:$AZ$27, "Not Found", 0)</f>
        <v>-2</v>
      </c>
      <c r="F57" s="30" cm="1">
        <f t="array" ref="F57">_xlfn.XLOOKUP(MIN(ABS($AY$7:$AY$27 - MEDIAN(MIN($AY$7:$AY$27), MAX($AY$7:$AY$27), F28))), ABS($AY$7:$AY$27 - MEDIAN(MIN($AY$7:$AY$27), MAX($AY$7:$AY$27), F28)), $AZ$7:$AZ$27, "Not Found", 0)</f>
        <v>-2</v>
      </c>
      <c r="G57" s="30" cm="1">
        <f t="array" ref="G57">_xlfn.XLOOKUP(MIN(ABS($AY$7:$AY$27 - MEDIAN(MIN($AY$7:$AY$27), MAX($AY$7:$AY$27), G28))), ABS($AY$7:$AY$27 - MEDIAN(MIN($AY$7:$AY$27), MAX($AY$7:$AY$27), G28)), $AZ$7:$AZ$27, "Not Found", 0)</f>
        <v>-2</v>
      </c>
      <c r="H57" s="30" cm="1">
        <f t="array" ref="H57">_xlfn.XLOOKUP(MIN(ABS($AY$7:$AY$27 - MEDIAN(MIN($AY$7:$AY$27), MAX($AY$7:$AY$27), H28))), ABS($AY$7:$AY$27 - MEDIAN(MIN($AY$7:$AY$27), MAX($AY$7:$AY$27), H28)), $AZ$7:$AZ$27, "Not Found", 0)</f>
        <v>-1</v>
      </c>
      <c r="I57" s="30" cm="1">
        <f t="array" ref="I57">_xlfn.XLOOKUP(MIN(ABS($AY$7:$AY$27 - MEDIAN(MIN($AY$7:$AY$27), MAX($AY$7:$AY$27), I28))), ABS($AY$7:$AY$27 - MEDIAN(MIN($AY$7:$AY$27), MAX($AY$7:$AY$27), I28)), $AZ$7:$AZ$27, "Not Found", 0)</f>
        <v>-1</v>
      </c>
      <c r="J57" s="30" cm="1">
        <f t="array" ref="J57">_xlfn.XLOOKUP(MIN(ABS($AY$7:$AY$27 - MEDIAN(MIN($AY$7:$AY$27), MAX($AY$7:$AY$27), J28))), ABS($AY$7:$AY$27 - MEDIAN(MIN($AY$7:$AY$27), MAX($AY$7:$AY$27), J28)), $AZ$7:$AZ$27, "Not Found", 0)</f>
        <v>-1</v>
      </c>
      <c r="K57" s="30" cm="1">
        <f t="array" ref="K57">_xlfn.XLOOKUP(MIN(ABS($AY$7:$AY$27 - MEDIAN(MIN($AY$7:$AY$27), MAX($AY$7:$AY$27), K28))), ABS($AY$7:$AY$27 - MEDIAN(MIN($AY$7:$AY$27), MAX($AY$7:$AY$27), K28)), $AZ$7:$AZ$27, "Not Found", 0)</f>
        <v>-2</v>
      </c>
      <c r="L57" s="30" cm="1">
        <f t="array" ref="L57">_xlfn.XLOOKUP(MIN(ABS($AY$7:$AY$27 - MEDIAN(MIN($AY$7:$AY$27), MAX($AY$7:$AY$27), L28))), ABS($AY$7:$AY$27 - MEDIAN(MIN($AY$7:$AY$27), MAX($AY$7:$AY$27), L28)), $AZ$7:$AZ$27, "Not Found", 0)</f>
        <v>-2</v>
      </c>
      <c r="M57" s="30" cm="1">
        <f t="array" ref="M57">_xlfn.XLOOKUP(MIN(ABS($AY$7:$AY$27 - MEDIAN(MIN($AY$7:$AY$27), MAX($AY$7:$AY$27), M28))), ABS($AY$7:$AY$27 - MEDIAN(MIN($AY$7:$AY$27), MAX($AY$7:$AY$27), M28)), $AZ$7:$AZ$27, "Not Found", 0)</f>
        <v>-2</v>
      </c>
      <c r="N57" s="30" cm="1">
        <f t="array" ref="N57">_xlfn.XLOOKUP(MIN(ABS($AY$7:$AY$27 - MEDIAN(MIN($AY$7:$AY$27), MAX($AY$7:$AY$27), N28))), ABS($AY$7:$AY$27 - MEDIAN(MIN($AY$7:$AY$27), MAX($AY$7:$AY$27), N28)), $AZ$7:$AZ$27, "Not Found", 0)</f>
        <v>-1</v>
      </c>
      <c r="O57" s="30" cm="1">
        <f t="array" ref="O57">_xlfn.XLOOKUP(MIN(ABS($AY$7:$AY$27 - MEDIAN(MIN($AY$7:$AY$27), MAX($AY$7:$AY$27), O28))), ABS($AY$7:$AY$27 - MEDIAN(MIN($AY$7:$AY$27), MAX($AY$7:$AY$27), O28)), $AZ$7:$AZ$27, "Not Found", 0)</f>
        <v>-1</v>
      </c>
      <c r="P57" s="30" cm="1">
        <f t="array" ref="P57">_xlfn.XLOOKUP(MIN(ABS($AY$7:$AY$27 - MEDIAN(MIN($AY$7:$AY$27), MAX($AY$7:$AY$27), P28))), ABS($AY$7:$AY$27 - MEDIAN(MIN($AY$7:$AY$27), MAX($AY$7:$AY$27), P28)), $AZ$7:$AZ$27, "Not Found", 0)</f>
        <v>-1</v>
      </c>
      <c r="Q57" s="30" cm="1">
        <f t="array" ref="Q57">_xlfn.XLOOKUP(MIN(ABS($AY$7:$AY$27 - MEDIAN(MIN($AY$7:$AY$27), MAX($AY$7:$AY$27), Q28))), ABS($AY$7:$AY$27 - MEDIAN(MIN($AY$7:$AY$27), MAX($AY$7:$AY$27), Q28)), $AZ$7:$AZ$27, "Not Found", 0)</f>
        <v>-1</v>
      </c>
      <c r="R57" s="30" cm="1">
        <f t="array" ref="R57">_xlfn.XLOOKUP(MIN(ABS($AY$7:$AY$27 - MEDIAN(MIN($AY$7:$AY$27), MAX($AY$7:$AY$27), R28))), ABS($AY$7:$AY$27 - MEDIAN(MIN($AY$7:$AY$27), MAX($AY$7:$AY$27), R28)), $AZ$7:$AZ$27, "Not Found", 0)</f>
        <v>-1</v>
      </c>
      <c r="S57" s="30" cm="1">
        <f t="array" ref="S57">_xlfn.XLOOKUP(MIN(ABS($AY$7:$AY$27 - MEDIAN(MIN($AY$7:$AY$27), MAX($AY$7:$AY$27), S28))), ABS($AY$7:$AY$27 - MEDIAN(MIN($AY$7:$AY$27), MAX($AY$7:$AY$27), S28)), $AZ$7:$AZ$27, "Not Found", 0)</f>
        <v>-1</v>
      </c>
      <c r="T57" s="30" cm="1">
        <f t="array" ref="T57">_xlfn.XLOOKUP(MIN(ABS($AY$7:$AY$27 - MEDIAN(MIN($AY$7:$AY$27), MAX($AY$7:$AY$27), T28))), ABS($AY$7:$AY$27 - MEDIAN(MIN($AY$7:$AY$27), MAX($AY$7:$AY$27), T28)), $AZ$7:$AZ$27, "Not Found", 0)</f>
        <v>1</v>
      </c>
      <c r="U57" s="30" cm="1">
        <f t="array" ref="U57">_xlfn.XLOOKUP(MIN(ABS($AY$7:$AY$27 - MEDIAN(MIN($AY$7:$AY$27), MAX($AY$7:$AY$27), U28))), ABS($AY$7:$AY$27 - MEDIAN(MIN($AY$7:$AY$27), MAX($AY$7:$AY$27), U28)), $AZ$7:$AZ$27, "Not Found", 0)</f>
        <v>1</v>
      </c>
      <c r="V57" s="30" cm="1">
        <f t="array" ref="V57">_xlfn.XLOOKUP(MIN(ABS($AY$7:$AY$27 - MEDIAN(MIN($AY$7:$AY$27), MAX($AY$7:$AY$27), V28))), ABS($AY$7:$AY$27 - MEDIAN(MIN($AY$7:$AY$27), MAX($AY$7:$AY$27), V28)), $AZ$7:$AZ$27, "Not Found", 0)</f>
        <v>1</v>
      </c>
      <c r="W57" s="30" cm="1">
        <f t="array" ref="W57">_xlfn.XLOOKUP(MIN(ABS($AY$7:$AY$27 - MEDIAN(MIN($AY$7:$AY$27), MAX($AY$7:$AY$27), W28))), ABS($AY$7:$AY$27 - MEDIAN(MIN($AY$7:$AY$27), MAX($AY$7:$AY$27), W28)), $AZ$7:$AZ$27, "Not Found", 0)</f>
        <v>-2</v>
      </c>
      <c r="X57" s="30" cm="1">
        <f t="array" ref="X57">_xlfn.XLOOKUP(MIN(ABS($AY$7:$AY$27 - MEDIAN(MIN($AY$7:$AY$27), MAX($AY$7:$AY$27), X28))), ABS($AY$7:$AY$27 - MEDIAN(MIN($AY$7:$AY$27), MAX($AY$7:$AY$27), X28)), $AZ$7:$AZ$27, "Not Found", 0)</f>
        <v>-2</v>
      </c>
      <c r="Y57" s="30" cm="1">
        <f t="array" ref="Y57">_xlfn.XLOOKUP(MIN(ABS($AY$7:$AY$27 - MEDIAN(MIN($AY$7:$AY$27), MAX($AY$7:$AY$27), Y28))), ABS($AY$7:$AY$27 - MEDIAN(MIN($AY$7:$AY$27), MAX($AY$7:$AY$27), Y28)), $AZ$7:$AZ$27, "Not Found", 0)</f>
        <v>-2</v>
      </c>
      <c r="Z57" s="30" cm="1">
        <f t="array" ref="Z57">_xlfn.XLOOKUP(MIN(ABS($AY$7:$AY$27 - MEDIAN(MIN($AY$7:$AY$27), MAX($AY$7:$AY$27), Z28))), ABS($AY$7:$AY$27 - MEDIAN(MIN($AY$7:$AY$27), MAX($AY$7:$AY$27), Z28)), $AZ$7:$AZ$27, "Not Found", 0)</f>
        <v>-1</v>
      </c>
      <c r="AA57" s="30" cm="1">
        <f t="array" ref="AA57">_xlfn.XLOOKUP(MIN(ABS($AY$7:$AY$27 - MEDIAN(MIN($AY$7:$AY$27), MAX($AY$7:$AY$27), AA28))), ABS($AY$7:$AY$27 - MEDIAN(MIN($AY$7:$AY$27), MAX($AY$7:$AY$27), AA28)), $AZ$7:$AZ$27, "Not Found", 0)</f>
        <v>-1</v>
      </c>
      <c r="AB57" s="30" cm="1">
        <f t="array" ref="AB57">_xlfn.XLOOKUP(MIN(ABS($AY$7:$AY$27 - MEDIAN(MIN($AY$7:$AY$27), MAX($AY$7:$AY$27), AB28))), ABS($AY$7:$AY$27 - MEDIAN(MIN($AY$7:$AY$27), MAX($AY$7:$AY$27), AB28)), $AZ$7:$AZ$27, "Not Found", 0)</f>
        <v>-1</v>
      </c>
      <c r="AC57" s="30" cm="1">
        <f t="array" ref="AC57">_xlfn.XLOOKUP(MIN(ABS($AY$7:$AY$27 - MEDIAN(MIN($AY$7:$AY$27), MAX($AY$7:$AY$27), AC28))), ABS($AY$7:$AY$27 - MEDIAN(MIN($AY$7:$AY$27), MAX($AY$7:$AY$27), AC28)), $AZ$7:$AZ$27, "Not Found", 0)</f>
        <v>0</v>
      </c>
      <c r="AD57" s="30" cm="1">
        <f t="array" ref="AD57">_xlfn.XLOOKUP(MIN(ABS($AY$7:$AY$27 - MEDIAN(MIN($AY$7:$AY$27), MAX($AY$7:$AY$27), AD28))), ABS($AY$7:$AY$27 - MEDIAN(MIN($AY$7:$AY$27), MAX($AY$7:$AY$27), AD28)), $AZ$7:$AZ$27, "Not Found", 0)</f>
        <v>0</v>
      </c>
      <c r="AE57" s="30" cm="1">
        <f t="array" ref="AE57">_xlfn.XLOOKUP(MIN(ABS($AY$7:$AY$27 - MEDIAN(MIN($AY$7:$AY$27), MAX($AY$7:$AY$27), AE28))), ABS($AY$7:$AY$27 - MEDIAN(MIN($AY$7:$AY$27), MAX($AY$7:$AY$27), AE28)), $AZ$7:$AZ$27, "Not Found", 0)</f>
        <v>0</v>
      </c>
      <c r="AF57" s="30" cm="1">
        <f t="array" ref="AF57">_xlfn.XLOOKUP(MIN(ABS($AY$7:$AY$27 - MEDIAN(MIN($AY$7:$AY$27), MAX($AY$7:$AY$27), AF28))), ABS($AY$7:$AY$27 - MEDIAN(MIN($AY$7:$AY$27), MAX($AY$7:$AY$27), AF28)), $AZ$7:$AZ$27, "Not Found", 0)</f>
        <v>-1</v>
      </c>
      <c r="AG57" s="30" cm="1">
        <f t="array" ref="AG57">_xlfn.XLOOKUP(MIN(ABS($AY$7:$AY$27 - MEDIAN(MIN($AY$7:$AY$27), MAX($AY$7:$AY$27), AG28))), ABS($AY$7:$AY$27 - MEDIAN(MIN($AY$7:$AY$27), MAX($AY$7:$AY$27), AG28)), $AZ$7:$AZ$27, "Not Found", 0)</f>
        <v>-1</v>
      </c>
      <c r="AH57" s="30" cm="1">
        <f t="array" ref="AH57">_xlfn.XLOOKUP(MIN(ABS($AY$7:$AY$27 - MEDIAN(MIN($AY$7:$AY$27), MAX($AY$7:$AY$27), AH28))), ABS($AY$7:$AY$27 - MEDIAN(MIN($AY$7:$AY$27), MAX($AY$7:$AY$27), AH28)), $AZ$7:$AZ$27, "Not Found", 0)</f>
        <v>-1</v>
      </c>
      <c r="AI57" s="30" cm="1">
        <f t="array" ref="AI57">_xlfn.XLOOKUP(MIN(ABS($AY$7:$AY$27 - MEDIAN(MIN($AY$7:$AY$27), MAX($AY$7:$AY$27), AI28))), ABS($AY$7:$AY$27 - MEDIAN(MIN($AY$7:$AY$27), MAX($AY$7:$AY$27), AI28)), $AZ$7:$AZ$27, "Not Found", 0)</f>
        <v>-2</v>
      </c>
      <c r="AJ57" s="30" cm="1">
        <f t="array" ref="AJ57">_xlfn.XLOOKUP(MIN(ABS($AY$7:$AY$27 - MEDIAN(MIN($AY$7:$AY$27), MAX($AY$7:$AY$27), AJ28))), ABS($AY$7:$AY$27 - MEDIAN(MIN($AY$7:$AY$27), MAX($AY$7:$AY$27), AJ28)), $AZ$7:$AZ$27, "Not Found", 0)</f>
        <v>-2</v>
      </c>
      <c r="AK57" s="30" cm="1">
        <f t="array" ref="AK57">_xlfn.XLOOKUP(MIN(ABS($AY$7:$AY$27 - MEDIAN(MIN($AY$7:$AY$27), MAX($AY$7:$AY$27), AK28))), ABS($AY$7:$AY$27 - MEDIAN(MIN($AY$7:$AY$27), MAX($AY$7:$AY$27), AK28)), $AZ$7:$AZ$27, "Not Found", 0)</f>
        <v>-2</v>
      </c>
      <c r="AL57" s="30" cm="1">
        <f t="array" ref="AL57">_xlfn.XLOOKUP(MIN(ABS($AY$7:$AY$27 - MEDIAN(MIN($AY$7:$AY$27), MAX($AY$7:$AY$27), AL28))), ABS($AY$7:$AY$27 - MEDIAN(MIN($AY$7:$AY$27), MAX($AY$7:$AY$27), AL28)), $AZ$7:$AZ$27, "Not Found", 0)</f>
        <v>-1</v>
      </c>
      <c r="AM57" s="30" cm="1">
        <f t="array" ref="AM57">_xlfn.XLOOKUP(MIN(ABS($AY$7:$AY$27 - MEDIAN(MIN($AY$7:$AY$27), MAX($AY$7:$AY$27), AM28))), ABS($AY$7:$AY$27 - MEDIAN(MIN($AY$7:$AY$27), MAX($AY$7:$AY$27), AM28)), $AZ$7:$AZ$27, "Not Found", 0)</f>
        <v>-1</v>
      </c>
      <c r="AN57" s="30" cm="1">
        <f t="array" ref="AN57">_xlfn.XLOOKUP(MIN(ABS($AY$7:$AY$27 - MEDIAN(MIN($AY$7:$AY$27), MAX($AY$7:$AY$27), AN28))), ABS($AY$7:$AY$27 - MEDIAN(MIN($AY$7:$AY$27), MAX($AY$7:$AY$27), AN28)), $AZ$7:$AZ$27, "Not Found", 0)</f>
        <v>-1</v>
      </c>
      <c r="AO57" s="30" cm="1">
        <f t="array" ref="AO57">_xlfn.XLOOKUP(MIN(ABS($AY$7:$AY$27 - MEDIAN(MIN($AY$7:$AY$27), MAX($AY$7:$AY$27), AO28))), ABS($AY$7:$AY$27 - MEDIAN(MIN($AY$7:$AY$27), MAX($AY$7:$AY$27), AO28)), $AZ$7:$AZ$27, "Not Found", 0)</f>
        <v>-1</v>
      </c>
      <c r="AP57" s="30" cm="1">
        <f t="array" ref="AP57">_xlfn.XLOOKUP(MIN(ABS($AY$7:$AY$27 - MEDIAN(MIN($AY$7:$AY$27), MAX($AY$7:$AY$27), AP28))), ABS($AY$7:$AY$27 - MEDIAN(MIN($AY$7:$AY$27), MAX($AY$7:$AY$27), AP28)), $AZ$7:$AZ$27, "Not Found", 0)</f>
        <v>-1</v>
      </c>
      <c r="AQ57" s="30" cm="1">
        <f t="array" ref="AQ57">_xlfn.XLOOKUP(MIN(ABS($AY$7:$AY$27 - MEDIAN(MIN($AY$7:$AY$27), MAX($AY$7:$AY$27), AQ28))), ABS($AY$7:$AY$27 - MEDIAN(MIN($AY$7:$AY$27), MAX($AY$7:$AY$27), AQ28)), $AZ$7:$AZ$27, "Not Found", 0)</f>
        <v>-1</v>
      </c>
      <c r="AR57" s="30" cm="1">
        <f t="array" ref="AR57">_xlfn.XLOOKUP(MIN(ABS($AY$7:$AY$27 - MEDIAN(MIN($AY$7:$AY$27), MAX($AY$7:$AY$27), AR28))), ABS($AY$7:$AY$27 - MEDIAN(MIN($AY$7:$AY$27), MAX($AY$7:$AY$27), AR28)), $AZ$7:$AZ$27, "Not Found", 0)</f>
        <v>-1</v>
      </c>
      <c r="AS57" s="30" cm="1">
        <f t="array" ref="AS57">_xlfn.XLOOKUP(MIN(ABS($AY$7:$AY$27 - MEDIAN(MIN($AY$7:$AY$27), MAX($AY$7:$AY$27), AS28))), ABS($AY$7:$AY$27 - MEDIAN(MIN($AY$7:$AY$27), MAX($AY$7:$AY$27), AS28)), $AZ$7:$AZ$27, "Not Found", 0)</f>
        <v>-1</v>
      </c>
      <c r="AT57" s="30" cm="1">
        <f t="array" ref="AT57">_xlfn.XLOOKUP(MIN(ABS($AY$7:$AY$27 - MEDIAN(MIN($AY$7:$AY$27), MAX($AY$7:$AY$27), AT28))), ABS($AY$7:$AY$27 - MEDIAN(MIN($AY$7:$AY$27), MAX($AY$7:$AY$27), AT28)), $AZ$7:$AZ$27, "Not Found", 0)</f>
        <v>-1</v>
      </c>
      <c r="AU57" s="30" cm="1">
        <f t="array" ref="AU57">_xlfn.XLOOKUP(MIN(ABS($AY$7:$AY$27 - MEDIAN(MIN($AY$7:$AY$27), MAX($AY$7:$AY$27), AU28))), ABS($AY$7:$AY$27 - MEDIAN(MIN($AY$7:$AY$27), MAX($AY$7:$AY$27), AU28)), $AZ$7:$AZ$27, "Not Found", 0)</f>
        <v>0</v>
      </c>
      <c r="AV57" s="30" cm="1">
        <f t="array" ref="AV57">_xlfn.XLOOKUP(MIN(ABS($AY$7:$AY$27 - MEDIAN(MIN($AY$7:$AY$27), MAX($AY$7:$AY$27), AV28))), ABS($AY$7:$AY$27 - MEDIAN(MIN($AY$7:$AY$27), MAX($AY$7:$AY$27), AV28)), $AZ$7:$AZ$27, "Not Found", 0)</f>
        <v>0</v>
      </c>
      <c r="AW57" s="30" cm="1">
        <f t="array" ref="AW57">_xlfn.XLOOKUP(MIN(ABS($AY$7:$AY$27 - MEDIAN(MIN($AY$7:$AY$27), MAX($AY$7:$AY$27), AW28))), ABS($AY$7:$AY$27 - MEDIAN(MIN($AY$7:$AY$27), MAX($AY$7:$AY$27), AW28)), $AZ$7:$AZ$27, "Not Found", 0)</f>
        <v>0</v>
      </c>
    </row>
    <row r="58" spans="1:49" ht="25" customHeight="1">
      <c r="A58" s="48" t="s">
        <v>55</v>
      </c>
      <c r="B58" s="30" cm="1">
        <f t="array" ref="B58">_xlfn.XLOOKUP(MIN(ABS($AY$7:$AY$27 - MEDIAN(MIN($AY$7:$AY$27), MAX($AY$7:$AY$27), B29))), ABS($AY$7:$AY$27 - MEDIAN(MIN($AY$7:$AY$27), MAX($AY$7:$AY$27), B29)), $AZ$7:$AZ$27, "Not Found", 0)</f>
        <v>-2</v>
      </c>
      <c r="C58" s="30" cm="1">
        <f t="array" ref="C58">_xlfn.XLOOKUP(MIN(ABS($AY$7:$AY$27 - MEDIAN(MIN($AY$7:$AY$27), MAX($AY$7:$AY$27), C29))), ABS($AY$7:$AY$27 - MEDIAN(MIN($AY$7:$AY$27), MAX($AY$7:$AY$27), C29)), $AZ$7:$AZ$27, "Not Found", 0)</f>
        <v>-2</v>
      </c>
      <c r="D58" s="30" cm="1">
        <f t="array" ref="D58">_xlfn.XLOOKUP(MIN(ABS($AY$7:$AY$27 - MEDIAN(MIN($AY$7:$AY$27), MAX($AY$7:$AY$27), D29))), ABS($AY$7:$AY$27 - MEDIAN(MIN($AY$7:$AY$27), MAX($AY$7:$AY$27), D29)), $AZ$7:$AZ$27, "Not Found", 0)</f>
        <v>-2</v>
      </c>
      <c r="E58" s="30" cm="1">
        <f t="array" ref="E58">_xlfn.XLOOKUP(MIN(ABS($AY$7:$AY$27 - MEDIAN(MIN($AY$7:$AY$27), MAX($AY$7:$AY$27), E29))), ABS($AY$7:$AY$27 - MEDIAN(MIN($AY$7:$AY$27), MAX($AY$7:$AY$27), E29)), $AZ$7:$AZ$27, "Not Found", 0)</f>
        <v>-2</v>
      </c>
      <c r="F58" s="30" cm="1">
        <f t="array" ref="F58">_xlfn.XLOOKUP(MIN(ABS($AY$7:$AY$27 - MEDIAN(MIN($AY$7:$AY$27), MAX($AY$7:$AY$27), F29))), ABS($AY$7:$AY$27 - MEDIAN(MIN($AY$7:$AY$27), MAX($AY$7:$AY$27), F29)), $AZ$7:$AZ$27, "Not Found", 0)</f>
        <v>-2</v>
      </c>
      <c r="G58" s="30" cm="1">
        <f t="array" ref="G58">_xlfn.XLOOKUP(MIN(ABS($AY$7:$AY$27 - MEDIAN(MIN($AY$7:$AY$27), MAX($AY$7:$AY$27), G29))), ABS($AY$7:$AY$27 - MEDIAN(MIN($AY$7:$AY$27), MAX($AY$7:$AY$27), G29)), $AZ$7:$AZ$27, "Not Found", 0)</f>
        <v>-2</v>
      </c>
      <c r="H58" s="30" cm="1">
        <f t="array" ref="H58">_xlfn.XLOOKUP(MIN(ABS($AY$7:$AY$27 - MEDIAN(MIN($AY$7:$AY$27), MAX($AY$7:$AY$27), H29))), ABS($AY$7:$AY$27 - MEDIAN(MIN($AY$7:$AY$27), MAX($AY$7:$AY$27), H29)), $AZ$7:$AZ$27, "Not Found", 0)</f>
        <v>-1</v>
      </c>
      <c r="I58" s="30" cm="1">
        <f t="array" ref="I58">_xlfn.XLOOKUP(MIN(ABS($AY$7:$AY$27 - MEDIAN(MIN($AY$7:$AY$27), MAX($AY$7:$AY$27), I29))), ABS($AY$7:$AY$27 - MEDIAN(MIN($AY$7:$AY$27), MAX($AY$7:$AY$27), I29)), $AZ$7:$AZ$27, "Not Found", 0)</f>
        <v>-1</v>
      </c>
      <c r="J58" s="30" cm="1">
        <f t="array" ref="J58">_xlfn.XLOOKUP(MIN(ABS($AY$7:$AY$27 - MEDIAN(MIN($AY$7:$AY$27), MAX($AY$7:$AY$27), J29))), ABS($AY$7:$AY$27 - MEDIAN(MIN($AY$7:$AY$27), MAX($AY$7:$AY$27), J29)), $AZ$7:$AZ$27, "Not Found", 0)</f>
        <v>-1</v>
      </c>
      <c r="K58" s="30" cm="1">
        <f t="array" ref="K58">_xlfn.XLOOKUP(MIN(ABS($AY$7:$AY$27 - MEDIAN(MIN($AY$7:$AY$27), MAX($AY$7:$AY$27), K29))), ABS($AY$7:$AY$27 - MEDIAN(MIN($AY$7:$AY$27), MAX($AY$7:$AY$27), K29)), $AZ$7:$AZ$27, "Not Found", 0)</f>
        <v>-2</v>
      </c>
      <c r="L58" s="30" cm="1">
        <f t="array" ref="L58">_xlfn.XLOOKUP(MIN(ABS($AY$7:$AY$27 - MEDIAN(MIN($AY$7:$AY$27), MAX($AY$7:$AY$27), L29))), ABS($AY$7:$AY$27 - MEDIAN(MIN($AY$7:$AY$27), MAX($AY$7:$AY$27), L29)), $AZ$7:$AZ$27, "Not Found", 0)</f>
        <v>-2</v>
      </c>
      <c r="M58" s="30" cm="1">
        <f t="array" ref="M58">_xlfn.XLOOKUP(MIN(ABS($AY$7:$AY$27 - MEDIAN(MIN($AY$7:$AY$27), MAX($AY$7:$AY$27), M29))), ABS($AY$7:$AY$27 - MEDIAN(MIN($AY$7:$AY$27), MAX($AY$7:$AY$27), M29)), $AZ$7:$AZ$27, "Not Found", 0)</f>
        <v>-2</v>
      </c>
      <c r="N58" s="30" cm="1">
        <f t="array" ref="N58">_xlfn.XLOOKUP(MIN(ABS($AY$7:$AY$27 - MEDIAN(MIN($AY$7:$AY$27), MAX($AY$7:$AY$27), N29))), ABS($AY$7:$AY$27 - MEDIAN(MIN($AY$7:$AY$27), MAX($AY$7:$AY$27), N29)), $AZ$7:$AZ$27, "Not Found", 0)</f>
        <v>-1</v>
      </c>
      <c r="O58" s="30" cm="1">
        <f t="array" ref="O58">_xlfn.XLOOKUP(MIN(ABS($AY$7:$AY$27 - MEDIAN(MIN($AY$7:$AY$27), MAX($AY$7:$AY$27), O29))), ABS($AY$7:$AY$27 - MEDIAN(MIN($AY$7:$AY$27), MAX($AY$7:$AY$27), O29)), $AZ$7:$AZ$27, "Not Found", 0)</f>
        <v>-1</v>
      </c>
      <c r="P58" s="30" cm="1">
        <f t="array" ref="P58">_xlfn.XLOOKUP(MIN(ABS($AY$7:$AY$27 - MEDIAN(MIN($AY$7:$AY$27), MAX($AY$7:$AY$27), P29))), ABS($AY$7:$AY$27 - MEDIAN(MIN($AY$7:$AY$27), MAX($AY$7:$AY$27), P29)), $AZ$7:$AZ$27, "Not Found", 0)</f>
        <v>-1</v>
      </c>
      <c r="Q58" s="30" cm="1">
        <f t="array" ref="Q58">_xlfn.XLOOKUP(MIN(ABS($AY$7:$AY$27 - MEDIAN(MIN($AY$7:$AY$27), MAX($AY$7:$AY$27), Q29))), ABS($AY$7:$AY$27 - MEDIAN(MIN($AY$7:$AY$27), MAX($AY$7:$AY$27), Q29)), $AZ$7:$AZ$27, "Not Found", 0)</f>
        <v>0</v>
      </c>
      <c r="R58" s="30" cm="1">
        <f t="array" ref="R58">_xlfn.XLOOKUP(MIN(ABS($AY$7:$AY$27 - MEDIAN(MIN($AY$7:$AY$27), MAX($AY$7:$AY$27), R29))), ABS($AY$7:$AY$27 - MEDIAN(MIN($AY$7:$AY$27), MAX($AY$7:$AY$27), R29)), $AZ$7:$AZ$27, "Not Found", 0)</f>
        <v>0</v>
      </c>
      <c r="S58" s="30" cm="1">
        <f t="array" ref="S58">_xlfn.XLOOKUP(MIN(ABS($AY$7:$AY$27 - MEDIAN(MIN($AY$7:$AY$27), MAX($AY$7:$AY$27), S29))), ABS($AY$7:$AY$27 - MEDIAN(MIN($AY$7:$AY$27), MAX($AY$7:$AY$27), S29)), $AZ$7:$AZ$27, "Not Found", 0)</f>
        <v>0</v>
      </c>
      <c r="T58" s="30" cm="1">
        <f t="array" ref="T58">_xlfn.XLOOKUP(MIN(ABS($AY$7:$AY$27 - MEDIAN(MIN($AY$7:$AY$27), MAX($AY$7:$AY$27), T29))), ABS($AY$7:$AY$27 - MEDIAN(MIN($AY$7:$AY$27), MAX($AY$7:$AY$27), T29)), $AZ$7:$AZ$27, "Not Found", 0)</f>
        <v>2</v>
      </c>
      <c r="U58" s="30" cm="1">
        <f t="array" ref="U58">_xlfn.XLOOKUP(MIN(ABS($AY$7:$AY$27 - MEDIAN(MIN($AY$7:$AY$27), MAX($AY$7:$AY$27), U29))), ABS($AY$7:$AY$27 - MEDIAN(MIN($AY$7:$AY$27), MAX($AY$7:$AY$27), U29)), $AZ$7:$AZ$27, "Not Found", 0)</f>
        <v>2</v>
      </c>
      <c r="V58" s="30" cm="1">
        <f t="array" ref="V58">_xlfn.XLOOKUP(MIN(ABS($AY$7:$AY$27 - MEDIAN(MIN($AY$7:$AY$27), MAX($AY$7:$AY$27), V29))), ABS($AY$7:$AY$27 - MEDIAN(MIN($AY$7:$AY$27), MAX($AY$7:$AY$27), V29)), $AZ$7:$AZ$27, "Not Found", 0)</f>
        <v>2</v>
      </c>
      <c r="W58" s="30" cm="1">
        <f t="array" ref="W58">_xlfn.XLOOKUP(MIN(ABS($AY$7:$AY$27 - MEDIAN(MIN($AY$7:$AY$27), MAX($AY$7:$AY$27), W29))), ABS($AY$7:$AY$27 - MEDIAN(MIN($AY$7:$AY$27), MAX($AY$7:$AY$27), W29)), $AZ$7:$AZ$27, "Not Found", 0)</f>
        <v>-1</v>
      </c>
      <c r="X58" s="30" cm="1">
        <f t="array" ref="X58">_xlfn.XLOOKUP(MIN(ABS($AY$7:$AY$27 - MEDIAN(MIN($AY$7:$AY$27), MAX($AY$7:$AY$27), X29))), ABS($AY$7:$AY$27 - MEDIAN(MIN($AY$7:$AY$27), MAX($AY$7:$AY$27), X29)), $AZ$7:$AZ$27, "Not Found", 0)</f>
        <v>-1</v>
      </c>
      <c r="Y58" s="30" cm="1">
        <f t="array" ref="Y58">_xlfn.XLOOKUP(MIN(ABS($AY$7:$AY$27 - MEDIAN(MIN($AY$7:$AY$27), MAX($AY$7:$AY$27), Y29))), ABS($AY$7:$AY$27 - MEDIAN(MIN($AY$7:$AY$27), MAX($AY$7:$AY$27), Y29)), $AZ$7:$AZ$27, "Not Found", 0)</f>
        <v>-1</v>
      </c>
      <c r="Z58" s="30" cm="1">
        <f t="array" ref="Z58">_xlfn.XLOOKUP(MIN(ABS($AY$7:$AY$27 - MEDIAN(MIN($AY$7:$AY$27), MAX($AY$7:$AY$27), Z29))), ABS($AY$7:$AY$27 - MEDIAN(MIN($AY$7:$AY$27), MAX($AY$7:$AY$27), Z29)), $AZ$7:$AZ$27, "Not Found", 0)</f>
        <v>0</v>
      </c>
      <c r="AA58" s="30" cm="1">
        <f t="array" ref="AA58">_xlfn.XLOOKUP(MIN(ABS($AY$7:$AY$27 - MEDIAN(MIN($AY$7:$AY$27), MAX($AY$7:$AY$27), AA29))), ABS($AY$7:$AY$27 - MEDIAN(MIN($AY$7:$AY$27), MAX($AY$7:$AY$27), AA29)), $AZ$7:$AZ$27, "Not Found", 0)</f>
        <v>0</v>
      </c>
      <c r="AB58" s="30" cm="1">
        <f t="array" ref="AB58">_xlfn.XLOOKUP(MIN(ABS($AY$7:$AY$27 - MEDIAN(MIN($AY$7:$AY$27), MAX($AY$7:$AY$27), AB29))), ABS($AY$7:$AY$27 - MEDIAN(MIN($AY$7:$AY$27), MAX($AY$7:$AY$27), AB29)), $AZ$7:$AZ$27, "Not Found", 0)</f>
        <v>0</v>
      </c>
      <c r="AC58" s="30" cm="1">
        <f t="array" ref="AC58">_xlfn.XLOOKUP(MIN(ABS($AY$7:$AY$27 - MEDIAN(MIN($AY$7:$AY$27), MAX($AY$7:$AY$27), AC29))), ABS($AY$7:$AY$27 - MEDIAN(MIN($AY$7:$AY$27), MAX($AY$7:$AY$27), AC29)), $AZ$7:$AZ$27, "Not Found", 0)</f>
        <v>0</v>
      </c>
      <c r="AD58" s="30" cm="1">
        <f t="array" ref="AD58">_xlfn.XLOOKUP(MIN(ABS($AY$7:$AY$27 - MEDIAN(MIN($AY$7:$AY$27), MAX($AY$7:$AY$27), AD29))), ABS($AY$7:$AY$27 - MEDIAN(MIN($AY$7:$AY$27), MAX($AY$7:$AY$27), AD29)), $AZ$7:$AZ$27, "Not Found", 0)</f>
        <v>0</v>
      </c>
      <c r="AE58" s="30" cm="1">
        <f t="array" ref="AE58">_xlfn.XLOOKUP(MIN(ABS($AY$7:$AY$27 - MEDIAN(MIN($AY$7:$AY$27), MAX($AY$7:$AY$27), AE29))), ABS($AY$7:$AY$27 - MEDIAN(MIN($AY$7:$AY$27), MAX($AY$7:$AY$27), AE29)), $AZ$7:$AZ$27, "Not Found", 0)</f>
        <v>0</v>
      </c>
      <c r="AF58" s="30" cm="1">
        <f t="array" ref="AF58">_xlfn.XLOOKUP(MIN(ABS($AY$7:$AY$27 - MEDIAN(MIN($AY$7:$AY$27), MAX($AY$7:$AY$27), AF29))), ABS($AY$7:$AY$27 - MEDIAN(MIN($AY$7:$AY$27), MAX($AY$7:$AY$27), AF29)), $AZ$7:$AZ$27, "Not Found", 0)</f>
        <v>0</v>
      </c>
      <c r="AG58" s="30" cm="1">
        <f t="array" ref="AG58">_xlfn.XLOOKUP(MIN(ABS($AY$7:$AY$27 - MEDIAN(MIN($AY$7:$AY$27), MAX($AY$7:$AY$27), AG29))), ABS($AY$7:$AY$27 - MEDIAN(MIN($AY$7:$AY$27), MAX($AY$7:$AY$27), AG29)), $AZ$7:$AZ$27, "Not Found", 0)</f>
        <v>0</v>
      </c>
      <c r="AH58" s="30" cm="1">
        <f t="array" ref="AH58">_xlfn.XLOOKUP(MIN(ABS($AY$7:$AY$27 - MEDIAN(MIN($AY$7:$AY$27), MAX($AY$7:$AY$27), AH29))), ABS($AY$7:$AY$27 - MEDIAN(MIN($AY$7:$AY$27), MAX($AY$7:$AY$27), AH29)), $AZ$7:$AZ$27, "Not Found", 0)</f>
        <v>0</v>
      </c>
      <c r="AI58" s="30" cm="1">
        <f t="array" ref="AI58">_xlfn.XLOOKUP(MIN(ABS($AY$7:$AY$27 - MEDIAN(MIN($AY$7:$AY$27), MAX($AY$7:$AY$27), AI29))), ABS($AY$7:$AY$27 - MEDIAN(MIN($AY$7:$AY$27), MAX($AY$7:$AY$27), AI29)), $AZ$7:$AZ$27, "Not Found", 0)</f>
        <v>0</v>
      </c>
      <c r="AJ58" s="30" cm="1">
        <f t="array" ref="AJ58">_xlfn.XLOOKUP(MIN(ABS($AY$7:$AY$27 - MEDIAN(MIN($AY$7:$AY$27), MAX($AY$7:$AY$27), AJ29))), ABS($AY$7:$AY$27 - MEDIAN(MIN($AY$7:$AY$27), MAX($AY$7:$AY$27), AJ29)), $AZ$7:$AZ$27, "Not Found", 0)</f>
        <v>0</v>
      </c>
      <c r="AK58" s="30" cm="1">
        <f t="array" ref="AK58">_xlfn.XLOOKUP(MIN(ABS($AY$7:$AY$27 - MEDIAN(MIN($AY$7:$AY$27), MAX($AY$7:$AY$27), AK29))), ABS($AY$7:$AY$27 - MEDIAN(MIN($AY$7:$AY$27), MAX($AY$7:$AY$27), AK29)), $AZ$7:$AZ$27, "Not Found", 0)</f>
        <v>0</v>
      </c>
      <c r="AL58" s="30" cm="1">
        <f t="array" ref="AL58">_xlfn.XLOOKUP(MIN(ABS($AY$7:$AY$27 - MEDIAN(MIN($AY$7:$AY$27), MAX($AY$7:$AY$27), AL29))), ABS($AY$7:$AY$27 - MEDIAN(MIN($AY$7:$AY$27), MAX($AY$7:$AY$27), AL29)), $AZ$7:$AZ$27, "Not Found", 0)</f>
        <v>0</v>
      </c>
      <c r="AM58" s="30" cm="1">
        <f t="array" ref="AM58">_xlfn.XLOOKUP(MIN(ABS($AY$7:$AY$27 - MEDIAN(MIN($AY$7:$AY$27), MAX($AY$7:$AY$27), AM29))), ABS($AY$7:$AY$27 - MEDIAN(MIN($AY$7:$AY$27), MAX($AY$7:$AY$27), AM29)), $AZ$7:$AZ$27, "Not Found", 0)</f>
        <v>0</v>
      </c>
      <c r="AN58" s="30" cm="1">
        <f t="array" ref="AN58">_xlfn.XLOOKUP(MIN(ABS($AY$7:$AY$27 - MEDIAN(MIN($AY$7:$AY$27), MAX($AY$7:$AY$27), AN29))), ABS($AY$7:$AY$27 - MEDIAN(MIN($AY$7:$AY$27), MAX($AY$7:$AY$27), AN29)), $AZ$7:$AZ$27, "Not Found", 0)</f>
        <v>0</v>
      </c>
      <c r="AO58" s="30" cm="1">
        <f t="array" ref="AO58">_xlfn.XLOOKUP(MIN(ABS($AY$7:$AY$27 - MEDIAN(MIN($AY$7:$AY$27), MAX($AY$7:$AY$27), AO29))), ABS($AY$7:$AY$27 - MEDIAN(MIN($AY$7:$AY$27), MAX($AY$7:$AY$27), AO29)), $AZ$7:$AZ$27, "Not Found", 0)</f>
        <v>1</v>
      </c>
      <c r="AP58" s="30" cm="1">
        <f t="array" ref="AP58">_xlfn.XLOOKUP(MIN(ABS($AY$7:$AY$27 - MEDIAN(MIN($AY$7:$AY$27), MAX($AY$7:$AY$27), AP29))), ABS($AY$7:$AY$27 - MEDIAN(MIN($AY$7:$AY$27), MAX($AY$7:$AY$27), AP29)), $AZ$7:$AZ$27, "Not Found", 0)</f>
        <v>1</v>
      </c>
      <c r="AQ58" s="30" cm="1">
        <f t="array" ref="AQ58">_xlfn.XLOOKUP(MIN(ABS($AY$7:$AY$27 - MEDIAN(MIN($AY$7:$AY$27), MAX($AY$7:$AY$27), AQ29))), ABS($AY$7:$AY$27 - MEDIAN(MIN($AY$7:$AY$27), MAX($AY$7:$AY$27), AQ29)), $AZ$7:$AZ$27, "Not Found", 0)</f>
        <v>1</v>
      </c>
      <c r="AR58" s="30" cm="1">
        <f t="array" ref="AR58">_xlfn.XLOOKUP(MIN(ABS($AY$7:$AY$27 - MEDIAN(MIN($AY$7:$AY$27), MAX($AY$7:$AY$27), AR29))), ABS($AY$7:$AY$27 - MEDIAN(MIN($AY$7:$AY$27), MAX($AY$7:$AY$27), AR29)), $AZ$7:$AZ$27, "Not Found", 0)</f>
        <v>1</v>
      </c>
      <c r="AS58" s="30" cm="1">
        <f t="array" ref="AS58">_xlfn.XLOOKUP(MIN(ABS($AY$7:$AY$27 - MEDIAN(MIN($AY$7:$AY$27), MAX($AY$7:$AY$27), AS29))), ABS($AY$7:$AY$27 - MEDIAN(MIN($AY$7:$AY$27), MAX($AY$7:$AY$27), AS29)), $AZ$7:$AZ$27, "Not Found", 0)</f>
        <v>1</v>
      </c>
      <c r="AT58" s="30" cm="1">
        <f t="array" ref="AT58">_xlfn.XLOOKUP(MIN(ABS($AY$7:$AY$27 - MEDIAN(MIN($AY$7:$AY$27), MAX($AY$7:$AY$27), AT29))), ABS($AY$7:$AY$27 - MEDIAN(MIN($AY$7:$AY$27), MAX($AY$7:$AY$27), AT29)), $AZ$7:$AZ$27, "Not Found", 0)</f>
        <v>1</v>
      </c>
      <c r="AU58" s="30" cm="1">
        <f t="array" ref="AU58">_xlfn.XLOOKUP(MIN(ABS($AY$7:$AY$27 - MEDIAN(MIN($AY$7:$AY$27), MAX($AY$7:$AY$27), AU29))), ABS($AY$7:$AY$27 - MEDIAN(MIN($AY$7:$AY$27), MAX($AY$7:$AY$27), AU29)), $AZ$7:$AZ$27, "Not Found", 0)</f>
        <v>0</v>
      </c>
      <c r="AV58" s="30" cm="1">
        <f t="array" ref="AV58">_xlfn.XLOOKUP(MIN(ABS($AY$7:$AY$27 - MEDIAN(MIN($AY$7:$AY$27), MAX($AY$7:$AY$27), AV29))), ABS($AY$7:$AY$27 - MEDIAN(MIN($AY$7:$AY$27), MAX($AY$7:$AY$27), AV29)), $AZ$7:$AZ$27, "Not Found", 0)</f>
        <v>0</v>
      </c>
      <c r="AW58" s="30" cm="1">
        <f t="array" ref="AW58">_xlfn.XLOOKUP(MIN(ABS($AY$7:$AY$27 - MEDIAN(MIN($AY$7:$AY$27), MAX($AY$7:$AY$27), AW29))), ABS($AY$7:$AY$27 - MEDIAN(MIN($AY$7:$AY$27), MAX($AY$7:$AY$27), AW29)), $AZ$7:$AZ$27, "Not Found", 0)</f>
        <v>0</v>
      </c>
    </row>
    <row r="59" spans="1:49" ht="25" customHeight="1">
      <c r="A59" s="48" t="s">
        <v>56</v>
      </c>
      <c r="B59" s="30" cm="1">
        <f t="array" ref="B59">_xlfn.XLOOKUP(MIN(ABS($AY$7:$AY$27 - MEDIAN(MIN($AY$7:$AY$27), MAX($AY$7:$AY$27), B30))), ABS($AY$7:$AY$27 - MEDIAN(MIN($AY$7:$AY$27), MAX($AY$7:$AY$27), B30)), $AZ$7:$AZ$27, "Not Found", 0)</f>
        <v>2</v>
      </c>
      <c r="C59" s="30" cm="1">
        <f t="array" ref="C59">_xlfn.XLOOKUP(MIN(ABS($AY$7:$AY$27 - MEDIAN(MIN($AY$7:$AY$27), MAX($AY$7:$AY$27), C30))), ABS($AY$7:$AY$27 - MEDIAN(MIN($AY$7:$AY$27), MAX($AY$7:$AY$27), C30)), $AZ$7:$AZ$27, "Not Found", 0)</f>
        <v>2</v>
      </c>
      <c r="D59" s="30" cm="1">
        <f t="array" ref="D59">_xlfn.XLOOKUP(MIN(ABS($AY$7:$AY$27 - MEDIAN(MIN($AY$7:$AY$27), MAX($AY$7:$AY$27), D30))), ABS($AY$7:$AY$27 - MEDIAN(MIN($AY$7:$AY$27), MAX($AY$7:$AY$27), D30)), $AZ$7:$AZ$27, "Not Found", 0)</f>
        <v>2</v>
      </c>
      <c r="E59" s="30" cm="1">
        <f t="array" ref="E59">_xlfn.XLOOKUP(MIN(ABS($AY$7:$AY$27 - MEDIAN(MIN($AY$7:$AY$27), MAX($AY$7:$AY$27), E30))), ABS($AY$7:$AY$27 - MEDIAN(MIN($AY$7:$AY$27), MAX($AY$7:$AY$27), E30)), $AZ$7:$AZ$27, "Not Found", 0)</f>
        <v>0</v>
      </c>
      <c r="F59" s="30" cm="1">
        <f t="array" ref="F59">_xlfn.XLOOKUP(MIN(ABS($AY$7:$AY$27 - MEDIAN(MIN($AY$7:$AY$27), MAX($AY$7:$AY$27), F30))), ABS($AY$7:$AY$27 - MEDIAN(MIN($AY$7:$AY$27), MAX($AY$7:$AY$27), F30)), $AZ$7:$AZ$27, "Not Found", 0)</f>
        <v>0</v>
      </c>
      <c r="G59" s="30" cm="1">
        <f t="array" ref="G59">_xlfn.XLOOKUP(MIN(ABS($AY$7:$AY$27 - MEDIAN(MIN($AY$7:$AY$27), MAX($AY$7:$AY$27), G30))), ABS($AY$7:$AY$27 - MEDIAN(MIN($AY$7:$AY$27), MAX($AY$7:$AY$27), G30)), $AZ$7:$AZ$27, "Not Found", 0)</f>
        <v>0</v>
      </c>
      <c r="H59" s="30" cm="1">
        <f t="array" ref="H59">_xlfn.XLOOKUP(MIN(ABS($AY$7:$AY$27 - MEDIAN(MIN($AY$7:$AY$27), MAX($AY$7:$AY$27), H30))), ABS($AY$7:$AY$27 - MEDIAN(MIN($AY$7:$AY$27), MAX($AY$7:$AY$27), H30)), $AZ$7:$AZ$27, "Not Found", 0)</f>
        <v>2</v>
      </c>
      <c r="I59" s="30" cm="1">
        <f t="array" ref="I59">_xlfn.XLOOKUP(MIN(ABS($AY$7:$AY$27 - MEDIAN(MIN($AY$7:$AY$27), MAX($AY$7:$AY$27), I30))), ABS($AY$7:$AY$27 - MEDIAN(MIN($AY$7:$AY$27), MAX($AY$7:$AY$27), I30)), $AZ$7:$AZ$27, "Not Found", 0)</f>
        <v>2</v>
      </c>
      <c r="J59" s="30" cm="1">
        <f t="array" ref="J59">_xlfn.XLOOKUP(MIN(ABS($AY$7:$AY$27 - MEDIAN(MIN($AY$7:$AY$27), MAX($AY$7:$AY$27), J30))), ABS($AY$7:$AY$27 - MEDIAN(MIN($AY$7:$AY$27), MAX($AY$7:$AY$27), J30)), $AZ$7:$AZ$27, "Not Found", 0)</f>
        <v>2</v>
      </c>
      <c r="K59" s="30" cm="1">
        <f t="array" ref="K59">_xlfn.XLOOKUP(MIN(ABS($AY$7:$AY$27 - MEDIAN(MIN($AY$7:$AY$27), MAX($AY$7:$AY$27), K30))), ABS($AY$7:$AY$27 - MEDIAN(MIN($AY$7:$AY$27), MAX($AY$7:$AY$27), K30)), $AZ$7:$AZ$27, "Not Found", 0)</f>
        <v>1</v>
      </c>
      <c r="L59" s="30" cm="1">
        <f t="array" ref="L59">_xlfn.XLOOKUP(MIN(ABS($AY$7:$AY$27 - MEDIAN(MIN($AY$7:$AY$27), MAX($AY$7:$AY$27), L30))), ABS($AY$7:$AY$27 - MEDIAN(MIN($AY$7:$AY$27), MAX($AY$7:$AY$27), L30)), $AZ$7:$AZ$27, "Not Found", 0)</f>
        <v>1</v>
      </c>
      <c r="M59" s="30" cm="1">
        <f t="array" ref="M59">_xlfn.XLOOKUP(MIN(ABS($AY$7:$AY$27 - MEDIAN(MIN($AY$7:$AY$27), MAX($AY$7:$AY$27), M30))), ABS($AY$7:$AY$27 - MEDIAN(MIN($AY$7:$AY$27), MAX($AY$7:$AY$27), M30)), $AZ$7:$AZ$27, "Not Found", 0)</f>
        <v>1</v>
      </c>
      <c r="N59" s="30" cm="1">
        <f t="array" ref="N59">_xlfn.XLOOKUP(MIN(ABS($AY$7:$AY$27 - MEDIAN(MIN($AY$7:$AY$27), MAX($AY$7:$AY$27), N30))), ABS($AY$7:$AY$27 - MEDIAN(MIN($AY$7:$AY$27), MAX($AY$7:$AY$27), N30)), $AZ$7:$AZ$27, "Not Found", 0)</f>
        <v>1</v>
      </c>
      <c r="O59" s="30" cm="1">
        <f t="array" ref="O59">_xlfn.XLOOKUP(MIN(ABS($AY$7:$AY$27 - MEDIAN(MIN($AY$7:$AY$27), MAX($AY$7:$AY$27), O30))), ABS($AY$7:$AY$27 - MEDIAN(MIN($AY$7:$AY$27), MAX($AY$7:$AY$27), O30)), $AZ$7:$AZ$27, "Not Found", 0)</f>
        <v>1</v>
      </c>
      <c r="P59" s="30" cm="1">
        <f t="array" ref="P59">_xlfn.XLOOKUP(MIN(ABS($AY$7:$AY$27 - MEDIAN(MIN($AY$7:$AY$27), MAX($AY$7:$AY$27), P30))), ABS($AY$7:$AY$27 - MEDIAN(MIN($AY$7:$AY$27), MAX($AY$7:$AY$27), P30)), $AZ$7:$AZ$27, "Not Found", 0)</f>
        <v>1</v>
      </c>
      <c r="Q59" s="30" cm="1">
        <f t="array" ref="Q59">_xlfn.XLOOKUP(MIN(ABS($AY$7:$AY$27 - MEDIAN(MIN($AY$7:$AY$27), MAX($AY$7:$AY$27), Q30))), ABS($AY$7:$AY$27 - MEDIAN(MIN($AY$7:$AY$27), MAX($AY$7:$AY$27), Q30)), $AZ$7:$AZ$27, "Not Found", 0)</f>
        <v>1</v>
      </c>
      <c r="R59" s="30" cm="1">
        <f t="array" ref="R59">_xlfn.XLOOKUP(MIN(ABS($AY$7:$AY$27 - MEDIAN(MIN($AY$7:$AY$27), MAX($AY$7:$AY$27), R30))), ABS($AY$7:$AY$27 - MEDIAN(MIN($AY$7:$AY$27), MAX($AY$7:$AY$27), R30)), $AZ$7:$AZ$27, "Not Found", 0)</f>
        <v>1</v>
      </c>
      <c r="S59" s="30" cm="1">
        <f t="array" ref="S59">_xlfn.XLOOKUP(MIN(ABS($AY$7:$AY$27 - MEDIAN(MIN($AY$7:$AY$27), MAX($AY$7:$AY$27), S30))), ABS($AY$7:$AY$27 - MEDIAN(MIN($AY$7:$AY$27), MAX($AY$7:$AY$27), S30)), $AZ$7:$AZ$27, "Not Found", 0)</f>
        <v>1</v>
      </c>
      <c r="T59" s="30" cm="1">
        <f t="array" ref="T59">_xlfn.XLOOKUP(MIN(ABS($AY$7:$AY$27 - MEDIAN(MIN($AY$7:$AY$27), MAX($AY$7:$AY$27), T30))), ABS($AY$7:$AY$27 - MEDIAN(MIN($AY$7:$AY$27), MAX($AY$7:$AY$27), T30)), $AZ$7:$AZ$27, "Not Found", 0)</f>
        <v>4</v>
      </c>
      <c r="U59" s="30" cm="1">
        <f t="array" ref="U59">_xlfn.XLOOKUP(MIN(ABS($AY$7:$AY$27 - MEDIAN(MIN($AY$7:$AY$27), MAX($AY$7:$AY$27), U30))), ABS($AY$7:$AY$27 - MEDIAN(MIN($AY$7:$AY$27), MAX($AY$7:$AY$27), U30)), $AZ$7:$AZ$27, "Not Found", 0)</f>
        <v>4</v>
      </c>
      <c r="V59" s="30" cm="1">
        <f t="array" ref="V59">_xlfn.XLOOKUP(MIN(ABS($AY$7:$AY$27 - MEDIAN(MIN($AY$7:$AY$27), MAX($AY$7:$AY$27), V30))), ABS($AY$7:$AY$27 - MEDIAN(MIN($AY$7:$AY$27), MAX($AY$7:$AY$27), V30)), $AZ$7:$AZ$27, "Not Found", 0)</f>
        <v>4</v>
      </c>
      <c r="W59" s="30" cm="1">
        <f t="array" ref="W59">_xlfn.XLOOKUP(MIN(ABS($AY$7:$AY$27 - MEDIAN(MIN($AY$7:$AY$27), MAX($AY$7:$AY$27), W30))), ABS($AY$7:$AY$27 - MEDIAN(MIN($AY$7:$AY$27), MAX($AY$7:$AY$27), W30)), $AZ$7:$AZ$27, "Not Found", 0)</f>
        <v>0</v>
      </c>
      <c r="X59" s="30" cm="1">
        <f t="array" ref="X59">_xlfn.XLOOKUP(MIN(ABS($AY$7:$AY$27 - MEDIAN(MIN($AY$7:$AY$27), MAX($AY$7:$AY$27), X30))), ABS($AY$7:$AY$27 - MEDIAN(MIN($AY$7:$AY$27), MAX($AY$7:$AY$27), X30)), $AZ$7:$AZ$27, "Not Found", 0)</f>
        <v>0</v>
      </c>
      <c r="Y59" s="30" cm="1">
        <f t="array" ref="Y59">_xlfn.XLOOKUP(MIN(ABS($AY$7:$AY$27 - MEDIAN(MIN($AY$7:$AY$27), MAX($AY$7:$AY$27), Y30))), ABS($AY$7:$AY$27 - MEDIAN(MIN($AY$7:$AY$27), MAX($AY$7:$AY$27), Y30)), $AZ$7:$AZ$27, "Not Found", 0)</f>
        <v>0</v>
      </c>
      <c r="Z59" s="30" cm="1">
        <f t="array" ref="Z59">_xlfn.XLOOKUP(MIN(ABS($AY$7:$AY$27 - MEDIAN(MIN($AY$7:$AY$27), MAX($AY$7:$AY$27), Z30))), ABS($AY$7:$AY$27 - MEDIAN(MIN($AY$7:$AY$27), MAX($AY$7:$AY$27), Z30)), $AZ$7:$AZ$27, "Not Found", 0)</f>
        <v>0</v>
      </c>
      <c r="AA59" s="30" cm="1">
        <f t="array" ref="AA59">_xlfn.XLOOKUP(MIN(ABS($AY$7:$AY$27 - MEDIAN(MIN($AY$7:$AY$27), MAX($AY$7:$AY$27), AA30))), ABS($AY$7:$AY$27 - MEDIAN(MIN($AY$7:$AY$27), MAX($AY$7:$AY$27), AA30)), $AZ$7:$AZ$27, "Not Found", 0)</f>
        <v>0</v>
      </c>
      <c r="AB59" s="30" cm="1">
        <f t="array" ref="AB59">_xlfn.XLOOKUP(MIN(ABS($AY$7:$AY$27 - MEDIAN(MIN($AY$7:$AY$27), MAX($AY$7:$AY$27), AB30))), ABS($AY$7:$AY$27 - MEDIAN(MIN($AY$7:$AY$27), MAX($AY$7:$AY$27), AB30)), $AZ$7:$AZ$27, "Not Found", 0)</f>
        <v>0</v>
      </c>
      <c r="AC59" s="30" cm="1">
        <f t="array" ref="AC59">_xlfn.XLOOKUP(MIN(ABS($AY$7:$AY$27 - MEDIAN(MIN($AY$7:$AY$27), MAX($AY$7:$AY$27), AC30))), ABS($AY$7:$AY$27 - MEDIAN(MIN($AY$7:$AY$27), MAX($AY$7:$AY$27), AC30)), $AZ$7:$AZ$27, "Not Found", 0)</f>
        <v>0</v>
      </c>
      <c r="AD59" s="30" cm="1">
        <f t="array" ref="AD59">_xlfn.XLOOKUP(MIN(ABS($AY$7:$AY$27 - MEDIAN(MIN($AY$7:$AY$27), MAX($AY$7:$AY$27), AD30))), ABS($AY$7:$AY$27 - MEDIAN(MIN($AY$7:$AY$27), MAX($AY$7:$AY$27), AD30)), $AZ$7:$AZ$27, "Not Found", 0)</f>
        <v>0</v>
      </c>
      <c r="AE59" s="30" cm="1">
        <f t="array" ref="AE59">_xlfn.XLOOKUP(MIN(ABS($AY$7:$AY$27 - MEDIAN(MIN($AY$7:$AY$27), MAX($AY$7:$AY$27), AE30))), ABS($AY$7:$AY$27 - MEDIAN(MIN($AY$7:$AY$27), MAX($AY$7:$AY$27), AE30)), $AZ$7:$AZ$27, "Not Found", 0)</f>
        <v>0</v>
      </c>
      <c r="AF59" s="30" cm="1">
        <f t="array" ref="AF59">_xlfn.XLOOKUP(MIN(ABS($AY$7:$AY$27 - MEDIAN(MIN($AY$7:$AY$27), MAX($AY$7:$AY$27), AF30))), ABS($AY$7:$AY$27 - MEDIAN(MIN($AY$7:$AY$27), MAX($AY$7:$AY$27), AF30)), $AZ$7:$AZ$27, "Not Found", 0)</f>
        <v>-4</v>
      </c>
      <c r="AG59" s="30" cm="1">
        <f t="array" ref="AG59">_xlfn.XLOOKUP(MIN(ABS($AY$7:$AY$27 - MEDIAN(MIN($AY$7:$AY$27), MAX($AY$7:$AY$27), AG30))), ABS($AY$7:$AY$27 - MEDIAN(MIN($AY$7:$AY$27), MAX($AY$7:$AY$27), AG30)), $AZ$7:$AZ$27, "Not Found", 0)</f>
        <v>0</v>
      </c>
      <c r="AH59" s="30" cm="1">
        <f t="array" ref="AH59">_xlfn.XLOOKUP(MIN(ABS($AY$7:$AY$27 - MEDIAN(MIN($AY$7:$AY$27), MAX($AY$7:$AY$27), AH30))), ABS($AY$7:$AY$27 - MEDIAN(MIN($AY$7:$AY$27), MAX($AY$7:$AY$27), AH30)), $AZ$7:$AZ$27, "Not Found", 0)</f>
        <v>0</v>
      </c>
      <c r="AI59" s="30" cm="1">
        <f t="array" ref="AI59">_xlfn.XLOOKUP(MIN(ABS($AY$7:$AY$27 - MEDIAN(MIN($AY$7:$AY$27), MAX($AY$7:$AY$27), AI30))), ABS($AY$7:$AY$27 - MEDIAN(MIN($AY$7:$AY$27), MAX($AY$7:$AY$27), AI30)), $AZ$7:$AZ$27, "Not Found", 0)</f>
        <v>0</v>
      </c>
      <c r="AJ59" s="30" cm="1">
        <f t="array" ref="AJ59">_xlfn.XLOOKUP(MIN(ABS($AY$7:$AY$27 - MEDIAN(MIN($AY$7:$AY$27), MAX($AY$7:$AY$27), AJ30))), ABS($AY$7:$AY$27 - MEDIAN(MIN($AY$7:$AY$27), MAX($AY$7:$AY$27), AJ30)), $AZ$7:$AZ$27, "Not Found", 0)</f>
        <v>0</v>
      </c>
      <c r="AK59" s="30" cm="1">
        <f t="array" ref="AK59">_xlfn.XLOOKUP(MIN(ABS($AY$7:$AY$27 - MEDIAN(MIN($AY$7:$AY$27), MAX($AY$7:$AY$27), AK30))), ABS($AY$7:$AY$27 - MEDIAN(MIN($AY$7:$AY$27), MAX($AY$7:$AY$27), AK30)), $AZ$7:$AZ$27, "Not Found", 0)</f>
        <v>0</v>
      </c>
      <c r="AL59" s="30" cm="1">
        <f t="array" ref="AL59">_xlfn.XLOOKUP(MIN(ABS($AY$7:$AY$27 - MEDIAN(MIN($AY$7:$AY$27), MAX($AY$7:$AY$27), AL30))), ABS($AY$7:$AY$27 - MEDIAN(MIN($AY$7:$AY$27), MAX($AY$7:$AY$27), AL30)), $AZ$7:$AZ$27, "Not Found", 0)</f>
        <v>1</v>
      </c>
      <c r="AM59" s="30" cm="1">
        <f t="array" ref="AM59">_xlfn.XLOOKUP(MIN(ABS($AY$7:$AY$27 - MEDIAN(MIN($AY$7:$AY$27), MAX($AY$7:$AY$27), AM30))), ABS($AY$7:$AY$27 - MEDIAN(MIN($AY$7:$AY$27), MAX($AY$7:$AY$27), AM30)), $AZ$7:$AZ$27, "Not Found", 0)</f>
        <v>1</v>
      </c>
      <c r="AN59" s="30" cm="1">
        <f t="array" ref="AN59">_xlfn.XLOOKUP(MIN(ABS($AY$7:$AY$27 - MEDIAN(MIN($AY$7:$AY$27), MAX($AY$7:$AY$27), AN30))), ABS($AY$7:$AY$27 - MEDIAN(MIN($AY$7:$AY$27), MAX($AY$7:$AY$27), AN30)), $AZ$7:$AZ$27, "Not Found", 0)</f>
        <v>1</v>
      </c>
      <c r="AO59" s="30" cm="1">
        <f t="array" ref="AO59">_xlfn.XLOOKUP(MIN(ABS($AY$7:$AY$27 - MEDIAN(MIN($AY$7:$AY$27), MAX($AY$7:$AY$27), AO30))), ABS($AY$7:$AY$27 - MEDIAN(MIN($AY$7:$AY$27), MAX($AY$7:$AY$27), AO30)), $AZ$7:$AZ$27, "Not Found", 0)</f>
        <v>1</v>
      </c>
      <c r="AP59" s="30" cm="1">
        <f t="array" ref="AP59">_xlfn.XLOOKUP(MIN(ABS($AY$7:$AY$27 - MEDIAN(MIN($AY$7:$AY$27), MAX($AY$7:$AY$27), AP30))), ABS($AY$7:$AY$27 - MEDIAN(MIN($AY$7:$AY$27), MAX($AY$7:$AY$27), AP30)), $AZ$7:$AZ$27, "Not Found", 0)</f>
        <v>1</v>
      </c>
      <c r="AQ59" s="30" cm="1">
        <f t="array" ref="AQ59">_xlfn.XLOOKUP(MIN(ABS($AY$7:$AY$27 - MEDIAN(MIN($AY$7:$AY$27), MAX($AY$7:$AY$27), AQ30))), ABS($AY$7:$AY$27 - MEDIAN(MIN($AY$7:$AY$27), MAX($AY$7:$AY$27), AQ30)), $AZ$7:$AZ$27, "Not Found", 0)</f>
        <v>1</v>
      </c>
      <c r="AR59" s="30" cm="1">
        <f t="array" ref="AR59">_xlfn.XLOOKUP(MIN(ABS($AY$7:$AY$27 - MEDIAN(MIN($AY$7:$AY$27), MAX($AY$7:$AY$27), AR30))), ABS($AY$7:$AY$27 - MEDIAN(MIN($AY$7:$AY$27), MAX($AY$7:$AY$27), AR30)), $AZ$7:$AZ$27, "Not Found", 0)</f>
        <v>1</v>
      </c>
      <c r="AS59" s="30" cm="1">
        <f t="array" ref="AS59">_xlfn.XLOOKUP(MIN(ABS($AY$7:$AY$27 - MEDIAN(MIN($AY$7:$AY$27), MAX($AY$7:$AY$27), AS30))), ABS($AY$7:$AY$27 - MEDIAN(MIN($AY$7:$AY$27), MAX($AY$7:$AY$27), AS30)), $AZ$7:$AZ$27, "Not Found", 0)</f>
        <v>1</v>
      </c>
      <c r="AT59" s="30" cm="1">
        <f t="array" ref="AT59">_xlfn.XLOOKUP(MIN(ABS($AY$7:$AY$27 - MEDIAN(MIN($AY$7:$AY$27), MAX($AY$7:$AY$27), AT30))), ABS($AY$7:$AY$27 - MEDIAN(MIN($AY$7:$AY$27), MAX($AY$7:$AY$27), AT30)), $AZ$7:$AZ$27, "Not Found", 0)</f>
        <v>1</v>
      </c>
      <c r="AU59" s="30" cm="1">
        <f t="array" ref="AU59">_xlfn.XLOOKUP(MIN(ABS($AY$7:$AY$27 - MEDIAN(MIN($AY$7:$AY$27), MAX($AY$7:$AY$27), AU30))), ABS($AY$7:$AY$27 - MEDIAN(MIN($AY$7:$AY$27), MAX($AY$7:$AY$27), AU30)), $AZ$7:$AZ$27, "Not Found", 0)</f>
        <v>0</v>
      </c>
      <c r="AV59" s="30" cm="1">
        <f t="array" ref="AV59">_xlfn.XLOOKUP(MIN(ABS($AY$7:$AY$27 - MEDIAN(MIN($AY$7:$AY$27), MAX($AY$7:$AY$27), AV30))), ABS($AY$7:$AY$27 - MEDIAN(MIN($AY$7:$AY$27), MAX($AY$7:$AY$27), AV30)), $AZ$7:$AZ$27, "Not Found", 0)</f>
        <v>0</v>
      </c>
      <c r="AW59" s="30" cm="1">
        <f t="array" ref="AW59">_xlfn.XLOOKUP(MIN(ABS($AY$7:$AY$27 - MEDIAN(MIN($AY$7:$AY$27), MAX($AY$7:$AY$27), AW30))), ABS($AY$7:$AY$27 - MEDIAN(MIN($AY$7:$AY$27), MAX($AY$7:$AY$27), AW30)), $AZ$7:$AZ$27, "Not Found", 0)</f>
        <v>0</v>
      </c>
    </row>
    <row r="60" spans="1:49" ht="25" customHeight="1">
      <c r="A60" s="49" t="s">
        <v>57</v>
      </c>
      <c r="B60" s="30" cm="1">
        <f t="array" ref="B60">_xlfn.XLOOKUP(MIN(ABS($AY$7:$AY$27 - MEDIAN(MIN($AY$7:$AY$27), MAX($AY$7:$AY$27), B31))), ABS($AY$7:$AY$27 - MEDIAN(MIN($AY$7:$AY$27), MAX($AY$7:$AY$27), B31)), $AZ$7:$AZ$27, "Not Found", 0)</f>
        <v>2</v>
      </c>
      <c r="C60" s="30" cm="1">
        <f t="array" ref="C60">_xlfn.XLOOKUP(MIN(ABS($AY$7:$AY$27 - MEDIAN(MIN($AY$7:$AY$27), MAX($AY$7:$AY$27), C31))), ABS($AY$7:$AY$27 - MEDIAN(MIN($AY$7:$AY$27), MAX($AY$7:$AY$27), C31)), $AZ$7:$AZ$27, "Not Found", 0)</f>
        <v>2</v>
      </c>
      <c r="D60" s="30" cm="1">
        <f t="array" ref="D60">_xlfn.XLOOKUP(MIN(ABS($AY$7:$AY$27 - MEDIAN(MIN($AY$7:$AY$27), MAX($AY$7:$AY$27), D31))), ABS($AY$7:$AY$27 - MEDIAN(MIN($AY$7:$AY$27), MAX($AY$7:$AY$27), D31)), $AZ$7:$AZ$27, "Not Found", 0)</f>
        <v>2</v>
      </c>
      <c r="E60" s="30" cm="1">
        <f t="array" ref="E60">_xlfn.XLOOKUP(MIN(ABS($AY$7:$AY$27 - MEDIAN(MIN($AY$7:$AY$27), MAX($AY$7:$AY$27), E31))), ABS($AY$7:$AY$27 - MEDIAN(MIN($AY$7:$AY$27), MAX($AY$7:$AY$27), E31)), $AZ$7:$AZ$27, "Not Found", 0)</f>
        <v>2</v>
      </c>
      <c r="F60" s="30" cm="1">
        <f t="array" ref="F60">_xlfn.XLOOKUP(MIN(ABS($AY$7:$AY$27 - MEDIAN(MIN($AY$7:$AY$27), MAX($AY$7:$AY$27), F31))), ABS($AY$7:$AY$27 - MEDIAN(MIN($AY$7:$AY$27), MAX($AY$7:$AY$27), F31)), $AZ$7:$AZ$27, "Not Found", 0)</f>
        <v>2</v>
      </c>
      <c r="G60" s="30" cm="1">
        <f t="array" ref="G60">_xlfn.XLOOKUP(MIN(ABS($AY$7:$AY$27 - MEDIAN(MIN($AY$7:$AY$27), MAX($AY$7:$AY$27), G31))), ABS($AY$7:$AY$27 - MEDIAN(MIN($AY$7:$AY$27), MAX($AY$7:$AY$27), G31)), $AZ$7:$AZ$27, "Not Found", 0)</f>
        <v>2</v>
      </c>
      <c r="H60" s="30" cm="1">
        <f t="array" ref="H60">_xlfn.XLOOKUP(MIN(ABS($AY$7:$AY$27 - MEDIAN(MIN($AY$7:$AY$27), MAX($AY$7:$AY$27), H31))), ABS($AY$7:$AY$27 - MEDIAN(MIN($AY$7:$AY$27), MAX($AY$7:$AY$27), H31)), $AZ$7:$AZ$27, "Not Found", 0)</f>
        <v>2</v>
      </c>
      <c r="I60" s="30" cm="1">
        <f t="array" ref="I60">_xlfn.XLOOKUP(MIN(ABS($AY$7:$AY$27 - MEDIAN(MIN($AY$7:$AY$27), MAX($AY$7:$AY$27), I31))), ABS($AY$7:$AY$27 - MEDIAN(MIN($AY$7:$AY$27), MAX($AY$7:$AY$27), I31)), $AZ$7:$AZ$27, "Not Found", 0)</f>
        <v>2</v>
      </c>
      <c r="J60" s="30" cm="1">
        <f t="array" ref="J60">_xlfn.XLOOKUP(MIN(ABS($AY$7:$AY$27 - MEDIAN(MIN($AY$7:$AY$27), MAX($AY$7:$AY$27), J31))), ABS($AY$7:$AY$27 - MEDIAN(MIN($AY$7:$AY$27), MAX($AY$7:$AY$27), J31)), $AZ$7:$AZ$27, "Not Found", 0)</f>
        <v>2</v>
      </c>
      <c r="K60" s="30" cm="1">
        <f t="array" ref="K60">_xlfn.XLOOKUP(MIN(ABS($AY$7:$AY$27 - MEDIAN(MIN($AY$7:$AY$27), MAX($AY$7:$AY$27), K31))), ABS($AY$7:$AY$27 - MEDIAN(MIN($AY$7:$AY$27), MAX($AY$7:$AY$27), K31)), $AZ$7:$AZ$27, "Not Found", 0)</f>
        <v>-2</v>
      </c>
      <c r="L60" s="30" cm="1">
        <f t="array" ref="L60">_xlfn.XLOOKUP(MIN(ABS($AY$7:$AY$27 - MEDIAN(MIN($AY$7:$AY$27), MAX($AY$7:$AY$27), L31))), ABS($AY$7:$AY$27 - MEDIAN(MIN($AY$7:$AY$27), MAX($AY$7:$AY$27), L31)), $AZ$7:$AZ$27, "Not Found", 0)</f>
        <v>-2</v>
      </c>
      <c r="M60" s="30" cm="1">
        <f t="array" ref="M60">_xlfn.XLOOKUP(MIN(ABS($AY$7:$AY$27 - MEDIAN(MIN($AY$7:$AY$27), MAX($AY$7:$AY$27), M31))), ABS($AY$7:$AY$27 - MEDIAN(MIN($AY$7:$AY$27), MAX($AY$7:$AY$27), M31)), $AZ$7:$AZ$27, "Not Found", 0)</f>
        <v>-2</v>
      </c>
      <c r="N60" s="30" cm="1">
        <f t="array" ref="N60">_xlfn.XLOOKUP(MIN(ABS($AY$7:$AY$27 - MEDIAN(MIN($AY$7:$AY$27), MAX($AY$7:$AY$27), N31))), ABS($AY$7:$AY$27 - MEDIAN(MIN($AY$7:$AY$27), MAX($AY$7:$AY$27), N31)), $AZ$7:$AZ$27, "Not Found", 0)</f>
        <v>7</v>
      </c>
      <c r="O60" s="30" cm="1">
        <f t="array" ref="O60">_xlfn.XLOOKUP(MIN(ABS($AY$7:$AY$27 - MEDIAN(MIN($AY$7:$AY$27), MAX($AY$7:$AY$27), O31))), ABS($AY$7:$AY$27 - MEDIAN(MIN($AY$7:$AY$27), MAX($AY$7:$AY$27), O31)), $AZ$7:$AZ$27, "Not Found", 0)</f>
        <v>7</v>
      </c>
      <c r="P60" s="30" cm="1">
        <f t="array" ref="P60">_xlfn.XLOOKUP(MIN(ABS($AY$7:$AY$27 - MEDIAN(MIN($AY$7:$AY$27), MAX($AY$7:$AY$27), P31))), ABS($AY$7:$AY$27 - MEDIAN(MIN($AY$7:$AY$27), MAX($AY$7:$AY$27), P31)), $AZ$7:$AZ$27, "Not Found", 0)</f>
        <v>7</v>
      </c>
      <c r="Q60" s="30" cm="1">
        <f t="array" ref="Q60">_xlfn.XLOOKUP(MIN(ABS($AY$7:$AY$27 - MEDIAN(MIN($AY$7:$AY$27), MAX($AY$7:$AY$27), Q31))), ABS($AY$7:$AY$27 - MEDIAN(MIN($AY$7:$AY$27), MAX($AY$7:$AY$27), Q31)), $AZ$7:$AZ$27, "Not Found", 0)</f>
        <v>4</v>
      </c>
      <c r="R60" s="30" cm="1">
        <f t="array" ref="R60">_xlfn.XLOOKUP(MIN(ABS($AY$7:$AY$27 - MEDIAN(MIN($AY$7:$AY$27), MAX($AY$7:$AY$27), R31))), ABS($AY$7:$AY$27 - MEDIAN(MIN($AY$7:$AY$27), MAX($AY$7:$AY$27), R31)), $AZ$7:$AZ$27, "Not Found", 0)</f>
        <v>4</v>
      </c>
      <c r="S60" s="30" cm="1">
        <f t="array" ref="S60">_xlfn.XLOOKUP(MIN(ABS($AY$7:$AY$27 - MEDIAN(MIN($AY$7:$AY$27), MAX($AY$7:$AY$27), S31))), ABS($AY$7:$AY$27 - MEDIAN(MIN($AY$7:$AY$27), MAX($AY$7:$AY$27), S31)), $AZ$7:$AZ$27, "Not Found", 0)</f>
        <v>4</v>
      </c>
      <c r="T60" s="30" cm="1">
        <f t="array" ref="T60">_xlfn.XLOOKUP(MIN(ABS($AY$7:$AY$27 - MEDIAN(MIN($AY$7:$AY$27), MAX($AY$7:$AY$27), T31))), ABS($AY$7:$AY$27 - MEDIAN(MIN($AY$7:$AY$27), MAX($AY$7:$AY$27), T31)), $AZ$7:$AZ$27, "Not Found", 0)</f>
        <v>-1</v>
      </c>
      <c r="U60" s="30" cm="1">
        <f t="array" ref="U60">_xlfn.XLOOKUP(MIN(ABS($AY$7:$AY$27 - MEDIAN(MIN($AY$7:$AY$27), MAX($AY$7:$AY$27), U31))), ABS($AY$7:$AY$27 - MEDIAN(MIN($AY$7:$AY$27), MAX($AY$7:$AY$27), U31)), $AZ$7:$AZ$27, "Not Found", 0)</f>
        <v>-1</v>
      </c>
      <c r="V60" s="30" cm="1">
        <f t="array" ref="V60">_xlfn.XLOOKUP(MIN(ABS($AY$7:$AY$27 - MEDIAN(MIN($AY$7:$AY$27), MAX($AY$7:$AY$27), V31))), ABS($AY$7:$AY$27 - MEDIAN(MIN($AY$7:$AY$27), MAX($AY$7:$AY$27), V31)), $AZ$7:$AZ$27, "Not Found", 0)</f>
        <v>-1</v>
      </c>
      <c r="W60" s="30" cm="1">
        <f t="array" ref="W60">_xlfn.XLOOKUP(MIN(ABS($AY$7:$AY$27 - MEDIAN(MIN($AY$7:$AY$27), MAX($AY$7:$AY$27), W31))), ABS($AY$7:$AY$27 - MEDIAN(MIN($AY$7:$AY$27), MAX($AY$7:$AY$27), W31)), $AZ$7:$AZ$27, "Not Found", 0)</f>
        <v>3</v>
      </c>
      <c r="X60" s="30" cm="1">
        <f t="array" ref="X60">_xlfn.XLOOKUP(MIN(ABS($AY$7:$AY$27 - MEDIAN(MIN($AY$7:$AY$27), MAX($AY$7:$AY$27), X31))), ABS($AY$7:$AY$27 - MEDIAN(MIN($AY$7:$AY$27), MAX($AY$7:$AY$27), X31)), $AZ$7:$AZ$27, "Not Found", 0)</f>
        <v>3</v>
      </c>
      <c r="Y60" s="30" cm="1">
        <f t="array" ref="Y60">_xlfn.XLOOKUP(MIN(ABS($AY$7:$AY$27 - MEDIAN(MIN($AY$7:$AY$27), MAX($AY$7:$AY$27), Y31))), ABS($AY$7:$AY$27 - MEDIAN(MIN($AY$7:$AY$27), MAX($AY$7:$AY$27), Y31)), $AZ$7:$AZ$27, "Not Found", 0)</f>
        <v>3</v>
      </c>
      <c r="Z60" s="30" cm="1">
        <f t="array" ref="Z60">_xlfn.XLOOKUP(MIN(ABS($AY$7:$AY$27 - MEDIAN(MIN($AY$7:$AY$27), MAX($AY$7:$AY$27), Z31))), ABS($AY$7:$AY$27 - MEDIAN(MIN($AY$7:$AY$27), MAX($AY$7:$AY$27), Z31)), $AZ$7:$AZ$27, "Not Found", 0)</f>
        <v>7</v>
      </c>
      <c r="AA60" s="30" cm="1">
        <f t="array" ref="AA60">_xlfn.XLOOKUP(MIN(ABS($AY$7:$AY$27 - MEDIAN(MIN($AY$7:$AY$27), MAX($AY$7:$AY$27), AA31))), ABS($AY$7:$AY$27 - MEDIAN(MIN($AY$7:$AY$27), MAX($AY$7:$AY$27), AA31)), $AZ$7:$AZ$27, "Not Found", 0)</f>
        <v>7</v>
      </c>
      <c r="AB60" s="30" cm="1">
        <f t="array" ref="AB60">_xlfn.XLOOKUP(MIN(ABS($AY$7:$AY$27 - MEDIAN(MIN($AY$7:$AY$27), MAX($AY$7:$AY$27), AB31))), ABS($AY$7:$AY$27 - MEDIAN(MIN($AY$7:$AY$27), MAX($AY$7:$AY$27), AB31)), $AZ$7:$AZ$27, "Not Found", 0)</f>
        <v>7</v>
      </c>
      <c r="AC60" s="30" cm="1">
        <f t="array" ref="AC60">_xlfn.XLOOKUP(MIN(ABS($AY$7:$AY$27 - MEDIAN(MIN($AY$7:$AY$27), MAX($AY$7:$AY$27), AC31))), ABS($AY$7:$AY$27 - MEDIAN(MIN($AY$7:$AY$27), MAX($AY$7:$AY$27), AC31)), $AZ$7:$AZ$27, "Not Found", 0)</f>
        <v>0</v>
      </c>
      <c r="AD60" s="30" cm="1">
        <f t="array" ref="AD60">_xlfn.XLOOKUP(MIN(ABS($AY$7:$AY$27 - MEDIAN(MIN($AY$7:$AY$27), MAX($AY$7:$AY$27), AD31))), ABS($AY$7:$AY$27 - MEDIAN(MIN($AY$7:$AY$27), MAX($AY$7:$AY$27), AD31)), $AZ$7:$AZ$27, "Not Found", 0)</f>
        <v>0</v>
      </c>
      <c r="AE60" s="30" cm="1">
        <f t="array" ref="AE60">_xlfn.XLOOKUP(MIN(ABS($AY$7:$AY$27 - MEDIAN(MIN($AY$7:$AY$27), MAX($AY$7:$AY$27), AE31))), ABS($AY$7:$AY$27 - MEDIAN(MIN($AY$7:$AY$27), MAX($AY$7:$AY$27), AE31)), $AZ$7:$AZ$27, "Not Found", 0)</f>
        <v>0</v>
      </c>
      <c r="AF60" s="30" cm="1">
        <f t="array" ref="AF60">_xlfn.XLOOKUP(MIN(ABS($AY$7:$AY$27 - MEDIAN(MIN($AY$7:$AY$27), MAX($AY$7:$AY$27), AF31))), ABS($AY$7:$AY$27 - MEDIAN(MIN($AY$7:$AY$27), MAX($AY$7:$AY$27), AF31)), $AZ$7:$AZ$27, "Not Found", 0)</f>
        <v>0</v>
      </c>
      <c r="AG60" s="30" cm="1">
        <f t="array" ref="AG60">_xlfn.XLOOKUP(MIN(ABS($AY$7:$AY$27 - MEDIAN(MIN($AY$7:$AY$27), MAX($AY$7:$AY$27), AG31))), ABS($AY$7:$AY$27 - MEDIAN(MIN($AY$7:$AY$27), MAX($AY$7:$AY$27), AG31)), $AZ$7:$AZ$27, "Not Found", 0)</f>
        <v>0</v>
      </c>
      <c r="AH60" s="30" cm="1">
        <f t="array" ref="AH60">_xlfn.XLOOKUP(MIN(ABS($AY$7:$AY$27 - MEDIAN(MIN($AY$7:$AY$27), MAX($AY$7:$AY$27), AH31))), ABS($AY$7:$AY$27 - MEDIAN(MIN($AY$7:$AY$27), MAX($AY$7:$AY$27), AH31)), $AZ$7:$AZ$27, "Not Found", 0)</f>
        <v>0</v>
      </c>
      <c r="AI60" s="30" cm="1">
        <f t="array" ref="AI60">_xlfn.XLOOKUP(MIN(ABS($AY$7:$AY$27 - MEDIAN(MIN($AY$7:$AY$27), MAX($AY$7:$AY$27), AI31))), ABS($AY$7:$AY$27 - MEDIAN(MIN($AY$7:$AY$27), MAX($AY$7:$AY$27), AI31)), $AZ$7:$AZ$27, "Not Found", 0)</f>
        <v>-2</v>
      </c>
      <c r="AJ60" s="30" cm="1">
        <f t="array" ref="AJ60">_xlfn.XLOOKUP(MIN(ABS($AY$7:$AY$27 - MEDIAN(MIN($AY$7:$AY$27), MAX($AY$7:$AY$27), AJ31))), ABS($AY$7:$AY$27 - MEDIAN(MIN($AY$7:$AY$27), MAX($AY$7:$AY$27), AJ31)), $AZ$7:$AZ$27, "Not Found", 0)</f>
        <v>-2</v>
      </c>
      <c r="AK60" s="30" cm="1">
        <f t="array" ref="AK60">_xlfn.XLOOKUP(MIN(ABS($AY$7:$AY$27 - MEDIAN(MIN($AY$7:$AY$27), MAX($AY$7:$AY$27), AK31))), ABS($AY$7:$AY$27 - MEDIAN(MIN($AY$7:$AY$27), MAX($AY$7:$AY$27), AK31)), $AZ$7:$AZ$27, "Not Found", 0)</f>
        <v>-2</v>
      </c>
      <c r="AL60" s="30" cm="1">
        <f t="array" ref="AL60">_xlfn.XLOOKUP(MIN(ABS($AY$7:$AY$27 - MEDIAN(MIN($AY$7:$AY$27), MAX($AY$7:$AY$27), AL31))), ABS($AY$7:$AY$27 - MEDIAN(MIN($AY$7:$AY$27), MAX($AY$7:$AY$27), AL31)), $AZ$7:$AZ$27, "Not Found", 0)</f>
        <v>2</v>
      </c>
      <c r="AM60" s="30" cm="1">
        <f t="array" ref="AM60">_xlfn.XLOOKUP(MIN(ABS($AY$7:$AY$27 - MEDIAN(MIN($AY$7:$AY$27), MAX($AY$7:$AY$27), AM31))), ABS($AY$7:$AY$27 - MEDIAN(MIN($AY$7:$AY$27), MAX($AY$7:$AY$27), AM31)), $AZ$7:$AZ$27, "Not Found", 0)</f>
        <v>2</v>
      </c>
      <c r="AN60" s="30" cm="1">
        <f t="array" ref="AN60">_xlfn.XLOOKUP(MIN(ABS($AY$7:$AY$27 - MEDIAN(MIN($AY$7:$AY$27), MAX($AY$7:$AY$27), AN31))), ABS($AY$7:$AY$27 - MEDIAN(MIN($AY$7:$AY$27), MAX($AY$7:$AY$27), AN31)), $AZ$7:$AZ$27, "Not Found", 0)</f>
        <v>2</v>
      </c>
      <c r="AO60" s="30" cm="1">
        <f t="array" ref="AO60">_xlfn.XLOOKUP(MIN(ABS($AY$7:$AY$27 - MEDIAN(MIN($AY$7:$AY$27), MAX($AY$7:$AY$27), AO31))), ABS($AY$7:$AY$27 - MEDIAN(MIN($AY$7:$AY$27), MAX($AY$7:$AY$27), AO31)), $AZ$7:$AZ$27, "Not Found", 0)</f>
        <v>0</v>
      </c>
      <c r="AP60" s="30" cm="1">
        <f t="array" ref="AP60">_xlfn.XLOOKUP(MIN(ABS($AY$7:$AY$27 - MEDIAN(MIN($AY$7:$AY$27), MAX($AY$7:$AY$27), AP31))), ABS($AY$7:$AY$27 - MEDIAN(MIN($AY$7:$AY$27), MAX($AY$7:$AY$27), AP31)), $AZ$7:$AZ$27, "Not Found", 0)</f>
        <v>0</v>
      </c>
      <c r="AQ60" s="30" cm="1">
        <f t="array" ref="AQ60">_xlfn.XLOOKUP(MIN(ABS($AY$7:$AY$27 - MEDIAN(MIN($AY$7:$AY$27), MAX($AY$7:$AY$27), AQ31))), ABS($AY$7:$AY$27 - MEDIAN(MIN($AY$7:$AY$27), MAX($AY$7:$AY$27), AQ31)), $AZ$7:$AZ$27, "Not Found", 0)</f>
        <v>0</v>
      </c>
      <c r="AR60" s="30" cm="1">
        <f t="array" ref="AR60">_xlfn.XLOOKUP(MIN(ABS($AY$7:$AY$27 - MEDIAN(MIN($AY$7:$AY$27), MAX($AY$7:$AY$27), AR31))), ABS($AY$7:$AY$27 - MEDIAN(MIN($AY$7:$AY$27), MAX($AY$7:$AY$27), AR31)), $AZ$7:$AZ$27, "Not Found", 0)</f>
        <v>0</v>
      </c>
      <c r="AS60" s="30" cm="1">
        <f t="array" ref="AS60">_xlfn.XLOOKUP(MIN(ABS($AY$7:$AY$27 - MEDIAN(MIN($AY$7:$AY$27), MAX($AY$7:$AY$27), AS31))), ABS($AY$7:$AY$27 - MEDIAN(MIN($AY$7:$AY$27), MAX($AY$7:$AY$27), AS31)), $AZ$7:$AZ$27, "Not Found", 0)</f>
        <v>0</v>
      </c>
      <c r="AT60" s="30" cm="1">
        <f t="array" ref="AT60">_xlfn.XLOOKUP(MIN(ABS($AY$7:$AY$27 - MEDIAN(MIN($AY$7:$AY$27), MAX($AY$7:$AY$27), AT31))), ABS($AY$7:$AY$27 - MEDIAN(MIN($AY$7:$AY$27), MAX($AY$7:$AY$27), AT31)), $AZ$7:$AZ$27, "Not Found", 0)</f>
        <v>0</v>
      </c>
      <c r="AU60" s="30" cm="1">
        <f t="array" ref="AU60">_xlfn.XLOOKUP(MIN(ABS($AY$7:$AY$27 - MEDIAN(MIN($AY$7:$AY$27), MAX($AY$7:$AY$27), AU31))), ABS($AY$7:$AY$27 - MEDIAN(MIN($AY$7:$AY$27), MAX($AY$7:$AY$27), AU31)), $AZ$7:$AZ$27, "Not Found", 0)</f>
        <v>0</v>
      </c>
      <c r="AV60" s="30" cm="1">
        <f t="array" ref="AV60">_xlfn.XLOOKUP(MIN(ABS($AY$7:$AY$27 - MEDIAN(MIN($AY$7:$AY$27), MAX($AY$7:$AY$27), AV31))), ABS($AY$7:$AY$27 - MEDIAN(MIN($AY$7:$AY$27), MAX($AY$7:$AY$27), AV31)), $AZ$7:$AZ$27, "Not Found", 0)</f>
        <v>0</v>
      </c>
      <c r="AW60" s="30" cm="1">
        <f t="array" ref="AW60">_xlfn.XLOOKUP(MIN(ABS($AY$7:$AY$27 - MEDIAN(MIN($AY$7:$AY$27), MAX($AY$7:$AY$27), AW31))), ABS($AY$7:$AY$27 - MEDIAN(MIN($AY$7:$AY$27), MAX($AY$7:$AY$27), AW31)), $AZ$7:$AZ$27, "Not Found", 0)</f>
        <v>0</v>
      </c>
    </row>
    <row r="61" spans="1:49" ht="25" customHeight="1">
      <c r="A61" s="50" t="s">
        <v>10</v>
      </c>
      <c r="B61" s="30" cm="1">
        <f t="array" ref="B61">_xlfn.XLOOKUP(MIN(ABS($AY$7:$AY$27 - MEDIAN(MIN($AY$7:$AY$27), MAX($AY$7:$AY$27), B32))), ABS($AY$7:$AY$27 - MEDIAN(MIN($AY$7:$AY$27), MAX($AY$7:$AY$27), B32)), $AZ$7:$AZ$27, "Not Found", 0)</f>
        <v>2</v>
      </c>
      <c r="C61" s="30" cm="1">
        <f t="array" ref="C61">_xlfn.XLOOKUP(MIN(ABS($AY$7:$AY$27 - MEDIAN(MIN($AY$7:$AY$27), MAX($AY$7:$AY$27), C32))), ABS($AY$7:$AY$27 - MEDIAN(MIN($AY$7:$AY$27), MAX($AY$7:$AY$27), C32)), $AZ$7:$AZ$27, "Not Found", 0)</f>
        <v>2</v>
      </c>
      <c r="D61" s="30" cm="1">
        <f t="array" ref="D61">_xlfn.XLOOKUP(MIN(ABS($AY$7:$AY$27 - MEDIAN(MIN($AY$7:$AY$27), MAX($AY$7:$AY$27), D32))), ABS($AY$7:$AY$27 - MEDIAN(MIN($AY$7:$AY$27), MAX($AY$7:$AY$27), D32)), $AZ$7:$AZ$27, "Not Found", 0)</f>
        <v>2</v>
      </c>
      <c r="E61" s="30" cm="1">
        <f t="array" ref="E61">_xlfn.XLOOKUP(MIN(ABS($AY$7:$AY$27 - MEDIAN(MIN($AY$7:$AY$27), MAX($AY$7:$AY$27), E32))), ABS($AY$7:$AY$27 - MEDIAN(MIN($AY$7:$AY$27), MAX($AY$7:$AY$27), E32)), $AZ$7:$AZ$27, "Not Found", 0)</f>
        <v>2</v>
      </c>
      <c r="F61" s="30" cm="1">
        <f t="array" ref="F61">_xlfn.XLOOKUP(MIN(ABS($AY$7:$AY$27 - MEDIAN(MIN($AY$7:$AY$27), MAX($AY$7:$AY$27), F32))), ABS($AY$7:$AY$27 - MEDIAN(MIN($AY$7:$AY$27), MAX($AY$7:$AY$27), F32)), $AZ$7:$AZ$27, "Not Found", 0)</f>
        <v>2</v>
      </c>
      <c r="G61" s="30" cm="1">
        <f t="array" ref="G61">_xlfn.XLOOKUP(MIN(ABS($AY$7:$AY$27 - MEDIAN(MIN($AY$7:$AY$27), MAX($AY$7:$AY$27), G32))), ABS($AY$7:$AY$27 - MEDIAN(MIN($AY$7:$AY$27), MAX($AY$7:$AY$27), G32)), $AZ$7:$AZ$27, "Not Found", 0)</f>
        <v>2</v>
      </c>
      <c r="H61" s="30" cm="1">
        <f t="array" ref="H61">_xlfn.XLOOKUP(MIN(ABS($AY$7:$AY$27 - MEDIAN(MIN($AY$7:$AY$27), MAX($AY$7:$AY$27), H32))), ABS($AY$7:$AY$27 - MEDIAN(MIN($AY$7:$AY$27), MAX($AY$7:$AY$27), H32)), $AZ$7:$AZ$27, "Not Found", 0)</f>
        <v>1</v>
      </c>
      <c r="I61" s="30" cm="1">
        <f t="array" ref="I61">_xlfn.XLOOKUP(MIN(ABS($AY$7:$AY$27 - MEDIAN(MIN($AY$7:$AY$27), MAX($AY$7:$AY$27), I32))), ABS($AY$7:$AY$27 - MEDIAN(MIN($AY$7:$AY$27), MAX($AY$7:$AY$27), I32)), $AZ$7:$AZ$27, "Not Found", 0)</f>
        <v>1</v>
      </c>
      <c r="J61" s="30" cm="1">
        <f t="array" ref="J61">_xlfn.XLOOKUP(MIN(ABS($AY$7:$AY$27 - MEDIAN(MIN($AY$7:$AY$27), MAX($AY$7:$AY$27), J32))), ABS($AY$7:$AY$27 - MEDIAN(MIN($AY$7:$AY$27), MAX($AY$7:$AY$27), J32)), $AZ$7:$AZ$27, "Not Found", 0)</f>
        <v>1</v>
      </c>
      <c r="K61" s="30" cm="1">
        <f t="array" ref="K61">_xlfn.XLOOKUP(MIN(ABS($AY$7:$AY$27 - MEDIAN(MIN($AY$7:$AY$27), MAX($AY$7:$AY$27), K32))), ABS($AY$7:$AY$27 - MEDIAN(MIN($AY$7:$AY$27), MAX($AY$7:$AY$27), K32)), $AZ$7:$AZ$27, "Not Found", 0)</f>
        <v>2</v>
      </c>
      <c r="L61" s="30" cm="1">
        <f t="array" ref="L61">_xlfn.XLOOKUP(MIN(ABS($AY$7:$AY$27 - MEDIAN(MIN($AY$7:$AY$27), MAX($AY$7:$AY$27), L32))), ABS($AY$7:$AY$27 - MEDIAN(MIN($AY$7:$AY$27), MAX($AY$7:$AY$27), L32)), $AZ$7:$AZ$27, "Not Found", 0)</f>
        <v>2</v>
      </c>
      <c r="M61" s="30" cm="1">
        <f t="array" ref="M61">_xlfn.XLOOKUP(MIN(ABS($AY$7:$AY$27 - MEDIAN(MIN($AY$7:$AY$27), MAX($AY$7:$AY$27), M32))), ABS($AY$7:$AY$27 - MEDIAN(MIN($AY$7:$AY$27), MAX($AY$7:$AY$27), M32)), $AZ$7:$AZ$27, "Not Found", 0)</f>
        <v>2</v>
      </c>
      <c r="N61" s="30" cm="1">
        <f t="array" ref="N61">_xlfn.XLOOKUP(MIN(ABS($AY$7:$AY$27 - MEDIAN(MIN($AY$7:$AY$27), MAX($AY$7:$AY$27), N32))), ABS($AY$7:$AY$27 - MEDIAN(MIN($AY$7:$AY$27), MAX($AY$7:$AY$27), N32)), $AZ$7:$AZ$27, "Not Found", 0)</f>
        <v>1</v>
      </c>
      <c r="O61" s="30" cm="1">
        <f t="array" ref="O61">_xlfn.XLOOKUP(MIN(ABS($AY$7:$AY$27 - MEDIAN(MIN($AY$7:$AY$27), MAX($AY$7:$AY$27), O32))), ABS($AY$7:$AY$27 - MEDIAN(MIN($AY$7:$AY$27), MAX($AY$7:$AY$27), O32)), $AZ$7:$AZ$27, "Not Found", 0)</f>
        <v>1</v>
      </c>
      <c r="P61" s="30" cm="1">
        <f t="array" ref="P61">_xlfn.XLOOKUP(MIN(ABS($AY$7:$AY$27 - MEDIAN(MIN($AY$7:$AY$27), MAX($AY$7:$AY$27), P32))), ABS($AY$7:$AY$27 - MEDIAN(MIN($AY$7:$AY$27), MAX($AY$7:$AY$27), P32)), $AZ$7:$AZ$27, "Not Found", 0)</f>
        <v>1</v>
      </c>
      <c r="Q61" s="30" cm="1">
        <f t="array" ref="Q61">_xlfn.XLOOKUP(MIN(ABS($AY$7:$AY$27 - MEDIAN(MIN($AY$7:$AY$27), MAX($AY$7:$AY$27), Q32))), ABS($AY$7:$AY$27 - MEDIAN(MIN($AY$7:$AY$27), MAX($AY$7:$AY$27), Q32)), $AZ$7:$AZ$27, "Not Found", 0)</f>
        <v>1</v>
      </c>
      <c r="R61" s="30" cm="1">
        <f t="array" ref="R61">_xlfn.XLOOKUP(MIN(ABS($AY$7:$AY$27 - MEDIAN(MIN($AY$7:$AY$27), MAX($AY$7:$AY$27), R32))), ABS($AY$7:$AY$27 - MEDIAN(MIN($AY$7:$AY$27), MAX($AY$7:$AY$27), R32)), $AZ$7:$AZ$27, "Not Found", 0)</f>
        <v>1</v>
      </c>
      <c r="S61" s="30" cm="1">
        <f t="array" ref="S61">_xlfn.XLOOKUP(MIN(ABS($AY$7:$AY$27 - MEDIAN(MIN($AY$7:$AY$27), MAX($AY$7:$AY$27), S32))), ABS($AY$7:$AY$27 - MEDIAN(MIN($AY$7:$AY$27), MAX($AY$7:$AY$27), S32)), $AZ$7:$AZ$27, "Not Found", 0)</f>
        <v>1</v>
      </c>
      <c r="T61" s="30" cm="1">
        <f t="array" ref="T61">_xlfn.XLOOKUP(MIN(ABS($AY$7:$AY$27 - MEDIAN(MIN($AY$7:$AY$27), MAX($AY$7:$AY$27), T32))), ABS($AY$7:$AY$27 - MEDIAN(MIN($AY$7:$AY$27), MAX($AY$7:$AY$27), T32)), $AZ$7:$AZ$27, "Not Found", 0)</f>
        <v>1</v>
      </c>
      <c r="U61" s="30" cm="1">
        <f t="array" ref="U61">_xlfn.XLOOKUP(MIN(ABS($AY$7:$AY$27 - MEDIAN(MIN($AY$7:$AY$27), MAX($AY$7:$AY$27), U32))), ABS($AY$7:$AY$27 - MEDIAN(MIN($AY$7:$AY$27), MAX($AY$7:$AY$27), U32)), $AZ$7:$AZ$27, "Not Found", 0)</f>
        <v>1</v>
      </c>
      <c r="V61" s="30" cm="1">
        <f t="array" ref="V61">_xlfn.XLOOKUP(MIN(ABS($AY$7:$AY$27 - MEDIAN(MIN($AY$7:$AY$27), MAX($AY$7:$AY$27), V32))), ABS($AY$7:$AY$27 - MEDIAN(MIN($AY$7:$AY$27), MAX($AY$7:$AY$27), V32)), $AZ$7:$AZ$27, "Not Found", 0)</f>
        <v>1</v>
      </c>
      <c r="W61" s="30" cm="1">
        <f t="array" ref="W61">_xlfn.XLOOKUP(MIN(ABS($AY$7:$AY$27 - MEDIAN(MIN($AY$7:$AY$27), MAX($AY$7:$AY$27), W32))), ABS($AY$7:$AY$27 - MEDIAN(MIN($AY$7:$AY$27), MAX($AY$7:$AY$27), W32)), $AZ$7:$AZ$27, "Not Found", 0)</f>
        <v>1</v>
      </c>
      <c r="X61" s="30" cm="1">
        <f t="array" ref="X61">_xlfn.XLOOKUP(MIN(ABS($AY$7:$AY$27 - MEDIAN(MIN($AY$7:$AY$27), MAX($AY$7:$AY$27), X32))), ABS($AY$7:$AY$27 - MEDIAN(MIN($AY$7:$AY$27), MAX($AY$7:$AY$27), X32)), $AZ$7:$AZ$27, "Not Found", 0)</f>
        <v>1</v>
      </c>
      <c r="Y61" s="30" cm="1">
        <f t="array" ref="Y61">_xlfn.XLOOKUP(MIN(ABS($AY$7:$AY$27 - MEDIAN(MIN($AY$7:$AY$27), MAX($AY$7:$AY$27), Y32))), ABS($AY$7:$AY$27 - MEDIAN(MIN($AY$7:$AY$27), MAX($AY$7:$AY$27), Y32)), $AZ$7:$AZ$27, "Not Found", 0)</f>
        <v>1</v>
      </c>
      <c r="Z61" s="30" cm="1">
        <f t="array" ref="Z61">_xlfn.XLOOKUP(MIN(ABS($AY$7:$AY$27 - MEDIAN(MIN($AY$7:$AY$27), MAX($AY$7:$AY$27), Z32))), ABS($AY$7:$AY$27 - MEDIAN(MIN($AY$7:$AY$27), MAX($AY$7:$AY$27), Z32)), $AZ$7:$AZ$27, "Not Found", 0)</f>
        <v>2</v>
      </c>
      <c r="AA61" s="30" cm="1">
        <f t="array" ref="AA61">_xlfn.XLOOKUP(MIN(ABS($AY$7:$AY$27 - MEDIAN(MIN($AY$7:$AY$27), MAX($AY$7:$AY$27), AA32))), ABS($AY$7:$AY$27 - MEDIAN(MIN($AY$7:$AY$27), MAX($AY$7:$AY$27), AA32)), $AZ$7:$AZ$27, "Not Found", 0)</f>
        <v>2</v>
      </c>
      <c r="AB61" s="30" cm="1">
        <f t="array" ref="AB61">_xlfn.XLOOKUP(MIN(ABS($AY$7:$AY$27 - MEDIAN(MIN($AY$7:$AY$27), MAX($AY$7:$AY$27), AB32))), ABS($AY$7:$AY$27 - MEDIAN(MIN($AY$7:$AY$27), MAX($AY$7:$AY$27), AB32)), $AZ$7:$AZ$27, "Not Found", 0)</f>
        <v>2</v>
      </c>
      <c r="AC61" s="30" cm="1">
        <f t="array" ref="AC61">_xlfn.XLOOKUP(MIN(ABS($AY$7:$AY$27 - MEDIAN(MIN($AY$7:$AY$27), MAX($AY$7:$AY$27), AC32))), ABS($AY$7:$AY$27 - MEDIAN(MIN($AY$7:$AY$27), MAX($AY$7:$AY$27), AC32)), $AZ$7:$AZ$27, "Not Found", 0)</f>
        <v>0</v>
      </c>
      <c r="AD61" s="30" cm="1">
        <f t="array" ref="AD61">_xlfn.XLOOKUP(MIN(ABS($AY$7:$AY$27 - MEDIAN(MIN($AY$7:$AY$27), MAX($AY$7:$AY$27), AD32))), ABS($AY$7:$AY$27 - MEDIAN(MIN($AY$7:$AY$27), MAX($AY$7:$AY$27), AD32)), $AZ$7:$AZ$27, "Not Found", 0)</f>
        <v>0</v>
      </c>
      <c r="AE61" s="30" cm="1">
        <f t="array" ref="AE61">_xlfn.XLOOKUP(MIN(ABS($AY$7:$AY$27 - MEDIAN(MIN($AY$7:$AY$27), MAX($AY$7:$AY$27), AE32))), ABS($AY$7:$AY$27 - MEDIAN(MIN($AY$7:$AY$27), MAX($AY$7:$AY$27), AE32)), $AZ$7:$AZ$27, "Not Found", 0)</f>
        <v>0</v>
      </c>
      <c r="AF61" s="30" cm="1">
        <f t="array" ref="AF61">_xlfn.XLOOKUP(MIN(ABS($AY$7:$AY$27 - MEDIAN(MIN($AY$7:$AY$27), MAX($AY$7:$AY$27), AF32))), ABS($AY$7:$AY$27 - MEDIAN(MIN($AY$7:$AY$27), MAX($AY$7:$AY$27), AF32)), $AZ$7:$AZ$27, "Not Found", 0)</f>
        <v>0</v>
      </c>
      <c r="AG61" s="30" cm="1">
        <f t="array" ref="AG61">_xlfn.XLOOKUP(MIN(ABS($AY$7:$AY$27 - MEDIAN(MIN($AY$7:$AY$27), MAX($AY$7:$AY$27), AG32))), ABS($AY$7:$AY$27 - MEDIAN(MIN($AY$7:$AY$27), MAX($AY$7:$AY$27), AG32)), $AZ$7:$AZ$27, "Not Found", 0)</f>
        <v>0</v>
      </c>
      <c r="AH61" s="30" cm="1">
        <f t="array" ref="AH61">_xlfn.XLOOKUP(MIN(ABS($AY$7:$AY$27 - MEDIAN(MIN($AY$7:$AY$27), MAX($AY$7:$AY$27), AH32))), ABS($AY$7:$AY$27 - MEDIAN(MIN($AY$7:$AY$27), MAX($AY$7:$AY$27), AH32)), $AZ$7:$AZ$27, "Not Found", 0)</f>
        <v>0</v>
      </c>
      <c r="AI61" s="30" cm="1">
        <f t="array" ref="AI61">_xlfn.XLOOKUP(MIN(ABS($AY$7:$AY$27 - MEDIAN(MIN($AY$7:$AY$27), MAX($AY$7:$AY$27), AI32))), ABS($AY$7:$AY$27 - MEDIAN(MIN($AY$7:$AY$27), MAX($AY$7:$AY$27), AI32)), $AZ$7:$AZ$27, "Not Found", 0)</f>
        <v>0</v>
      </c>
      <c r="AJ61" s="30" cm="1">
        <f t="array" ref="AJ61">_xlfn.XLOOKUP(MIN(ABS($AY$7:$AY$27 - MEDIAN(MIN($AY$7:$AY$27), MAX($AY$7:$AY$27), AJ32))), ABS($AY$7:$AY$27 - MEDIAN(MIN($AY$7:$AY$27), MAX($AY$7:$AY$27), AJ32)), $AZ$7:$AZ$27, "Not Found", 0)</f>
        <v>0</v>
      </c>
      <c r="AK61" s="30" cm="1">
        <f t="array" ref="AK61">_xlfn.XLOOKUP(MIN(ABS($AY$7:$AY$27 - MEDIAN(MIN($AY$7:$AY$27), MAX($AY$7:$AY$27), AK32))), ABS($AY$7:$AY$27 - MEDIAN(MIN($AY$7:$AY$27), MAX($AY$7:$AY$27), AK32)), $AZ$7:$AZ$27, "Not Found", 0)</f>
        <v>0</v>
      </c>
      <c r="AL61" s="30" cm="1">
        <f t="array" ref="AL61">_xlfn.XLOOKUP(MIN(ABS($AY$7:$AY$27 - MEDIAN(MIN($AY$7:$AY$27), MAX($AY$7:$AY$27), AL32))), ABS($AY$7:$AY$27 - MEDIAN(MIN($AY$7:$AY$27), MAX($AY$7:$AY$27), AL32)), $AZ$7:$AZ$27, "Not Found", 0)</f>
        <v>0</v>
      </c>
      <c r="AM61" s="30" cm="1">
        <f t="array" ref="AM61">_xlfn.XLOOKUP(MIN(ABS($AY$7:$AY$27 - MEDIAN(MIN($AY$7:$AY$27), MAX($AY$7:$AY$27), AM32))), ABS($AY$7:$AY$27 - MEDIAN(MIN($AY$7:$AY$27), MAX($AY$7:$AY$27), AM32)), $AZ$7:$AZ$27, "Not Found", 0)</f>
        <v>0</v>
      </c>
      <c r="AN61" s="30" cm="1">
        <f t="array" ref="AN61">_xlfn.XLOOKUP(MIN(ABS($AY$7:$AY$27 - MEDIAN(MIN($AY$7:$AY$27), MAX($AY$7:$AY$27), AN32))), ABS($AY$7:$AY$27 - MEDIAN(MIN($AY$7:$AY$27), MAX($AY$7:$AY$27), AN32)), $AZ$7:$AZ$27, "Not Found", 0)</f>
        <v>0</v>
      </c>
      <c r="AO61" s="30" cm="1">
        <f t="array" ref="AO61">_xlfn.XLOOKUP(MIN(ABS($AY$7:$AY$27 - MEDIAN(MIN($AY$7:$AY$27), MAX($AY$7:$AY$27), AO32))), ABS($AY$7:$AY$27 - MEDIAN(MIN($AY$7:$AY$27), MAX($AY$7:$AY$27), AO32)), $AZ$7:$AZ$27, "Not Found", 0)</f>
        <v>0</v>
      </c>
      <c r="AP61" s="30" cm="1">
        <f t="array" ref="AP61">_xlfn.XLOOKUP(MIN(ABS($AY$7:$AY$27 - MEDIAN(MIN($AY$7:$AY$27), MAX($AY$7:$AY$27), AP32))), ABS($AY$7:$AY$27 - MEDIAN(MIN($AY$7:$AY$27), MAX($AY$7:$AY$27), AP32)), $AZ$7:$AZ$27, "Not Found", 0)</f>
        <v>0</v>
      </c>
      <c r="AQ61" s="30" cm="1">
        <f t="array" ref="AQ61">_xlfn.XLOOKUP(MIN(ABS($AY$7:$AY$27 - MEDIAN(MIN($AY$7:$AY$27), MAX($AY$7:$AY$27), AQ32))), ABS($AY$7:$AY$27 - MEDIAN(MIN($AY$7:$AY$27), MAX($AY$7:$AY$27), AQ32)), $AZ$7:$AZ$27, "Not Found", 0)</f>
        <v>0</v>
      </c>
      <c r="AR61" s="30" cm="1">
        <f t="array" ref="AR61">_xlfn.XLOOKUP(MIN(ABS($AY$7:$AY$27 - MEDIAN(MIN($AY$7:$AY$27), MAX($AY$7:$AY$27), AR32))), ABS($AY$7:$AY$27 - MEDIAN(MIN($AY$7:$AY$27), MAX($AY$7:$AY$27), AR32)), $AZ$7:$AZ$27, "Not Found", 0)</f>
        <v>0</v>
      </c>
      <c r="AS61" s="30" cm="1">
        <f t="array" ref="AS61">_xlfn.XLOOKUP(MIN(ABS($AY$7:$AY$27 - MEDIAN(MIN($AY$7:$AY$27), MAX($AY$7:$AY$27), AS32))), ABS($AY$7:$AY$27 - MEDIAN(MIN($AY$7:$AY$27), MAX($AY$7:$AY$27), AS32)), $AZ$7:$AZ$27, "Not Found", 0)</f>
        <v>0</v>
      </c>
      <c r="AT61" s="30" cm="1">
        <f t="array" ref="AT61">_xlfn.XLOOKUP(MIN(ABS($AY$7:$AY$27 - MEDIAN(MIN($AY$7:$AY$27), MAX($AY$7:$AY$27), AT32))), ABS($AY$7:$AY$27 - MEDIAN(MIN($AY$7:$AY$27), MAX($AY$7:$AY$27), AT32)), $AZ$7:$AZ$27, "Not Found", 0)</f>
        <v>0</v>
      </c>
      <c r="AU61" s="30" cm="1">
        <f t="array" ref="AU61">_xlfn.XLOOKUP(MIN(ABS($AY$7:$AY$27 - MEDIAN(MIN($AY$7:$AY$27), MAX($AY$7:$AY$27), AU32))), ABS($AY$7:$AY$27 - MEDIAN(MIN($AY$7:$AY$27), MAX($AY$7:$AY$27), AU32)), $AZ$7:$AZ$27, "Not Found", 0)</f>
        <v>0</v>
      </c>
      <c r="AV61" s="30" cm="1">
        <f t="array" ref="AV61">_xlfn.XLOOKUP(MIN(ABS($AY$7:$AY$27 - MEDIAN(MIN($AY$7:$AY$27), MAX($AY$7:$AY$27), AV32))), ABS($AY$7:$AY$27 - MEDIAN(MIN($AY$7:$AY$27), MAX($AY$7:$AY$27), AV32)), $AZ$7:$AZ$27, "Not Found", 0)</f>
        <v>0</v>
      </c>
      <c r="AW61" s="30" cm="1">
        <f t="array" ref="AW61">_xlfn.XLOOKUP(MIN(ABS($AY$7:$AY$27 - MEDIAN(MIN($AY$7:$AY$27), MAX($AY$7:$AY$27), AW32))), ABS($AY$7:$AY$27 - MEDIAN(MIN($AY$7:$AY$27), MAX($AY$7:$AY$27), AW32)), $AZ$7:$AZ$27, "Not Found", 0)</f>
        <v>0</v>
      </c>
    </row>
    <row r="62" spans="1:49" ht="25" customHeight="1">
      <c r="A62" s="50" t="s">
        <v>58</v>
      </c>
      <c r="B62" s="30" cm="1">
        <f t="array" ref="B62">_xlfn.XLOOKUP(MIN(ABS($AY$7:$AY$27 - MEDIAN(MIN($AY$7:$AY$27), MAX($AY$7:$AY$27), B33))), ABS($AY$7:$AY$27 - MEDIAN(MIN($AY$7:$AY$27), MAX($AY$7:$AY$27), B33)), $AZ$7:$AZ$27, "Not Found", 0)</f>
        <v>-3</v>
      </c>
      <c r="C62" s="30" cm="1">
        <f t="array" ref="C62">_xlfn.XLOOKUP(MIN(ABS($AY$7:$AY$27 - MEDIAN(MIN($AY$7:$AY$27), MAX($AY$7:$AY$27), C33))), ABS($AY$7:$AY$27 - MEDIAN(MIN($AY$7:$AY$27), MAX($AY$7:$AY$27), C33)), $AZ$7:$AZ$27, "Not Found", 0)</f>
        <v>-3</v>
      </c>
      <c r="D62" s="30" cm="1">
        <f t="array" ref="D62">_xlfn.XLOOKUP(MIN(ABS($AY$7:$AY$27 - MEDIAN(MIN($AY$7:$AY$27), MAX($AY$7:$AY$27), D33))), ABS($AY$7:$AY$27 - MEDIAN(MIN($AY$7:$AY$27), MAX($AY$7:$AY$27), D33)), $AZ$7:$AZ$27, "Not Found", 0)</f>
        <v>-3</v>
      </c>
      <c r="E62" s="30" cm="1">
        <f t="array" ref="E62">_xlfn.XLOOKUP(MIN(ABS($AY$7:$AY$27 - MEDIAN(MIN($AY$7:$AY$27), MAX($AY$7:$AY$27), E33))), ABS($AY$7:$AY$27 - MEDIAN(MIN($AY$7:$AY$27), MAX($AY$7:$AY$27), E33)), $AZ$7:$AZ$27, "Not Found", 0)</f>
        <v>-5</v>
      </c>
      <c r="F62" s="30" cm="1">
        <f t="array" ref="F62">_xlfn.XLOOKUP(MIN(ABS($AY$7:$AY$27 - MEDIAN(MIN($AY$7:$AY$27), MAX($AY$7:$AY$27), F33))), ABS($AY$7:$AY$27 - MEDIAN(MIN($AY$7:$AY$27), MAX($AY$7:$AY$27), F33)), $AZ$7:$AZ$27, "Not Found", 0)</f>
        <v>-5</v>
      </c>
      <c r="G62" s="30" cm="1">
        <f t="array" ref="G62">_xlfn.XLOOKUP(MIN(ABS($AY$7:$AY$27 - MEDIAN(MIN($AY$7:$AY$27), MAX($AY$7:$AY$27), G33))), ABS($AY$7:$AY$27 - MEDIAN(MIN($AY$7:$AY$27), MAX($AY$7:$AY$27), G33)), $AZ$7:$AZ$27, "Not Found", 0)</f>
        <v>-5</v>
      </c>
      <c r="H62" s="30" cm="1">
        <f t="array" ref="H62">_xlfn.XLOOKUP(MIN(ABS($AY$7:$AY$27 - MEDIAN(MIN($AY$7:$AY$27), MAX($AY$7:$AY$27), H33))), ABS($AY$7:$AY$27 - MEDIAN(MIN($AY$7:$AY$27), MAX($AY$7:$AY$27), H33)), $AZ$7:$AZ$27, "Not Found", 0)</f>
        <v>-6</v>
      </c>
      <c r="I62" s="30" cm="1">
        <f t="array" ref="I62">_xlfn.XLOOKUP(MIN(ABS($AY$7:$AY$27 - MEDIAN(MIN($AY$7:$AY$27), MAX($AY$7:$AY$27), I33))), ABS($AY$7:$AY$27 - MEDIAN(MIN($AY$7:$AY$27), MAX($AY$7:$AY$27), I33)), $AZ$7:$AZ$27, "Not Found", 0)</f>
        <v>-6</v>
      </c>
      <c r="J62" s="30" cm="1">
        <f t="array" ref="J62">_xlfn.XLOOKUP(MIN(ABS($AY$7:$AY$27 - MEDIAN(MIN($AY$7:$AY$27), MAX($AY$7:$AY$27), J33))), ABS($AY$7:$AY$27 - MEDIAN(MIN($AY$7:$AY$27), MAX($AY$7:$AY$27), J33)), $AZ$7:$AZ$27, "Not Found", 0)</f>
        <v>-6</v>
      </c>
      <c r="K62" s="30" cm="1">
        <f t="array" ref="K62">_xlfn.XLOOKUP(MIN(ABS($AY$7:$AY$27 - MEDIAN(MIN($AY$7:$AY$27), MAX($AY$7:$AY$27), K33))), ABS($AY$7:$AY$27 - MEDIAN(MIN($AY$7:$AY$27), MAX($AY$7:$AY$27), K33)), $AZ$7:$AZ$27, "Not Found", 0)</f>
        <v>-1</v>
      </c>
      <c r="L62" s="30" cm="1">
        <f t="array" ref="L62">_xlfn.XLOOKUP(MIN(ABS($AY$7:$AY$27 - MEDIAN(MIN($AY$7:$AY$27), MAX($AY$7:$AY$27), L33))), ABS($AY$7:$AY$27 - MEDIAN(MIN($AY$7:$AY$27), MAX($AY$7:$AY$27), L33)), $AZ$7:$AZ$27, "Not Found", 0)</f>
        <v>-1</v>
      </c>
      <c r="M62" s="30" cm="1">
        <f t="array" ref="M62">_xlfn.XLOOKUP(MIN(ABS($AY$7:$AY$27 - MEDIAN(MIN($AY$7:$AY$27), MAX($AY$7:$AY$27), M33))), ABS($AY$7:$AY$27 - MEDIAN(MIN($AY$7:$AY$27), MAX($AY$7:$AY$27), M33)), $AZ$7:$AZ$27, "Not Found", 0)</f>
        <v>-1</v>
      </c>
      <c r="N62" s="30" cm="1">
        <f t="array" ref="N62">_xlfn.XLOOKUP(MIN(ABS($AY$7:$AY$27 - MEDIAN(MIN($AY$7:$AY$27), MAX($AY$7:$AY$27), N33))), ABS($AY$7:$AY$27 - MEDIAN(MIN($AY$7:$AY$27), MAX($AY$7:$AY$27), N33)), $AZ$7:$AZ$27, "Not Found", 0)</f>
        <v>-10</v>
      </c>
      <c r="O62" s="30" cm="1">
        <f t="array" ref="O62">_xlfn.XLOOKUP(MIN(ABS($AY$7:$AY$27 - MEDIAN(MIN($AY$7:$AY$27), MAX($AY$7:$AY$27), O33))), ABS($AY$7:$AY$27 - MEDIAN(MIN($AY$7:$AY$27), MAX($AY$7:$AY$27), O33)), $AZ$7:$AZ$27, "Not Found", 0)</f>
        <v>-10</v>
      </c>
      <c r="P62" s="30" cm="1">
        <f t="array" ref="P62">_xlfn.XLOOKUP(MIN(ABS($AY$7:$AY$27 - MEDIAN(MIN($AY$7:$AY$27), MAX($AY$7:$AY$27), P33))), ABS($AY$7:$AY$27 - MEDIAN(MIN($AY$7:$AY$27), MAX($AY$7:$AY$27), P33)), $AZ$7:$AZ$27, "Not Found", 0)</f>
        <v>-10</v>
      </c>
      <c r="Q62" s="30" cm="1">
        <f t="array" ref="Q62">_xlfn.XLOOKUP(MIN(ABS($AY$7:$AY$27 - MEDIAN(MIN($AY$7:$AY$27), MAX($AY$7:$AY$27), Q33))), ABS($AY$7:$AY$27 - MEDIAN(MIN($AY$7:$AY$27), MAX($AY$7:$AY$27), Q33)), $AZ$7:$AZ$27, "Not Found", 0)</f>
        <v>-10</v>
      </c>
      <c r="R62" s="30" cm="1">
        <f t="array" ref="R62">_xlfn.XLOOKUP(MIN(ABS($AY$7:$AY$27 - MEDIAN(MIN($AY$7:$AY$27), MAX($AY$7:$AY$27), R33))), ABS($AY$7:$AY$27 - MEDIAN(MIN($AY$7:$AY$27), MAX($AY$7:$AY$27), R33)), $AZ$7:$AZ$27, "Not Found", 0)</f>
        <v>-10</v>
      </c>
      <c r="S62" s="30" cm="1">
        <f t="array" ref="S62">_xlfn.XLOOKUP(MIN(ABS($AY$7:$AY$27 - MEDIAN(MIN($AY$7:$AY$27), MAX($AY$7:$AY$27), S33))), ABS($AY$7:$AY$27 - MEDIAN(MIN($AY$7:$AY$27), MAX($AY$7:$AY$27), S33)), $AZ$7:$AZ$27, "Not Found", 0)</f>
        <v>-10</v>
      </c>
      <c r="T62" s="30" cm="1">
        <f t="array" ref="T62">_xlfn.XLOOKUP(MIN(ABS($AY$7:$AY$27 - MEDIAN(MIN($AY$7:$AY$27), MAX($AY$7:$AY$27), T33))), ABS($AY$7:$AY$27 - MEDIAN(MIN($AY$7:$AY$27), MAX($AY$7:$AY$27), T33)), $AZ$7:$AZ$27, "Not Found", 0)</f>
        <v>-2</v>
      </c>
      <c r="U62" s="30" cm="1">
        <f t="array" ref="U62">_xlfn.XLOOKUP(MIN(ABS($AY$7:$AY$27 - MEDIAN(MIN($AY$7:$AY$27), MAX($AY$7:$AY$27), U33))), ABS($AY$7:$AY$27 - MEDIAN(MIN($AY$7:$AY$27), MAX($AY$7:$AY$27), U33)), $AZ$7:$AZ$27, "Not Found", 0)</f>
        <v>-2</v>
      </c>
      <c r="V62" s="30" cm="1">
        <f t="array" ref="V62">_xlfn.XLOOKUP(MIN(ABS($AY$7:$AY$27 - MEDIAN(MIN($AY$7:$AY$27), MAX($AY$7:$AY$27), V33))), ABS($AY$7:$AY$27 - MEDIAN(MIN($AY$7:$AY$27), MAX($AY$7:$AY$27), V33)), $AZ$7:$AZ$27, "Not Found", 0)</f>
        <v>-2</v>
      </c>
      <c r="W62" s="30" cm="1">
        <f t="array" ref="W62">_xlfn.XLOOKUP(MIN(ABS($AY$7:$AY$27 - MEDIAN(MIN($AY$7:$AY$27), MAX($AY$7:$AY$27), W33))), ABS($AY$7:$AY$27 - MEDIAN(MIN($AY$7:$AY$27), MAX($AY$7:$AY$27), W33)), $AZ$7:$AZ$27, "Not Found", 0)</f>
        <v>-9</v>
      </c>
      <c r="X62" s="30" cm="1">
        <f t="array" ref="X62">_xlfn.XLOOKUP(MIN(ABS($AY$7:$AY$27 - MEDIAN(MIN($AY$7:$AY$27), MAX($AY$7:$AY$27), X33))), ABS($AY$7:$AY$27 - MEDIAN(MIN($AY$7:$AY$27), MAX($AY$7:$AY$27), X33)), $AZ$7:$AZ$27, "Not Found", 0)</f>
        <v>-9</v>
      </c>
      <c r="Y62" s="30" cm="1">
        <f t="array" ref="Y62">_xlfn.XLOOKUP(MIN(ABS($AY$7:$AY$27 - MEDIAN(MIN($AY$7:$AY$27), MAX($AY$7:$AY$27), Y33))), ABS($AY$7:$AY$27 - MEDIAN(MIN($AY$7:$AY$27), MAX($AY$7:$AY$27), Y33)), $AZ$7:$AZ$27, "Not Found", 0)</f>
        <v>-9</v>
      </c>
      <c r="Z62" s="30" cm="1">
        <f t="array" ref="Z62">_xlfn.XLOOKUP(MIN(ABS($AY$7:$AY$27 - MEDIAN(MIN($AY$7:$AY$27), MAX($AY$7:$AY$27), Z33))), ABS($AY$7:$AY$27 - MEDIAN(MIN($AY$7:$AY$27), MAX($AY$7:$AY$27), Z33)), $AZ$7:$AZ$27, "Not Found", 0)</f>
        <v>-10</v>
      </c>
      <c r="AA62" s="30" cm="1">
        <f t="array" ref="AA62">_xlfn.XLOOKUP(MIN(ABS($AY$7:$AY$27 - MEDIAN(MIN($AY$7:$AY$27), MAX($AY$7:$AY$27), AA33))), ABS($AY$7:$AY$27 - MEDIAN(MIN($AY$7:$AY$27), MAX($AY$7:$AY$27), AA33)), $AZ$7:$AZ$27, "Not Found", 0)</f>
        <v>-10</v>
      </c>
      <c r="AB62" s="30" cm="1">
        <f t="array" ref="AB62">_xlfn.XLOOKUP(MIN(ABS($AY$7:$AY$27 - MEDIAN(MIN($AY$7:$AY$27), MAX($AY$7:$AY$27), AB33))), ABS($AY$7:$AY$27 - MEDIAN(MIN($AY$7:$AY$27), MAX($AY$7:$AY$27), AB33)), $AZ$7:$AZ$27, "Not Found", 0)</f>
        <v>-10</v>
      </c>
      <c r="AC62" s="30" cm="1">
        <f t="array" ref="AC62">_xlfn.XLOOKUP(MIN(ABS($AY$7:$AY$27 - MEDIAN(MIN($AY$7:$AY$27), MAX($AY$7:$AY$27), AC33))), ABS($AY$7:$AY$27 - MEDIAN(MIN($AY$7:$AY$27), MAX($AY$7:$AY$27), AC33)), $AZ$7:$AZ$27, "Not Found", 0)</f>
        <v>-4</v>
      </c>
      <c r="AD62" s="30" cm="1">
        <f t="array" ref="AD62">_xlfn.XLOOKUP(MIN(ABS($AY$7:$AY$27 - MEDIAN(MIN($AY$7:$AY$27), MAX($AY$7:$AY$27), AD33))), ABS($AY$7:$AY$27 - MEDIAN(MIN($AY$7:$AY$27), MAX($AY$7:$AY$27), AD33)), $AZ$7:$AZ$27, "Not Found", 0)</f>
        <v>-4</v>
      </c>
      <c r="AE62" s="30" cm="1">
        <f t="array" ref="AE62">_xlfn.XLOOKUP(MIN(ABS($AY$7:$AY$27 - MEDIAN(MIN($AY$7:$AY$27), MAX($AY$7:$AY$27), AE33))), ABS($AY$7:$AY$27 - MEDIAN(MIN($AY$7:$AY$27), MAX($AY$7:$AY$27), AE33)), $AZ$7:$AZ$27, "Not Found", 0)</f>
        <v>-4</v>
      </c>
      <c r="AF62" s="30" cm="1">
        <f t="array" ref="AF62">_xlfn.XLOOKUP(MIN(ABS($AY$7:$AY$27 - MEDIAN(MIN($AY$7:$AY$27), MAX($AY$7:$AY$27), AF33))), ABS($AY$7:$AY$27 - MEDIAN(MIN($AY$7:$AY$27), MAX($AY$7:$AY$27), AF33)), $AZ$7:$AZ$27, "Not Found", 0)</f>
        <v>-4</v>
      </c>
      <c r="AG62" s="30" cm="1">
        <f t="array" ref="AG62">_xlfn.XLOOKUP(MIN(ABS($AY$7:$AY$27 - MEDIAN(MIN($AY$7:$AY$27), MAX($AY$7:$AY$27), AG33))), ABS($AY$7:$AY$27 - MEDIAN(MIN($AY$7:$AY$27), MAX($AY$7:$AY$27), AG33)), $AZ$7:$AZ$27, "Not Found", 0)</f>
        <v>-4</v>
      </c>
      <c r="AH62" s="30" cm="1">
        <f t="array" ref="AH62">_xlfn.XLOOKUP(MIN(ABS($AY$7:$AY$27 - MEDIAN(MIN($AY$7:$AY$27), MAX($AY$7:$AY$27), AH33))), ABS($AY$7:$AY$27 - MEDIAN(MIN($AY$7:$AY$27), MAX($AY$7:$AY$27), AH33)), $AZ$7:$AZ$27, "Not Found", 0)</f>
        <v>-4</v>
      </c>
      <c r="AI62" s="30" cm="1">
        <f t="array" ref="AI62">_xlfn.XLOOKUP(MIN(ABS($AY$7:$AY$27 - MEDIAN(MIN($AY$7:$AY$27), MAX($AY$7:$AY$27), AI33))), ABS($AY$7:$AY$27 - MEDIAN(MIN($AY$7:$AY$27), MAX($AY$7:$AY$27), AI33)), $AZ$7:$AZ$27, "Not Found", 0)</f>
        <v>-2</v>
      </c>
      <c r="AJ62" s="30" cm="1">
        <f t="array" ref="AJ62">_xlfn.XLOOKUP(MIN(ABS($AY$7:$AY$27 - MEDIAN(MIN($AY$7:$AY$27), MAX($AY$7:$AY$27), AJ33))), ABS($AY$7:$AY$27 - MEDIAN(MIN($AY$7:$AY$27), MAX($AY$7:$AY$27), AJ33)), $AZ$7:$AZ$27, "Not Found", 0)</f>
        <v>-2</v>
      </c>
      <c r="AK62" s="30" cm="1">
        <f t="array" ref="AK62">_xlfn.XLOOKUP(MIN(ABS($AY$7:$AY$27 - MEDIAN(MIN($AY$7:$AY$27), MAX($AY$7:$AY$27), AK33))), ABS($AY$7:$AY$27 - MEDIAN(MIN($AY$7:$AY$27), MAX($AY$7:$AY$27), AK33)), $AZ$7:$AZ$27, "Not Found", 0)</f>
        <v>-2</v>
      </c>
      <c r="AL62" s="30" cm="1">
        <f t="array" ref="AL62">_xlfn.XLOOKUP(MIN(ABS($AY$7:$AY$27 - MEDIAN(MIN($AY$7:$AY$27), MAX($AY$7:$AY$27), AL33))), ABS($AY$7:$AY$27 - MEDIAN(MIN($AY$7:$AY$27), MAX($AY$7:$AY$27), AL33)), $AZ$7:$AZ$27, "Not Found", 0)</f>
        <v>-10</v>
      </c>
      <c r="AM62" s="30" cm="1">
        <f t="array" ref="AM62">_xlfn.XLOOKUP(MIN(ABS($AY$7:$AY$27 - MEDIAN(MIN($AY$7:$AY$27), MAX($AY$7:$AY$27), AM33))), ABS($AY$7:$AY$27 - MEDIAN(MIN($AY$7:$AY$27), MAX($AY$7:$AY$27), AM33)), $AZ$7:$AZ$27, "Not Found", 0)</f>
        <v>-10</v>
      </c>
      <c r="AN62" s="30" cm="1">
        <f t="array" ref="AN62">_xlfn.XLOOKUP(MIN(ABS($AY$7:$AY$27 - MEDIAN(MIN($AY$7:$AY$27), MAX($AY$7:$AY$27), AN33))), ABS($AY$7:$AY$27 - MEDIAN(MIN($AY$7:$AY$27), MAX($AY$7:$AY$27), AN33)), $AZ$7:$AZ$27, "Not Found", 0)</f>
        <v>-10</v>
      </c>
      <c r="AO62" s="30" cm="1">
        <f t="array" ref="AO62">_xlfn.XLOOKUP(MIN(ABS($AY$7:$AY$27 - MEDIAN(MIN($AY$7:$AY$27), MAX($AY$7:$AY$27), AO33))), ABS($AY$7:$AY$27 - MEDIAN(MIN($AY$7:$AY$27), MAX($AY$7:$AY$27), AO33)), $AZ$7:$AZ$27, "Not Found", 0)</f>
        <v>-7</v>
      </c>
      <c r="AP62" s="30" cm="1">
        <f t="array" ref="AP62">_xlfn.XLOOKUP(MIN(ABS($AY$7:$AY$27 - MEDIAN(MIN($AY$7:$AY$27), MAX($AY$7:$AY$27), AP33))), ABS($AY$7:$AY$27 - MEDIAN(MIN($AY$7:$AY$27), MAX($AY$7:$AY$27), AP33)), $AZ$7:$AZ$27, "Not Found", 0)</f>
        <v>-7</v>
      </c>
      <c r="AQ62" s="30" cm="1">
        <f t="array" ref="AQ62">_xlfn.XLOOKUP(MIN(ABS($AY$7:$AY$27 - MEDIAN(MIN($AY$7:$AY$27), MAX($AY$7:$AY$27), AQ33))), ABS($AY$7:$AY$27 - MEDIAN(MIN($AY$7:$AY$27), MAX($AY$7:$AY$27), AQ33)), $AZ$7:$AZ$27, "Not Found", 0)</f>
        <v>-7</v>
      </c>
      <c r="AR62" s="30" cm="1">
        <f t="array" ref="AR62">_xlfn.XLOOKUP(MIN(ABS($AY$7:$AY$27 - MEDIAN(MIN($AY$7:$AY$27), MAX($AY$7:$AY$27), AR33))), ABS($AY$7:$AY$27 - MEDIAN(MIN($AY$7:$AY$27), MAX($AY$7:$AY$27), AR33)), $AZ$7:$AZ$27, "Not Found", 0)</f>
        <v>-6</v>
      </c>
      <c r="AS62" s="30" cm="1">
        <f t="array" ref="AS62">_xlfn.XLOOKUP(MIN(ABS($AY$7:$AY$27 - MEDIAN(MIN($AY$7:$AY$27), MAX($AY$7:$AY$27), AS33))), ABS($AY$7:$AY$27 - MEDIAN(MIN($AY$7:$AY$27), MAX($AY$7:$AY$27), AS33)), $AZ$7:$AZ$27, "Not Found", 0)</f>
        <v>-6</v>
      </c>
      <c r="AT62" s="30" cm="1">
        <f t="array" ref="AT62">_xlfn.XLOOKUP(MIN(ABS($AY$7:$AY$27 - MEDIAN(MIN($AY$7:$AY$27), MAX($AY$7:$AY$27), AT33))), ABS($AY$7:$AY$27 - MEDIAN(MIN($AY$7:$AY$27), MAX($AY$7:$AY$27), AT33)), $AZ$7:$AZ$27, "Not Found", 0)</f>
        <v>-6</v>
      </c>
      <c r="AU62" s="30" cm="1">
        <f t="array" ref="AU62">_xlfn.XLOOKUP(MIN(ABS($AY$7:$AY$27 - MEDIAN(MIN($AY$7:$AY$27), MAX($AY$7:$AY$27), AU33))), ABS($AY$7:$AY$27 - MEDIAN(MIN($AY$7:$AY$27), MAX($AY$7:$AY$27), AU33)), $AZ$7:$AZ$27, "Not Found", 0)</f>
        <v>0</v>
      </c>
      <c r="AV62" s="30" cm="1">
        <f t="array" ref="AV62">_xlfn.XLOOKUP(MIN(ABS($AY$7:$AY$27 - MEDIAN(MIN($AY$7:$AY$27), MAX($AY$7:$AY$27), AV33))), ABS($AY$7:$AY$27 - MEDIAN(MIN($AY$7:$AY$27), MAX($AY$7:$AY$27), AV33)), $AZ$7:$AZ$27, "Not Found", 0)</f>
        <v>0</v>
      </c>
      <c r="AW62" s="30" cm="1">
        <f t="array" ref="AW62">_xlfn.XLOOKUP(MIN(ABS($AY$7:$AY$27 - MEDIAN(MIN($AY$7:$AY$27), MAX($AY$7:$AY$27), AW33))), ABS($AY$7:$AY$27 - MEDIAN(MIN($AY$7:$AY$27), MAX($AY$7:$AY$27), AW33)), $AZ$7:$AZ$27, "Not Found", 0)</f>
        <v>0</v>
      </c>
    </row>
    <row r="63" spans="1:49" ht="25" customHeight="1">
      <c r="A63" s="50" t="s">
        <v>18</v>
      </c>
      <c r="B63" s="30" cm="1">
        <f t="array" ref="B63">_xlfn.XLOOKUP(MIN(ABS($AY$7:$AY$27 - MEDIAN(MIN($AY$7:$AY$27), MAX($AY$7:$AY$27), B34))), ABS($AY$7:$AY$27 - MEDIAN(MIN($AY$7:$AY$27), MAX($AY$7:$AY$27), B34)), $AZ$7:$AZ$27, "Not Found", 0)</f>
        <v>-1</v>
      </c>
      <c r="C63" s="30" cm="1">
        <f t="array" ref="C63">_xlfn.XLOOKUP(MIN(ABS($AY$7:$AY$27 - MEDIAN(MIN($AY$7:$AY$27), MAX($AY$7:$AY$27), C34))), ABS($AY$7:$AY$27 - MEDIAN(MIN($AY$7:$AY$27), MAX($AY$7:$AY$27), C34)), $AZ$7:$AZ$27, "Not Found", 0)</f>
        <v>-1</v>
      </c>
      <c r="D63" s="30" cm="1">
        <f t="array" ref="D63">_xlfn.XLOOKUP(MIN(ABS($AY$7:$AY$27 - MEDIAN(MIN($AY$7:$AY$27), MAX($AY$7:$AY$27), D34))), ABS($AY$7:$AY$27 - MEDIAN(MIN($AY$7:$AY$27), MAX($AY$7:$AY$27), D34)), $AZ$7:$AZ$27, "Not Found", 0)</f>
        <v>-1</v>
      </c>
      <c r="E63" s="30" cm="1">
        <f t="array" ref="E63">_xlfn.XLOOKUP(MIN(ABS($AY$7:$AY$27 - MEDIAN(MIN($AY$7:$AY$27), MAX($AY$7:$AY$27), E34))), ABS($AY$7:$AY$27 - MEDIAN(MIN($AY$7:$AY$27), MAX($AY$7:$AY$27), E34)), $AZ$7:$AZ$27, "Not Found", 0)</f>
        <v>-2</v>
      </c>
      <c r="F63" s="30" cm="1">
        <f t="array" ref="F63">_xlfn.XLOOKUP(MIN(ABS($AY$7:$AY$27 - MEDIAN(MIN($AY$7:$AY$27), MAX($AY$7:$AY$27), F34))), ABS($AY$7:$AY$27 - MEDIAN(MIN($AY$7:$AY$27), MAX($AY$7:$AY$27), F34)), $AZ$7:$AZ$27, "Not Found", 0)</f>
        <v>-2</v>
      </c>
      <c r="G63" s="30" cm="1">
        <f t="array" ref="G63">_xlfn.XLOOKUP(MIN(ABS($AY$7:$AY$27 - MEDIAN(MIN($AY$7:$AY$27), MAX($AY$7:$AY$27), G34))), ABS($AY$7:$AY$27 - MEDIAN(MIN($AY$7:$AY$27), MAX($AY$7:$AY$27), G34)), $AZ$7:$AZ$27, "Not Found", 0)</f>
        <v>-2</v>
      </c>
      <c r="H63" s="30" cm="1">
        <f t="array" ref="H63">_xlfn.XLOOKUP(MIN(ABS($AY$7:$AY$27 - MEDIAN(MIN($AY$7:$AY$27), MAX($AY$7:$AY$27), H34))), ABS($AY$7:$AY$27 - MEDIAN(MIN($AY$7:$AY$27), MAX($AY$7:$AY$27), H34)), $AZ$7:$AZ$27, "Not Found", 0)</f>
        <v>-3</v>
      </c>
      <c r="I63" s="30" cm="1">
        <f t="array" ref="I63">_xlfn.XLOOKUP(MIN(ABS($AY$7:$AY$27 - MEDIAN(MIN($AY$7:$AY$27), MAX($AY$7:$AY$27), I34))), ABS($AY$7:$AY$27 - MEDIAN(MIN($AY$7:$AY$27), MAX($AY$7:$AY$27), I34)), $AZ$7:$AZ$27, "Not Found", 0)</f>
        <v>-3</v>
      </c>
      <c r="J63" s="30" cm="1">
        <f t="array" ref="J63">_xlfn.XLOOKUP(MIN(ABS($AY$7:$AY$27 - MEDIAN(MIN($AY$7:$AY$27), MAX($AY$7:$AY$27), J34))), ABS($AY$7:$AY$27 - MEDIAN(MIN($AY$7:$AY$27), MAX($AY$7:$AY$27), J34)), $AZ$7:$AZ$27, "Not Found", 0)</f>
        <v>-3</v>
      </c>
      <c r="K63" s="30" cm="1">
        <f t="array" ref="K63">_xlfn.XLOOKUP(MIN(ABS($AY$7:$AY$27 - MEDIAN(MIN($AY$7:$AY$27), MAX($AY$7:$AY$27), K34))), ABS($AY$7:$AY$27 - MEDIAN(MIN($AY$7:$AY$27), MAX($AY$7:$AY$27), K34)), $AZ$7:$AZ$27, "Not Found", 0)</f>
        <v>-2</v>
      </c>
      <c r="L63" s="30" cm="1">
        <f t="array" ref="L63">_xlfn.XLOOKUP(MIN(ABS($AY$7:$AY$27 - MEDIAN(MIN($AY$7:$AY$27), MAX($AY$7:$AY$27), L34))), ABS($AY$7:$AY$27 - MEDIAN(MIN($AY$7:$AY$27), MAX($AY$7:$AY$27), L34)), $AZ$7:$AZ$27, "Not Found", 0)</f>
        <v>-2</v>
      </c>
      <c r="M63" s="30" cm="1">
        <f t="array" ref="M63">_xlfn.XLOOKUP(MIN(ABS($AY$7:$AY$27 - MEDIAN(MIN($AY$7:$AY$27), MAX($AY$7:$AY$27), M34))), ABS($AY$7:$AY$27 - MEDIAN(MIN($AY$7:$AY$27), MAX($AY$7:$AY$27), M34)), $AZ$7:$AZ$27, "Not Found", 0)</f>
        <v>-2</v>
      </c>
      <c r="N63" s="30" cm="1">
        <f t="array" ref="N63">_xlfn.XLOOKUP(MIN(ABS($AY$7:$AY$27 - MEDIAN(MIN($AY$7:$AY$27), MAX($AY$7:$AY$27), N34))), ABS($AY$7:$AY$27 - MEDIAN(MIN($AY$7:$AY$27), MAX($AY$7:$AY$27), N34)), $AZ$7:$AZ$27, "Not Found", 0)</f>
        <v>-3</v>
      </c>
      <c r="O63" s="30" cm="1">
        <f t="array" ref="O63">_xlfn.XLOOKUP(MIN(ABS($AY$7:$AY$27 - MEDIAN(MIN($AY$7:$AY$27), MAX($AY$7:$AY$27), O34))), ABS($AY$7:$AY$27 - MEDIAN(MIN($AY$7:$AY$27), MAX($AY$7:$AY$27), O34)), $AZ$7:$AZ$27, "Not Found", 0)</f>
        <v>-3</v>
      </c>
      <c r="P63" s="30" cm="1">
        <f t="array" ref="P63">_xlfn.XLOOKUP(MIN(ABS($AY$7:$AY$27 - MEDIAN(MIN($AY$7:$AY$27), MAX($AY$7:$AY$27), P34))), ABS($AY$7:$AY$27 - MEDIAN(MIN($AY$7:$AY$27), MAX($AY$7:$AY$27), P34)), $AZ$7:$AZ$27, "Not Found", 0)</f>
        <v>-3</v>
      </c>
      <c r="Q63" s="30" cm="1">
        <f t="array" ref="Q63">_xlfn.XLOOKUP(MIN(ABS($AY$7:$AY$27 - MEDIAN(MIN($AY$7:$AY$27), MAX($AY$7:$AY$27), Q34))), ABS($AY$7:$AY$27 - MEDIAN(MIN($AY$7:$AY$27), MAX($AY$7:$AY$27), Q34)), $AZ$7:$AZ$27, "Not Found", 0)</f>
        <v>-4</v>
      </c>
      <c r="R63" s="30" cm="1">
        <f t="array" ref="R63">_xlfn.XLOOKUP(MIN(ABS($AY$7:$AY$27 - MEDIAN(MIN($AY$7:$AY$27), MAX($AY$7:$AY$27), R34))), ABS($AY$7:$AY$27 - MEDIAN(MIN($AY$7:$AY$27), MAX($AY$7:$AY$27), R34)), $AZ$7:$AZ$27, "Not Found", 0)</f>
        <v>-4</v>
      </c>
      <c r="S63" s="30" cm="1">
        <f t="array" ref="S63">_xlfn.XLOOKUP(MIN(ABS($AY$7:$AY$27 - MEDIAN(MIN($AY$7:$AY$27), MAX($AY$7:$AY$27), S34))), ABS($AY$7:$AY$27 - MEDIAN(MIN($AY$7:$AY$27), MAX($AY$7:$AY$27), S34)), $AZ$7:$AZ$27, "Not Found", 0)</f>
        <v>-4</v>
      </c>
      <c r="T63" s="30" cm="1">
        <f t="array" ref="T63">_xlfn.XLOOKUP(MIN(ABS($AY$7:$AY$27 - MEDIAN(MIN($AY$7:$AY$27), MAX($AY$7:$AY$27), T34))), ABS($AY$7:$AY$27 - MEDIAN(MIN($AY$7:$AY$27), MAX($AY$7:$AY$27), T34)), $AZ$7:$AZ$27, "Not Found", 0)</f>
        <v>-4</v>
      </c>
      <c r="U63" s="30" cm="1">
        <f t="array" ref="U63">_xlfn.XLOOKUP(MIN(ABS($AY$7:$AY$27 - MEDIAN(MIN($AY$7:$AY$27), MAX($AY$7:$AY$27), U34))), ABS($AY$7:$AY$27 - MEDIAN(MIN($AY$7:$AY$27), MAX($AY$7:$AY$27), U34)), $AZ$7:$AZ$27, "Not Found", 0)</f>
        <v>-4</v>
      </c>
      <c r="V63" s="30" cm="1">
        <f t="array" ref="V63">_xlfn.XLOOKUP(MIN(ABS($AY$7:$AY$27 - MEDIAN(MIN($AY$7:$AY$27), MAX($AY$7:$AY$27), V34))), ABS($AY$7:$AY$27 - MEDIAN(MIN($AY$7:$AY$27), MAX($AY$7:$AY$27), V34)), $AZ$7:$AZ$27, "Not Found", 0)</f>
        <v>-4</v>
      </c>
      <c r="W63" s="30" cm="1">
        <f t="array" ref="W63">_xlfn.XLOOKUP(MIN(ABS($AY$7:$AY$27 - MEDIAN(MIN($AY$7:$AY$27), MAX($AY$7:$AY$27), W34))), ABS($AY$7:$AY$27 - MEDIAN(MIN($AY$7:$AY$27), MAX($AY$7:$AY$27), W34)), $AZ$7:$AZ$27, "Not Found", 0)</f>
        <v>-4</v>
      </c>
      <c r="X63" s="30" cm="1">
        <f t="array" ref="X63">_xlfn.XLOOKUP(MIN(ABS($AY$7:$AY$27 - MEDIAN(MIN($AY$7:$AY$27), MAX($AY$7:$AY$27), X34))), ABS($AY$7:$AY$27 - MEDIAN(MIN($AY$7:$AY$27), MAX($AY$7:$AY$27), X34)), $AZ$7:$AZ$27, "Not Found", 0)</f>
        <v>-4</v>
      </c>
      <c r="Y63" s="30" cm="1">
        <f t="array" ref="Y63">_xlfn.XLOOKUP(MIN(ABS($AY$7:$AY$27 - MEDIAN(MIN($AY$7:$AY$27), MAX($AY$7:$AY$27), Y34))), ABS($AY$7:$AY$27 - MEDIAN(MIN($AY$7:$AY$27), MAX($AY$7:$AY$27), Y34)), $AZ$7:$AZ$27, "Not Found", 0)</f>
        <v>-4</v>
      </c>
      <c r="Z63" s="30" cm="1">
        <f t="array" ref="Z63">_xlfn.XLOOKUP(MIN(ABS($AY$7:$AY$27 - MEDIAN(MIN($AY$7:$AY$27), MAX($AY$7:$AY$27), Z34))), ABS($AY$7:$AY$27 - MEDIAN(MIN($AY$7:$AY$27), MAX($AY$7:$AY$27), Z34)), $AZ$7:$AZ$27, "Not Found", 0)</f>
        <v>-4</v>
      </c>
      <c r="AA63" s="30" cm="1">
        <f t="array" ref="AA63">_xlfn.XLOOKUP(MIN(ABS($AY$7:$AY$27 - MEDIAN(MIN($AY$7:$AY$27), MAX($AY$7:$AY$27), AA34))), ABS($AY$7:$AY$27 - MEDIAN(MIN($AY$7:$AY$27), MAX($AY$7:$AY$27), AA34)), $AZ$7:$AZ$27, "Not Found", 0)</f>
        <v>-4</v>
      </c>
      <c r="AB63" s="30" cm="1">
        <f t="array" ref="AB63">_xlfn.XLOOKUP(MIN(ABS($AY$7:$AY$27 - MEDIAN(MIN($AY$7:$AY$27), MAX($AY$7:$AY$27), AB34))), ABS($AY$7:$AY$27 - MEDIAN(MIN($AY$7:$AY$27), MAX($AY$7:$AY$27), AB34)), $AZ$7:$AZ$27, "Not Found", 0)</f>
        <v>-4</v>
      </c>
      <c r="AC63" s="30" cm="1">
        <f t="array" ref="AC63">_xlfn.XLOOKUP(MIN(ABS($AY$7:$AY$27 - MEDIAN(MIN($AY$7:$AY$27), MAX($AY$7:$AY$27), AC34))), ABS($AY$7:$AY$27 - MEDIAN(MIN($AY$7:$AY$27), MAX($AY$7:$AY$27), AC34)), $AZ$7:$AZ$27, "Not Found", 0)</f>
        <v>-4</v>
      </c>
      <c r="AD63" s="30" cm="1">
        <f t="array" ref="AD63">_xlfn.XLOOKUP(MIN(ABS($AY$7:$AY$27 - MEDIAN(MIN($AY$7:$AY$27), MAX($AY$7:$AY$27), AD34))), ABS($AY$7:$AY$27 - MEDIAN(MIN($AY$7:$AY$27), MAX($AY$7:$AY$27), AD34)), $AZ$7:$AZ$27, "Not Found", 0)</f>
        <v>-4</v>
      </c>
      <c r="AE63" s="30" cm="1">
        <f t="array" ref="AE63">_xlfn.XLOOKUP(MIN(ABS($AY$7:$AY$27 - MEDIAN(MIN($AY$7:$AY$27), MAX($AY$7:$AY$27), AE34))), ABS($AY$7:$AY$27 - MEDIAN(MIN($AY$7:$AY$27), MAX($AY$7:$AY$27), AE34)), $AZ$7:$AZ$27, "Not Found", 0)</f>
        <v>-4</v>
      </c>
      <c r="AF63" s="30" cm="1">
        <f t="array" ref="AF63">_xlfn.XLOOKUP(MIN(ABS($AY$7:$AY$27 - MEDIAN(MIN($AY$7:$AY$27), MAX($AY$7:$AY$27), AF34))), ABS($AY$7:$AY$27 - MEDIAN(MIN($AY$7:$AY$27), MAX($AY$7:$AY$27), AF34)), $AZ$7:$AZ$27, "Not Found", 0)</f>
        <v>-5</v>
      </c>
      <c r="AG63" s="30" cm="1">
        <f t="array" ref="AG63">_xlfn.XLOOKUP(MIN(ABS($AY$7:$AY$27 - MEDIAN(MIN($AY$7:$AY$27), MAX($AY$7:$AY$27), AG34))), ABS($AY$7:$AY$27 - MEDIAN(MIN($AY$7:$AY$27), MAX($AY$7:$AY$27), AG34)), $AZ$7:$AZ$27, "Not Found", 0)</f>
        <v>-5</v>
      </c>
      <c r="AH63" s="30" cm="1">
        <f t="array" ref="AH63">_xlfn.XLOOKUP(MIN(ABS($AY$7:$AY$27 - MEDIAN(MIN($AY$7:$AY$27), MAX($AY$7:$AY$27), AH34))), ABS($AY$7:$AY$27 - MEDIAN(MIN($AY$7:$AY$27), MAX($AY$7:$AY$27), AH34)), $AZ$7:$AZ$27, "Not Found", 0)</f>
        <v>-5</v>
      </c>
      <c r="AI63" s="30" cm="1">
        <f t="array" ref="AI63">_xlfn.XLOOKUP(MIN(ABS($AY$7:$AY$27 - MEDIAN(MIN($AY$7:$AY$27), MAX($AY$7:$AY$27), AI34))), ABS($AY$7:$AY$27 - MEDIAN(MIN($AY$7:$AY$27), MAX($AY$7:$AY$27), AI34)), $AZ$7:$AZ$27, "Not Found", 0)</f>
        <v>-5</v>
      </c>
      <c r="AJ63" s="30" cm="1">
        <f t="array" ref="AJ63">_xlfn.XLOOKUP(MIN(ABS($AY$7:$AY$27 - MEDIAN(MIN($AY$7:$AY$27), MAX($AY$7:$AY$27), AJ34))), ABS($AY$7:$AY$27 - MEDIAN(MIN($AY$7:$AY$27), MAX($AY$7:$AY$27), AJ34)), $AZ$7:$AZ$27, "Not Found", 0)</f>
        <v>-5</v>
      </c>
      <c r="AK63" s="30" cm="1">
        <f t="array" ref="AK63">_xlfn.XLOOKUP(MIN(ABS($AY$7:$AY$27 - MEDIAN(MIN($AY$7:$AY$27), MAX($AY$7:$AY$27), AK34))), ABS($AY$7:$AY$27 - MEDIAN(MIN($AY$7:$AY$27), MAX($AY$7:$AY$27), AK34)), $AZ$7:$AZ$27, "Not Found", 0)</f>
        <v>-5</v>
      </c>
      <c r="AL63" s="30" cm="1">
        <f t="array" ref="AL63">_xlfn.XLOOKUP(MIN(ABS($AY$7:$AY$27 - MEDIAN(MIN($AY$7:$AY$27), MAX($AY$7:$AY$27), AL34))), ABS($AY$7:$AY$27 - MEDIAN(MIN($AY$7:$AY$27), MAX($AY$7:$AY$27), AL34)), $AZ$7:$AZ$27, "Not Found", 0)</f>
        <v>-6</v>
      </c>
      <c r="AM63" s="30" cm="1">
        <f t="array" ref="AM63">_xlfn.XLOOKUP(MIN(ABS($AY$7:$AY$27 - MEDIAN(MIN($AY$7:$AY$27), MAX($AY$7:$AY$27), AM34))), ABS($AY$7:$AY$27 - MEDIAN(MIN($AY$7:$AY$27), MAX($AY$7:$AY$27), AM34)), $AZ$7:$AZ$27, "Not Found", 0)</f>
        <v>-6</v>
      </c>
      <c r="AN63" s="30" cm="1">
        <f t="array" ref="AN63">_xlfn.XLOOKUP(MIN(ABS($AY$7:$AY$27 - MEDIAN(MIN($AY$7:$AY$27), MAX($AY$7:$AY$27), AN34))), ABS($AY$7:$AY$27 - MEDIAN(MIN($AY$7:$AY$27), MAX($AY$7:$AY$27), AN34)), $AZ$7:$AZ$27, "Not Found", 0)</f>
        <v>-6</v>
      </c>
      <c r="AO63" s="30" cm="1">
        <f t="array" ref="AO63">_xlfn.XLOOKUP(MIN(ABS($AY$7:$AY$27 - MEDIAN(MIN($AY$7:$AY$27), MAX($AY$7:$AY$27), AO34))), ABS($AY$7:$AY$27 - MEDIAN(MIN($AY$7:$AY$27), MAX($AY$7:$AY$27), AO34)), $AZ$7:$AZ$27, "Not Found", 0)</f>
        <v>-6</v>
      </c>
      <c r="AP63" s="30" cm="1">
        <f t="array" ref="AP63">_xlfn.XLOOKUP(MIN(ABS($AY$7:$AY$27 - MEDIAN(MIN($AY$7:$AY$27), MAX($AY$7:$AY$27), AP34))), ABS($AY$7:$AY$27 - MEDIAN(MIN($AY$7:$AY$27), MAX($AY$7:$AY$27), AP34)), $AZ$7:$AZ$27, "Not Found", 0)</f>
        <v>-6</v>
      </c>
      <c r="AQ63" s="30" cm="1">
        <f t="array" ref="AQ63">_xlfn.XLOOKUP(MIN(ABS($AY$7:$AY$27 - MEDIAN(MIN($AY$7:$AY$27), MAX($AY$7:$AY$27), AQ34))), ABS($AY$7:$AY$27 - MEDIAN(MIN($AY$7:$AY$27), MAX($AY$7:$AY$27), AQ34)), $AZ$7:$AZ$27, "Not Found", 0)</f>
        <v>-6</v>
      </c>
      <c r="AR63" s="30" cm="1">
        <f t="array" ref="AR63">_xlfn.XLOOKUP(MIN(ABS($AY$7:$AY$27 - MEDIAN(MIN($AY$7:$AY$27), MAX($AY$7:$AY$27), AR34))), ABS($AY$7:$AY$27 - MEDIAN(MIN($AY$7:$AY$27), MAX($AY$7:$AY$27), AR34)), $AZ$7:$AZ$27, "Not Found", 0)</f>
        <v>-6</v>
      </c>
      <c r="AS63" s="30" cm="1">
        <f t="array" ref="AS63">_xlfn.XLOOKUP(MIN(ABS($AY$7:$AY$27 - MEDIAN(MIN($AY$7:$AY$27), MAX($AY$7:$AY$27), AS34))), ABS($AY$7:$AY$27 - MEDIAN(MIN($AY$7:$AY$27), MAX($AY$7:$AY$27), AS34)), $AZ$7:$AZ$27, "Not Found", 0)</f>
        <v>-6</v>
      </c>
      <c r="AT63" s="30" cm="1">
        <f t="array" ref="AT63">_xlfn.XLOOKUP(MIN(ABS($AY$7:$AY$27 - MEDIAN(MIN($AY$7:$AY$27), MAX($AY$7:$AY$27), AT34))), ABS($AY$7:$AY$27 - MEDIAN(MIN($AY$7:$AY$27), MAX($AY$7:$AY$27), AT34)), $AZ$7:$AZ$27, "Not Found", 0)</f>
        <v>-6</v>
      </c>
      <c r="AU63" s="30" cm="1">
        <f t="array" ref="AU63">_xlfn.XLOOKUP(MIN(ABS($AY$7:$AY$27 - MEDIAN(MIN($AY$7:$AY$27), MAX($AY$7:$AY$27), AU34))), ABS($AY$7:$AY$27 - MEDIAN(MIN($AY$7:$AY$27), MAX($AY$7:$AY$27), AU34)), $AZ$7:$AZ$27, "Not Found", 0)</f>
        <v>0</v>
      </c>
      <c r="AV63" s="30" cm="1">
        <f t="array" ref="AV63">_xlfn.XLOOKUP(MIN(ABS($AY$7:$AY$27 - MEDIAN(MIN($AY$7:$AY$27), MAX($AY$7:$AY$27), AV34))), ABS($AY$7:$AY$27 - MEDIAN(MIN($AY$7:$AY$27), MAX($AY$7:$AY$27), AV34)), $AZ$7:$AZ$27, "Not Found", 0)</f>
        <v>0</v>
      </c>
      <c r="AW63" s="30" cm="1">
        <f t="array" ref="AW63">_xlfn.XLOOKUP(MIN(ABS($AY$7:$AY$27 - MEDIAN(MIN($AY$7:$AY$27), MAX($AY$7:$AY$27), AW34))), ABS($AY$7:$AY$27 - MEDIAN(MIN($AY$7:$AY$27), MAX($AY$7:$AY$27), AW34)), $AZ$7:$AZ$27, "Not Found", 0)</f>
        <v>0</v>
      </c>
    </row>
    <row r="64" spans="1:49" ht="25" customHeight="1">
      <c r="A64" s="50" t="s">
        <v>59</v>
      </c>
      <c r="B64" s="30" cm="1">
        <f t="array" ref="B64">_xlfn.XLOOKUP(MIN(ABS($AY$7:$AY$27 - MEDIAN(MIN($AY$7:$AY$27), MAX($AY$7:$AY$27), B35))), ABS($AY$7:$AY$27 - MEDIAN(MIN($AY$7:$AY$27), MAX($AY$7:$AY$27), B35)), $AZ$7:$AZ$27, "Not Found", 0)</f>
        <v>5</v>
      </c>
      <c r="C64" s="30" cm="1">
        <f t="array" ref="C64">_xlfn.XLOOKUP(MIN(ABS($AY$7:$AY$27 - MEDIAN(MIN($AY$7:$AY$27), MAX($AY$7:$AY$27), C35))), ABS($AY$7:$AY$27 - MEDIAN(MIN($AY$7:$AY$27), MAX($AY$7:$AY$27), C35)), $AZ$7:$AZ$27, "Not Found", 0)</f>
        <v>5</v>
      </c>
      <c r="D64" s="30" cm="1">
        <f t="array" ref="D64">_xlfn.XLOOKUP(MIN(ABS($AY$7:$AY$27 - MEDIAN(MIN($AY$7:$AY$27), MAX($AY$7:$AY$27), D35))), ABS($AY$7:$AY$27 - MEDIAN(MIN($AY$7:$AY$27), MAX($AY$7:$AY$27), D35)), $AZ$7:$AZ$27, "Not Found", 0)</f>
        <v>5</v>
      </c>
      <c r="E64" s="30" cm="1">
        <f t="array" ref="E64">_xlfn.XLOOKUP(MIN(ABS($AY$7:$AY$27 - MEDIAN(MIN($AY$7:$AY$27), MAX($AY$7:$AY$27), E35))), ABS($AY$7:$AY$27 - MEDIAN(MIN($AY$7:$AY$27), MAX($AY$7:$AY$27), E35)), $AZ$7:$AZ$27, "Not Found", 0)</f>
        <v>3</v>
      </c>
      <c r="F64" s="30" cm="1">
        <f t="array" ref="F64">_xlfn.XLOOKUP(MIN(ABS($AY$7:$AY$27 - MEDIAN(MIN($AY$7:$AY$27), MAX($AY$7:$AY$27), F35))), ABS($AY$7:$AY$27 - MEDIAN(MIN($AY$7:$AY$27), MAX($AY$7:$AY$27), F35)), $AZ$7:$AZ$27, "Not Found", 0)</f>
        <v>3</v>
      </c>
      <c r="G64" s="30" cm="1">
        <f t="array" ref="G64">_xlfn.XLOOKUP(MIN(ABS($AY$7:$AY$27 - MEDIAN(MIN($AY$7:$AY$27), MAX($AY$7:$AY$27), G35))), ABS($AY$7:$AY$27 - MEDIAN(MIN($AY$7:$AY$27), MAX($AY$7:$AY$27), G35)), $AZ$7:$AZ$27, "Not Found", 0)</f>
        <v>3</v>
      </c>
      <c r="H64" s="30" cm="1">
        <f t="array" ref="H64">_xlfn.XLOOKUP(MIN(ABS($AY$7:$AY$27 - MEDIAN(MIN($AY$7:$AY$27), MAX($AY$7:$AY$27), H35))), ABS($AY$7:$AY$27 - MEDIAN(MIN($AY$7:$AY$27), MAX($AY$7:$AY$27), H35)), $AZ$7:$AZ$27, "Not Found", 0)</f>
        <v>2</v>
      </c>
      <c r="I64" s="30" cm="1">
        <f t="array" ref="I64">_xlfn.XLOOKUP(MIN(ABS($AY$7:$AY$27 - MEDIAN(MIN($AY$7:$AY$27), MAX($AY$7:$AY$27), I35))), ABS($AY$7:$AY$27 - MEDIAN(MIN($AY$7:$AY$27), MAX($AY$7:$AY$27), I35)), $AZ$7:$AZ$27, "Not Found", 0)</f>
        <v>2</v>
      </c>
      <c r="J64" s="30" cm="1">
        <f t="array" ref="J64">_xlfn.XLOOKUP(MIN(ABS($AY$7:$AY$27 - MEDIAN(MIN($AY$7:$AY$27), MAX($AY$7:$AY$27), J35))), ABS($AY$7:$AY$27 - MEDIAN(MIN($AY$7:$AY$27), MAX($AY$7:$AY$27), J35)), $AZ$7:$AZ$27, "Not Found", 0)</f>
        <v>2</v>
      </c>
      <c r="K64" s="30" cm="1">
        <f t="array" ref="K64">_xlfn.XLOOKUP(MIN(ABS($AY$7:$AY$27 - MEDIAN(MIN($AY$7:$AY$27), MAX($AY$7:$AY$27), K35))), ABS($AY$7:$AY$27 - MEDIAN(MIN($AY$7:$AY$27), MAX($AY$7:$AY$27), K35)), $AZ$7:$AZ$27, "Not Found", 0)</f>
        <v>3</v>
      </c>
      <c r="L64" s="30" cm="1">
        <f t="array" ref="L64">_xlfn.XLOOKUP(MIN(ABS($AY$7:$AY$27 - MEDIAN(MIN($AY$7:$AY$27), MAX($AY$7:$AY$27), L35))), ABS($AY$7:$AY$27 - MEDIAN(MIN($AY$7:$AY$27), MAX($AY$7:$AY$27), L35)), $AZ$7:$AZ$27, "Not Found", 0)</f>
        <v>3</v>
      </c>
      <c r="M64" s="30" cm="1">
        <f t="array" ref="M64">_xlfn.XLOOKUP(MIN(ABS($AY$7:$AY$27 - MEDIAN(MIN($AY$7:$AY$27), MAX($AY$7:$AY$27), M35))), ABS($AY$7:$AY$27 - MEDIAN(MIN($AY$7:$AY$27), MAX($AY$7:$AY$27), M35)), $AZ$7:$AZ$27, "Not Found", 0)</f>
        <v>3</v>
      </c>
      <c r="N64" s="30" cm="1">
        <f t="array" ref="N64">_xlfn.XLOOKUP(MIN(ABS($AY$7:$AY$27 - MEDIAN(MIN($AY$7:$AY$27), MAX($AY$7:$AY$27), N35))), ABS($AY$7:$AY$27 - MEDIAN(MIN($AY$7:$AY$27), MAX($AY$7:$AY$27), N35)), $AZ$7:$AZ$27, "Not Found", 0)</f>
        <v>2</v>
      </c>
      <c r="O64" s="30" cm="1">
        <f t="array" ref="O64">_xlfn.XLOOKUP(MIN(ABS($AY$7:$AY$27 - MEDIAN(MIN($AY$7:$AY$27), MAX($AY$7:$AY$27), O35))), ABS($AY$7:$AY$27 - MEDIAN(MIN($AY$7:$AY$27), MAX($AY$7:$AY$27), O35)), $AZ$7:$AZ$27, "Not Found", 0)</f>
        <v>2</v>
      </c>
      <c r="P64" s="30" cm="1">
        <f t="array" ref="P64">_xlfn.XLOOKUP(MIN(ABS($AY$7:$AY$27 - MEDIAN(MIN($AY$7:$AY$27), MAX($AY$7:$AY$27), P35))), ABS($AY$7:$AY$27 - MEDIAN(MIN($AY$7:$AY$27), MAX($AY$7:$AY$27), P35)), $AZ$7:$AZ$27, "Not Found", 0)</f>
        <v>2</v>
      </c>
      <c r="Q64" s="30" cm="1">
        <f t="array" ref="Q64">_xlfn.XLOOKUP(MIN(ABS($AY$7:$AY$27 - MEDIAN(MIN($AY$7:$AY$27), MAX($AY$7:$AY$27), Q35))), ABS($AY$7:$AY$27 - MEDIAN(MIN($AY$7:$AY$27), MAX($AY$7:$AY$27), Q35)), $AZ$7:$AZ$27, "Not Found", 0)</f>
        <v>1</v>
      </c>
      <c r="R64" s="30" cm="1">
        <f t="array" ref="R64">_xlfn.XLOOKUP(MIN(ABS($AY$7:$AY$27 - MEDIAN(MIN($AY$7:$AY$27), MAX($AY$7:$AY$27), R35))), ABS($AY$7:$AY$27 - MEDIAN(MIN($AY$7:$AY$27), MAX($AY$7:$AY$27), R35)), $AZ$7:$AZ$27, "Not Found", 0)</f>
        <v>1</v>
      </c>
      <c r="S64" s="30" cm="1">
        <f t="array" ref="S64">_xlfn.XLOOKUP(MIN(ABS($AY$7:$AY$27 - MEDIAN(MIN($AY$7:$AY$27), MAX($AY$7:$AY$27), S35))), ABS($AY$7:$AY$27 - MEDIAN(MIN($AY$7:$AY$27), MAX($AY$7:$AY$27), S35)), $AZ$7:$AZ$27, "Not Found", 0)</f>
        <v>1</v>
      </c>
      <c r="T64" s="30" cm="1">
        <f t="array" ref="T64">_xlfn.XLOOKUP(MIN(ABS($AY$7:$AY$27 - MEDIAN(MIN($AY$7:$AY$27), MAX($AY$7:$AY$27), T35))), ABS($AY$7:$AY$27 - MEDIAN(MIN($AY$7:$AY$27), MAX($AY$7:$AY$27), T35)), $AZ$7:$AZ$27, "Not Found", 0)</f>
        <v>1</v>
      </c>
      <c r="U64" s="30" cm="1">
        <f t="array" ref="U64">_xlfn.XLOOKUP(MIN(ABS($AY$7:$AY$27 - MEDIAN(MIN($AY$7:$AY$27), MAX($AY$7:$AY$27), U35))), ABS($AY$7:$AY$27 - MEDIAN(MIN($AY$7:$AY$27), MAX($AY$7:$AY$27), U35)), $AZ$7:$AZ$27, "Not Found", 0)</f>
        <v>1</v>
      </c>
      <c r="V64" s="30" cm="1">
        <f t="array" ref="V64">_xlfn.XLOOKUP(MIN(ABS($AY$7:$AY$27 - MEDIAN(MIN($AY$7:$AY$27), MAX($AY$7:$AY$27), V35))), ABS($AY$7:$AY$27 - MEDIAN(MIN($AY$7:$AY$27), MAX($AY$7:$AY$27), V35)), $AZ$7:$AZ$27, "Not Found", 0)</f>
        <v>1</v>
      </c>
      <c r="W64" s="30" cm="1">
        <f t="array" ref="W64">_xlfn.XLOOKUP(MIN(ABS($AY$7:$AY$27 - MEDIAN(MIN($AY$7:$AY$27), MAX($AY$7:$AY$27), W35))), ABS($AY$7:$AY$27 - MEDIAN(MIN($AY$7:$AY$27), MAX($AY$7:$AY$27), W35)), $AZ$7:$AZ$27, "Not Found", 0)</f>
        <v>1</v>
      </c>
      <c r="X64" s="30" cm="1">
        <f t="array" ref="X64">_xlfn.XLOOKUP(MIN(ABS($AY$7:$AY$27 - MEDIAN(MIN($AY$7:$AY$27), MAX($AY$7:$AY$27), X35))), ABS($AY$7:$AY$27 - MEDIAN(MIN($AY$7:$AY$27), MAX($AY$7:$AY$27), X35)), $AZ$7:$AZ$27, "Not Found", 0)</f>
        <v>1</v>
      </c>
      <c r="Y64" s="30" cm="1">
        <f t="array" ref="Y64">_xlfn.XLOOKUP(MIN(ABS($AY$7:$AY$27 - MEDIAN(MIN($AY$7:$AY$27), MAX($AY$7:$AY$27), Y35))), ABS($AY$7:$AY$27 - MEDIAN(MIN($AY$7:$AY$27), MAX($AY$7:$AY$27), Y35)), $AZ$7:$AZ$27, "Not Found", 0)</f>
        <v>1</v>
      </c>
      <c r="Z64" s="30" cm="1">
        <f t="array" ref="Z64">_xlfn.XLOOKUP(MIN(ABS($AY$7:$AY$27 - MEDIAN(MIN($AY$7:$AY$27), MAX($AY$7:$AY$27), Z35))), ABS($AY$7:$AY$27 - MEDIAN(MIN($AY$7:$AY$27), MAX($AY$7:$AY$27), Z35)), $AZ$7:$AZ$27, "Not Found", 0)</f>
        <v>1</v>
      </c>
      <c r="AA64" s="30" cm="1">
        <f t="array" ref="AA64">_xlfn.XLOOKUP(MIN(ABS($AY$7:$AY$27 - MEDIAN(MIN($AY$7:$AY$27), MAX($AY$7:$AY$27), AA35))), ABS($AY$7:$AY$27 - MEDIAN(MIN($AY$7:$AY$27), MAX($AY$7:$AY$27), AA35)), $AZ$7:$AZ$27, "Not Found", 0)</f>
        <v>1</v>
      </c>
      <c r="AB64" s="30" cm="1">
        <f t="array" ref="AB64">_xlfn.XLOOKUP(MIN(ABS($AY$7:$AY$27 - MEDIAN(MIN($AY$7:$AY$27), MAX($AY$7:$AY$27), AB35))), ABS($AY$7:$AY$27 - MEDIAN(MIN($AY$7:$AY$27), MAX($AY$7:$AY$27), AB35)), $AZ$7:$AZ$27, "Not Found", 0)</f>
        <v>1</v>
      </c>
      <c r="AC64" s="30" cm="1">
        <f t="array" ref="AC64">_xlfn.XLOOKUP(MIN(ABS($AY$7:$AY$27 - MEDIAN(MIN($AY$7:$AY$27), MAX($AY$7:$AY$27), AC35))), ABS($AY$7:$AY$27 - MEDIAN(MIN($AY$7:$AY$27), MAX($AY$7:$AY$27), AC35)), $AZ$7:$AZ$27, "Not Found", 0)</f>
        <v>0</v>
      </c>
      <c r="AD64" s="30" cm="1">
        <f t="array" ref="AD64">_xlfn.XLOOKUP(MIN(ABS($AY$7:$AY$27 - MEDIAN(MIN($AY$7:$AY$27), MAX($AY$7:$AY$27), AD35))), ABS($AY$7:$AY$27 - MEDIAN(MIN($AY$7:$AY$27), MAX($AY$7:$AY$27), AD35)), $AZ$7:$AZ$27, "Not Found", 0)</f>
        <v>0</v>
      </c>
      <c r="AE64" s="30" cm="1">
        <f t="array" ref="AE64">_xlfn.XLOOKUP(MIN(ABS($AY$7:$AY$27 - MEDIAN(MIN($AY$7:$AY$27), MAX($AY$7:$AY$27), AE35))), ABS($AY$7:$AY$27 - MEDIAN(MIN($AY$7:$AY$27), MAX($AY$7:$AY$27), AE35)), $AZ$7:$AZ$27, "Not Found", 0)</f>
        <v>0</v>
      </c>
      <c r="AF64" s="30" cm="1">
        <f t="array" ref="AF64">_xlfn.XLOOKUP(MIN(ABS($AY$7:$AY$27 - MEDIAN(MIN($AY$7:$AY$27), MAX($AY$7:$AY$27), AF35))), ABS($AY$7:$AY$27 - MEDIAN(MIN($AY$7:$AY$27), MAX($AY$7:$AY$27), AF35)), $AZ$7:$AZ$27, "Not Found", 0)</f>
        <v>-4</v>
      </c>
      <c r="AG64" s="30" cm="1">
        <f t="array" ref="AG64">_xlfn.XLOOKUP(MIN(ABS($AY$7:$AY$27 - MEDIAN(MIN($AY$7:$AY$27), MAX($AY$7:$AY$27), AG35))), ABS($AY$7:$AY$27 - MEDIAN(MIN($AY$7:$AY$27), MAX($AY$7:$AY$27), AG35)), $AZ$7:$AZ$27, "Not Found", 0)</f>
        <v>0</v>
      </c>
      <c r="AH64" s="30" cm="1">
        <f t="array" ref="AH64">_xlfn.XLOOKUP(MIN(ABS($AY$7:$AY$27 - MEDIAN(MIN($AY$7:$AY$27), MAX($AY$7:$AY$27), AH35))), ABS($AY$7:$AY$27 - MEDIAN(MIN($AY$7:$AY$27), MAX($AY$7:$AY$27), AH35)), $AZ$7:$AZ$27, "Not Found", 0)</f>
        <v>0</v>
      </c>
      <c r="AI64" s="30" cm="1">
        <f t="array" ref="AI64">_xlfn.XLOOKUP(MIN(ABS($AY$7:$AY$27 - MEDIAN(MIN($AY$7:$AY$27), MAX($AY$7:$AY$27), AI35))), ABS($AY$7:$AY$27 - MEDIAN(MIN($AY$7:$AY$27), MAX($AY$7:$AY$27), AI35)), $AZ$7:$AZ$27, "Not Found", 0)</f>
        <v>0</v>
      </c>
      <c r="AJ64" s="30" cm="1">
        <f t="array" ref="AJ64">_xlfn.XLOOKUP(MIN(ABS($AY$7:$AY$27 - MEDIAN(MIN($AY$7:$AY$27), MAX($AY$7:$AY$27), AJ35))), ABS($AY$7:$AY$27 - MEDIAN(MIN($AY$7:$AY$27), MAX($AY$7:$AY$27), AJ35)), $AZ$7:$AZ$27, "Not Found", 0)</f>
        <v>0</v>
      </c>
      <c r="AK64" s="30" cm="1">
        <f t="array" ref="AK64">_xlfn.XLOOKUP(MIN(ABS($AY$7:$AY$27 - MEDIAN(MIN($AY$7:$AY$27), MAX($AY$7:$AY$27), AK35))), ABS($AY$7:$AY$27 - MEDIAN(MIN($AY$7:$AY$27), MAX($AY$7:$AY$27), AK35)), $AZ$7:$AZ$27, "Not Found", 0)</f>
        <v>0</v>
      </c>
      <c r="AL64" s="30" cm="1">
        <f t="array" ref="AL64">_xlfn.XLOOKUP(MIN(ABS($AY$7:$AY$27 - MEDIAN(MIN($AY$7:$AY$27), MAX($AY$7:$AY$27), AL35))), ABS($AY$7:$AY$27 - MEDIAN(MIN($AY$7:$AY$27), MAX($AY$7:$AY$27), AL35)), $AZ$7:$AZ$27, "Not Found", 0)</f>
        <v>0</v>
      </c>
      <c r="AM64" s="30" cm="1">
        <f t="array" ref="AM64">_xlfn.XLOOKUP(MIN(ABS($AY$7:$AY$27 - MEDIAN(MIN($AY$7:$AY$27), MAX($AY$7:$AY$27), AM35))), ABS($AY$7:$AY$27 - MEDIAN(MIN($AY$7:$AY$27), MAX($AY$7:$AY$27), AM35)), $AZ$7:$AZ$27, "Not Found", 0)</f>
        <v>0</v>
      </c>
      <c r="AN64" s="30" cm="1">
        <f t="array" ref="AN64">_xlfn.XLOOKUP(MIN(ABS($AY$7:$AY$27 - MEDIAN(MIN($AY$7:$AY$27), MAX($AY$7:$AY$27), AN35))), ABS($AY$7:$AY$27 - MEDIAN(MIN($AY$7:$AY$27), MAX($AY$7:$AY$27), AN35)), $AZ$7:$AZ$27, "Not Found", 0)</f>
        <v>0</v>
      </c>
      <c r="AO64" s="30" cm="1">
        <f t="array" ref="AO64">_xlfn.XLOOKUP(MIN(ABS($AY$7:$AY$27 - MEDIAN(MIN($AY$7:$AY$27), MAX($AY$7:$AY$27), AO35))), ABS($AY$7:$AY$27 - MEDIAN(MIN($AY$7:$AY$27), MAX($AY$7:$AY$27), AO35)), $AZ$7:$AZ$27, "Not Found", 0)</f>
        <v>0</v>
      </c>
      <c r="AP64" s="30" cm="1">
        <f t="array" ref="AP64">_xlfn.XLOOKUP(MIN(ABS($AY$7:$AY$27 - MEDIAN(MIN($AY$7:$AY$27), MAX($AY$7:$AY$27), AP35))), ABS($AY$7:$AY$27 - MEDIAN(MIN($AY$7:$AY$27), MAX($AY$7:$AY$27), AP35)), $AZ$7:$AZ$27, "Not Found", 0)</f>
        <v>0</v>
      </c>
      <c r="AQ64" s="30" cm="1">
        <f t="array" ref="AQ64">_xlfn.XLOOKUP(MIN(ABS($AY$7:$AY$27 - MEDIAN(MIN($AY$7:$AY$27), MAX($AY$7:$AY$27), AQ35))), ABS($AY$7:$AY$27 - MEDIAN(MIN($AY$7:$AY$27), MAX($AY$7:$AY$27), AQ35)), $AZ$7:$AZ$27, "Not Found", 0)</f>
        <v>0</v>
      </c>
      <c r="AR64" s="30" cm="1">
        <f t="array" ref="AR64">_xlfn.XLOOKUP(MIN(ABS($AY$7:$AY$27 - MEDIAN(MIN($AY$7:$AY$27), MAX($AY$7:$AY$27), AR35))), ABS($AY$7:$AY$27 - MEDIAN(MIN($AY$7:$AY$27), MAX($AY$7:$AY$27), AR35)), $AZ$7:$AZ$27, "Not Found", 0)</f>
        <v>0</v>
      </c>
      <c r="AS64" s="30" cm="1">
        <f t="array" ref="AS64">_xlfn.XLOOKUP(MIN(ABS($AY$7:$AY$27 - MEDIAN(MIN($AY$7:$AY$27), MAX($AY$7:$AY$27), AS35))), ABS($AY$7:$AY$27 - MEDIAN(MIN($AY$7:$AY$27), MAX($AY$7:$AY$27), AS35)), $AZ$7:$AZ$27, "Not Found", 0)</f>
        <v>0</v>
      </c>
      <c r="AT64" s="30" cm="1">
        <f t="array" ref="AT64">_xlfn.XLOOKUP(MIN(ABS($AY$7:$AY$27 - MEDIAN(MIN($AY$7:$AY$27), MAX($AY$7:$AY$27), AT35))), ABS($AY$7:$AY$27 - MEDIAN(MIN($AY$7:$AY$27), MAX($AY$7:$AY$27), AT35)), $AZ$7:$AZ$27, "Not Found", 0)</f>
        <v>0</v>
      </c>
      <c r="AU64" s="30" cm="1">
        <f t="array" ref="AU64">_xlfn.XLOOKUP(MIN(ABS($AY$7:$AY$27 - MEDIAN(MIN($AY$7:$AY$27), MAX($AY$7:$AY$27), AU35))), ABS($AY$7:$AY$27 - MEDIAN(MIN($AY$7:$AY$27), MAX($AY$7:$AY$27), AU35)), $AZ$7:$AZ$27, "Not Found", 0)</f>
        <v>0</v>
      </c>
      <c r="AV64" s="30" cm="1">
        <f t="array" ref="AV64">_xlfn.XLOOKUP(MIN(ABS($AY$7:$AY$27 - MEDIAN(MIN($AY$7:$AY$27), MAX($AY$7:$AY$27), AV35))), ABS($AY$7:$AY$27 - MEDIAN(MIN($AY$7:$AY$27), MAX($AY$7:$AY$27), AV35)), $AZ$7:$AZ$27, "Not Found", 0)</f>
        <v>0</v>
      </c>
      <c r="AW64" s="30" cm="1">
        <f t="array" ref="AW64">_xlfn.XLOOKUP(MIN(ABS($AY$7:$AY$27 - MEDIAN(MIN($AY$7:$AY$27), MAX($AY$7:$AY$27), AW35))), ABS($AY$7:$AY$27 - MEDIAN(MIN($AY$7:$AY$27), MAX($AY$7:$AY$27), AW35)), $AZ$7:$AZ$27, "Not Found", 0)</f>
        <v>0</v>
      </c>
    </row>
    <row r="65" spans="1:49" ht="25" customHeight="1">
      <c r="A65" s="50" t="s">
        <v>20</v>
      </c>
      <c r="B65" s="30" cm="1">
        <f t="array" ref="B65">_xlfn.XLOOKUP(MIN(ABS($AY$7:$AY$27 - MEDIAN(MIN($AY$7:$AY$27), MAX($AY$7:$AY$27), B36))), ABS($AY$7:$AY$27 - MEDIAN(MIN($AY$7:$AY$27), MAX($AY$7:$AY$27), B36)), $AZ$7:$AZ$27, "Not Found", 0)</f>
        <v>1</v>
      </c>
      <c r="C65" s="30" cm="1">
        <f t="array" ref="C65">_xlfn.XLOOKUP(MIN(ABS($AY$7:$AY$27 - MEDIAN(MIN($AY$7:$AY$27), MAX($AY$7:$AY$27), C36))), ABS($AY$7:$AY$27 - MEDIAN(MIN($AY$7:$AY$27), MAX($AY$7:$AY$27), C36)), $AZ$7:$AZ$27, "Not Found", 0)</f>
        <v>1</v>
      </c>
      <c r="D65" s="30" cm="1">
        <f t="array" ref="D65">_xlfn.XLOOKUP(MIN(ABS($AY$7:$AY$27 - MEDIAN(MIN($AY$7:$AY$27), MAX($AY$7:$AY$27), D36))), ABS($AY$7:$AY$27 - MEDIAN(MIN($AY$7:$AY$27), MAX($AY$7:$AY$27), D36)), $AZ$7:$AZ$27, "Not Found", 0)</f>
        <v>1</v>
      </c>
      <c r="E65" s="30" cm="1">
        <f t="array" ref="E65">_xlfn.XLOOKUP(MIN(ABS($AY$7:$AY$27 - MEDIAN(MIN($AY$7:$AY$27), MAX($AY$7:$AY$27), E36))), ABS($AY$7:$AY$27 - MEDIAN(MIN($AY$7:$AY$27), MAX($AY$7:$AY$27), E36)), $AZ$7:$AZ$27, "Not Found", 0)</f>
        <v>0</v>
      </c>
      <c r="F65" s="30" cm="1">
        <f t="array" ref="F65">_xlfn.XLOOKUP(MIN(ABS($AY$7:$AY$27 - MEDIAN(MIN($AY$7:$AY$27), MAX($AY$7:$AY$27), F36))), ABS($AY$7:$AY$27 - MEDIAN(MIN($AY$7:$AY$27), MAX($AY$7:$AY$27), F36)), $AZ$7:$AZ$27, "Not Found", 0)</f>
        <v>0</v>
      </c>
      <c r="G65" s="30" cm="1">
        <f t="array" ref="G65">_xlfn.XLOOKUP(MIN(ABS($AY$7:$AY$27 - MEDIAN(MIN($AY$7:$AY$27), MAX($AY$7:$AY$27), G36))), ABS($AY$7:$AY$27 - MEDIAN(MIN($AY$7:$AY$27), MAX($AY$7:$AY$27), G36)), $AZ$7:$AZ$27, "Not Found", 0)</f>
        <v>0</v>
      </c>
      <c r="H65" s="30" cm="1">
        <f t="array" ref="H65">_xlfn.XLOOKUP(MIN(ABS($AY$7:$AY$27 - MEDIAN(MIN($AY$7:$AY$27), MAX($AY$7:$AY$27), H36))), ABS($AY$7:$AY$27 - MEDIAN(MIN($AY$7:$AY$27), MAX($AY$7:$AY$27), H36)), $AZ$7:$AZ$27, "Not Found", 0)</f>
        <v>0</v>
      </c>
      <c r="I65" s="30" cm="1">
        <f t="array" ref="I65">_xlfn.XLOOKUP(MIN(ABS($AY$7:$AY$27 - MEDIAN(MIN($AY$7:$AY$27), MAX($AY$7:$AY$27), I36))), ABS($AY$7:$AY$27 - MEDIAN(MIN($AY$7:$AY$27), MAX($AY$7:$AY$27), I36)), $AZ$7:$AZ$27, "Not Found", 0)</f>
        <v>0</v>
      </c>
      <c r="J65" s="30" cm="1">
        <f t="array" ref="J65">_xlfn.XLOOKUP(MIN(ABS($AY$7:$AY$27 - MEDIAN(MIN($AY$7:$AY$27), MAX($AY$7:$AY$27), J36))), ABS($AY$7:$AY$27 - MEDIAN(MIN($AY$7:$AY$27), MAX($AY$7:$AY$27), J36)), $AZ$7:$AZ$27, "Not Found", 0)</f>
        <v>0</v>
      </c>
      <c r="K65" s="30" cm="1">
        <f t="array" ref="K65">_xlfn.XLOOKUP(MIN(ABS($AY$7:$AY$27 - MEDIAN(MIN($AY$7:$AY$27), MAX($AY$7:$AY$27), K36))), ABS($AY$7:$AY$27 - MEDIAN(MIN($AY$7:$AY$27), MAX($AY$7:$AY$27), K36)), $AZ$7:$AZ$27, "Not Found", 0)</f>
        <v>0</v>
      </c>
      <c r="L65" s="30" cm="1">
        <f t="array" ref="L65">_xlfn.XLOOKUP(MIN(ABS($AY$7:$AY$27 - MEDIAN(MIN($AY$7:$AY$27), MAX($AY$7:$AY$27), L36))), ABS($AY$7:$AY$27 - MEDIAN(MIN($AY$7:$AY$27), MAX($AY$7:$AY$27), L36)), $AZ$7:$AZ$27, "Not Found", 0)</f>
        <v>0</v>
      </c>
      <c r="M65" s="30" cm="1">
        <f t="array" ref="M65">_xlfn.XLOOKUP(MIN(ABS($AY$7:$AY$27 - MEDIAN(MIN($AY$7:$AY$27), MAX($AY$7:$AY$27), M36))), ABS($AY$7:$AY$27 - MEDIAN(MIN($AY$7:$AY$27), MAX($AY$7:$AY$27), M36)), $AZ$7:$AZ$27, "Not Found", 0)</f>
        <v>0</v>
      </c>
      <c r="N65" s="30" cm="1">
        <f t="array" ref="N65">_xlfn.XLOOKUP(MIN(ABS($AY$7:$AY$27 - MEDIAN(MIN($AY$7:$AY$27), MAX($AY$7:$AY$27), N36))), ABS($AY$7:$AY$27 - MEDIAN(MIN($AY$7:$AY$27), MAX($AY$7:$AY$27), N36)), $AZ$7:$AZ$27, "Not Found", 0)</f>
        <v>0</v>
      </c>
      <c r="O65" s="30" cm="1">
        <f t="array" ref="O65">_xlfn.XLOOKUP(MIN(ABS($AY$7:$AY$27 - MEDIAN(MIN($AY$7:$AY$27), MAX($AY$7:$AY$27), O36))), ABS($AY$7:$AY$27 - MEDIAN(MIN($AY$7:$AY$27), MAX($AY$7:$AY$27), O36)), $AZ$7:$AZ$27, "Not Found", 0)</f>
        <v>0</v>
      </c>
      <c r="P65" s="30" cm="1">
        <f t="array" ref="P65">_xlfn.XLOOKUP(MIN(ABS($AY$7:$AY$27 - MEDIAN(MIN($AY$7:$AY$27), MAX($AY$7:$AY$27), P36))), ABS($AY$7:$AY$27 - MEDIAN(MIN($AY$7:$AY$27), MAX($AY$7:$AY$27), P36)), $AZ$7:$AZ$27, "Not Found", 0)</f>
        <v>0</v>
      </c>
      <c r="Q65" s="30" cm="1">
        <f t="array" ref="Q65">_xlfn.XLOOKUP(MIN(ABS($AY$7:$AY$27 - MEDIAN(MIN($AY$7:$AY$27), MAX($AY$7:$AY$27), Q36))), ABS($AY$7:$AY$27 - MEDIAN(MIN($AY$7:$AY$27), MAX($AY$7:$AY$27), Q36)), $AZ$7:$AZ$27, "Not Found", 0)</f>
        <v>-1</v>
      </c>
      <c r="R65" s="30" cm="1">
        <f t="array" ref="R65">_xlfn.XLOOKUP(MIN(ABS($AY$7:$AY$27 - MEDIAN(MIN($AY$7:$AY$27), MAX($AY$7:$AY$27), R36))), ABS($AY$7:$AY$27 - MEDIAN(MIN($AY$7:$AY$27), MAX($AY$7:$AY$27), R36)), $AZ$7:$AZ$27, "Not Found", 0)</f>
        <v>-1</v>
      </c>
      <c r="S65" s="30" cm="1">
        <f t="array" ref="S65">_xlfn.XLOOKUP(MIN(ABS($AY$7:$AY$27 - MEDIAN(MIN($AY$7:$AY$27), MAX($AY$7:$AY$27), S36))), ABS($AY$7:$AY$27 - MEDIAN(MIN($AY$7:$AY$27), MAX($AY$7:$AY$27), S36)), $AZ$7:$AZ$27, "Not Found", 0)</f>
        <v>-1</v>
      </c>
      <c r="T65" s="30" cm="1">
        <f t="array" ref="T65">_xlfn.XLOOKUP(MIN(ABS($AY$7:$AY$27 - MEDIAN(MIN($AY$7:$AY$27), MAX($AY$7:$AY$27), T36))), ABS($AY$7:$AY$27 - MEDIAN(MIN($AY$7:$AY$27), MAX($AY$7:$AY$27), T36)), $AZ$7:$AZ$27, "Not Found", 0)</f>
        <v>-1</v>
      </c>
      <c r="U65" s="30" cm="1">
        <f t="array" ref="U65">_xlfn.XLOOKUP(MIN(ABS($AY$7:$AY$27 - MEDIAN(MIN($AY$7:$AY$27), MAX($AY$7:$AY$27), U36))), ABS($AY$7:$AY$27 - MEDIAN(MIN($AY$7:$AY$27), MAX($AY$7:$AY$27), U36)), $AZ$7:$AZ$27, "Not Found", 0)</f>
        <v>-1</v>
      </c>
      <c r="V65" s="30" cm="1">
        <f t="array" ref="V65">_xlfn.XLOOKUP(MIN(ABS($AY$7:$AY$27 - MEDIAN(MIN($AY$7:$AY$27), MAX($AY$7:$AY$27), V36))), ABS($AY$7:$AY$27 - MEDIAN(MIN($AY$7:$AY$27), MAX($AY$7:$AY$27), V36)), $AZ$7:$AZ$27, "Not Found", 0)</f>
        <v>-1</v>
      </c>
      <c r="W65" s="30" cm="1">
        <f t="array" ref="W65">_xlfn.XLOOKUP(MIN(ABS($AY$7:$AY$27 - MEDIAN(MIN($AY$7:$AY$27), MAX($AY$7:$AY$27), W36))), ABS($AY$7:$AY$27 - MEDIAN(MIN($AY$7:$AY$27), MAX($AY$7:$AY$27), W36)), $AZ$7:$AZ$27, "Not Found", 0)</f>
        <v>-1</v>
      </c>
      <c r="X65" s="30" cm="1">
        <f t="array" ref="X65">_xlfn.XLOOKUP(MIN(ABS($AY$7:$AY$27 - MEDIAN(MIN($AY$7:$AY$27), MAX($AY$7:$AY$27), X36))), ABS($AY$7:$AY$27 - MEDIAN(MIN($AY$7:$AY$27), MAX($AY$7:$AY$27), X36)), $AZ$7:$AZ$27, "Not Found", 0)</f>
        <v>-1</v>
      </c>
      <c r="Y65" s="30" cm="1">
        <f t="array" ref="Y65">_xlfn.XLOOKUP(MIN(ABS($AY$7:$AY$27 - MEDIAN(MIN($AY$7:$AY$27), MAX($AY$7:$AY$27), Y36))), ABS($AY$7:$AY$27 - MEDIAN(MIN($AY$7:$AY$27), MAX($AY$7:$AY$27), Y36)), $AZ$7:$AZ$27, "Not Found", 0)</f>
        <v>-1</v>
      </c>
      <c r="Z65" s="30" cm="1">
        <f t="array" ref="Z65">_xlfn.XLOOKUP(MIN(ABS($AY$7:$AY$27 - MEDIAN(MIN($AY$7:$AY$27), MAX($AY$7:$AY$27), Z36))), ABS($AY$7:$AY$27 - MEDIAN(MIN($AY$7:$AY$27), MAX($AY$7:$AY$27), Z36)), $AZ$7:$AZ$27, "Not Found", 0)</f>
        <v>-1</v>
      </c>
      <c r="AA65" s="30" cm="1">
        <f t="array" ref="AA65">_xlfn.XLOOKUP(MIN(ABS($AY$7:$AY$27 - MEDIAN(MIN($AY$7:$AY$27), MAX($AY$7:$AY$27), AA36))), ABS($AY$7:$AY$27 - MEDIAN(MIN($AY$7:$AY$27), MAX($AY$7:$AY$27), AA36)), $AZ$7:$AZ$27, "Not Found", 0)</f>
        <v>-1</v>
      </c>
      <c r="AB65" s="30" cm="1">
        <f t="array" ref="AB65">_xlfn.XLOOKUP(MIN(ABS($AY$7:$AY$27 - MEDIAN(MIN($AY$7:$AY$27), MAX($AY$7:$AY$27), AB36))), ABS($AY$7:$AY$27 - MEDIAN(MIN($AY$7:$AY$27), MAX($AY$7:$AY$27), AB36)), $AZ$7:$AZ$27, "Not Found", 0)</f>
        <v>-1</v>
      </c>
      <c r="AC65" s="30" cm="1">
        <f t="array" ref="AC65">_xlfn.XLOOKUP(MIN(ABS($AY$7:$AY$27 - MEDIAN(MIN($AY$7:$AY$27), MAX($AY$7:$AY$27), AC36))), ABS($AY$7:$AY$27 - MEDIAN(MIN($AY$7:$AY$27), MAX($AY$7:$AY$27), AC36)), $AZ$7:$AZ$27, "Not Found", 0)</f>
        <v>0</v>
      </c>
      <c r="AD65" s="30" cm="1">
        <f t="array" ref="AD65">_xlfn.XLOOKUP(MIN(ABS($AY$7:$AY$27 - MEDIAN(MIN($AY$7:$AY$27), MAX($AY$7:$AY$27), AD36))), ABS($AY$7:$AY$27 - MEDIAN(MIN($AY$7:$AY$27), MAX($AY$7:$AY$27), AD36)), $AZ$7:$AZ$27, "Not Found", 0)</f>
        <v>0</v>
      </c>
      <c r="AE65" s="30" cm="1">
        <f t="array" ref="AE65">_xlfn.XLOOKUP(MIN(ABS($AY$7:$AY$27 - MEDIAN(MIN($AY$7:$AY$27), MAX($AY$7:$AY$27), AE36))), ABS($AY$7:$AY$27 - MEDIAN(MIN($AY$7:$AY$27), MAX($AY$7:$AY$27), AE36)), $AZ$7:$AZ$27, "Not Found", 0)</f>
        <v>0</v>
      </c>
      <c r="AF65" s="30" cm="1">
        <f t="array" ref="AF65">_xlfn.XLOOKUP(MIN(ABS($AY$7:$AY$27 - MEDIAN(MIN($AY$7:$AY$27), MAX($AY$7:$AY$27), AF36))), ABS($AY$7:$AY$27 - MEDIAN(MIN($AY$7:$AY$27), MAX($AY$7:$AY$27), AF36)), $AZ$7:$AZ$27, "Not Found", 0)</f>
        <v>-1</v>
      </c>
      <c r="AG65" s="30" cm="1">
        <f t="array" ref="AG65">_xlfn.XLOOKUP(MIN(ABS($AY$7:$AY$27 - MEDIAN(MIN($AY$7:$AY$27), MAX($AY$7:$AY$27), AG36))), ABS($AY$7:$AY$27 - MEDIAN(MIN($AY$7:$AY$27), MAX($AY$7:$AY$27), AG36)), $AZ$7:$AZ$27, "Not Found", 0)</f>
        <v>-1</v>
      </c>
      <c r="AH65" s="30" cm="1">
        <f t="array" ref="AH65">_xlfn.XLOOKUP(MIN(ABS($AY$7:$AY$27 - MEDIAN(MIN($AY$7:$AY$27), MAX($AY$7:$AY$27), AH36))), ABS($AY$7:$AY$27 - MEDIAN(MIN($AY$7:$AY$27), MAX($AY$7:$AY$27), AH36)), $AZ$7:$AZ$27, "Not Found", 0)</f>
        <v>-1</v>
      </c>
      <c r="AI65" s="30" cm="1">
        <f t="array" ref="AI65">_xlfn.XLOOKUP(MIN(ABS($AY$7:$AY$27 - MEDIAN(MIN($AY$7:$AY$27), MAX($AY$7:$AY$27), AI36))), ABS($AY$7:$AY$27 - MEDIAN(MIN($AY$7:$AY$27), MAX($AY$7:$AY$27), AI36)), $AZ$7:$AZ$27, "Not Found", 0)</f>
        <v>-2</v>
      </c>
      <c r="AJ65" s="30" cm="1">
        <f t="array" ref="AJ65">_xlfn.XLOOKUP(MIN(ABS($AY$7:$AY$27 - MEDIAN(MIN($AY$7:$AY$27), MAX($AY$7:$AY$27), AJ36))), ABS($AY$7:$AY$27 - MEDIAN(MIN($AY$7:$AY$27), MAX($AY$7:$AY$27), AJ36)), $AZ$7:$AZ$27, "Not Found", 0)</f>
        <v>-2</v>
      </c>
      <c r="AK65" s="30" cm="1">
        <f t="array" ref="AK65">_xlfn.XLOOKUP(MIN(ABS($AY$7:$AY$27 - MEDIAN(MIN($AY$7:$AY$27), MAX($AY$7:$AY$27), AK36))), ABS($AY$7:$AY$27 - MEDIAN(MIN($AY$7:$AY$27), MAX($AY$7:$AY$27), AK36)), $AZ$7:$AZ$27, "Not Found", 0)</f>
        <v>-2</v>
      </c>
      <c r="AL65" s="30" cm="1">
        <f t="array" ref="AL65">_xlfn.XLOOKUP(MIN(ABS($AY$7:$AY$27 - MEDIAN(MIN($AY$7:$AY$27), MAX($AY$7:$AY$27), AL36))), ABS($AY$7:$AY$27 - MEDIAN(MIN($AY$7:$AY$27), MAX($AY$7:$AY$27), AL36)), $AZ$7:$AZ$27, "Not Found", 0)</f>
        <v>-1</v>
      </c>
      <c r="AM65" s="30" cm="1">
        <f t="array" ref="AM65">_xlfn.XLOOKUP(MIN(ABS($AY$7:$AY$27 - MEDIAN(MIN($AY$7:$AY$27), MAX($AY$7:$AY$27), AM36))), ABS($AY$7:$AY$27 - MEDIAN(MIN($AY$7:$AY$27), MAX($AY$7:$AY$27), AM36)), $AZ$7:$AZ$27, "Not Found", 0)</f>
        <v>-1</v>
      </c>
      <c r="AN65" s="30" cm="1">
        <f t="array" ref="AN65">_xlfn.XLOOKUP(MIN(ABS($AY$7:$AY$27 - MEDIAN(MIN($AY$7:$AY$27), MAX($AY$7:$AY$27), AN36))), ABS($AY$7:$AY$27 - MEDIAN(MIN($AY$7:$AY$27), MAX($AY$7:$AY$27), AN36)), $AZ$7:$AZ$27, "Not Found", 0)</f>
        <v>-1</v>
      </c>
      <c r="AO65" s="30" cm="1">
        <f t="array" ref="AO65">_xlfn.XLOOKUP(MIN(ABS($AY$7:$AY$27 - MEDIAN(MIN($AY$7:$AY$27), MAX($AY$7:$AY$27), AO36))), ABS($AY$7:$AY$27 - MEDIAN(MIN($AY$7:$AY$27), MAX($AY$7:$AY$27), AO36)), $AZ$7:$AZ$27, "Not Found", 0)</f>
        <v>-1</v>
      </c>
      <c r="AP65" s="30" cm="1">
        <f t="array" ref="AP65">_xlfn.XLOOKUP(MIN(ABS($AY$7:$AY$27 - MEDIAN(MIN($AY$7:$AY$27), MAX($AY$7:$AY$27), AP36))), ABS($AY$7:$AY$27 - MEDIAN(MIN($AY$7:$AY$27), MAX($AY$7:$AY$27), AP36)), $AZ$7:$AZ$27, "Not Found", 0)</f>
        <v>-1</v>
      </c>
      <c r="AQ65" s="30" cm="1">
        <f t="array" ref="AQ65">_xlfn.XLOOKUP(MIN(ABS($AY$7:$AY$27 - MEDIAN(MIN($AY$7:$AY$27), MAX($AY$7:$AY$27), AQ36))), ABS($AY$7:$AY$27 - MEDIAN(MIN($AY$7:$AY$27), MAX($AY$7:$AY$27), AQ36)), $AZ$7:$AZ$27, "Not Found", 0)</f>
        <v>-1</v>
      </c>
      <c r="AR65" s="30" cm="1">
        <f t="array" ref="AR65">_xlfn.XLOOKUP(MIN(ABS($AY$7:$AY$27 - MEDIAN(MIN($AY$7:$AY$27), MAX($AY$7:$AY$27), AR36))), ABS($AY$7:$AY$27 - MEDIAN(MIN($AY$7:$AY$27), MAX($AY$7:$AY$27), AR36)), $AZ$7:$AZ$27, "Not Found", 0)</f>
        <v>-1</v>
      </c>
      <c r="AS65" s="30" cm="1">
        <f t="array" ref="AS65">_xlfn.XLOOKUP(MIN(ABS($AY$7:$AY$27 - MEDIAN(MIN($AY$7:$AY$27), MAX($AY$7:$AY$27), AS36))), ABS($AY$7:$AY$27 - MEDIAN(MIN($AY$7:$AY$27), MAX($AY$7:$AY$27), AS36)), $AZ$7:$AZ$27, "Not Found", 0)</f>
        <v>-1</v>
      </c>
      <c r="AT65" s="30" cm="1">
        <f t="array" ref="AT65">_xlfn.XLOOKUP(MIN(ABS($AY$7:$AY$27 - MEDIAN(MIN($AY$7:$AY$27), MAX($AY$7:$AY$27), AT36))), ABS($AY$7:$AY$27 - MEDIAN(MIN($AY$7:$AY$27), MAX($AY$7:$AY$27), AT36)), $AZ$7:$AZ$27, "Not Found", 0)</f>
        <v>-1</v>
      </c>
      <c r="AU65" s="30" cm="1">
        <f t="array" ref="AU65">_xlfn.XLOOKUP(MIN(ABS($AY$7:$AY$27 - MEDIAN(MIN($AY$7:$AY$27), MAX($AY$7:$AY$27), AU36))), ABS($AY$7:$AY$27 - MEDIAN(MIN($AY$7:$AY$27), MAX($AY$7:$AY$27), AU36)), $AZ$7:$AZ$27, "Not Found", 0)</f>
        <v>0</v>
      </c>
      <c r="AV65" s="30" cm="1">
        <f t="array" ref="AV65">_xlfn.XLOOKUP(MIN(ABS($AY$7:$AY$27 - MEDIAN(MIN($AY$7:$AY$27), MAX($AY$7:$AY$27), AV36))), ABS($AY$7:$AY$27 - MEDIAN(MIN($AY$7:$AY$27), MAX($AY$7:$AY$27), AV36)), $AZ$7:$AZ$27, "Not Found", 0)</f>
        <v>0</v>
      </c>
      <c r="AW65" s="30" cm="1">
        <f t="array" ref="AW65">_xlfn.XLOOKUP(MIN(ABS($AY$7:$AY$27 - MEDIAN(MIN($AY$7:$AY$27), MAX($AY$7:$AY$27), AW36))), ABS($AY$7:$AY$27 - MEDIAN(MIN($AY$7:$AY$27), MAX($AY$7:$AY$27), AW36)), $AZ$7:$AZ$27, "Not Found", 0)</f>
        <v>0</v>
      </c>
    </row>
    <row r="66" spans="1:49" ht="25" customHeight="1">
      <c r="A66" s="51" t="s">
        <v>19</v>
      </c>
      <c r="B66" s="30" cm="1">
        <f t="array" ref="B66">_xlfn.XLOOKUP(MIN(ABS($AY$7:$AY$27 - MEDIAN(MIN($AY$7:$AY$27), MAX($AY$7:$AY$27), B37))), ABS($AY$7:$AY$27 - MEDIAN(MIN($AY$7:$AY$27), MAX($AY$7:$AY$27), B37)), $AZ$7:$AZ$27, "Not Found", 0)</f>
        <v>-2</v>
      </c>
      <c r="C66" s="30" cm="1">
        <f t="array" ref="C66">_xlfn.XLOOKUP(MIN(ABS($AY$7:$AY$27 - MEDIAN(MIN($AY$7:$AY$27), MAX($AY$7:$AY$27), C37))), ABS($AY$7:$AY$27 - MEDIAN(MIN($AY$7:$AY$27), MAX($AY$7:$AY$27), C37)), $AZ$7:$AZ$27, "Not Found", 0)</f>
        <v>-2</v>
      </c>
      <c r="D66" s="30" cm="1">
        <f t="array" ref="D66">_xlfn.XLOOKUP(MIN(ABS($AY$7:$AY$27 - MEDIAN(MIN($AY$7:$AY$27), MAX($AY$7:$AY$27), D37))), ABS($AY$7:$AY$27 - MEDIAN(MIN($AY$7:$AY$27), MAX($AY$7:$AY$27), D37)), $AZ$7:$AZ$27, "Not Found", 0)</f>
        <v>-2</v>
      </c>
      <c r="E66" s="30" cm="1">
        <f t="array" ref="E66">_xlfn.XLOOKUP(MIN(ABS($AY$7:$AY$27 - MEDIAN(MIN($AY$7:$AY$27), MAX($AY$7:$AY$27), E37))), ABS($AY$7:$AY$27 - MEDIAN(MIN($AY$7:$AY$27), MAX($AY$7:$AY$27), E37)), $AZ$7:$AZ$27, "Not Found", 0)</f>
        <v>-2</v>
      </c>
      <c r="F66" s="30" cm="1">
        <f t="array" ref="F66">_xlfn.XLOOKUP(MIN(ABS($AY$7:$AY$27 - MEDIAN(MIN($AY$7:$AY$27), MAX($AY$7:$AY$27), F37))), ABS($AY$7:$AY$27 - MEDIAN(MIN($AY$7:$AY$27), MAX($AY$7:$AY$27), F37)), $AZ$7:$AZ$27, "Not Found", 0)</f>
        <v>-2</v>
      </c>
      <c r="G66" s="30" cm="1">
        <f t="array" ref="G66">_xlfn.XLOOKUP(MIN(ABS($AY$7:$AY$27 - MEDIAN(MIN($AY$7:$AY$27), MAX($AY$7:$AY$27), G37))), ABS($AY$7:$AY$27 - MEDIAN(MIN($AY$7:$AY$27), MAX($AY$7:$AY$27), G37)), $AZ$7:$AZ$27, "Not Found", 0)</f>
        <v>-2</v>
      </c>
      <c r="H66" s="30" cm="1">
        <f t="array" ref="H66">_xlfn.XLOOKUP(MIN(ABS($AY$7:$AY$27 - MEDIAN(MIN($AY$7:$AY$27), MAX($AY$7:$AY$27), H37))), ABS($AY$7:$AY$27 - MEDIAN(MIN($AY$7:$AY$27), MAX($AY$7:$AY$27), H37)), $AZ$7:$AZ$27, "Not Found", 0)</f>
        <v>-3</v>
      </c>
      <c r="I66" s="30" cm="1">
        <f t="array" ref="I66">_xlfn.XLOOKUP(MIN(ABS($AY$7:$AY$27 - MEDIAN(MIN($AY$7:$AY$27), MAX($AY$7:$AY$27), I37))), ABS($AY$7:$AY$27 - MEDIAN(MIN($AY$7:$AY$27), MAX($AY$7:$AY$27), I37)), $AZ$7:$AZ$27, "Not Found", 0)</f>
        <v>-3</v>
      </c>
      <c r="J66" s="30" cm="1">
        <f t="array" ref="J66">_xlfn.XLOOKUP(MIN(ABS($AY$7:$AY$27 - MEDIAN(MIN($AY$7:$AY$27), MAX($AY$7:$AY$27), J37))), ABS($AY$7:$AY$27 - MEDIAN(MIN($AY$7:$AY$27), MAX($AY$7:$AY$27), J37)), $AZ$7:$AZ$27, "Not Found", 0)</f>
        <v>-3</v>
      </c>
      <c r="K66" s="30" cm="1">
        <f t="array" ref="K66">_xlfn.XLOOKUP(MIN(ABS($AY$7:$AY$27 - MEDIAN(MIN($AY$7:$AY$27), MAX($AY$7:$AY$27), K37))), ABS($AY$7:$AY$27 - MEDIAN(MIN($AY$7:$AY$27), MAX($AY$7:$AY$27), K37)), $AZ$7:$AZ$27, "Not Found", 0)</f>
        <v>-2</v>
      </c>
      <c r="L66" s="30" cm="1">
        <f t="array" ref="L66">_xlfn.XLOOKUP(MIN(ABS($AY$7:$AY$27 - MEDIAN(MIN($AY$7:$AY$27), MAX($AY$7:$AY$27), L37))), ABS($AY$7:$AY$27 - MEDIAN(MIN($AY$7:$AY$27), MAX($AY$7:$AY$27), L37)), $AZ$7:$AZ$27, "Not Found", 0)</f>
        <v>-2</v>
      </c>
      <c r="M66" s="30" cm="1">
        <f t="array" ref="M66">_xlfn.XLOOKUP(MIN(ABS($AY$7:$AY$27 - MEDIAN(MIN($AY$7:$AY$27), MAX($AY$7:$AY$27), M37))), ABS($AY$7:$AY$27 - MEDIAN(MIN($AY$7:$AY$27), MAX($AY$7:$AY$27), M37)), $AZ$7:$AZ$27, "Not Found", 0)</f>
        <v>-2</v>
      </c>
      <c r="N66" s="30" cm="1">
        <f t="array" ref="N66">_xlfn.XLOOKUP(MIN(ABS($AY$7:$AY$27 - MEDIAN(MIN($AY$7:$AY$27), MAX($AY$7:$AY$27), N37))), ABS($AY$7:$AY$27 - MEDIAN(MIN($AY$7:$AY$27), MAX($AY$7:$AY$27), N37)), $AZ$7:$AZ$27, "Not Found", 0)</f>
        <v>-2</v>
      </c>
      <c r="O66" s="30" cm="1">
        <f t="array" ref="O66">_xlfn.XLOOKUP(MIN(ABS($AY$7:$AY$27 - MEDIAN(MIN($AY$7:$AY$27), MAX($AY$7:$AY$27), O37))), ABS($AY$7:$AY$27 - MEDIAN(MIN($AY$7:$AY$27), MAX($AY$7:$AY$27), O37)), $AZ$7:$AZ$27, "Not Found", 0)</f>
        <v>-2</v>
      </c>
      <c r="P66" s="30" cm="1">
        <f t="array" ref="P66">_xlfn.XLOOKUP(MIN(ABS($AY$7:$AY$27 - MEDIAN(MIN($AY$7:$AY$27), MAX($AY$7:$AY$27), P37))), ABS($AY$7:$AY$27 - MEDIAN(MIN($AY$7:$AY$27), MAX($AY$7:$AY$27), P37)), $AZ$7:$AZ$27, "Not Found", 0)</f>
        <v>-2</v>
      </c>
      <c r="Q66" s="30" cm="1">
        <f t="array" ref="Q66">_xlfn.XLOOKUP(MIN(ABS($AY$7:$AY$27 - MEDIAN(MIN($AY$7:$AY$27), MAX($AY$7:$AY$27), Q37))), ABS($AY$7:$AY$27 - MEDIAN(MIN($AY$7:$AY$27), MAX($AY$7:$AY$27), Q37)), $AZ$7:$AZ$27, "Not Found", 0)</f>
        <v>-2</v>
      </c>
      <c r="R66" s="30" cm="1">
        <f t="array" ref="R66">_xlfn.XLOOKUP(MIN(ABS($AY$7:$AY$27 - MEDIAN(MIN($AY$7:$AY$27), MAX($AY$7:$AY$27), R37))), ABS($AY$7:$AY$27 - MEDIAN(MIN($AY$7:$AY$27), MAX($AY$7:$AY$27), R37)), $AZ$7:$AZ$27, "Not Found", 0)</f>
        <v>-2</v>
      </c>
      <c r="S66" s="30" cm="1">
        <f t="array" ref="S66">_xlfn.XLOOKUP(MIN(ABS($AY$7:$AY$27 - MEDIAN(MIN($AY$7:$AY$27), MAX($AY$7:$AY$27), S37))), ABS($AY$7:$AY$27 - MEDIAN(MIN($AY$7:$AY$27), MAX($AY$7:$AY$27), S37)), $AZ$7:$AZ$27, "Not Found", 0)</f>
        <v>-2</v>
      </c>
      <c r="T66" s="30" cm="1">
        <f t="array" ref="T66">_xlfn.XLOOKUP(MIN(ABS($AY$7:$AY$27 - MEDIAN(MIN($AY$7:$AY$27), MAX($AY$7:$AY$27), T37))), ABS($AY$7:$AY$27 - MEDIAN(MIN($AY$7:$AY$27), MAX($AY$7:$AY$27), T37)), $AZ$7:$AZ$27, "Not Found", 0)</f>
        <v>-2</v>
      </c>
      <c r="U66" s="30" cm="1">
        <f t="array" ref="U66">_xlfn.XLOOKUP(MIN(ABS($AY$7:$AY$27 - MEDIAN(MIN($AY$7:$AY$27), MAX($AY$7:$AY$27), U37))), ABS($AY$7:$AY$27 - MEDIAN(MIN($AY$7:$AY$27), MAX($AY$7:$AY$27), U37)), $AZ$7:$AZ$27, "Not Found", 0)</f>
        <v>-2</v>
      </c>
      <c r="V66" s="30" cm="1">
        <f t="array" ref="V66">_xlfn.XLOOKUP(MIN(ABS($AY$7:$AY$27 - MEDIAN(MIN($AY$7:$AY$27), MAX($AY$7:$AY$27), V37))), ABS($AY$7:$AY$27 - MEDIAN(MIN($AY$7:$AY$27), MAX($AY$7:$AY$27), V37)), $AZ$7:$AZ$27, "Not Found", 0)</f>
        <v>-2</v>
      </c>
      <c r="W66" s="30" cm="1">
        <f t="array" ref="W66">_xlfn.XLOOKUP(MIN(ABS($AY$7:$AY$27 - MEDIAN(MIN($AY$7:$AY$27), MAX($AY$7:$AY$27), W37))), ABS($AY$7:$AY$27 - MEDIAN(MIN($AY$7:$AY$27), MAX($AY$7:$AY$27), W37)), $AZ$7:$AZ$27, "Not Found", 0)</f>
        <v>-3</v>
      </c>
      <c r="X66" s="30" cm="1">
        <f t="array" ref="X66">_xlfn.XLOOKUP(MIN(ABS($AY$7:$AY$27 - MEDIAN(MIN($AY$7:$AY$27), MAX($AY$7:$AY$27), X37))), ABS($AY$7:$AY$27 - MEDIAN(MIN($AY$7:$AY$27), MAX($AY$7:$AY$27), X37)), $AZ$7:$AZ$27, "Not Found", 0)</f>
        <v>-3</v>
      </c>
      <c r="Y66" s="30" cm="1">
        <f t="array" ref="Y66">_xlfn.XLOOKUP(MIN(ABS($AY$7:$AY$27 - MEDIAN(MIN($AY$7:$AY$27), MAX($AY$7:$AY$27), Y37))), ABS($AY$7:$AY$27 - MEDIAN(MIN($AY$7:$AY$27), MAX($AY$7:$AY$27), Y37)), $AZ$7:$AZ$27, "Not Found", 0)</f>
        <v>-3</v>
      </c>
      <c r="Z66" s="30" cm="1">
        <f t="array" ref="Z66">_xlfn.XLOOKUP(MIN(ABS($AY$7:$AY$27 - MEDIAN(MIN($AY$7:$AY$27), MAX($AY$7:$AY$27), Z37))), ABS($AY$7:$AY$27 - MEDIAN(MIN($AY$7:$AY$27), MAX($AY$7:$AY$27), Z37)), $AZ$7:$AZ$27, "Not Found", 0)</f>
        <v>-2</v>
      </c>
      <c r="AA66" s="30" cm="1">
        <f t="array" ref="AA66">_xlfn.XLOOKUP(MIN(ABS($AY$7:$AY$27 - MEDIAN(MIN($AY$7:$AY$27), MAX($AY$7:$AY$27), AA37))), ABS($AY$7:$AY$27 - MEDIAN(MIN($AY$7:$AY$27), MAX($AY$7:$AY$27), AA37)), $AZ$7:$AZ$27, "Not Found", 0)</f>
        <v>-2</v>
      </c>
      <c r="AB66" s="30" cm="1">
        <f t="array" ref="AB66">_xlfn.XLOOKUP(MIN(ABS($AY$7:$AY$27 - MEDIAN(MIN($AY$7:$AY$27), MAX($AY$7:$AY$27), AB37))), ABS($AY$7:$AY$27 - MEDIAN(MIN($AY$7:$AY$27), MAX($AY$7:$AY$27), AB37)), $AZ$7:$AZ$27, "Not Found", 0)</f>
        <v>-2</v>
      </c>
      <c r="AC66" s="30" cm="1">
        <f t="array" ref="AC66">_xlfn.XLOOKUP(MIN(ABS($AY$7:$AY$27 - MEDIAN(MIN($AY$7:$AY$27), MAX($AY$7:$AY$27), AC37))), ABS($AY$7:$AY$27 - MEDIAN(MIN($AY$7:$AY$27), MAX($AY$7:$AY$27), AC37)), $AZ$7:$AZ$27, "Not Found", 0)</f>
        <v>-4</v>
      </c>
      <c r="AD66" s="30" cm="1">
        <f t="array" ref="AD66">_xlfn.XLOOKUP(MIN(ABS($AY$7:$AY$27 - MEDIAN(MIN($AY$7:$AY$27), MAX($AY$7:$AY$27), AD37))), ABS($AY$7:$AY$27 - MEDIAN(MIN($AY$7:$AY$27), MAX($AY$7:$AY$27), AD37)), $AZ$7:$AZ$27, "Not Found", 0)</f>
        <v>-4</v>
      </c>
      <c r="AE66" s="30" cm="1">
        <f t="array" ref="AE66">_xlfn.XLOOKUP(MIN(ABS($AY$7:$AY$27 - MEDIAN(MIN($AY$7:$AY$27), MAX($AY$7:$AY$27), AE37))), ABS($AY$7:$AY$27 - MEDIAN(MIN($AY$7:$AY$27), MAX($AY$7:$AY$27), AE37)), $AZ$7:$AZ$27, "Not Found", 0)</f>
        <v>-4</v>
      </c>
      <c r="AF66" s="30" cm="1">
        <f t="array" ref="AF66">_xlfn.XLOOKUP(MIN(ABS($AY$7:$AY$27 - MEDIAN(MIN($AY$7:$AY$27), MAX($AY$7:$AY$27), AF37))), ABS($AY$7:$AY$27 - MEDIAN(MIN($AY$7:$AY$27), MAX($AY$7:$AY$27), AF37)), $AZ$7:$AZ$27, "Not Found", 0)</f>
        <v>-3</v>
      </c>
      <c r="AG66" s="30" cm="1">
        <f t="array" ref="AG66">_xlfn.XLOOKUP(MIN(ABS($AY$7:$AY$27 - MEDIAN(MIN($AY$7:$AY$27), MAX($AY$7:$AY$27), AG37))), ABS($AY$7:$AY$27 - MEDIAN(MIN($AY$7:$AY$27), MAX($AY$7:$AY$27), AG37)), $AZ$7:$AZ$27, "Not Found", 0)</f>
        <v>-3</v>
      </c>
      <c r="AH66" s="30" cm="1">
        <f t="array" ref="AH66">_xlfn.XLOOKUP(MIN(ABS($AY$7:$AY$27 - MEDIAN(MIN($AY$7:$AY$27), MAX($AY$7:$AY$27), AH37))), ABS($AY$7:$AY$27 - MEDIAN(MIN($AY$7:$AY$27), MAX($AY$7:$AY$27), AH37)), $AZ$7:$AZ$27, "Not Found", 0)</f>
        <v>-3</v>
      </c>
      <c r="AI66" s="30" cm="1">
        <f t="array" ref="AI66">_xlfn.XLOOKUP(MIN(ABS($AY$7:$AY$27 - MEDIAN(MIN($AY$7:$AY$27), MAX($AY$7:$AY$27), AI37))), ABS($AY$7:$AY$27 - MEDIAN(MIN($AY$7:$AY$27), MAX($AY$7:$AY$27), AI37)), $AZ$7:$AZ$27, "Not Found", 0)</f>
        <v>-3</v>
      </c>
      <c r="AJ66" s="30" cm="1">
        <f t="array" ref="AJ66">_xlfn.XLOOKUP(MIN(ABS($AY$7:$AY$27 - MEDIAN(MIN($AY$7:$AY$27), MAX($AY$7:$AY$27), AJ37))), ABS($AY$7:$AY$27 - MEDIAN(MIN($AY$7:$AY$27), MAX($AY$7:$AY$27), AJ37)), $AZ$7:$AZ$27, "Not Found", 0)</f>
        <v>-3</v>
      </c>
      <c r="AK66" s="30" cm="1">
        <f t="array" ref="AK66">_xlfn.XLOOKUP(MIN(ABS($AY$7:$AY$27 - MEDIAN(MIN($AY$7:$AY$27), MAX($AY$7:$AY$27), AK37))), ABS($AY$7:$AY$27 - MEDIAN(MIN($AY$7:$AY$27), MAX($AY$7:$AY$27), AK37)), $AZ$7:$AZ$27, "Not Found", 0)</f>
        <v>-3</v>
      </c>
      <c r="AL66" s="30" cm="1">
        <f t="array" ref="AL66">_xlfn.XLOOKUP(MIN(ABS($AY$7:$AY$27 - MEDIAN(MIN($AY$7:$AY$27), MAX($AY$7:$AY$27), AL37))), ABS($AY$7:$AY$27 - MEDIAN(MIN($AY$7:$AY$27), MAX($AY$7:$AY$27), AL37)), $AZ$7:$AZ$27, "Not Found", 0)</f>
        <v>-4</v>
      </c>
      <c r="AM66" s="30" cm="1">
        <f t="array" ref="AM66">_xlfn.XLOOKUP(MIN(ABS($AY$7:$AY$27 - MEDIAN(MIN($AY$7:$AY$27), MAX($AY$7:$AY$27), AM37))), ABS($AY$7:$AY$27 - MEDIAN(MIN($AY$7:$AY$27), MAX($AY$7:$AY$27), AM37)), $AZ$7:$AZ$27, "Not Found", 0)</f>
        <v>-4</v>
      </c>
      <c r="AN66" s="30" cm="1">
        <f t="array" ref="AN66">_xlfn.XLOOKUP(MIN(ABS($AY$7:$AY$27 - MEDIAN(MIN($AY$7:$AY$27), MAX($AY$7:$AY$27), AN37))), ABS($AY$7:$AY$27 - MEDIAN(MIN($AY$7:$AY$27), MAX($AY$7:$AY$27), AN37)), $AZ$7:$AZ$27, "Not Found", 0)</f>
        <v>-4</v>
      </c>
      <c r="AO66" s="30" cm="1">
        <f t="array" ref="AO66">_xlfn.XLOOKUP(MIN(ABS($AY$7:$AY$27 - MEDIAN(MIN($AY$7:$AY$27), MAX($AY$7:$AY$27), AO37))), ABS($AY$7:$AY$27 - MEDIAN(MIN($AY$7:$AY$27), MAX($AY$7:$AY$27), AO37)), $AZ$7:$AZ$27, "Not Found", 0)</f>
        <v>-3</v>
      </c>
      <c r="AP66" s="30" cm="1">
        <f t="array" ref="AP66">_xlfn.XLOOKUP(MIN(ABS($AY$7:$AY$27 - MEDIAN(MIN($AY$7:$AY$27), MAX($AY$7:$AY$27), AP37))), ABS($AY$7:$AY$27 - MEDIAN(MIN($AY$7:$AY$27), MAX($AY$7:$AY$27), AP37)), $AZ$7:$AZ$27, "Not Found", 0)</f>
        <v>-3</v>
      </c>
      <c r="AQ66" s="30" cm="1">
        <f t="array" ref="AQ66">_xlfn.XLOOKUP(MIN(ABS($AY$7:$AY$27 - MEDIAN(MIN($AY$7:$AY$27), MAX($AY$7:$AY$27), AQ37))), ABS($AY$7:$AY$27 - MEDIAN(MIN($AY$7:$AY$27), MAX($AY$7:$AY$27), AQ37)), $AZ$7:$AZ$27, "Not Found", 0)</f>
        <v>-3</v>
      </c>
      <c r="AR66" s="30" cm="1">
        <f t="array" ref="AR66">_xlfn.XLOOKUP(MIN(ABS($AY$7:$AY$27 - MEDIAN(MIN($AY$7:$AY$27), MAX($AY$7:$AY$27), AR37))), ABS($AY$7:$AY$27 - MEDIAN(MIN($AY$7:$AY$27), MAX($AY$7:$AY$27), AR37)), $AZ$7:$AZ$27, "Not Found", 0)</f>
        <v>-3</v>
      </c>
      <c r="AS66" s="30" cm="1">
        <f t="array" ref="AS66">_xlfn.XLOOKUP(MIN(ABS($AY$7:$AY$27 - MEDIAN(MIN($AY$7:$AY$27), MAX($AY$7:$AY$27), AS37))), ABS($AY$7:$AY$27 - MEDIAN(MIN($AY$7:$AY$27), MAX($AY$7:$AY$27), AS37)), $AZ$7:$AZ$27, "Not Found", 0)</f>
        <v>-3</v>
      </c>
      <c r="AT66" s="30" cm="1">
        <f t="array" ref="AT66">_xlfn.XLOOKUP(MIN(ABS($AY$7:$AY$27 - MEDIAN(MIN($AY$7:$AY$27), MAX($AY$7:$AY$27), AT37))), ABS($AY$7:$AY$27 - MEDIAN(MIN($AY$7:$AY$27), MAX($AY$7:$AY$27), AT37)), $AZ$7:$AZ$27, "Not Found", 0)</f>
        <v>-3</v>
      </c>
      <c r="AU66" s="30" cm="1">
        <f t="array" ref="AU66">_xlfn.XLOOKUP(MIN(ABS($AY$7:$AY$27 - MEDIAN(MIN($AY$7:$AY$27), MAX($AY$7:$AY$27), AU37))), ABS($AY$7:$AY$27 - MEDIAN(MIN($AY$7:$AY$27), MAX($AY$7:$AY$27), AU37)), $AZ$7:$AZ$27, "Not Found", 0)</f>
        <v>0</v>
      </c>
      <c r="AV66" s="30" cm="1">
        <f t="array" ref="AV66">_xlfn.XLOOKUP(MIN(ABS($AY$7:$AY$27 - MEDIAN(MIN($AY$7:$AY$27), MAX($AY$7:$AY$27), AV37))), ABS($AY$7:$AY$27 - MEDIAN(MIN($AY$7:$AY$27), MAX($AY$7:$AY$27), AV37)), $AZ$7:$AZ$27, "Not Found", 0)</f>
        <v>0</v>
      </c>
      <c r="AW66" s="30" cm="1">
        <f t="array" ref="AW66">_xlfn.XLOOKUP(MIN(ABS($AY$7:$AY$27 - MEDIAN(MIN($AY$7:$AY$27), MAX($AY$7:$AY$27), AW37))), ABS($AY$7:$AY$27 - MEDIAN(MIN($AY$7:$AY$27), MAX($AY$7:$AY$27), AW37)), $AZ$7:$AZ$27, "Not Found", 0)</f>
        <v>0</v>
      </c>
    </row>
    <row r="69" spans="1:49" ht="25" customHeight="1"/>
    <row r="70" spans="1:49" ht="25" customHeight="1"/>
    <row r="71" spans="1:49" ht="25" customHeight="1"/>
    <row r="72" spans="1:49" ht="25" customHeight="1"/>
    <row r="73" spans="1:49" ht="25" customHeight="1"/>
    <row r="74" spans="1:49" ht="25" customHeight="1"/>
    <row r="75" spans="1:49" ht="25" customHeight="1"/>
    <row r="76" spans="1:49" ht="25" customHeight="1"/>
    <row r="77" spans="1:49" ht="25" customHeight="1"/>
  </sheetData>
  <autoFilter ref="A2:A66" xr:uid="{00000000-0001-0000-0000-000000000000}"/>
  <hyperlinks>
    <hyperlink ref="A2" r:id="rId1" display="source : IMF" xr:uid="{2769B0BA-6A25-784D-BBEF-6655E5F870BA}"/>
    <hyperlink ref="A10" r:id="rId2" xr:uid="{E87446C7-1A4C-A24A-A433-0796CBB84023}"/>
  </hyperlinks>
  <pageMargins left="1.18" right="0.79" top="0.79" bottom="0.79" header="0" footer="0"/>
  <pageSetup paperSize="9" fitToWidth="0" fitToHeight="0" orientation="portrait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E353A-D9AD-CA43-9D8B-682B1A0C01D2}">
  <dimension ref="A1:BK85"/>
  <sheetViews>
    <sheetView zoomScaleNormal="40" workbookViewId="0">
      <pane xSplit="1" ySplit="2" topLeftCell="AL3" activePane="bottomRight" state="frozen"/>
      <selection pane="topRight" activeCell="B1" sqref="B1"/>
      <selection pane="bottomLeft" activeCell="A3" sqref="A3"/>
      <selection pane="bottomRight" activeCell="AW10" sqref="AW10"/>
    </sheetView>
  </sheetViews>
  <sheetFormatPr baseColWidth="10" defaultColWidth="12" defaultRowHeight="15" customHeight="1"/>
  <cols>
    <col min="1" max="1" width="22" style="12" customWidth="1"/>
    <col min="2" max="56" width="12" style="12"/>
    <col min="57" max="57" width="16.83203125" style="12" customWidth="1"/>
    <col min="58" max="16384" width="12" style="12"/>
  </cols>
  <sheetData>
    <row r="1" spans="1:63" s="13" customFormat="1" ht="15" customHeight="1">
      <c r="A1" s="12"/>
    </row>
    <row r="2" spans="1:63" s="13" customFormat="1" ht="19.5" customHeight="1">
      <c r="A2" s="14" t="s">
        <v>69</v>
      </c>
      <c r="B2" s="15">
        <v>44927</v>
      </c>
      <c r="C2" s="15">
        <v>44958</v>
      </c>
      <c r="D2" s="15">
        <v>44986</v>
      </c>
      <c r="E2" s="15">
        <v>45017</v>
      </c>
      <c r="F2" s="15">
        <v>45047</v>
      </c>
      <c r="G2" s="15">
        <v>45078</v>
      </c>
      <c r="H2" s="15">
        <v>45108</v>
      </c>
      <c r="I2" s="15">
        <v>45139</v>
      </c>
      <c r="J2" s="15">
        <v>45170</v>
      </c>
      <c r="K2" s="15">
        <v>45200</v>
      </c>
      <c r="L2" s="15">
        <v>45231</v>
      </c>
      <c r="M2" s="15">
        <v>45261</v>
      </c>
      <c r="N2" s="15">
        <v>45292</v>
      </c>
      <c r="O2" s="15">
        <v>45323</v>
      </c>
      <c r="P2" s="15">
        <v>45352</v>
      </c>
      <c r="Q2" s="15">
        <v>45383</v>
      </c>
      <c r="R2" s="15">
        <v>45413</v>
      </c>
      <c r="S2" s="15">
        <v>45444</v>
      </c>
      <c r="T2" s="15">
        <v>45474</v>
      </c>
      <c r="U2" s="15">
        <v>45505</v>
      </c>
      <c r="V2" s="15">
        <v>45536</v>
      </c>
      <c r="W2" s="15">
        <v>45566</v>
      </c>
      <c r="X2" s="15">
        <v>45597</v>
      </c>
      <c r="Y2" s="15">
        <v>45627</v>
      </c>
      <c r="Z2" s="15">
        <v>45658</v>
      </c>
      <c r="AA2" s="15">
        <v>45689</v>
      </c>
      <c r="AB2" s="15">
        <v>45717</v>
      </c>
      <c r="AC2" s="15">
        <v>45748</v>
      </c>
      <c r="AD2" s="15">
        <v>45778</v>
      </c>
      <c r="AE2" s="15">
        <v>45809</v>
      </c>
      <c r="AF2" s="15">
        <v>45839</v>
      </c>
      <c r="AG2" s="15">
        <v>45870</v>
      </c>
      <c r="AH2" s="15">
        <v>45901</v>
      </c>
      <c r="AI2" s="15">
        <v>45931</v>
      </c>
      <c r="AJ2" s="15">
        <v>45962</v>
      </c>
      <c r="AK2" s="15">
        <v>45992</v>
      </c>
      <c r="AL2" s="15">
        <v>46023</v>
      </c>
      <c r="AM2" s="15">
        <v>46054</v>
      </c>
      <c r="AN2" s="15">
        <v>46082</v>
      </c>
      <c r="AO2" s="15">
        <v>46113</v>
      </c>
      <c r="AP2" s="15">
        <v>46143</v>
      </c>
      <c r="AQ2" s="15">
        <v>46174</v>
      </c>
      <c r="AR2" s="15">
        <v>46204</v>
      </c>
      <c r="AS2" s="15">
        <v>46235</v>
      </c>
      <c r="AT2" s="15">
        <v>46266</v>
      </c>
      <c r="AU2" s="15">
        <v>46296</v>
      </c>
      <c r="AV2" s="15">
        <v>46327</v>
      </c>
      <c r="AW2" s="15">
        <v>46357</v>
      </c>
    </row>
    <row r="3" spans="1:63" s="18" customFormat="1" ht="30" customHeight="1">
      <c r="A3" s="16" t="s">
        <v>38</v>
      </c>
      <c r="B3" s="44">
        <v>7.5</v>
      </c>
      <c r="C3" s="44">
        <v>6.8</v>
      </c>
      <c r="D3" s="44">
        <v>6.3</v>
      </c>
      <c r="E3" s="44">
        <v>6.7</v>
      </c>
      <c r="F3" s="44">
        <v>5.5</v>
      </c>
      <c r="G3" s="44">
        <v>5.4</v>
      </c>
      <c r="H3" s="44">
        <v>4.9000000000000004</v>
      </c>
      <c r="I3" s="44">
        <v>5.2</v>
      </c>
      <c r="J3" s="44">
        <v>5.6</v>
      </c>
      <c r="K3" s="44">
        <v>4.9000000000000004</v>
      </c>
      <c r="L3" s="44">
        <v>4.3</v>
      </c>
      <c r="M3" s="44">
        <v>3.4</v>
      </c>
      <c r="N3" s="44">
        <v>3.4</v>
      </c>
      <c r="O3" s="44">
        <v>3.4</v>
      </c>
      <c r="P3" s="44">
        <v>3.5</v>
      </c>
      <c r="Q3" s="44">
        <v>3.6</v>
      </c>
      <c r="R3" s="44">
        <v>4</v>
      </c>
      <c r="S3" s="44">
        <v>3.8</v>
      </c>
      <c r="T3" s="44">
        <v>3.5</v>
      </c>
      <c r="U3" s="44">
        <v>2.7</v>
      </c>
      <c r="V3" s="44">
        <v>2.1</v>
      </c>
      <c r="W3" s="44">
        <v>2.1</v>
      </c>
      <c r="X3" s="44">
        <v>2.4</v>
      </c>
      <c r="Y3" s="44">
        <v>2.4</v>
      </c>
      <c r="Z3" s="44">
        <v>2.4</v>
      </c>
      <c r="AA3" s="44">
        <v>2.4</v>
      </c>
      <c r="AB3" s="44">
        <v>2.4</v>
      </c>
      <c r="AC3" s="44">
        <v>2.4</v>
      </c>
      <c r="AD3" s="44">
        <v>2.1</v>
      </c>
      <c r="AE3" s="44">
        <v>1.9</v>
      </c>
      <c r="AF3" s="44">
        <v>3</v>
      </c>
      <c r="AG3" s="44">
        <v>3.2</v>
      </c>
      <c r="AH3" s="44">
        <v>3.6</v>
      </c>
      <c r="AI3" s="44">
        <v>3.8</v>
      </c>
      <c r="AJ3" s="44">
        <v>3.4</v>
      </c>
      <c r="AK3" s="44">
        <v>3.8</v>
      </c>
      <c r="AL3" s="44">
        <v>3.8</v>
      </c>
      <c r="AM3" s="189">
        <v>3.7</v>
      </c>
      <c r="AN3" s="189">
        <v>4.5999999999999996</v>
      </c>
      <c r="AO3" s="189">
        <v>4.2</v>
      </c>
      <c r="AP3" s="189">
        <v>4</v>
      </c>
      <c r="AQ3" s="189">
        <v>3.8</v>
      </c>
      <c r="AR3" s="189">
        <v>3.5</v>
      </c>
      <c r="AS3" s="117">
        <v>4</v>
      </c>
      <c r="AT3" s="117">
        <v>4.0999999999999996</v>
      </c>
      <c r="AU3" s="117">
        <v>4.2</v>
      </c>
      <c r="AV3" s="117"/>
      <c r="AW3" s="117"/>
    </row>
    <row r="4" spans="1:63" s="20" customFormat="1" ht="30" customHeight="1">
      <c r="A4" s="19" t="s">
        <v>39</v>
      </c>
      <c r="B4" s="44">
        <v>5.9</v>
      </c>
      <c r="C4" s="44">
        <v>5.2</v>
      </c>
      <c r="D4" s="44">
        <v>4.3</v>
      </c>
      <c r="E4" s="44">
        <v>4.4000000000000004</v>
      </c>
      <c r="F4" s="44">
        <v>3.4</v>
      </c>
      <c r="G4" s="44">
        <v>2.8</v>
      </c>
      <c r="H4" s="44">
        <v>3.3</v>
      </c>
      <c r="I4" s="44">
        <v>4</v>
      </c>
      <c r="J4" s="44">
        <v>3.8</v>
      </c>
      <c r="K4" s="44">
        <v>3.1</v>
      </c>
      <c r="L4" s="44">
        <v>3.1</v>
      </c>
      <c r="M4" s="44">
        <v>3.4</v>
      </c>
      <c r="N4" s="44">
        <v>2.9</v>
      </c>
      <c r="O4" s="44">
        <v>2.8</v>
      </c>
      <c r="P4" s="44">
        <v>2.9</v>
      </c>
      <c r="Q4" s="44">
        <v>2.7</v>
      </c>
      <c r="R4" s="44">
        <v>2.9</v>
      </c>
      <c r="S4" s="44">
        <v>2.7</v>
      </c>
      <c r="T4" s="44">
        <v>2.5</v>
      </c>
      <c r="U4" s="44">
        <v>2</v>
      </c>
      <c r="V4" s="44">
        <v>1.6</v>
      </c>
      <c r="W4" s="44">
        <v>2</v>
      </c>
      <c r="X4" s="44">
        <v>1.9</v>
      </c>
      <c r="Y4" s="44">
        <v>1.8</v>
      </c>
      <c r="Z4" s="44">
        <v>1.9</v>
      </c>
      <c r="AA4" s="44">
        <v>2.6</v>
      </c>
      <c r="AB4" s="44">
        <v>2.2999999999999998</v>
      </c>
      <c r="AC4" s="44">
        <v>1.7</v>
      </c>
      <c r="AD4" s="44">
        <v>1.7</v>
      </c>
      <c r="AE4" s="44">
        <v>1.9</v>
      </c>
      <c r="AF4" s="44">
        <v>1.7</v>
      </c>
      <c r="AG4" s="44">
        <v>1.9</v>
      </c>
      <c r="AH4" s="44">
        <v>2.4</v>
      </c>
      <c r="AI4" s="44">
        <v>2.2000000000000002</v>
      </c>
      <c r="AJ4" s="44">
        <v>2.2000000000000002</v>
      </c>
      <c r="AK4" s="44">
        <v>2.4</v>
      </c>
      <c r="AL4" s="44">
        <v>2.2999999999999998</v>
      </c>
      <c r="AM4" s="189">
        <v>1.8</v>
      </c>
      <c r="AN4" s="189">
        <v>2.4</v>
      </c>
      <c r="AO4" s="189">
        <v>2.8</v>
      </c>
      <c r="AP4" s="189">
        <v>3.2</v>
      </c>
      <c r="AQ4" s="189">
        <v>2.8</v>
      </c>
      <c r="AR4" s="189">
        <v>3</v>
      </c>
      <c r="AS4" s="117">
        <v>2.9</v>
      </c>
      <c r="AT4" s="117">
        <v>2.9</v>
      </c>
      <c r="AU4" s="117">
        <v>2.6</v>
      </c>
      <c r="AV4" s="117"/>
      <c r="AW4" s="117"/>
    </row>
    <row r="5" spans="1:63" s="21" customFormat="1" ht="30" customHeight="1">
      <c r="A5" s="19" t="s">
        <v>40</v>
      </c>
      <c r="B5" s="44">
        <v>4.3</v>
      </c>
      <c r="C5" s="44">
        <v>3.3</v>
      </c>
      <c r="D5" s="44">
        <v>3.2</v>
      </c>
      <c r="E5" s="44">
        <v>3.5</v>
      </c>
      <c r="F5" s="44">
        <v>3.2</v>
      </c>
      <c r="G5" s="44">
        <v>3.3</v>
      </c>
      <c r="H5" s="44">
        <v>3.3</v>
      </c>
      <c r="I5" s="44">
        <v>3.2</v>
      </c>
      <c r="J5" s="44">
        <v>3</v>
      </c>
      <c r="K5" s="44">
        <v>3.3</v>
      </c>
      <c r="L5" s="44">
        <v>2.8</v>
      </c>
      <c r="M5" s="44">
        <v>2.6</v>
      </c>
      <c r="N5" s="44">
        <v>2.2000000000000002</v>
      </c>
      <c r="O5" s="44">
        <v>2.8</v>
      </c>
      <c r="P5" s="44">
        <v>2.7</v>
      </c>
      <c r="Q5" s="44">
        <v>2.5</v>
      </c>
      <c r="R5" s="44">
        <v>2.8</v>
      </c>
      <c r="S5" s="44">
        <v>2.8</v>
      </c>
      <c r="T5" s="44">
        <v>2.8</v>
      </c>
      <c r="U5" s="44">
        <v>3</v>
      </c>
      <c r="V5" s="44">
        <v>2.5</v>
      </c>
      <c r="W5" s="44">
        <v>2.2999999999999998</v>
      </c>
      <c r="X5" s="44">
        <v>2.9</v>
      </c>
      <c r="Y5" s="44">
        <v>3.6</v>
      </c>
      <c r="Z5" s="44">
        <v>4</v>
      </c>
      <c r="AA5" s="44">
        <v>3.7</v>
      </c>
      <c r="AB5" s="44">
        <v>3.6</v>
      </c>
      <c r="AC5" s="44">
        <v>3.6</v>
      </c>
      <c r="AD5" s="44">
        <v>3.5</v>
      </c>
      <c r="AE5" s="44">
        <v>3.3</v>
      </c>
      <c r="AF5" s="44">
        <v>3.1</v>
      </c>
      <c r="AG5" s="44">
        <v>2.7</v>
      </c>
      <c r="AH5" s="44">
        <v>2.9</v>
      </c>
      <c r="AI5" s="44">
        <v>3</v>
      </c>
      <c r="AJ5" s="44">
        <v>2.9</v>
      </c>
      <c r="AK5" s="44">
        <v>2.1</v>
      </c>
      <c r="AL5" s="44">
        <v>1.5</v>
      </c>
      <c r="AM5" s="189">
        <v>1.3</v>
      </c>
      <c r="AN5" s="189">
        <v>1.5</v>
      </c>
      <c r="AO5" s="189">
        <v>1.4</v>
      </c>
      <c r="AP5" s="189">
        <v>1.5</v>
      </c>
      <c r="AQ5" s="189">
        <v>1.6</v>
      </c>
      <c r="AR5" s="117">
        <v>1.9</v>
      </c>
      <c r="AS5" s="117">
        <v>1.8</v>
      </c>
      <c r="AT5" s="117">
        <v>1.8</v>
      </c>
      <c r="AU5" s="117">
        <v>1.8</v>
      </c>
      <c r="AV5" s="117"/>
      <c r="AW5" s="117"/>
    </row>
    <row r="6" spans="1:63" ht="30" customHeight="1">
      <c r="A6" s="19" t="s">
        <v>41</v>
      </c>
      <c r="B6" s="44">
        <v>3.3</v>
      </c>
      <c r="C6" s="44">
        <v>3.4</v>
      </c>
      <c r="D6" s="44">
        <v>2.9</v>
      </c>
      <c r="E6" s="44">
        <v>2.6</v>
      </c>
      <c r="F6" s="44">
        <v>2.2000000000000002</v>
      </c>
      <c r="G6" s="44">
        <v>1.7</v>
      </c>
      <c r="H6" s="44">
        <v>1.6</v>
      </c>
      <c r="I6" s="44">
        <v>1.6</v>
      </c>
      <c r="J6" s="44">
        <v>1.7</v>
      </c>
      <c r="K6" s="44">
        <v>1.7</v>
      </c>
      <c r="L6" s="44">
        <v>1.4</v>
      </c>
      <c r="M6" s="44">
        <v>1.7</v>
      </c>
      <c r="N6" s="44">
        <v>1.3</v>
      </c>
      <c r="O6" s="44">
        <v>1.2</v>
      </c>
      <c r="P6" s="44">
        <v>1</v>
      </c>
      <c r="Q6" s="44">
        <v>1.4</v>
      </c>
      <c r="R6" s="44">
        <v>1.4</v>
      </c>
      <c r="S6" s="44">
        <v>1.3</v>
      </c>
      <c r="T6" s="44">
        <v>1.3</v>
      </c>
      <c r="U6" s="44">
        <v>1.1000000000000001</v>
      </c>
      <c r="V6" s="44">
        <v>0.8</v>
      </c>
      <c r="W6" s="44">
        <v>0.6</v>
      </c>
      <c r="X6" s="44">
        <v>0.7</v>
      </c>
      <c r="Y6" s="44">
        <v>0.6</v>
      </c>
      <c r="Z6" s="44">
        <v>0.4</v>
      </c>
      <c r="AA6" s="44">
        <v>0.3</v>
      </c>
      <c r="AB6" s="44">
        <v>0.3</v>
      </c>
      <c r="AC6" s="44">
        <v>0</v>
      </c>
      <c r="AD6" s="44">
        <v>-0.1</v>
      </c>
      <c r="AE6" s="44">
        <v>0.1</v>
      </c>
      <c r="AF6" s="44">
        <v>0.2</v>
      </c>
      <c r="AG6" s="44">
        <v>0.2</v>
      </c>
      <c r="AH6" s="44">
        <v>0.2</v>
      </c>
      <c r="AI6" s="44">
        <v>0.1</v>
      </c>
      <c r="AJ6" s="44">
        <v>0</v>
      </c>
      <c r="AK6" s="44">
        <v>0.1</v>
      </c>
      <c r="AL6" s="44">
        <v>0.1</v>
      </c>
      <c r="AM6" s="44">
        <v>0.1</v>
      </c>
      <c r="AN6" s="189">
        <v>0.3</v>
      </c>
      <c r="AO6" s="189">
        <v>0.6</v>
      </c>
      <c r="AP6" s="189">
        <v>0.6</v>
      </c>
      <c r="AQ6" s="189">
        <v>0.5</v>
      </c>
      <c r="AR6" s="189">
        <v>0.4</v>
      </c>
      <c r="AS6" s="117">
        <v>0.8</v>
      </c>
      <c r="AT6" s="117">
        <v>0.8</v>
      </c>
      <c r="AU6" s="117">
        <v>0.7</v>
      </c>
      <c r="AV6" s="117"/>
      <c r="AW6" s="117"/>
      <c r="AY6" s="118">
        <v>-2</v>
      </c>
      <c r="AZ6" s="119" t="s">
        <v>26</v>
      </c>
      <c r="BB6" s="120" t="s">
        <v>70</v>
      </c>
      <c r="BC6" s="120" t="s">
        <v>71</v>
      </c>
      <c r="BD6" s="120" t="s">
        <v>66</v>
      </c>
      <c r="BF6" s="121">
        <v>-0.02</v>
      </c>
      <c r="BG6" s="119" t="s">
        <v>26</v>
      </c>
    </row>
    <row r="7" spans="1:63" ht="30" customHeight="1" thickBot="1">
      <c r="A7" s="19" t="s">
        <v>42</v>
      </c>
      <c r="B7" s="44">
        <v>6.7</v>
      </c>
      <c r="C7" s="44">
        <v>6.7</v>
      </c>
      <c r="D7" s="44">
        <v>6.7</v>
      </c>
      <c r="E7" s="44">
        <v>6</v>
      </c>
      <c r="F7" s="44">
        <v>6</v>
      </c>
      <c r="G7" s="44">
        <v>6</v>
      </c>
      <c r="H7" s="44">
        <v>5.6</v>
      </c>
      <c r="I7" s="44">
        <v>5.6</v>
      </c>
      <c r="J7" s="44">
        <v>5.6</v>
      </c>
      <c r="K7" s="44">
        <v>4.7</v>
      </c>
      <c r="L7" s="44">
        <v>4.7</v>
      </c>
      <c r="M7" s="44">
        <v>4.7</v>
      </c>
      <c r="N7" s="44">
        <v>4</v>
      </c>
      <c r="O7" s="44">
        <v>4</v>
      </c>
      <c r="P7" s="44">
        <v>4</v>
      </c>
      <c r="Q7" s="44">
        <v>3.3</v>
      </c>
      <c r="R7" s="44">
        <v>3.3</v>
      </c>
      <c r="S7" s="44">
        <v>3.3</v>
      </c>
      <c r="T7" s="44">
        <v>2.2000000000000002</v>
      </c>
      <c r="U7" s="44">
        <v>2.2000000000000002</v>
      </c>
      <c r="V7" s="44">
        <v>2.2000000000000002</v>
      </c>
      <c r="W7" s="44">
        <v>2.2000000000000002</v>
      </c>
      <c r="X7" s="44">
        <v>2.2000000000000002</v>
      </c>
      <c r="Y7" s="44">
        <v>2.2000000000000002</v>
      </c>
      <c r="Z7" s="44">
        <v>2.5</v>
      </c>
      <c r="AA7" s="44">
        <v>2.5</v>
      </c>
      <c r="AB7" s="44">
        <v>2.5</v>
      </c>
      <c r="AC7" s="44">
        <v>2.7</v>
      </c>
      <c r="AD7" s="44">
        <v>2.7</v>
      </c>
      <c r="AE7" s="44">
        <v>2.7</v>
      </c>
      <c r="AF7" s="44">
        <v>3</v>
      </c>
      <c r="AG7" s="44">
        <v>3</v>
      </c>
      <c r="AH7" s="44">
        <v>3</v>
      </c>
      <c r="AI7" s="44">
        <v>3.1</v>
      </c>
      <c r="AJ7" s="44">
        <v>3.1</v>
      </c>
      <c r="AK7" s="44">
        <v>3.1</v>
      </c>
      <c r="AL7" s="44">
        <v>3.1</v>
      </c>
      <c r="AM7" s="44">
        <v>3.1</v>
      </c>
      <c r="AN7" s="44">
        <v>3.1</v>
      </c>
      <c r="AO7" s="189">
        <v>4.0999999999999996</v>
      </c>
      <c r="AP7" s="189">
        <v>4.0999999999999996</v>
      </c>
      <c r="AQ7" s="189">
        <v>4.0999999999999996</v>
      </c>
      <c r="AR7" s="117">
        <v>3.7</v>
      </c>
      <c r="AS7" s="117">
        <v>3.7</v>
      </c>
      <c r="AT7" s="117">
        <v>3.7</v>
      </c>
      <c r="AU7" s="117">
        <v>3.5</v>
      </c>
      <c r="AV7" s="117"/>
      <c r="AW7" s="117"/>
      <c r="AY7" s="122">
        <v>-1.75</v>
      </c>
      <c r="AZ7" s="119" t="s">
        <v>27</v>
      </c>
      <c r="BB7" s="29" t="s">
        <v>16</v>
      </c>
      <c r="BC7" s="123">
        <f t="shared" ref="BC7:BC29" si="0">AL15</f>
        <v>0.89999999999999991</v>
      </c>
      <c r="BD7" s="124">
        <v>-10</v>
      </c>
      <c r="BE7" s="12" t="str" cm="1">
        <f t="array" ref="BE7">_xlfn.XLOOKUP(MIN(ABS($AY$6:$AY$22 - MEDIAN(-2, 2, BC7))), ABS($AY$6:$AY$22 - MEDIAN(-2, 2, BC7)), $AZ$6:$AZ$22, "Error", 0)</f>
        <v>-10</v>
      </c>
      <c r="BF7" s="125">
        <v>-1.7500000000000002E-2</v>
      </c>
      <c r="BG7" s="119" t="s">
        <v>27</v>
      </c>
      <c r="BH7" s="12">
        <f>BD7-BE7</f>
        <v>0</v>
      </c>
    </row>
    <row r="8" spans="1:63" ht="30" customHeight="1">
      <c r="A8" s="19" t="s">
        <v>43</v>
      </c>
      <c r="B8" s="44">
        <v>10.1</v>
      </c>
      <c r="C8" s="44">
        <v>10.4</v>
      </c>
      <c r="D8" s="44">
        <v>10.1</v>
      </c>
      <c r="E8" s="44">
        <v>8.6999999999999993</v>
      </c>
      <c r="F8" s="44">
        <v>8.6999999999999993</v>
      </c>
      <c r="G8" s="44">
        <v>7.9</v>
      </c>
      <c r="H8" s="44">
        <v>6.8</v>
      </c>
      <c r="I8" s="44">
        <v>6.7</v>
      </c>
      <c r="J8" s="44">
        <v>6.7</v>
      </c>
      <c r="K8" s="44">
        <v>4.5999999999999996</v>
      </c>
      <c r="L8" s="44">
        <v>3.9</v>
      </c>
      <c r="M8" s="44">
        <v>4</v>
      </c>
      <c r="N8" s="44">
        <v>4</v>
      </c>
      <c r="O8" s="44">
        <v>3.4</v>
      </c>
      <c r="P8" s="44">
        <v>3.2</v>
      </c>
      <c r="Q8" s="44">
        <v>2.2999999999999998</v>
      </c>
      <c r="R8" s="44">
        <v>2</v>
      </c>
      <c r="S8" s="44">
        <v>2</v>
      </c>
      <c r="T8" s="44">
        <v>2.2000000000000002</v>
      </c>
      <c r="U8" s="44">
        <v>2.2000000000000002</v>
      </c>
      <c r="V8" s="44">
        <v>1.7</v>
      </c>
      <c r="W8" s="44">
        <v>2.2999999999999998</v>
      </c>
      <c r="X8" s="44">
        <v>2.6</v>
      </c>
      <c r="Y8" s="44">
        <v>2.5</v>
      </c>
      <c r="Z8" s="44">
        <v>3</v>
      </c>
      <c r="AA8" s="44">
        <v>2.8</v>
      </c>
      <c r="AB8" s="44">
        <v>2.6</v>
      </c>
      <c r="AC8" s="44">
        <v>3.5</v>
      </c>
      <c r="AD8" s="44">
        <v>3.4</v>
      </c>
      <c r="AE8" s="44">
        <v>3.6</v>
      </c>
      <c r="AF8" s="44">
        <v>3.8</v>
      </c>
      <c r="AG8" s="44">
        <v>3.8</v>
      </c>
      <c r="AH8" s="44">
        <v>3.8</v>
      </c>
      <c r="AI8" s="44">
        <v>3.6</v>
      </c>
      <c r="AJ8" s="44">
        <v>3.2</v>
      </c>
      <c r="AK8" s="44">
        <v>3.4</v>
      </c>
      <c r="AL8" s="44">
        <v>3</v>
      </c>
      <c r="AM8" s="189">
        <v>3</v>
      </c>
      <c r="AN8" s="189">
        <v>3.3</v>
      </c>
      <c r="AO8" s="189">
        <v>2.8</v>
      </c>
      <c r="AP8" s="189">
        <v>2.8</v>
      </c>
      <c r="AQ8" s="189">
        <v>2.6</v>
      </c>
      <c r="AR8" s="117">
        <v>2.9</v>
      </c>
      <c r="AS8" s="117">
        <v>2.9</v>
      </c>
      <c r="AT8" s="117">
        <v>3.6</v>
      </c>
      <c r="AU8" s="117">
        <v>3.5</v>
      </c>
      <c r="AV8" s="117"/>
      <c r="AW8" s="117"/>
      <c r="AY8" s="118">
        <v>-1.5</v>
      </c>
      <c r="AZ8" s="119" t="s">
        <v>28</v>
      </c>
      <c r="BB8" s="31" t="s">
        <v>46</v>
      </c>
      <c r="BC8" s="123">
        <f t="shared" si="0"/>
        <v>2.2999999999999998</v>
      </c>
      <c r="BD8" s="124">
        <v>10</v>
      </c>
      <c r="BE8" s="12" t="str" cm="1">
        <f t="array" ref="BE8">_xlfn.XLOOKUP(MIN(ABS($AY$6:$AY$22 - MEDIAN(-2, 2, BC8))), ABS($AY$6:$AY$22 - MEDIAN(-2, 2, BC8)), $AZ$6:$AZ$22, "Error", 0)</f>
        <v>10</v>
      </c>
      <c r="BF8" s="121">
        <v>-1.4999999999999999E-2</v>
      </c>
      <c r="BG8" s="119" t="s">
        <v>28</v>
      </c>
      <c r="BH8" s="12">
        <f t="shared" ref="BH8:BH31" si="1">BD8-BE8</f>
        <v>0</v>
      </c>
    </row>
    <row r="9" spans="1:63" ht="30" customHeight="1" thickBot="1">
      <c r="A9" s="26" t="s">
        <v>44</v>
      </c>
      <c r="B9" s="44">
        <v>6.4</v>
      </c>
      <c r="C9" s="44">
        <v>6</v>
      </c>
      <c r="D9" s="44">
        <v>5</v>
      </c>
      <c r="E9" s="44">
        <v>4.9000000000000004</v>
      </c>
      <c r="F9" s="44">
        <v>4.0999999999999996</v>
      </c>
      <c r="G9" s="44">
        <v>3</v>
      </c>
      <c r="H9" s="44">
        <v>3.2</v>
      </c>
      <c r="I9" s="44">
        <v>3.7</v>
      </c>
      <c r="J9" s="44">
        <v>3.7</v>
      </c>
      <c r="K9" s="44">
        <v>3.2</v>
      </c>
      <c r="L9" s="44">
        <v>3.1</v>
      </c>
      <c r="M9" s="44">
        <v>3.4</v>
      </c>
      <c r="N9" s="44">
        <v>3.1</v>
      </c>
      <c r="O9" s="44">
        <v>3.2</v>
      </c>
      <c r="P9" s="44">
        <v>3.5</v>
      </c>
      <c r="Q9" s="44">
        <v>3.4</v>
      </c>
      <c r="R9" s="44">
        <v>3.3</v>
      </c>
      <c r="S9" s="44">
        <v>3</v>
      </c>
      <c r="T9" s="44">
        <v>2.9</v>
      </c>
      <c r="U9" s="44">
        <v>2.5</v>
      </c>
      <c r="V9" s="44">
        <v>2.4</v>
      </c>
      <c r="W9" s="44">
        <v>2.6</v>
      </c>
      <c r="X9" s="44">
        <v>2.7</v>
      </c>
      <c r="Y9" s="44">
        <v>2.9</v>
      </c>
      <c r="Z9" s="44">
        <v>3</v>
      </c>
      <c r="AA9" s="44">
        <v>2.8</v>
      </c>
      <c r="AB9" s="44">
        <v>2.4</v>
      </c>
      <c r="AC9" s="44">
        <v>2.2999999999999998</v>
      </c>
      <c r="AD9" s="44">
        <v>2.4</v>
      </c>
      <c r="AE9" s="44">
        <v>2.7</v>
      </c>
      <c r="AF9" s="44">
        <v>2.7</v>
      </c>
      <c r="AG9" s="44">
        <v>2.9</v>
      </c>
      <c r="AH9" s="44">
        <v>3</v>
      </c>
      <c r="AI9" s="44">
        <v>2.7</v>
      </c>
      <c r="AJ9" s="44">
        <v>2.7</v>
      </c>
      <c r="AK9" s="44">
        <v>2.7</v>
      </c>
      <c r="AL9" s="44">
        <v>2.4</v>
      </c>
      <c r="AM9" s="189">
        <v>2.4</v>
      </c>
      <c r="AN9" s="189">
        <v>3.3</v>
      </c>
      <c r="AO9" s="189">
        <v>3.8</v>
      </c>
      <c r="AP9" s="189">
        <v>4.2</v>
      </c>
      <c r="AQ9" s="189">
        <v>3.5</v>
      </c>
      <c r="AR9" s="189">
        <v>3.4</v>
      </c>
      <c r="AS9" s="117">
        <v>3.7</v>
      </c>
      <c r="AT9" s="117">
        <v>3.7</v>
      </c>
      <c r="AU9" s="117">
        <v>3.4</v>
      </c>
      <c r="AV9" s="117"/>
      <c r="AW9" s="117"/>
      <c r="AY9" s="122">
        <v>-1.25</v>
      </c>
      <c r="AZ9" s="119" t="s">
        <v>29</v>
      </c>
      <c r="BB9" s="31" t="s">
        <v>17</v>
      </c>
      <c r="BC9" s="123">
        <f t="shared" si="0"/>
        <v>0.10000000000000009</v>
      </c>
      <c r="BD9" s="124">
        <v>0</v>
      </c>
      <c r="BE9" s="12" cm="1">
        <f t="array" ref="BE9">_xlfn.XLOOKUP(MIN(ABS($AY$6:$AY$22 - MEDIAN(-2, 2, BC9))), ABS($AY$6:$AY$22 - MEDIAN(-2, 2, BC9)), $AZ$6:$AZ$22, "Error", 0)</f>
        <v>0</v>
      </c>
      <c r="BF9" s="125">
        <v>-1.2500000000000001E-2</v>
      </c>
      <c r="BG9" s="119" t="s">
        <v>29</v>
      </c>
      <c r="BH9" s="12">
        <f t="shared" si="1"/>
        <v>0</v>
      </c>
    </row>
    <row r="10" spans="1:63" ht="30" customHeight="1">
      <c r="A10" s="27" t="s">
        <v>13</v>
      </c>
      <c r="B10" s="44">
        <v>8.6999999999999993</v>
      </c>
      <c r="C10" s="44">
        <v>8.5</v>
      </c>
      <c r="D10" s="44">
        <v>6.9</v>
      </c>
      <c r="E10" s="44">
        <v>7</v>
      </c>
      <c r="F10" s="44">
        <v>6.1</v>
      </c>
      <c r="G10" s="44">
        <v>5.5</v>
      </c>
      <c r="H10" s="44">
        <v>5.3</v>
      </c>
      <c r="I10" s="44">
        <v>5.2</v>
      </c>
      <c r="J10" s="44">
        <v>4.3</v>
      </c>
      <c r="K10" s="44">
        <v>2.9</v>
      </c>
      <c r="L10" s="44">
        <v>2.4</v>
      </c>
      <c r="M10" s="44">
        <v>2.9</v>
      </c>
      <c r="N10" s="44">
        <v>2.8</v>
      </c>
      <c r="O10" s="44">
        <v>2.6</v>
      </c>
      <c r="P10" s="44">
        <v>2.4</v>
      </c>
      <c r="Q10" s="44">
        <v>2.4</v>
      </c>
      <c r="R10" s="44">
        <v>2.6</v>
      </c>
      <c r="S10" s="44">
        <v>2.5</v>
      </c>
      <c r="T10" s="44">
        <v>2.6</v>
      </c>
      <c r="U10" s="44">
        <v>2.2000000000000002</v>
      </c>
      <c r="V10" s="44">
        <v>1.7</v>
      </c>
      <c r="W10" s="44">
        <v>2</v>
      </c>
      <c r="X10" s="44">
        <v>2.2000000000000002</v>
      </c>
      <c r="Y10" s="44">
        <v>2.4</v>
      </c>
      <c r="Z10" s="44">
        <v>2.5</v>
      </c>
      <c r="AA10" s="44">
        <v>2.2999999999999998</v>
      </c>
      <c r="AB10" s="44">
        <v>2.2000000000000002</v>
      </c>
      <c r="AC10" s="44">
        <v>2.2000000000000002</v>
      </c>
      <c r="AD10" s="44">
        <v>1.9</v>
      </c>
      <c r="AE10" s="44">
        <v>2</v>
      </c>
      <c r="AF10" s="44">
        <v>2</v>
      </c>
      <c r="AG10" s="44">
        <v>2</v>
      </c>
      <c r="AH10" s="44">
        <v>2.2000000000000002</v>
      </c>
      <c r="AI10" s="44">
        <v>2.1</v>
      </c>
      <c r="AJ10" s="44">
        <v>2.1</v>
      </c>
      <c r="AK10" s="44">
        <v>2</v>
      </c>
      <c r="AL10" s="44">
        <v>1.7</v>
      </c>
      <c r="AM10" s="44">
        <v>1.9</v>
      </c>
      <c r="AN10" s="189">
        <v>2.6</v>
      </c>
      <c r="AO10" s="189">
        <v>3</v>
      </c>
      <c r="AP10" s="189">
        <v>3.2</v>
      </c>
      <c r="AQ10" s="189">
        <v>2.8</v>
      </c>
      <c r="AR10" s="189">
        <v>2.9</v>
      </c>
      <c r="AS10" s="117">
        <v>3.3</v>
      </c>
      <c r="AT10" s="117">
        <v>3.5</v>
      </c>
      <c r="AU10" s="117">
        <v>3.3</v>
      </c>
      <c r="AV10" s="117"/>
      <c r="AW10" s="117"/>
      <c r="AY10" s="118">
        <v>-1</v>
      </c>
      <c r="AZ10" s="119" t="s">
        <v>30</v>
      </c>
      <c r="BB10" s="34" t="s">
        <v>47</v>
      </c>
      <c r="BC10" s="123">
        <f t="shared" si="0"/>
        <v>-0.7</v>
      </c>
      <c r="BD10" s="124">
        <v>8</v>
      </c>
      <c r="BE10" s="12" t="str" cm="1">
        <f t="array" ref="BE10">_xlfn.XLOOKUP(MIN(ABS($AY$6:$AY$22 - MEDIAN(-2, 2, BC10))), ABS($AY$6:$AY$22 - MEDIAN(-2, 2, BC10)), $AZ$6:$AZ$22, "Error", 0)</f>
        <v>8</v>
      </c>
      <c r="BF10" s="121">
        <v>-0.01</v>
      </c>
      <c r="BG10" s="119" t="s">
        <v>30</v>
      </c>
      <c r="BH10" s="12">
        <f t="shared" si="1"/>
        <v>0</v>
      </c>
    </row>
    <row r="11" spans="1:63" ht="15" customHeight="1" thickBot="1">
      <c r="AY11" s="122">
        <v>-0.75</v>
      </c>
      <c r="AZ11" s="119" t="s">
        <v>31</v>
      </c>
      <c r="BB11" s="34" t="s">
        <v>14</v>
      </c>
      <c r="BC11" s="123">
        <f t="shared" si="0"/>
        <v>0.19999999999999996</v>
      </c>
      <c r="BD11" s="124">
        <v>-4</v>
      </c>
      <c r="BE11" s="12" t="str" cm="1">
        <f t="array" ref="BE11">_xlfn.XLOOKUP(MIN(ABS($AY$6:$AY$22 - MEDIAN(-2, 2, BC11))), ABS($AY$6:$AY$22 - MEDIAN(-2, 2, BC11)), $AZ$6:$AZ$22, "Error", 0)</f>
        <v>-4</v>
      </c>
      <c r="BF11" s="125">
        <v>-7.4999999999999997E-3</v>
      </c>
      <c r="BG11" s="119" t="s">
        <v>31</v>
      </c>
      <c r="BH11" s="12">
        <f t="shared" si="1"/>
        <v>0</v>
      </c>
    </row>
    <row r="12" spans="1:63" ht="15" customHeight="1">
      <c r="AY12" s="118">
        <v>-0.5</v>
      </c>
      <c r="AZ12" s="119" t="s">
        <v>29</v>
      </c>
      <c r="BB12" s="34" t="s">
        <v>48</v>
      </c>
      <c r="BC12" s="123">
        <f t="shared" si="0"/>
        <v>1.5999999999999999</v>
      </c>
      <c r="BD12" s="124">
        <v>8</v>
      </c>
      <c r="BE12" s="12" t="str" cm="1">
        <f t="array" ref="BE12">_xlfn.XLOOKUP(MIN(ABS($AY$6:$AY$22 - MEDIAN(-2, 2, BC12))), ABS($AY$6:$AY$22 - MEDIAN(-2, 2, BC12)), $AZ$6:$AZ$22, "Error", 0)</f>
        <v>8</v>
      </c>
      <c r="BF12" s="121">
        <v>-5.0000000000000001E-3</v>
      </c>
      <c r="BG12" s="119" t="s">
        <v>29</v>
      </c>
      <c r="BH12" s="12">
        <f t="shared" si="1"/>
        <v>0</v>
      </c>
      <c r="BK12" s="12">
        <v>8</v>
      </c>
    </row>
    <row r="13" spans="1:63" ht="15" customHeight="1" thickBot="1">
      <c r="AY13" s="122">
        <v>-0.25</v>
      </c>
      <c r="AZ13" s="119" t="s">
        <v>28</v>
      </c>
      <c r="BB13" s="34" t="s">
        <v>49</v>
      </c>
      <c r="BC13" s="123">
        <f t="shared" si="0"/>
        <v>-1.3</v>
      </c>
      <c r="BD13" s="124">
        <v>6</v>
      </c>
      <c r="BE13" s="12" t="str" cm="1">
        <f t="array" ref="BE13">_xlfn.XLOOKUP(MIN(ABS($AY$6:$AY$22 - MEDIAN(-2, 2, BC13))), ABS($AY$6:$AY$22 - MEDIAN(-2, 2, BC13)), $AZ$6:$AZ$22, "Error", 0)</f>
        <v>6</v>
      </c>
      <c r="BF13" s="125">
        <v>-2.5000000000000001E-3</v>
      </c>
      <c r="BG13" s="119" t="s">
        <v>28</v>
      </c>
      <c r="BH13" s="12">
        <f t="shared" si="1"/>
        <v>0</v>
      </c>
    </row>
    <row r="14" spans="1:63" ht="25" customHeight="1">
      <c r="A14" s="28" t="s">
        <v>45</v>
      </c>
      <c r="B14" s="15">
        <v>44927</v>
      </c>
      <c r="C14" s="15">
        <v>44958</v>
      </c>
      <c r="D14" s="15">
        <v>44986</v>
      </c>
      <c r="E14" s="15">
        <v>45017</v>
      </c>
      <c r="F14" s="15">
        <v>45047</v>
      </c>
      <c r="G14" s="15">
        <v>45078</v>
      </c>
      <c r="H14" s="15">
        <v>45108</v>
      </c>
      <c r="I14" s="15">
        <v>45139</v>
      </c>
      <c r="J14" s="15">
        <v>45170</v>
      </c>
      <c r="K14" s="15">
        <v>45200</v>
      </c>
      <c r="L14" s="15">
        <v>45231</v>
      </c>
      <c r="M14" s="15">
        <v>45261</v>
      </c>
      <c r="N14" s="15">
        <v>45292</v>
      </c>
      <c r="O14" s="15">
        <v>45323</v>
      </c>
      <c r="P14" s="15">
        <v>45352</v>
      </c>
      <c r="Q14" s="15">
        <v>45383</v>
      </c>
      <c r="R14" s="15">
        <v>45413</v>
      </c>
      <c r="S14" s="15">
        <v>45444</v>
      </c>
      <c r="T14" s="15">
        <v>45474</v>
      </c>
      <c r="U14" s="15">
        <v>45505</v>
      </c>
      <c r="V14" s="15">
        <v>45536</v>
      </c>
      <c r="W14" s="15">
        <v>45566</v>
      </c>
      <c r="X14" s="15">
        <v>45597</v>
      </c>
      <c r="Y14" s="15">
        <v>45627</v>
      </c>
      <c r="Z14" s="15">
        <v>45658</v>
      </c>
      <c r="AA14" s="15">
        <v>45689</v>
      </c>
      <c r="AB14" s="15">
        <v>45717</v>
      </c>
      <c r="AC14" s="15">
        <v>45748</v>
      </c>
      <c r="AD14" s="15">
        <v>45778</v>
      </c>
      <c r="AE14" s="15">
        <v>45809</v>
      </c>
      <c r="AF14" s="15">
        <v>45839</v>
      </c>
      <c r="AG14" s="15">
        <v>45870</v>
      </c>
      <c r="AH14" s="15">
        <v>45901</v>
      </c>
      <c r="AI14" s="15">
        <v>45931</v>
      </c>
      <c r="AJ14" s="15">
        <v>45962</v>
      </c>
      <c r="AK14" s="15">
        <v>45992</v>
      </c>
      <c r="AL14" s="15">
        <v>46023</v>
      </c>
      <c r="AM14" s="15">
        <v>46054</v>
      </c>
      <c r="AN14" s="15">
        <v>46082</v>
      </c>
      <c r="AO14" s="15">
        <v>46113</v>
      </c>
      <c r="AP14" s="15">
        <v>46143</v>
      </c>
      <c r="AQ14" s="15">
        <v>46174</v>
      </c>
      <c r="AR14" s="15">
        <v>46204</v>
      </c>
      <c r="AS14" s="15">
        <v>46235</v>
      </c>
      <c r="AT14" s="15">
        <v>46266</v>
      </c>
      <c r="AU14" s="15">
        <v>46296</v>
      </c>
      <c r="AV14" s="15">
        <v>46327</v>
      </c>
      <c r="AW14" s="15">
        <v>46357</v>
      </c>
      <c r="AY14" s="118">
        <v>0</v>
      </c>
      <c r="AZ14" s="126">
        <v>0</v>
      </c>
      <c r="BB14" s="34" t="s">
        <v>15</v>
      </c>
      <c r="BC14" s="123">
        <f t="shared" si="0"/>
        <v>-0.59999999999999987</v>
      </c>
      <c r="BD14" s="124">
        <v>6</v>
      </c>
      <c r="BE14" s="12" t="str" cm="1">
        <f t="array" ref="BE14">_xlfn.XLOOKUP(MIN(ABS($AY$6:$AY$22 - MEDIAN(-2, 2, BC14))), ABS($AY$6:$AY$22 - MEDIAN(-2, 2, BC14)), $AZ$6:$AZ$22, "Error", 0)</f>
        <v>6</v>
      </c>
      <c r="BF14" s="121">
        <v>0</v>
      </c>
      <c r="BG14" s="126">
        <v>0</v>
      </c>
      <c r="BH14" s="12">
        <f t="shared" si="1"/>
        <v>0</v>
      </c>
    </row>
    <row r="15" spans="1:63" ht="25" customHeight="1" thickBot="1">
      <c r="A15" s="29" t="s">
        <v>16</v>
      </c>
      <c r="B15" s="30">
        <f>B9-B5</f>
        <v>2.1000000000000005</v>
      </c>
      <c r="C15" s="30">
        <f t="shared" ref="C15:AW15" si="2">C9-C5</f>
        <v>2.7</v>
      </c>
      <c r="D15" s="30">
        <f t="shared" si="2"/>
        <v>1.7999999999999998</v>
      </c>
      <c r="E15" s="30">
        <f t="shared" si="2"/>
        <v>1.4000000000000004</v>
      </c>
      <c r="F15" s="30">
        <f t="shared" si="2"/>
        <v>0.89999999999999947</v>
      </c>
      <c r="G15" s="30">
        <f t="shared" si="2"/>
        <v>-0.29999999999999982</v>
      </c>
      <c r="H15" s="30">
        <f t="shared" si="2"/>
        <v>-9.9999999999999645E-2</v>
      </c>
      <c r="I15" s="30">
        <f t="shared" si="2"/>
        <v>0.5</v>
      </c>
      <c r="J15" s="30">
        <f t="shared" si="2"/>
        <v>0.70000000000000018</v>
      </c>
      <c r="K15" s="30">
        <f t="shared" si="2"/>
        <v>-9.9999999999999645E-2</v>
      </c>
      <c r="L15" s="30">
        <f t="shared" si="2"/>
        <v>0.30000000000000027</v>
      </c>
      <c r="M15" s="30">
        <f t="shared" si="2"/>
        <v>0.79999999999999982</v>
      </c>
      <c r="N15" s="30">
        <f t="shared" si="2"/>
        <v>0.89999999999999991</v>
      </c>
      <c r="O15" s="30">
        <f t="shared" si="2"/>
        <v>0.40000000000000036</v>
      </c>
      <c r="P15" s="30">
        <f t="shared" si="2"/>
        <v>0.79999999999999982</v>
      </c>
      <c r="Q15" s="30">
        <f t="shared" si="2"/>
        <v>0.89999999999999991</v>
      </c>
      <c r="R15" s="30">
        <f t="shared" si="2"/>
        <v>0.5</v>
      </c>
      <c r="S15" s="30">
        <f t="shared" si="2"/>
        <v>0.20000000000000018</v>
      </c>
      <c r="T15" s="30">
        <f t="shared" si="2"/>
        <v>0.10000000000000009</v>
      </c>
      <c r="U15" s="30">
        <f t="shared" si="2"/>
        <v>-0.5</v>
      </c>
      <c r="V15" s="30">
        <f t="shared" si="2"/>
        <v>-0.10000000000000009</v>
      </c>
      <c r="W15" s="30">
        <f t="shared" si="2"/>
        <v>0.30000000000000027</v>
      </c>
      <c r="X15" s="30">
        <f t="shared" si="2"/>
        <v>-0.19999999999999973</v>
      </c>
      <c r="Y15" s="30">
        <f t="shared" si="2"/>
        <v>-0.70000000000000018</v>
      </c>
      <c r="Z15" s="30">
        <f t="shared" si="2"/>
        <v>-1</v>
      </c>
      <c r="AA15" s="30">
        <f t="shared" si="2"/>
        <v>-0.90000000000000036</v>
      </c>
      <c r="AB15" s="30">
        <f t="shared" si="2"/>
        <v>-1.2000000000000002</v>
      </c>
      <c r="AC15" s="30">
        <f t="shared" si="2"/>
        <v>-1.3000000000000003</v>
      </c>
      <c r="AD15" s="30">
        <f t="shared" si="2"/>
        <v>-1.1000000000000001</v>
      </c>
      <c r="AE15" s="30">
        <f t="shared" si="2"/>
        <v>-0.59999999999999964</v>
      </c>
      <c r="AF15" s="30">
        <f t="shared" si="2"/>
        <v>-0.39999999999999991</v>
      </c>
      <c r="AG15" s="30">
        <f t="shared" si="2"/>
        <v>0.19999999999999973</v>
      </c>
      <c r="AH15" s="30">
        <f t="shared" si="2"/>
        <v>0.10000000000000009</v>
      </c>
      <c r="AI15" s="30">
        <f t="shared" si="2"/>
        <v>-0.29999999999999982</v>
      </c>
      <c r="AJ15" s="30">
        <f t="shared" si="2"/>
        <v>-0.19999999999999973</v>
      </c>
      <c r="AK15" s="30">
        <f t="shared" si="2"/>
        <v>0.60000000000000009</v>
      </c>
      <c r="AL15" s="30">
        <f t="shared" si="2"/>
        <v>0.89999999999999991</v>
      </c>
      <c r="AM15" s="30">
        <f t="shared" si="2"/>
        <v>1.0999999999999999</v>
      </c>
      <c r="AN15" s="30">
        <f t="shared" si="2"/>
        <v>1.7999999999999998</v>
      </c>
      <c r="AO15" s="30">
        <f t="shared" si="2"/>
        <v>2.4</v>
      </c>
      <c r="AP15" s="30">
        <f t="shared" si="2"/>
        <v>2.7</v>
      </c>
      <c r="AQ15" s="30">
        <f t="shared" si="2"/>
        <v>1.9</v>
      </c>
      <c r="AR15" s="30">
        <f t="shared" si="2"/>
        <v>1.5</v>
      </c>
      <c r="AS15" s="30">
        <f t="shared" si="2"/>
        <v>1.9000000000000001</v>
      </c>
      <c r="AT15" s="30">
        <f t="shared" si="2"/>
        <v>1.9000000000000001</v>
      </c>
      <c r="AU15" s="30">
        <f t="shared" si="2"/>
        <v>1.5999999999999999</v>
      </c>
      <c r="AV15" s="30">
        <f t="shared" si="2"/>
        <v>0</v>
      </c>
      <c r="AW15" s="30">
        <f t="shared" si="2"/>
        <v>0</v>
      </c>
      <c r="AX15" s="127"/>
      <c r="AY15" s="122">
        <v>0.25</v>
      </c>
      <c r="AZ15" s="128" t="s">
        <v>32</v>
      </c>
      <c r="BB15" s="34" t="s">
        <v>12</v>
      </c>
      <c r="BC15" s="123">
        <f t="shared" si="0"/>
        <v>-2.0999999999999996</v>
      </c>
      <c r="BD15" s="124">
        <v>2</v>
      </c>
      <c r="BE15" s="12" t="str" cm="1">
        <f t="array" ref="BE15">_xlfn.XLOOKUP(MIN(ABS($AY$6:$AY$22 - MEDIAN(-2, 2, BC15))), ABS($AY$6:$AY$22 - MEDIAN(-2, 2, BC15)), $AZ$6:$AZ$22, "Error", 0)</f>
        <v>2</v>
      </c>
      <c r="BF15" s="125">
        <v>2.5000000000000001E-3</v>
      </c>
      <c r="BG15" s="128" t="s">
        <v>32</v>
      </c>
      <c r="BH15" s="12">
        <f t="shared" si="1"/>
        <v>0</v>
      </c>
    </row>
    <row r="16" spans="1:63" ht="25" customHeight="1">
      <c r="A16" s="31" t="s">
        <v>46</v>
      </c>
      <c r="B16" s="30">
        <f>B9-B6</f>
        <v>3.1000000000000005</v>
      </c>
      <c r="C16" s="30">
        <f t="shared" ref="C16:AW16" si="3">C9-C6</f>
        <v>2.6</v>
      </c>
      <c r="D16" s="30">
        <f t="shared" si="3"/>
        <v>2.1</v>
      </c>
      <c r="E16" s="30">
        <f t="shared" si="3"/>
        <v>2.3000000000000003</v>
      </c>
      <c r="F16" s="30">
        <f t="shared" si="3"/>
        <v>1.8999999999999995</v>
      </c>
      <c r="G16" s="30">
        <f t="shared" si="3"/>
        <v>1.3</v>
      </c>
      <c r="H16" s="30">
        <f t="shared" si="3"/>
        <v>1.6</v>
      </c>
      <c r="I16" s="30">
        <f t="shared" si="3"/>
        <v>2.1</v>
      </c>
      <c r="J16" s="30">
        <f t="shared" si="3"/>
        <v>2</v>
      </c>
      <c r="K16" s="30">
        <f t="shared" si="3"/>
        <v>1.5000000000000002</v>
      </c>
      <c r="L16" s="30">
        <f t="shared" si="3"/>
        <v>1.7000000000000002</v>
      </c>
      <c r="M16" s="30">
        <f t="shared" si="3"/>
        <v>1.7</v>
      </c>
      <c r="N16" s="30">
        <f t="shared" si="3"/>
        <v>1.8</v>
      </c>
      <c r="O16" s="30">
        <f t="shared" si="3"/>
        <v>2</v>
      </c>
      <c r="P16" s="30">
        <f t="shared" si="3"/>
        <v>2.5</v>
      </c>
      <c r="Q16" s="30">
        <f t="shared" si="3"/>
        <v>2</v>
      </c>
      <c r="R16" s="30">
        <f t="shared" si="3"/>
        <v>1.9</v>
      </c>
      <c r="S16" s="30">
        <f t="shared" si="3"/>
        <v>1.7</v>
      </c>
      <c r="T16" s="30">
        <f t="shared" si="3"/>
        <v>1.5999999999999999</v>
      </c>
      <c r="U16" s="30">
        <f t="shared" si="3"/>
        <v>1.4</v>
      </c>
      <c r="V16" s="30">
        <f t="shared" si="3"/>
        <v>1.5999999999999999</v>
      </c>
      <c r="W16" s="30">
        <f t="shared" si="3"/>
        <v>2</v>
      </c>
      <c r="X16" s="30">
        <f t="shared" si="3"/>
        <v>2</v>
      </c>
      <c r="Y16" s="30">
        <f t="shared" si="3"/>
        <v>2.2999999999999998</v>
      </c>
      <c r="Z16" s="30">
        <f t="shared" si="3"/>
        <v>2.6</v>
      </c>
      <c r="AA16" s="30">
        <f t="shared" si="3"/>
        <v>2.5</v>
      </c>
      <c r="AB16" s="30">
        <f t="shared" si="3"/>
        <v>2.1</v>
      </c>
      <c r="AC16" s="30">
        <f t="shared" si="3"/>
        <v>2.2999999999999998</v>
      </c>
      <c r="AD16" s="30">
        <f t="shared" si="3"/>
        <v>2.5</v>
      </c>
      <c r="AE16" s="30">
        <f t="shared" si="3"/>
        <v>2.6</v>
      </c>
      <c r="AF16" s="30">
        <f t="shared" si="3"/>
        <v>2.5</v>
      </c>
      <c r="AG16" s="30">
        <f t="shared" si="3"/>
        <v>2.6999999999999997</v>
      </c>
      <c r="AH16" s="30">
        <f t="shared" si="3"/>
        <v>2.8</v>
      </c>
      <c r="AI16" s="30">
        <f t="shared" si="3"/>
        <v>2.6</v>
      </c>
      <c r="AJ16" s="30">
        <f t="shared" si="3"/>
        <v>2.7</v>
      </c>
      <c r="AK16" s="30">
        <f t="shared" si="3"/>
        <v>2.6</v>
      </c>
      <c r="AL16" s="30">
        <f t="shared" si="3"/>
        <v>2.2999999999999998</v>
      </c>
      <c r="AM16" s="30">
        <f t="shared" si="3"/>
        <v>2.2999999999999998</v>
      </c>
      <c r="AN16" s="30">
        <f t="shared" si="3"/>
        <v>3</v>
      </c>
      <c r="AO16" s="30">
        <f t="shared" si="3"/>
        <v>3.1999999999999997</v>
      </c>
      <c r="AP16" s="30">
        <f t="shared" si="3"/>
        <v>3.6</v>
      </c>
      <c r="AQ16" s="30">
        <f t="shared" si="3"/>
        <v>3</v>
      </c>
      <c r="AR16" s="30">
        <f t="shared" si="3"/>
        <v>3</v>
      </c>
      <c r="AS16" s="30">
        <f t="shared" si="3"/>
        <v>2.9000000000000004</v>
      </c>
      <c r="AT16" s="30">
        <f t="shared" si="3"/>
        <v>2.9000000000000004</v>
      </c>
      <c r="AU16" s="30">
        <f t="shared" si="3"/>
        <v>2.7</v>
      </c>
      <c r="AV16" s="30">
        <f t="shared" si="3"/>
        <v>0</v>
      </c>
      <c r="AW16" s="30">
        <f t="shared" si="3"/>
        <v>0</v>
      </c>
      <c r="AX16" s="127"/>
      <c r="AY16" s="118">
        <v>0.5</v>
      </c>
      <c r="AZ16" s="128" t="s">
        <v>33</v>
      </c>
      <c r="BB16" s="129" t="s">
        <v>50</v>
      </c>
      <c r="BC16" s="123">
        <f t="shared" si="0"/>
        <v>-1.4000000000000001</v>
      </c>
      <c r="BD16" s="124">
        <v>8</v>
      </c>
      <c r="BE16" s="12" t="str" cm="1">
        <f t="array" ref="BE16">_xlfn.XLOOKUP(MIN(ABS($AY$6:$AY$22 - MEDIAN(-2, 2, BC16))), ABS($AY$6:$AY$22 - MEDIAN(-2, 2, BC16)), $AZ$6:$AZ$22, "Error", 0)</f>
        <v>4</v>
      </c>
      <c r="BF16" s="121">
        <v>5.0000000000000001E-3</v>
      </c>
      <c r="BG16" s="128" t="s">
        <v>33</v>
      </c>
      <c r="BH16" s="12">
        <f t="shared" si="1"/>
        <v>4</v>
      </c>
    </row>
    <row r="17" spans="1:60" ht="25" customHeight="1" thickBot="1">
      <c r="A17" s="31" t="s">
        <v>17</v>
      </c>
      <c r="B17" s="30">
        <f>B9-B4</f>
        <v>0.5</v>
      </c>
      <c r="C17" s="30">
        <f t="shared" ref="C17:AW17" si="4">C9-C4</f>
        <v>0.79999999999999982</v>
      </c>
      <c r="D17" s="30">
        <f t="shared" si="4"/>
        <v>0.70000000000000018</v>
      </c>
      <c r="E17" s="30">
        <f t="shared" si="4"/>
        <v>0.5</v>
      </c>
      <c r="F17" s="30">
        <f t="shared" si="4"/>
        <v>0.69999999999999973</v>
      </c>
      <c r="G17" s="30">
        <f t="shared" si="4"/>
        <v>0.20000000000000018</v>
      </c>
      <c r="H17" s="30">
        <f t="shared" si="4"/>
        <v>-9.9999999999999645E-2</v>
      </c>
      <c r="I17" s="30">
        <f t="shared" si="4"/>
        <v>-0.29999999999999982</v>
      </c>
      <c r="J17" s="30">
        <f t="shared" si="4"/>
        <v>-9.9999999999999645E-2</v>
      </c>
      <c r="K17" s="30">
        <f t="shared" si="4"/>
        <v>0.10000000000000009</v>
      </c>
      <c r="L17" s="30">
        <f t="shared" si="4"/>
        <v>0</v>
      </c>
      <c r="M17" s="30">
        <f t="shared" si="4"/>
        <v>0</v>
      </c>
      <c r="N17" s="30">
        <f t="shared" si="4"/>
        <v>0.20000000000000018</v>
      </c>
      <c r="O17" s="30">
        <f t="shared" si="4"/>
        <v>0.40000000000000036</v>
      </c>
      <c r="P17" s="30">
        <f t="shared" si="4"/>
        <v>0.60000000000000009</v>
      </c>
      <c r="Q17" s="30">
        <f t="shared" si="4"/>
        <v>0.69999999999999973</v>
      </c>
      <c r="R17" s="30">
        <f t="shared" si="4"/>
        <v>0.39999999999999991</v>
      </c>
      <c r="S17" s="30">
        <f t="shared" si="4"/>
        <v>0.29999999999999982</v>
      </c>
      <c r="T17" s="30">
        <f t="shared" si="4"/>
        <v>0.39999999999999991</v>
      </c>
      <c r="U17" s="30">
        <f t="shared" si="4"/>
        <v>0.5</v>
      </c>
      <c r="V17" s="30">
        <f t="shared" si="4"/>
        <v>0.79999999999999982</v>
      </c>
      <c r="W17" s="30">
        <f t="shared" si="4"/>
        <v>0.60000000000000009</v>
      </c>
      <c r="X17" s="30">
        <f t="shared" si="4"/>
        <v>0.80000000000000027</v>
      </c>
      <c r="Y17" s="30">
        <f t="shared" si="4"/>
        <v>1.0999999999999999</v>
      </c>
      <c r="Z17" s="30">
        <f t="shared" si="4"/>
        <v>1.1000000000000001</v>
      </c>
      <c r="AA17" s="30">
        <f t="shared" si="4"/>
        <v>0.19999999999999973</v>
      </c>
      <c r="AB17" s="30">
        <f t="shared" si="4"/>
        <v>0.10000000000000009</v>
      </c>
      <c r="AC17" s="30">
        <f t="shared" si="4"/>
        <v>0.59999999999999987</v>
      </c>
      <c r="AD17" s="30">
        <f t="shared" si="4"/>
        <v>0.7</v>
      </c>
      <c r="AE17" s="30">
        <f t="shared" si="4"/>
        <v>0.80000000000000027</v>
      </c>
      <c r="AF17" s="30">
        <f t="shared" si="4"/>
        <v>1.0000000000000002</v>
      </c>
      <c r="AG17" s="30">
        <f t="shared" si="4"/>
        <v>1</v>
      </c>
      <c r="AH17" s="30">
        <f t="shared" si="4"/>
        <v>0.60000000000000009</v>
      </c>
      <c r="AI17" s="30">
        <f t="shared" si="4"/>
        <v>0.5</v>
      </c>
      <c r="AJ17" s="30">
        <f t="shared" si="4"/>
        <v>0.5</v>
      </c>
      <c r="AK17" s="30">
        <f t="shared" si="4"/>
        <v>0.30000000000000027</v>
      </c>
      <c r="AL17" s="30">
        <f t="shared" si="4"/>
        <v>0.10000000000000009</v>
      </c>
      <c r="AM17" s="30">
        <f t="shared" si="4"/>
        <v>0.59999999999999987</v>
      </c>
      <c r="AN17" s="30">
        <f t="shared" si="4"/>
        <v>0.89999999999999991</v>
      </c>
      <c r="AO17" s="30">
        <f t="shared" si="4"/>
        <v>1</v>
      </c>
      <c r="AP17" s="30">
        <f t="shared" si="4"/>
        <v>1</v>
      </c>
      <c r="AQ17" s="30">
        <f t="shared" si="4"/>
        <v>0.70000000000000018</v>
      </c>
      <c r="AR17" s="30">
        <f t="shared" si="4"/>
        <v>0.39999999999999991</v>
      </c>
      <c r="AS17" s="30">
        <f t="shared" si="4"/>
        <v>0.80000000000000027</v>
      </c>
      <c r="AT17" s="30">
        <f t="shared" si="4"/>
        <v>0.80000000000000027</v>
      </c>
      <c r="AU17" s="30">
        <f t="shared" si="4"/>
        <v>0.79999999999999982</v>
      </c>
      <c r="AV17" s="30">
        <f t="shared" si="4"/>
        <v>0</v>
      </c>
      <c r="AW17" s="30">
        <f t="shared" si="4"/>
        <v>0</v>
      </c>
      <c r="AX17" s="127"/>
      <c r="AY17" s="122">
        <v>0.75</v>
      </c>
      <c r="AZ17" s="128" t="s">
        <v>34</v>
      </c>
      <c r="BB17" s="37" t="s">
        <v>51</v>
      </c>
      <c r="BC17" s="123">
        <f t="shared" si="0"/>
        <v>0.60000000000000009</v>
      </c>
      <c r="BD17" s="124">
        <v>-6</v>
      </c>
      <c r="BE17" s="12" t="str" cm="1">
        <f t="array" ref="BE17">_xlfn.XLOOKUP(MIN(ABS($AY$6:$AY$22 - MEDIAN(-2, 2, BC17))), ABS($AY$6:$AY$22 - MEDIAN(-2, 2, BC17)), $AZ$6:$AZ$22, "Error", 0)</f>
        <v>-6</v>
      </c>
      <c r="BF17" s="125">
        <v>7.4999999999999997E-3</v>
      </c>
      <c r="BG17" s="128" t="s">
        <v>34</v>
      </c>
      <c r="BH17" s="12">
        <f t="shared" si="1"/>
        <v>0</v>
      </c>
    </row>
    <row r="18" spans="1:60" ht="25" customHeight="1">
      <c r="A18" s="34" t="s">
        <v>47</v>
      </c>
      <c r="B18" s="30">
        <f>B10-B9</f>
        <v>2.2999999999999989</v>
      </c>
      <c r="C18" s="30">
        <f t="shared" ref="C18:AW18" si="5">C10-C9</f>
        <v>2.5</v>
      </c>
      <c r="D18" s="30">
        <f t="shared" si="5"/>
        <v>1.9000000000000004</v>
      </c>
      <c r="E18" s="30">
        <f t="shared" si="5"/>
        <v>2.0999999999999996</v>
      </c>
      <c r="F18" s="30">
        <f t="shared" si="5"/>
        <v>2</v>
      </c>
      <c r="G18" s="30">
        <f t="shared" si="5"/>
        <v>2.5</v>
      </c>
      <c r="H18" s="30">
        <f t="shared" si="5"/>
        <v>2.0999999999999996</v>
      </c>
      <c r="I18" s="30">
        <f t="shared" si="5"/>
        <v>1.5</v>
      </c>
      <c r="J18" s="30">
        <f t="shared" si="5"/>
        <v>0.59999999999999964</v>
      </c>
      <c r="K18" s="30">
        <f t="shared" si="5"/>
        <v>-0.30000000000000027</v>
      </c>
      <c r="L18" s="30">
        <f t="shared" si="5"/>
        <v>-0.70000000000000018</v>
      </c>
      <c r="M18" s="30">
        <f t="shared" si="5"/>
        <v>-0.5</v>
      </c>
      <c r="N18" s="30">
        <f t="shared" si="5"/>
        <v>-0.30000000000000027</v>
      </c>
      <c r="O18" s="30">
        <f t="shared" si="5"/>
        <v>-0.60000000000000009</v>
      </c>
      <c r="P18" s="30">
        <f t="shared" si="5"/>
        <v>-1.1000000000000001</v>
      </c>
      <c r="Q18" s="30">
        <f t="shared" si="5"/>
        <v>-1</v>
      </c>
      <c r="R18" s="30">
        <f t="shared" si="5"/>
        <v>-0.69999999999999973</v>
      </c>
      <c r="S18" s="30">
        <f t="shared" si="5"/>
        <v>-0.5</v>
      </c>
      <c r="T18" s="30">
        <f t="shared" si="5"/>
        <v>-0.29999999999999982</v>
      </c>
      <c r="U18" s="30">
        <f t="shared" si="5"/>
        <v>-0.29999999999999982</v>
      </c>
      <c r="V18" s="30">
        <f t="shared" si="5"/>
        <v>-0.7</v>
      </c>
      <c r="W18" s="30">
        <f t="shared" si="5"/>
        <v>-0.60000000000000009</v>
      </c>
      <c r="X18" s="30">
        <f t="shared" si="5"/>
        <v>-0.5</v>
      </c>
      <c r="Y18" s="30">
        <f t="shared" si="5"/>
        <v>-0.5</v>
      </c>
      <c r="Z18" s="30">
        <f t="shared" si="5"/>
        <v>-0.5</v>
      </c>
      <c r="AA18" s="30">
        <f t="shared" si="5"/>
        <v>-0.5</v>
      </c>
      <c r="AB18" s="30">
        <f t="shared" si="5"/>
        <v>-0.19999999999999973</v>
      </c>
      <c r="AC18" s="30">
        <f t="shared" si="5"/>
        <v>-9.9999999999999645E-2</v>
      </c>
      <c r="AD18" s="30">
        <f t="shared" si="5"/>
        <v>-0.5</v>
      </c>
      <c r="AE18" s="30">
        <f t="shared" si="5"/>
        <v>-0.70000000000000018</v>
      </c>
      <c r="AF18" s="30">
        <f t="shared" si="5"/>
        <v>-0.70000000000000018</v>
      </c>
      <c r="AG18" s="30">
        <f t="shared" si="5"/>
        <v>-0.89999999999999991</v>
      </c>
      <c r="AH18" s="30">
        <f t="shared" si="5"/>
        <v>-0.79999999999999982</v>
      </c>
      <c r="AI18" s="30">
        <f t="shared" si="5"/>
        <v>-0.60000000000000009</v>
      </c>
      <c r="AJ18" s="30">
        <f t="shared" si="5"/>
        <v>-0.60000000000000009</v>
      </c>
      <c r="AK18" s="30">
        <f t="shared" si="5"/>
        <v>-0.70000000000000018</v>
      </c>
      <c r="AL18" s="30">
        <f t="shared" si="5"/>
        <v>-0.7</v>
      </c>
      <c r="AM18" s="30">
        <f t="shared" si="5"/>
        <v>-0.5</v>
      </c>
      <c r="AN18" s="30">
        <f t="shared" si="5"/>
        <v>-0.69999999999999973</v>
      </c>
      <c r="AO18" s="30">
        <f t="shared" si="5"/>
        <v>-0.79999999999999982</v>
      </c>
      <c r="AP18" s="30">
        <f t="shared" si="5"/>
        <v>-1</v>
      </c>
      <c r="AQ18" s="30">
        <f t="shared" si="5"/>
        <v>-0.70000000000000018</v>
      </c>
      <c r="AR18" s="30">
        <f t="shared" si="5"/>
        <v>-0.5</v>
      </c>
      <c r="AS18" s="30">
        <f t="shared" si="5"/>
        <v>-0.40000000000000036</v>
      </c>
      <c r="AT18" s="30">
        <f t="shared" si="5"/>
        <v>-0.20000000000000018</v>
      </c>
      <c r="AU18" s="30">
        <f t="shared" si="5"/>
        <v>-0.10000000000000009</v>
      </c>
      <c r="AV18" s="30">
        <f t="shared" si="5"/>
        <v>0</v>
      </c>
      <c r="AW18" s="30">
        <f t="shared" si="5"/>
        <v>0</v>
      </c>
      <c r="AX18" s="127"/>
      <c r="AY18" s="118">
        <v>1</v>
      </c>
      <c r="AZ18" s="128" t="s">
        <v>35</v>
      </c>
      <c r="BB18" s="37" t="s">
        <v>52</v>
      </c>
      <c r="BC18" s="123">
        <f t="shared" si="0"/>
        <v>1.5</v>
      </c>
      <c r="BD18" s="124">
        <v>8</v>
      </c>
      <c r="BE18" s="12" t="str" cm="1">
        <f t="array" ref="BE18">_xlfn.XLOOKUP(MIN(ABS($AY$6:$AY$22 - MEDIAN(-2, 2, BC18))), ABS($AY$6:$AY$22 - MEDIAN(-2, 2, BC18)), $AZ$6:$AZ$22, "Error", 0)</f>
        <v>8</v>
      </c>
      <c r="BF18" s="121">
        <v>0.01</v>
      </c>
      <c r="BG18" s="128" t="s">
        <v>35</v>
      </c>
      <c r="BH18" s="12">
        <f t="shared" si="1"/>
        <v>0</v>
      </c>
    </row>
    <row r="19" spans="1:60" ht="25" customHeight="1" thickBot="1">
      <c r="A19" s="34" t="s">
        <v>14</v>
      </c>
      <c r="B19" s="30">
        <f>B10-B5</f>
        <v>4.3999999999999995</v>
      </c>
      <c r="C19" s="30">
        <f t="shared" ref="C19:AW19" si="6">C10-C5</f>
        <v>5.2</v>
      </c>
      <c r="D19" s="30">
        <f t="shared" si="6"/>
        <v>3.7</v>
      </c>
      <c r="E19" s="30">
        <f t="shared" si="6"/>
        <v>3.5</v>
      </c>
      <c r="F19" s="30">
        <f t="shared" si="6"/>
        <v>2.8999999999999995</v>
      </c>
      <c r="G19" s="30">
        <f t="shared" si="6"/>
        <v>2.2000000000000002</v>
      </c>
      <c r="H19" s="30">
        <f t="shared" si="6"/>
        <v>2</v>
      </c>
      <c r="I19" s="30">
        <f t="shared" si="6"/>
        <v>2</v>
      </c>
      <c r="J19" s="30">
        <f t="shared" si="6"/>
        <v>1.2999999999999998</v>
      </c>
      <c r="K19" s="30">
        <f t="shared" si="6"/>
        <v>-0.39999999999999991</v>
      </c>
      <c r="L19" s="30">
        <f t="shared" si="6"/>
        <v>-0.39999999999999991</v>
      </c>
      <c r="M19" s="30">
        <f t="shared" si="6"/>
        <v>0.29999999999999982</v>
      </c>
      <c r="N19" s="30">
        <f t="shared" si="6"/>
        <v>0.59999999999999964</v>
      </c>
      <c r="O19" s="30">
        <f t="shared" si="6"/>
        <v>-0.19999999999999973</v>
      </c>
      <c r="P19" s="30">
        <f t="shared" si="6"/>
        <v>-0.30000000000000027</v>
      </c>
      <c r="Q19" s="30">
        <f t="shared" si="6"/>
        <v>-0.10000000000000009</v>
      </c>
      <c r="R19" s="30">
        <f t="shared" si="6"/>
        <v>-0.19999999999999973</v>
      </c>
      <c r="S19" s="30">
        <f t="shared" si="6"/>
        <v>-0.29999999999999982</v>
      </c>
      <c r="T19" s="30">
        <f t="shared" si="6"/>
        <v>-0.19999999999999973</v>
      </c>
      <c r="U19" s="30">
        <f t="shared" si="6"/>
        <v>-0.79999999999999982</v>
      </c>
      <c r="V19" s="30">
        <f t="shared" si="6"/>
        <v>-0.8</v>
      </c>
      <c r="W19" s="30">
        <f t="shared" si="6"/>
        <v>-0.29999999999999982</v>
      </c>
      <c r="X19" s="30">
        <f t="shared" si="6"/>
        <v>-0.69999999999999973</v>
      </c>
      <c r="Y19" s="30">
        <f t="shared" si="6"/>
        <v>-1.2000000000000002</v>
      </c>
      <c r="Z19" s="30">
        <f t="shared" si="6"/>
        <v>-1.5</v>
      </c>
      <c r="AA19" s="30">
        <f t="shared" si="6"/>
        <v>-1.4000000000000004</v>
      </c>
      <c r="AB19" s="30">
        <f t="shared" si="6"/>
        <v>-1.4</v>
      </c>
      <c r="AC19" s="30">
        <f t="shared" si="6"/>
        <v>-1.4</v>
      </c>
      <c r="AD19" s="30">
        <f t="shared" si="6"/>
        <v>-1.6</v>
      </c>
      <c r="AE19" s="30">
        <f t="shared" si="6"/>
        <v>-1.2999999999999998</v>
      </c>
      <c r="AF19" s="30">
        <f t="shared" si="6"/>
        <v>-1.1000000000000001</v>
      </c>
      <c r="AG19" s="30">
        <f t="shared" si="6"/>
        <v>-0.70000000000000018</v>
      </c>
      <c r="AH19" s="30">
        <f t="shared" si="6"/>
        <v>-0.69999999999999973</v>
      </c>
      <c r="AI19" s="30">
        <f t="shared" si="6"/>
        <v>-0.89999999999999991</v>
      </c>
      <c r="AJ19" s="30">
        <f t="shared" si="6"/>
        <v>-0.79999999999999982</v>
      </c>
      <c r="AK19" s="30">
        <f t="shared" si="6"/>
        <v>-0.10000000000000009</v>
      </c>
      <c r="AL19" s="30">
        <f t="shared" si="6"/>
        <v>0.19999999999999996</v>
      </c>
      <c r="AM19" s="30">
        <f t="shared" si="6"/>
        <v>0.59999999999999987</v>
      </c>
      <c r="AN19" s="30">
        <f t="shared" si="6"/>
        <v>1.1000000000000001</v>
      </c>
      <c r="AO19" s="30">
        <f t="shared" si="6"/>
        <v>1.6</v>
      </c>
      <c r="AP19" s="30">
        <f t="shared" si="6"/>
        <v>1.7000000000000002</v>
      </c>
      <c r="AQ19" s="30">
        <f t="shared" si="6"/>
        <v>1.1999999999999997</v>
      </c>
      <c r="AR19" s="30">
        <f t="shared" si="6"/>
        <v>1</v>
      </c>
      <c r="AS19" s="30">
        <f t="shared" si="6"/>
        <v>1.4999999999999998</v>
      </c>
      <c r="AT19" s="30">
        <f t="shared" si="6"/>
        <v>1.7</v>
      </c>
      <c r="AU19" s="30">
        <f t="shared" si="6"/>
        <v>1.4999999999999998</v>
      </c>
      <c r="AV19" s="30">
        <f t="shared" si="6"/>
        <v>0</v>
      </c>
      <c r="AW19" s="30">
        <f t="shared" si="6"/>
        <v>0</v>
      </c>
      <c r="AX19" s="127"/>
      <c r="AY19" s="122">
        <v>1.25</v>
      </c>
      <c r="AZ19" s="119" t="s">
        <v>29</v>
      </c>
      <c r="BB19" s="37" t="s">
        <v>53</v>
      </c>
      <c r="BC19" s="123">
        <f t="shared" si="0"/>
        <v>2.9</v>
      </c>
      <c r="BD19" s="124">
        <v>10</v>
      </c>
      <c r="BE19" s="12" t="str" cm="1">
        <f t="array" ref="BE19">_xlfn.XLOOKUP(MIN(ABS($AY$6:$AY$22 - MEDIAN(-2, 2, BC19))), ABS($AY$6:$AY$22 - MEDIAN(-2, 2, BC19)), $AZ$6:$AZ$22, "Error", 0)</f>
        <v>10</v>
      </c>
      <c r="BF19" s="125">
        <v>1.2500000000000001E-2</v>
      </c>
      <c r="BG19" s="119" t="s">
        <v>29</v>
      </c>
      <c r="BH19" s="12">
        <f t="shared" si="1"/>
        <v>0</v>
      </c>
    </row>
    <row r="20" spans="1:60" ht="25" customHeight="1">
      <c r="A20" s="34" t="s">
        <v>48</v>
      </c>
      <c r="B20" s="30">
        <f>B10-B6</f>
        <v>5.3999999999999995</v>
      </c>
      <c r="C20" s="30">
        <f t="shared" ref="C20:AW20" si="7">C10-C6</f>
        <v>5.0999999999999996</v>
      </c>
      <c r="D20" s="30">
        <f t="shared" si="7"/>
        <v>4</v>
      </c>
      <c r="E20" s="30">
        <f t="shared" si="7"/>
        <v>4.4000000000000004</v>
      </c>
      <c r="F20" s="30">
        <f t="shared" si="7"/>
        <v>3.8999999999999995</v>
      </c>
      <c r="G20" s="30">
        <f t="shared" si="7"/>
        <v>3.8</v>
      </c>
      <c r="H20" s="30">
        <f t="shared" si="7"/>
        <v>3.6999999999999997</v>
      </c>
      <c r="I20" s="30">
        <f t="shared" si="7"/>
        <v>3.6</v>
      </c>
      <c r="J20" s="30">
        <f t="shared" si="7"/>
        <v>2.5999999999999996</v>
      </c>
      <c r="K20" s="30">
        <f t="shared" si="7"/>
        <v>1.2</v>
      </c>
      <c r="L20" s="30">
        <f t="shared" si="7"/>
        <v>1</v>
      </c>
      <c r="M20" s="30">
        <f t="shared" si="7"/>
        <v>1.2</v>
      </c>
      <c r="N20" s="30">
        <f t="shared" si="7"/>
        <v>1.4999999999999998</v>
      </c>
      <c r="O20" s="30">
        <f t="shared" si="7"/>
        <v>1.4000000000000001</v>
      </c>
      <c r="P20" s="30">
        <f t="shared" si="7"/>
        <v>1.4</v>
      </c>
      <c r="Q20" s="30">
        <f t="shared" si="7"/>
        <v>1</v>
      </c>
      <c r="R20" s="30">
        <f t="shared" si="7"/>
        <v>1.2000000000000002</v>
      </c>
      <c r="S20" s="30">
        <f t="shared" si="7"/>
        <v>1.2</v>
      </c>
      <c r="T20" s="30">
        <f t="shared" si="7"/>
        <v>1.3</v>
      </c>
      <c r="U20" s="30">
        <f t="shared" si="7"/>
        <v>1.1000000000000001</v>
      </c>
      <c r="V20" s="30">
        <f t="shared" si="7"/>
        <v>0.89999999999999991</v>
      </c>
      <c r="W20" s="30">
        <f t="shared" si="7"/>
        <v>1.4</v>
      </c>
      <c r="X20" s="30">
        <f t="shared" si="7"/>
        <v>1.5000000000000002</v>
      </c>
      <c r="Y20" s="30">
        <f t="shared" si="7"/>
        <v>1.7999999999999998</v>
      </c>
      <c r="Z20" s="30">
        <f t="shared" si="7"/>
        <v>2.1</v>
      </c>
      <c r="AA20" s="30">
        <f t="shared" si="7"/>
        <v>1.9999999999999998</v>
      </c>
      <c r="AB20" s="30">
        <f t="shared" si="7"/>
        <v>1.9000000000000001</v>
      </c>
      <c r="AC20" s="30">
        <f t="shared" si="7"/>
        <v>2.2000000000000002</v>
      </c>
      <c r="AD20" s="30">
        <f t="shared" si="7"/>
        <v>2</v>
      </c>
      <c r="AE20" s="30">
        <f t="shared" si="7"/>
        <v>1.9</v>
      </c>
      <c r="AF20" s="30">
        <f t="shared" si="7"/>
        <v>1.8</v>
      </c>
      <c r="AG20" s="30">
        <f t="shared" si="7"/>
        <v>1.8</v>
      </c>
      <c r="AH20" s="30">
        <f t="shared" si="7"/>
        <v>2</v>
      </c>
      <c r="AI20" s="30">
        <f t="shared" si="7"/>
        <v>2</v>
      </c>
      <c r="AJ20" s="30">
        <f t="shared" si="7"/>
        <v>2.1</v>
      </c>
      <c r="AK20" s="30">
        <f t="shared" si="7"/>
        <v>1.9</v>
      </c>
      <c r="AL20" s="30">
        <f t="shared" si="7"/>
        <v>1.5999999999999999</v>
      </c>
      <c r="AM20" s="30">
        <f t="shared" si="7"/>
        <v>1.7999999999999998</v>
      </c>
      <c r="AN20" s="30">
        <f t="shared" si="7"/>
        <v>2.3000000000000003</v>
      </c>
      <c r="AO20" s="30">
        <f t="shared" si="7"/>
        <v>2.4</v>
      </c>
      <c r="AP20" s="30">
        <f t="shared" si="7"/>
        <v>2.6</v>
      </c>
      <c r="AQ20" s="30">
        <f t="shared" si="7"/>
        <v>2.2999999999999998</v>
      </c>
      <c r="AR20" s="30">
        <f t="shared" si="7"/>
        <v>2.5</v>
      </c>
      <c r="AS20" s="30">
        <f t="shared" si="7"/>
        <v>2.5</v>
      </c>
      <c r="AT20" s="30">
        <f t="shared" si="7"/>
        <v>2.7</v>
      </c>
      <c r="AU20" s="30">
        <f t="shared" si="7"/>
        <v>2.5999999999999996</v>
      </c>
      <c r="AV20" s="30">
        <f t="shared" si="7"/>
        <v>0</v>
      </c>
      <c r="AW20" s="30">
        <f t="shared" si="7"/>
        <v>0</v>
      </c>
      <c r="AX20" s="127"/>
      <c r="AY20" s="118">
        <v>1.5</v>
      </c>
      <c r="AZ20" s="119" t="s">
        <v>31</v>
      </c>
      <c r="BB20" s="37" t="s">
        <v>54</v>
      </c>
      <c r="BC20" s="123">
        <f t="shared" si="0"/>
        <v>0.70000000000000018</v>
      </c>
      <c r="BD20" s="124">
        <v>-8</v>
      </c>
      <c r="BE20" s="12" t="str" cm="1">
        <f t="array" ref="BE20">_xlfn.XLOOKUP(MIN(ABS($AY$6:$AY$22 - MEDIAN(-2, 2, BC20))), ABS($AY$6:$AY$22 - MEDIAN(-2, 2, BC20)), $AZ$6:$AZ$22, "Error", 0)</f>
        <v>-8</v>
      </c>
      <c r="BF20" s="121">
        <v>1.4999999999999999E-2</v>
      </c>
      <c r="BG20" s="119" t="s">
        <v>31</v>
      </c>
      <c r="BH20" s="12">
        <f t="shared" si="1"/>
        <v>0</v>
      </c>
    </row>
    <row r="21" spans="1:60" ht="25" customHeight="1" thickBot="1">
      <c r="A21" s="34" t="s">
        <v>49</v>
      </c>
      <c r="B21" s="30">
        <f>B10-B8</f>
        <v>-1.4000000000000004</v>
      </c>
      <c r="C21" s="30">
        <f t="shared" ref="C21:AW21" si="8">C10-C8</f>
        <v>-1.9000000000000004</v>
      </c>
      <c r="D21" s="30">
        <f t="shared" si="8"/>
        <v>-3.1999999999999993</v>
      </c>
      <c r="E21" s="30">
        <f t="shared" si="8"/>
        <v>-1.6999999999999993</v>
      </c>
      <c r="F21" s="30">
        <f t="shared" si="8"/>
        <v>-2.5999999999999996</v>
      </c>
      <c r="G21" s="30">
        <f t="shared" si="8"/>
        <v>-2.4000000000000004</v>
      </c>
      <c r="H21" s="30">
        <f t="shared" si="8"/>
        <v>-1.5</v>
      </c>
      <c r="I21" s="30">
        <f t="shared" si="8"/>
        <v>-1.5</v>
      </c>
      <c r="J21" s="30">
        <f t="shared" si="8"/>
        <v>-2.4000000000000004</v>
      </c>
      <c r="K21" s="30">
        <f t="shared" si="8"/>
        <v>-1.6999999999999997</v>
      </c>
      <c r="L21" s="30">
        <f t="shared" si="8"/>
        <v>-1.5</v>
      </c>
      <c r="M21" s="30">
        <f t="shared" si="8"/>
        <v>-1.1000000000000001</v>
      </c>
      <c r="N21" s="30">
        <f t="shared" si="8"/>
        <v>-1.2000000000000002</v>
      </c>
      <c r="O21" s="30">
        <f t="shared" si="8"/>
        <v>-0.79999999999999982</v>
      </c>
      <c r="P21" s="30">
        <f t="shared" si="8"/>
        <v>-0.80000000000000027</v>
      </c>
      <c r="Q21" s="30">
        <f t="shared" si="8"/>
        <v>0.10000000000000009</v>
      </c>
      <c r="R21" s="30">
        <f t="shared" si="8"/>
        <v>0.60000000000000009</v>
      </c>
      <c r="S21" s="30">
        <f t="shared" si="8"/>
        <v>0.5</v>
      </c>
      <c r="T21" s="30">
        <f t="shared" si="8"/>
        <v>0.39999999999999991</v>
      </c>
      <c r="U21" s="30">
        <f t="shared" si="8"/>
        <v>0</v>
      </c>
      <c r="V21" s="30">
        <f t="shared" si="8"/>
        <v>0</v>
      </c>
      <c r="W21" s="30">
        <f t="shared" si="8"/>
        <v>-0.29999999999999982</v>
      </c>
      <c r="X21" s="30">
        <f t="shared" si="8"/>
        <v>-0.39999999999999991</v>
      </c>
      <c r="Y21" s="30">
        <f t="shared" si="8"/>
        <v>-0.10000000000000009</v>
      </c>
      <c r="Z21" s="30">
        <f t="shared" si="8"/>
        <v>-0.5</v>
      </c>
      <c r="AA21" s="30">
        <f t="shared" si="8"/>
        <v>-0.5</v>
      </c>
      <c r="AB21" s="30">
        <f t="shared" si="8"/>
        <v>-0.39999999999999991</v>
      </c>
      <c r="AC21" s="30">
        <f t="shared" si="8"/>
        <v>-1.2999999999999998</v>
      </c>
      <c r="AD21" s="30">
        <f t="shared" si="8"/>
        <v>-1.5</v>
      </c>
      <c r="AE21" s="30">
        <f t="shared" si="8"/>
        <v>-1.6</v>
      </c>
      <c r="AF21" s="30">
        <f t="shared" si="8"/>
        <v>-1.7999999999999998</v>
      </c>
      <c r="AG21" s="30">
        <f t="shared" si="8"/>
        <v>-1.7999999999999998</v>
      </c>
      <c r="AH21" s="30">
        <f t="shared" si="8"/>
        <v>-1.5999999999999996</v>
      </c>
      <c r="AI21" s="30">
        <f t="shared" si="8"/>
        <v>-1.5</v>
      </c>
      <c r="AJ21" s="30">
        <f t="shared" si="8"/>
        <v>-1.1000000000000001</v>
      </c>
      <c r="AK21" s="30">
        <f t="shared" si="8"/>
        <v>-1.4</v>
      </c>
      <c r="AL21" s="30">
        <f t="shared" si="8"/>
        <v>-1.3</v>
      </c>
      <c r="AM21" s="30">
        <f t="shared" si="8"/>
        <v>-1.1000000000000001</v>
      </c>
      <c r="AN21" s="30">
        <f t="shared" si="8"/>
        <v>-0.69999999999999973</v>
      </c>
      <c r="AO21" s="30">
        <f t="shared" si="8"/>
        <v>0.20000000000000018</v>
      </c>
      <c r="AP21" s="30">
        <f t="shared" si="8"/>
        <v>0.40000000000000036</v>
      </c>
      <c r="AQ21" s="30">
        <f t="shared" si="8"/>
        <v>0.19999999999999973</v>
      </c>
      <c r="AR21" s="30">
        <f t="shared" si="8"/>
        <v>0</v>
      </c>
      <c r="AS21" s="30">
        <f t="shared" si="8"/>
        <v>0.39999999999999991</v>
      </c>
      <c r="AT21" s="30">
        <f t="shared" si="8"/>
        <v>-0.10000000000000009</v>
      </c>
      <c r="AU21" s="30">
        <f t="shared" si="8"/>
        <v>-0.20000000000000018</v>
      </c>
      <c r="AV21" s="30">
        <f t="shared" si="8"/>
        <v>0</v>
      </c>
      <c r="AW21" s="30">
        <f t="shared" si="8"/>
        <v>0</v>
      </c>
      <c r="AX21" s="127"/>
      <c r="AY21" s="122">
        <v>1.75</v>
      </c>
      <c r="AZ21" s="119" t="s">
        <v>36</v>
      </c>
      <c r="BB21" s="37" t="s">
        <v>55</v>
      </c>
      <c r="BC21" s="123">
        <f t="shared" si="0"/>
        <v>-0.79999999999999982</v>
      </c>
      <c r="BD21" s="124">
        <v>8</v>
      </c>
      <c r="BE21" s="12" t="str" cm="1">
        <f t="array" ref="BE21">_xlfn.XLOOKUP(MIN(ABS($AY$6:$AY$22 - MEDIAN(-2, 2, BC21))), ABS($AY$6:$AY$22 - MEDIAN(-2, 2, BC21)), $AZ$6:$AZ$22, "Error", 0)</f>
        <v>8</v>
      </c>
      <c r="BF21" s="125">
        <v>1.7500000000000002E-2</v>
      </c>
      <c r="BG21" s="119" t="s">
        <v>36</v>
      </c>
      <c r="BH21" s="12">
        <f t="shared" si="1"/>
        <v>0</v>
      </c>
    </row>
    <row r="22" spans="1:60" ht="25" customHeight="1">
      <c r="A22" s="34" t="s">
        <v>15</v>
      </c>
      <c r="B22" s="30">
        <f>B10-B4</f>
        <v>2.7999999999999989</v>
      </c>
      <c r="C22" s="30">
        <f t="shared" ref="C22:AW22" si="9">C10-C4</f>
        <v>3.3</v>
      </c>
      <c r="D22" s="30">
        <f t="shared" si="9"/>
        <v>2.6000000000000005</v>
      </c>
      <c r="E22" s="30">
        <f t="shared" si="9"/>
        <v>2.5999999999999996</v>
      </c>
      <c r="F22" s="30">
        <f t="shared" si="9"/>
        <v>2.6999999999999997</v>
      </c>
      <c r="G22" s="30">
        <f t="shared" si="9"/>
        <v>2.7</v>
      </c>
      <c r="H22" s="30">
        <f t="shared" si="9"/>
        <v>2</v>
      </c>
      <c r="I22" s="30">
        <f t="shared" si="9"/>
        <v>1.2000000000000002</v>
      </c>
      <c r="J22" s="30">
        <f t="shared" si="9"/>
        <v>0.5</v>
      </c>
      <c r="K22" s="30">
        <f t="shared" si="9"/>
        <v>-0.20000000000000018</v>
      </c>
      <c r="L22" s="30">
        <f t="shared" si="9"/>
        <v>-0.70000000000000018</v>
      </c>
      <c r="M22" s="30">
        <f t="shared" si="9"/>
        <v>-0.5</v>
      </c>
      <c r="N22" s="30">
        <f t="shared" si="9"/>
        <v>-0.10000000000000009</v>
      </c>
      <c r="O22" s="30">
        <f t="shared" si="9"/>
        <v>-0.19999999999999973</v>
      </c>
      <c r="P22" s="30">
        <f t="shared" si="9"/>
        <v>-0.5</v>
      </c>
      <c r="Q22" s="30">
        <f t="shared" si="9"/>
        <v>-0.30000000000000027</v>
      </c>
      <c r="R22" s="30">
        <f t="shared" si="9"/>
        <v>-0.29999999999999982</v>
      </c>
      <c r="S22" s="30">
        <f t="shared" si="9"/>
        <v>-0.20000000000000018</v>
      </c>
      <c r="T22" s="30">
        <f t="shared" si="9"/>
        <v>0.10000000000000009</v>
      </c>
      <c r="U22" s="30">
        <f t="shared" si="9"/>
        <v>0.20000000000000018</v>
      </c>
      <c r="V22" s="30">
        <f t="shared" si="9"/>
        <v>9.9999999999999867E-2</v>
      </c>
      <c r="W22" s="30">
        <f t="shared" si="9"/>
        <v>0</v>
      </c>
      <c r="X22" s="30">
        <f t="shared" si="9"/>
        <v>0.30000000000000027</v>
      </c>
      <c r="Y22" s="30">
        <f t="shared" si="9"/>
        <v>0.59999999999999987</v>
      </c>
      <c r="Z22" s="30">
        <f t="shared" si="9"/>
        <v>0.60000000000000009</v>
      </c>
      <c r="AA22" s="30">
        <f t="shared" si="9"/>
        <v>-0.30000000000000027</v>
      </c>
      <c r="AB22" s="30">
        <f t="shared" si="9"/>
        <v>-9.9999999999999645E-2</v>
      </c>
      <c r="AC22" s="30">
        <f t="shared" si="9"/>
        <v>0.50000000000000022</v>
      </c>
      <c r="AD22" s="30">
        <f t="shared" si="9"/>
        <v>0.19999999999999996</v>
      </c>
      <c r="AE22" s="30">
        <f t="shared" si="9"/>
        <v>0.10000000000000009</v>
      </c>
      <c r="AF22" s="30">
        <f t="shared" si="9"/>
        <v>0.30000000000000004</v>
      </c>
      <c r="AG22" s="30">
        <f t="shared" si="9"/>
        <v>0.10000000000000009</v>
      </c>
      <c r="AH22" s="30">
        <f t="shared" si="9"/>
        <v>-0.19999999999999973</v>
      </c>
      <c r="AI22" s="30">
        <f t="shared" si="9"/>
        <v>-0.10000000000000009</v>
      </c>
      <c r="AJ22" s="30">
        <f t="shared" si="9"/>
        <v>-0.10000000000000009</v>
      </c>
      <c r="AK22" s="30">
        <f t="shared" si="9"/>
        <v>-0.39999999999999991</v>
      </c>
      <c r="AL22" s="30">
        <f t="shared" si="9"/>
        <v>-0.59999999999999987</v>
      </c>
      <c r="AM22" s="30">
        <f t="shared" si="9"/>
        <v>9.9999999999999867E-2</v>
      </c>
      <c r="AN22" s="30">
        <f t="shared" si="9"/>
        <v>0.20000000000000018</v>
      </c>
      <c r="AO22" s="30">
        <f t="shared" si="9"/>
        <v>0.20000000000000018</v>
      </c>
      <c r="AP22" s="30">
        <f t="shared" si="9"/>
        <v>0</v>
      </c>
      <c r="AQ22" s="30">
        <f t="shared" si="9"/>
        <v>0</v>
      </c>
      <c r="AR22" s="30">
        <f t="shared" si="9"/>
        <v>-0.10000000000000009</v>
      </c>
      <c r="AS22" s="30">
        <f t="shared" si="9"/>
        <v>0.39999999999999991</v>
      </c>
      <c r="AT22" s="30">
        <f t="shared" si="9"/>
        <v>0.60000000000000009</v>
      </c>
      <c r="AU22" s="30">
        <f t="shared" si="9"/>
        <v>0.69999999999999973</v>
      </c>
      <c r="AV22" s="30">
        <f t="shared" si="9"/>
        <v>0</v>
      </c>
      <c r="AW22" s="30">
        <f t="shared" si="9"/>
        <v>0</v>
      </c>
      <c r="AX22" s="127"/>
      <c r="AY22" s="118">
        <v>2</v>
      </c>
      <c r="AZ22" s="119" t="s">
        <v>30</v>
      </c>
      <c r="BB22" s="129" t="s">
        <v>56</v>
      </c>
      <c r="BC22" s="123">
        <f t="shared" si="0"/>
        <v>-0.10000000000000009</v>
      </c>
      <c r="BD22" s="124">
        <v>-6</v>
      </c>
      <c r="BE22" s="12" cm="1">
        <f t="array" ref="BE22">_xlfn.XLOOKUP(MIN(ABS($AY$6:$AY$22 - MEDIAN(-2, 2, BC22))), ABS($AY$6:$AY$22 - MEDIAN(-2, 2, BC22)), $AZ$6:$AZ$22, "Error", 0)</f>
        <v>0</v>
      </c>
      <c r="BF22" s="121">
        <v>0.02</v>
      </c>
      <c r="BG22" s="119" t="s">
        <v>30</v>
      </c>
      <c r="BH22" s="12">
        <f t="shared" si="1"/>
        <v>-6</v>
      </c>
    </row>
    <row r="23" spans="1:60" ht="25" customHeight="1">
      <c r="A23" s="34" t="s">
        <v>12</v>
      </c>
      <c r="B23" s="30">
        <v>0</v>
      </c>
      <c r="C23" s="30">
        <v>0</v>
      </c>
      <c r="D23" s="30">
        <v>0</v>
      </c>
      <c r="E23" s="30">
        <v>0</v>
      </c>
      <c r="F23" s="30">
        <v>0</v>
      </c>
      <c r="G23" s="30">
        <v>0</v>
      </c>
      <c r="H23" s="30">
        <v>0</v>
      </c>
      <c r="I23" s="30">
        <v>0</v>
      </c>
      <c r="J23" s="30">
        <v>0</v>
      </c>
      <c r="K23" s="30">
        <v>0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30">
        <v>0</v>
      </c>
      <c r="T23" s="30">
        <v>0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0</v>
      </c>
      <c r="AB23" s="30">
        <v>0</v>
      </c>
      <c r="AC23" s="30">
        <f t="shared" ref="AC23:AW23" si="10">AC10-AC3</f>
        <v>-0.19999999999999973</v>
      </c>
      <c r="AD23" s="30">
        <f t="shared" si="10"/>
        <v>-0.20000000000000018</v>
      </c>
      <c r="AE23" s="30">
        <f t="shared" si="10"/>
        <v>0.10000000000000009</v>
      </c>
      <c r="AF23" s="30">
        <f t="shared" si="10"/>
        <v>-1</v>
      </c>
      <c r="AG23" s="30">
        <f t="shared" si="10"/>
        <v>-1.2000000000000002</v>
      </c>
      <c r="AH23" s="30">
        <f t="shared" si="10"/>
        <v>-1.4</v>
      </c>
      <c r="AI23" s="30">
        <f t="shared" si="10"/>
        <v>-1.6999999999999997</v>
      </c>
      <c r="AJ23" s="30">
        <f t="shared" si="10"/>
        <v>-1.2999999999999998</v>
      </c>
      <c r="AK23" s="30">
        <f t="shared" si="10"/>
        <v>-1.7999999999999998</v>
      </c>
      <c r="AL23" s="30">
        <f t="shared" si="10"/>
        <v>-2.0999999999999996</v>
      </c>
      <c r="AM23" s="30">
        <f t="shared" si="10"/>
        <v>-1.8000000000000003</v>
      </c>
      <c r="AN23" s="30">
        <f t="shared" si="10"/>
        <v>-1.9999999999999996</v>
      </c>
      <c r="AO23" s="30">
        <f t="shared" si="10"/>
        <v>-1.2000000000000002</v>
      </c>
      <c r="AP23" s="30">
        <f t="shared" si="10"/>
        <v>-0.79999999999999982</v>
      </c>
      <c r="AQ23" s="30">
        <f t="shared" si="10"/>
        <v>-1</v>
      </c>
      <c r="AR23" s="30">
        <f t="shared" si="10"/>
        <v>-0.60000000000000009</v>
      </c>
      <c r="AS23" s="30">
        <f t="shared" si="10"/>
        <v>-0.70000000000000018</v>
      </c>
      <c r="AT23" s="30">
        <f t="shared" si="10"/>
        <v>-0.59999999999999964</v>
      </c>
      <c r="AU23" s="30">
        <f t="shared" si="10"/>
        <v>-0.90000000000000036</v>
      </c>
      <c r="AV23" s="30">
        <f t="shared" si="10"/>
        <v>0</v>
      </c>
      <c r="AW23" s="30">
        <f t="shared" si="10"/>
        <v>0</v>
      </c>
      <c r="AX23" s="127"/>
      <c r="BB23" s="40" t="s">
        <v>57</v>
      </c>
      <c r="BC23" s="123">
        <f t="shared" si="0"/>
        <v>-1.4</v>
      </c>
      <c r="BD23" s="124">
        <v>4</v>
      </c>
      <c r="BE23" s="12" t="str" cm="1">
        <f t="array" ref="BE23">_xlfn.XLOOKUP(MIN(ABS($AY$6:$AY$22 - MEDIAN(-2, 2, BC23))), ABS($AY$6:$AY$22 - MEDIAN(-2, 2, BC23)), $AZ$6:$AZ$22, "Error", 0)</f>
        <v>4</v>
      </c>
      <c r="BH23" s="12">
        <f t="shared" si="1"/>
        <v>0</v>
      </c>
    </row>
    <row r="24" spans="1:60" ht="25" customHeight="1">
      <c r="A24" s="36" t="s">
        <v>50</v>
      </c>
      <c r="B24" s="30">
        <f>B10-B7</f>
        <v>1.9999999999999991</v>
      </c>
      <c r="C24" s="30">
        <f t="shared" ref="C24:AW24" si="11">C10-C7</f>
        <v>1.7999999999999998</v>
      </c>
      <c r="D24" s="30">
        <f t="shared" si="11"/>
        <v>0.20000000000000018</v>
      </c>
      <c r="E24" s="30">
        <f t="shared" si="11"/>
        <v>1</v>
      </c>
      <c r="F24" s="30">
        <f t="shared" si="11"/>
        <v>9.9999999999999645E-2</v>
      </c>
      <c r="G24" s="30">
        <f t="shared" si="11"/>
        <v>-0.5</v>
      </c>
      <c r="H24" s="30">
        <f t="shared" si="11"/>
        <v>-0.29999999999999982</v>
      </c>
      <c r="I24" s="30">
        <f t="shared" si="11"/>
        <v>-0.39999999999999947</v>
      </c>
      <c r="J24" s="30">
        <f t="shared" si="11"/>
        <v>-1.2999999999999998</v>
      </c>
      <c r="K24" s="30">
        <f t="shared" si="11"/>
        <v>-1.8000000000000003</v>
      </c>
      <c r="L24" s="30">
        <f t="shared" si="11"/>
        <v>-2.3000000000000003</v>
      </c>
      <c r="M24" s="30">
        <f t="shared" si="11"/>
        <v>-1.8000000000000003</v>
      </c>
      <c r="N24" s="30">
        <f t="shared" si="11"/>
        <v>-1.2000000000000002</v>
      </c>
      <c r="O24" s="30">
        <f t="shared" si="11"/>
        <v>-1.4</v>
      </c>
      <c r="P24" s="30">
        <f t="shared" si="11"/>
        <v>-1.6</v>
      </c>
      <c r="Q24" s="30">
        <f t="shared" si="11"/>
        <v>-0.89999999999999991</v>
      </c>
      <c r="R24" s="30">
        <f t="shared" si="11"/>
        <v>-0.69999999999999973</v>
      </c>
      <c r="S24" s="30">
        <f t="shared" si="11"/>
        <v>-0.79999999999999982</v>
      </c>
      <c r="T24" s="30">
        <f t="shared" si="11"/>
        <v>0.39999999999999991</v>
      </c>
      <c r="U24" s="30">
        <f t="shared" si="11"/>
        <v>0</v>
      </c>
      <c r="V24" s="30">
        <f t="shared" si="11"/>
        <v>-0.50000000000000022</v>
      </c>
      <c r="W24" s="30">
        <f t="shared" si="11"/>
        <v>-0.20000000000000018</v>
      </c>
      <c r="X24" s="30">
        <f t="shared" si="11"/>
        <v>0</v>
      </c>
      <c r="Y24" s="30">
        <f t="shared" si="11"/>
        <v>0.19999999999999973</v>
      </c>
      <c r="Z24" s="30">
        <f t="shared" si="11"/>
        <v>0</v>
      </c>
      <c r="AA24" s="30">
        <f t="shared" si="11"/>
        <v>-0.20000000000000018</v>
      </c>
      <c r="AB24" s="30">
        <f t="shared" si="11"/>
        <v>-0.29999999999999982</v>
      </c>
      <c r="AC24" s="30">
        <f t="shared" si="11"/>
        <v>-0.5</v>
      </c>
      <c r="AD24" s="30">
        <f t="shared" si="11"/>
        <v>-0.80000000000000027</v>
      </c>
      <c r="AE24" s="30">
        <f t="shared" si="11"/>
        <v>-0.70000000000000018</v>
      </c>
      <c r="AF24" s="30">
        <f t="shared" si="11"/>
        <v>-1</v>
      </c>
      <c r="AG24" s="30">
        <f t="shared" si="11"/>
        <v>-1</v>
      </c>
      <c r="AH24" s="30">
        <f t="shared" si="11"/>
        <v>-0.79999999999999982</v>
      </c>
      <c r="AI24" s="30">
        <f t="shared" si="11"/>
        <v>-1</v>
      </c>
      <c r="AJ24" s="30">
        <f t="shared" si="11"/>
        <v>-1</v>
      </c>
      <c r="AK24" s="30">
        <f t="shared" si="11"/>
        <v>-1.1000000000000001</v>
      </c>
      <c r="AL24" s="30">
        <f t="shared" si="11"/>
        <v>-1.4000000000000001</v>
      </c>
      <c r="AM24" s="30">
        <f t="shared" si="11"/>
        <v>-1.2000000000000002</v>
      </c>
      <c r="AN24" s="30">
        <f t="shared" si="11"/>
        <v>-0.5</v>
      </c>
      <c r="AO24" s="30">
        <f t="shared" si="11"/>
        <v>-1.0999999999999996</v>
      </c>
      <c r="AP24" s="30">
        <f t="shared" si="11"/>
        <v>-0.89999999999999947</v>
      </c>
      <c r="AQ24" s="30">
        <f t="shared" si="11"/>
        <v>-1.2999999999999998</v>
      </c>
      <c r="AR24" s="30">
        <f t="shared" si="11"/>
        <v>-0.80000000000000027</v>
      </c>
      <c r="AS24" s="30">
        <f t="shared" si="11"/>
        <v>-0.40000000000000036</v>
      </c>
      <c r="AT24" s="30">
        <f t="shared" si="11"/>
        <v>-0.20000000000000018</v>
      </c>
      <c r="AU24" s="30">
        <f t="shared" si="11"/>
        <v>-0.20000000000000018</v>
      </c>
      <c r="AV24" s="30">
        <f t="shared" si="11"/>
        <v>0</v>
      </c>
      <c r="AW24" s="30">
        <f t="shared" si="11"/>
        <v>0</v>
      </c>
      <c r="AX24" s="127"/>
      <c r="BB24" s="130" t="s">
        <v>10</v>
      </c>
      <c r="BC24" s="123">
        <f t="shared" si="0"/>
        <v>1.4</v>
      </c>
      <c r="BD24" s="124">
        <v>8</v>
      </c>
      <c r="BE24" s="12" t="str" cm="1">
        <f t="array" ref="BE24">_xlfn.XLOOKUP(MIN(ABS($AY$6:$AY$22 - MEDIAN(-2, 2, BC24))), ABS($AY$6:$AY$22 - MEDIAN(-2, 2, BC24)), $AZ$6:$AZ$22, "Error", 0)</f>
        <v>8</v>
      </c>
      <c r="BH24" s="12">
        <f t="shared" si="1"/>
        <v>0</v>
      </c>
    </row>
    <row r="25" spans="1:60" ht="25" customHeight="1">
      <c r="A25" s="37" t="s">
        <v>51</v>
      </c>
      <c r="B25" s="30">
        <f>B8-B9</f>
        <v>3.6999999999999993</v>
      </c>
      <c r="C25" s="30">
        <f t="shared" ref="C25:AW25" si="12">C8-C9</f>
        <v>4.4000000000000004</v>
      </c>
      <c r="D25" s="30">
        <f t="shared" si="12"/>
        <v>5.0999999999999996</v>
      </c>
      <c r="E25" s="30">
        <f t="shared" si="12"/>
        <v>3.7999999999999989</v>
      </c>
      <c r="F25" s="30">
        <f t="shared" si="12"/>
        <v>4.5999999999999996</v>
      </c>
      <c r="G25" s="30">
        <f t="shared" si="12"/>
        <v>4.9000000000000004</v>
      </c>
      <c r="H25" s="30">
        <f t="shared" si="12"/>
        <v>3.5999999999999996</v>
      </c>
      <c r="I25" s="30">
        <f t="shared" si="12"/>
        <v>3</v>
      </c>
      <c r="J25" s="30">
        <f t="shared" si="12"/>
        <v>3</v>
      </c>
      <c r="K25" s="30">
        <f t="shared" si="12"/>
        <v>1.3999999999999995</v>
      </c>
      <c r="L25" s="30">
        <f t="shared" si="12"/>
        <v>0.79999999999999982</v>
      </c>
      <c r="M25" s="30">
        <f t="shared" si="12"/>
        <v>0.60000000000000009</v>
      </c>
      <c r="N25" s="30">
        <f t="shared" si="12"/>
        <v>0.89999999999999991</v>
      </c>
      <c r="O25" s="30">
        <f t="shared" si="12"/>
        <v>0.19999999999999973</v>
      </c>
      <c r="P25" s="30">
        <f t="shared" si="12"/>
        <v>-0.29999999999999982</v>
      </c>
      <c r="Q25" s="30">
        <f t="shared" si="12"/>
        <v>-1.1000000000000001</v>
      </c>
      <c r="R25" s="30">
        <f t="shared" si="12"/>
        <v>-1.2999999999999998</v>
      </c>
      <c r="S25" s="30">
        <f t="shared" si="12"/>
        <v>-1</v>
      </c>
      <c r="T25" s="30">
        <f t="shared" si="12"/>
        <v>-0.69999999999999973</v>
      </c>
      <c r="U25" s="30">
        <f t="shared" si="12"/>
        <v>-0.29999999999999982</v>
      </c>
      <c r="V25" s="30">
        <f t="shared" si="12"/>
        <v>-0.7</v>
      </c>
      <c r="W25" s="30">
        <f t="shared" si="12"/>
        <v>-0.30000000000000027</v>
      </c>
      <c r="X25" s="30">
        <f t="shared" si="12"/>
        <v>-0.10000000000000009</v>
      </c>
      <c r="Y25" s="30">
        <f t="shared" si="12"/>
        <v>-0.39999999999999991</v>
      </c>
      <c r="Z25" s="30">
        <f t="shared" si="12"/>
        <v>0</v>
      </c>
      <c r="AA25" s="30">
        <f t="shared" si="12"/>
        <v>0</v>
      </c>
      <c r="AB25" s="30">
        <f t="shared" si="12"/>
        <v>0.20000000000000018</v>
      </c>
      <c r="AC25" s="30">
        <f t="shared" si="12"/>
        <v>1.2000000000000002</v>
      </c>
      <c r="AD25" s="30">
        <f t="shared" si="12"/>
        <v>1</v>
      </c>
      <c r="AE25" s="30">
        <f t="shared" si="12"/>
        <v>0.89999999999999991</v>
      </c>
      <c r="AF25" s="30">
        <f t="shared" si="12"/>
        <v>1.0999999999999996</v>
      </c>
      <c r="AG25" s="30">
        <f t="shared" si="12"/>
        <v>0.89999999999999991</v>
      </c>
      <c r="AH25" s="30">
        <f t="shared" si="12"/>
        <v>0.79999999999999982</v>
      </c>
      <c r="AI25" s="30">
        <f t="shared" si="12"/>
        <v>0.89999999999999991</v>
      </c>
      <c r="AJ25" s="30">
        <f t="shared" si="12"/>
        <v>0.5</v>
      </c>
      <c r="AK25" s="30">
        <f t="shared" si="12"/>
        <v>0.69999999999999973</v>
      </c>
      <c r="AL25" s="30">
        <f t="shared" si="12"/>
        <v>0.60000000000000009</v>
      </c>
      <c r="AM25" s="30">
        <f t="shared" si="12"/>
        <v>0.60000000000000009</v>
      </c>
      <c r="AN25" s="30">
        <f t="shared" si="12"/>
        <v>0</v>
      </c>
      <c r="AO25" s="30">
        <f t="shared" si="12"/>
        <v>-1</v>
      </c>
      <c r="AP25" s="30">
        <f t="shared" si="12"/>
        <v>-1.4000000000000004</v>
      </c>
      <c r="AQ25" s="30">
        <f t="shared" si="12"/>
        <v>-0.89999999999999991</v>
      </c>
      <c r="AR25" s="30">
        <f t="shared" si="12"/>
        <v>-0.5</v>
      </c>
      <c r="AS25" s="30">
        <f t="shared" si="12"/>
        <v>-0.80000000000000027</v>
      </c>
      <c r="AT25" s="30">
        <f t="shared" si="12"/>
        <v>-0.10000000000000009</v>
      </c>
      <c r="AU25" s="30">
        <f t="shared" si="12"/>
        <v>0.10000000000000009</v>
      </c>
      <c r="AV25" s="30">
        <f t="shared" si="12"/>
        <v>0</v>
      </c>
      <c r="AW25" s="30">
        <f t="shared" si="12"/>
        <v>0</v>
      </c>
      <c r="AX25" s="127"/>
      <c r="BB25" s="41" t="s">
        <v>58</v>
      </c>
      <c r="BC25" s="123">
        <f t="shared" si="0"/>
        <v>3.6999999999999997</v>
      </c>
      <c r="BD25" s="124">
        <v>10</v>
      </c>
      <c r="BE25" s="12" t="str" cm="1">
        <f t="array" ref="BE25">_xlfn.XLOOKUP(MIN(ABS($AY$6:$AY$22 - MEDIAN(-2, 2, BC25))), ABS($AY$6:$AY$22 - MEDIAN(-2, 2, BC25)), $AZ$6:$AZ$22, "Error", 0)</f>
        <v>10</v>
      </c>
      <c r="BH25" s="12">
        <f t="shared" si="1"/>
        <v>0</v>
      </c>
    </row>
    <row r="26" spans="1:60" ht="25" customHeight="1">
      <c r="A26" s="37" t="s">
        <v>52</v>
      </c>
      <c r="B26" s="30">
        <f>B8-B5</f>
        <v>5.8</v>
      </c>
      <c r="C26" s="30">
        <f t="shared" ref="C26:AW26" si="13">C8-C5</f>
        <v>7.1000000000000005</v>
      </c>
      <c r="D26" s="30">
        <f t="shared" si="13"/>
        <v>6.8999999999999995</v>
      </c>
      <c r="E26" s="30">
        <f t="shared" si="13"/>
        <v>5.1999999999999993</v>
      </c>
      <c r="F26" s="30">
        <f t="shared" si="13"/>
        <v>5.4999999999999991</v>
      </c>
      <c r="G26" s="30">
        <f t="shared" si="13"/>
        <v>4.6000000000000005</v>
      </c>
      <c r="H26" s="30">
        <f t="shared" si="13"/>
        <v>3.5</v>
      </c>
      <c r="I26" s="30">
        <f t="shared" si="13"/>
        <v>3.5</v>
      </c>
      <c r="J26" s="30">
        <f t="shared" si="13"/>
        <v>3.7</v>
      </c>
      <c r="K26" s="30">
        <f t="shared" si="13"/>
        <v>1.2999999999999998</v>
      </c>
      <c r="L26" s="30">
        <f t="shared" si="13"/>
        <v>1.1000000000000001</v>
      </c>
      <c r="M26" s="30">
        <f t="shared" si="13"/>
        <v>1.4</v>
      </c>
      <c r="N26" s="30">
        <f t="shared" si="13"/>
        <v>1.7999999999999998</v>
      </c>
      <c r="O26" s="30">
        <f t="shared" si="13"/>
        <v>0.60000000000000009</v>
      </c>
      <c r="P26" s="30">
        <f t="shared" si="13"/>
        <v>0.5</v>
      </c>
      <c r="Q26" s="30">
        <f t="shared" si="13"/>
        <v>-0.20000000000000018</v>
      </c>
      <c r="R26" s="30">
        <f t="shared" si="13"/>
        <v>-0.79999999999999982</v>
      </c>
      <c r="S26" s="30">
        <f t="shared" si="13"/>
        <v>-0.79999999999999982</v>
      </c>
      <c r="T26" s="30">
        <f t="shared" si="13"/>
        <v>-0.59999999999999964</v>
      </c>
      <c r="U26" s="30">
        <f t="shared" si="13"/>
        <v>-0.79999999999999982</v>
      </c>
      <c r="V26" s="30">
        <f t="shared" si="13"/>
        <v>-0.8</v>
      </c>
      <c r="W26" s="30">
        <f t="shared" si="13"/>
        <v>0</v>
      </c>
      <c r="X26" s="30">
        <f t="shared" si="13"/>
        <v>-0.29999999999999982</v>
      </c>
      <c r="Y26" s="30">
        <f t="shared" si="13"/>
        <v>-1.1000000000000001</v>
      </c>
      <c r="Z26" s="30">
        <f t="shared" si="13"/>
        <v>-1</v>
      </c>
      <c r="AA26" s="30">
        <f t="shared" si="13"/>
        <v>-0.90000000000000036</v>
      </c>
      <c r="AB26" s="30">
        <f t="shared" si="13"/>
        <v>-1</v>
      </c>
      <c r="AC26" s="30">
        <f t="shared" si="13"/>
        <v>-0.10000000000000009</v>
      </c>
      <c r="AD26" s="30">
        <f t="shared" si="13"/>
        <v>-0.10000000000000009</v>
      </c>
      <c r="AE26" s="30">
        <f t="shared" si="13"/>
        <v>0.30000000000000027</v>
      </c>
      <c r="AF26" s="30">
        <f t="shared" si="13"/>
        <v>0.69999999999999973</v>
      </c>
      <c r="AG26" s="30">
        <f t="shared" si="13"/>
        <v>1.0999999999999996</v>
      </c>
      <c r="AH26" s="30">
        <f t="shared" si="13"/>
        <v>0.89999999999999991</v>
      </c>
      <c r="AI26" s="30">
        <f t="shared" si="13"/>
        <v>0.60000000000000009</v>
      </c>
      <c r="AJ26" s="30">
        <f t="shared" si="13"/>
        <v>0.30000000000000027</v>
      </c>
      <c r="AK26" s="30">
        <f t="shared" si="13"/>
        <v>1.2999999999999998</v>
      </c>
      <c r="AL26" s="30">
        <f t="shared" si="13"/>
        <v>1.5</v>
      </c>
      <c r="AM26" s="30">
        <f t="shared" si="13"/>
        <v>1.7</v>
      </c>
      <c r="AN26" s="30">
        <f t="shared" si="13"/>
        <v>1.7999999999999998</v>
      </c>
      <c r="AO26" s="30">
        <f t="shared" si="13"/>
        <v>1.4</v>
      </c>
      <c r="AP26" s="30">
        <f t="shared" si="13"/>
        <v>1.2999999999999998</v>
      </c>
      <c r="AQ26" s="30">
        <f t="shared" si="13"/>
        <v>1</v>
      </c>
      <c r="AR26" s="30">
        <f t="shared" si="13"/>
        <v>1</v>
      </c>
      <c r="AS26" s="30">
        <f t="shared" si="13"/>
        <v>1.0999999999999999</v>
      </c>
      <c r="AT26" s="30">
        <f t="shared" si="13"/>
        <v>1.8</v>
      </c>
      <c r="AU26" s="30">
        <f t="shared" si="13"/>
        <v>1.7</v>
      </c>
      <c r="AV26" s="30">
        <f t="shared" si="13"/>
        <v>0</v>
      </c>
      <c r="AW26" s="30">
        <f t="shared" si="13"/>
        <v>0</v>
      </c>
      <c r="AX26" s="127"/>
      <c r="BB26" s="41" t="s">
        <v>18</v>
      </c>
      <c r="BC26" s="123">
        <f t="shared" si="0"/>
        <v>2.2999999999999998</v>
      </c>
      <c r="BD26" s="124">
        <v>10</v>
      </c>
      <c r="BE26" s="12" t="str" cm="1">
        <f t="array" ref="BE26">_xlfn.XLOOKUP(MIN(ABS($AY$6:$AY$22 - MEDIAN(-2, 2, BC26))), ABS($AY$6:$AY$22 - MEDIAN(-2, 2, BC26)), $AZ$6:$AZ$22, "Error", 0)</f>
        <v>10</v>
      </c>
      <c r="BH26" s="12">
        <f t="shared" si="1"/>
        <v>0</v>
      </c>
    </row>
    <row r="27" spans="1:60" ht="25" customHeight="1">
      <c r="A27" s="37" t="s">
        <v>53</v>
      </c>
      <c r="B27" s="30">
        <f>B8-B6</f>
        <v>6.8</v>
      </c>
      <c r="C27" s="30">
        <f t="shared" ref="C27:AW27" si="14">C8-C6</f>
        <v>7</v>
      </c>
      <c r="D27" s="30">
        <f t="shared" si="14"/>
        <v>7.1999999999999993</v>
      </c>
      <c r="E27" s="30">
        <f t="shared" si="14"/>
        <v>6.1</v>
      </c>
      <c r="F27" s="30">
        <f t="shared" si="14"/>
        <v>6.4999999999999991</v>
      </c>
      <c r="G27" s="30">
        <f t="shared" si="14"/>
        <v>6.2</v>
      </c>
      <c r="H27" s="30">
        <f t="shared" si="14"/>
        <v>5.1999999999999993</v>
      </c>
      <c r="I27" s="30">
        <f t="shared" si="14"/>
        <v>5.0999999999999996</v>
      </c>
      <c r="J27" s="30">
        <f t="shared" si="14"/>
        <v>5</v>
      </c>
      <c r="K27" s="30">
        <f t="shared" si="14"/>
        <v>2.8999999999999995</v>
      </c>
      <c r="L27" s="30">
        <f t="shared" si="14"/>
        <v>2.5</v>
      </c>
      <c r="M27" s="30">
        <f t="shared" si="14"/>
        <v>2.2999999999999998</v>
      </c>
      <c r="N27" s="30">
        <f t="shared" si="14"/>
        <v>2.7</v>
      </c>
      <c r="O27" s="30">
        <f t="shared" si="14"/>
        <v>2.2000000000000002</v>
      </c>
      <c r="P27" s="30">
        <f t="shared" si="14"/>
        <v>2.2000000000000002</v>
      </c>
      <c r="Q27" s="30">
        <f t="shared" si="14"/>
        <v>0.89999999999999991</v>
      </c>
      <c r="R27" s="30">
        <f t="shared" si="14"/>
        <v>0.60000000000000009</v>
      </c>
      <c r="S27" s="30">
        <f t="shared" si="14"/>
        <v>0.7</v>
      </c>
      <c r="T27" s="30">
        <f t="shared" si="14"/>
        <v>0.90000000000000013</v>
      </c>
      <c r="U27" s="30">
        <f t="shared" si="14"/>
        <v>1.1000000000000001</v>
      </c>
      <c r="V27" s="30">
        <f t="shared" si="14"/>
        <v>0.89999999999999991</v>
      </c>
      <c r="W27" s="30">
        <f t="shared" si="14"/>
        <v>1.6999999999999997</v>
      </c>
      <c r="X27" s="30">
        <f t="shared" si="14"/>
        <v>1.9000000000000001</v>
      </c>
      <c r="Y27" s="30">
        <f t="shared" si="14"/>
        <v>1.9</v>
      </c>
      <c r="Z27" s="30">
        <f t="shared" si="14"/>
        <v>2.6</v>
      </c>
      <c r="AA27" s="30">
        <f t="shared" si="14"/>
        <v>2.5</v>
      </c>
      <c r="AB27" s="30">
        <f t="shared" si="14"/>
        <v>2.3000000000000003</v>
      </c>
      <c r="AC27" s="30">
        <f t="shared" si="14"/>
        <v>3.5</v>
      </c>
      <c r="AD27" s="30">
        <f t="shared" si="14"/>
        <v>3.5</v>
      </c>
      <c r="AE27" s="30">
        <f t="shared" si="14"/>
        <v>3.5</v>
      </c>
      <c r="AF27" s="30">
        <f t="shared" si="14"/>
        <v>3.5999999999999996</v>
      </c>
      <c r="AG27" s="30">
        <f t="shared" si="14"/>
        <v>3.5999999999999996</v>
      </c>
      <c r="AH27" s="30">
        <f t="shared" si="14"/>
        <v>3.5999999999999996</v>
      </c>
      <c r="AI27" s="30">
        <f t="shared" si="14"/>
        <v>3.5</v>
      </c>
      <c r="AJ27" s="30">
        <f t="shared" si="14"/>
        <v>3.2</v>
      </c>
      <c r="AK27" s="30">
        <f t="shared" si="14"/>
        <v>3.3</v>
      </c>
      <c r="AL27" s="30">
        <f t="shared" si="14"/>
        <v>2.9</v>
      </c>
      <c r="AM27" s="30">
        <f t="shared" si="14"/>
        <v>2.9</v>
      </c>
      <c r="AN27" s="30">
        <f t="shared" si="14"/>
        <v>3</v>
      </c>
      <c r="AO27" s="30">
        <f t="shared" si="14"/>
        <v>2.1999999999999997</v>
      </c>
      <c r="AP27" s="30">
        <f t="shared" si="14"/>
        <v>2.1999999999999997</v>
      </c>
      <c r="AQ27" s="30">
        <f t="shared" si="14"/>
        <v>2.1</v>
      </c>
      <c r="AR27" s="30">
        <f t="shared" si="14"/>
        <v>2.5</v>
      </c>
      <c r="AS27" s="30">
        <f t="shared" si="14"/>
        <v>2.0999999999999996</v>
      </c>
      <c r="AT27" s="30">
        <f t="shared" si="14"/>
        <v>2.8</v>
      </c>
      <c r="AU27" s="30">
        <f t="shared" si="14"/>
        <v>2.8</v>
      </c>
      <c r="AV27" s="30">
        <f t="shared" si="14"/>
        <v>0</v>
      </c>
      <c r="AW27" s="30">
        <f t="shared" si="14"/>
        <v>0</v>
      </c>
      <c r="AX27" s="127"/>
      <c r="BB27" s="129" t="s">
        <v>59</v>
      </c>
      <c r="BC27" s="123">
        <f t="shared" si="0"/>
        <v>0.69999999999999973</v>
      </c>
      <c r="BD27" s="124">
        <v>6</v>
      </c>
      <c r="BE27" s="12" t="str" cm="1">
        <f t="array" ref="BE27">_xlfn.XLOOKUP(MIN(ABS($AY$6:$AY$22 - MEDIAN(-2, 2, BC27))), ABS($AY$6:$AY$22 - MEDIAN(-2, 2, BC27)), $AZ$6:$AZ$22, "Error", 0)</f>
        <v>-8</v>
      </c>
      <c r="BH27" s="12">
        <f t="shared" si="1"/>
        <v>14</v>
      </c>
    </row>
    <row r="28" spans="1:60" ht="25" customHeight="1">
      <c r="A28" s="37" t="s">
        <v>54</v>
      </c>
      <c r="B28" s="30">
        <f>B8-B4</f>
        <v>4.1999999999999993</v>
      </c>
      <c r="C28" s="30">
        <f t="shared" ref="C28:AW28" si="15">C8-C4</f>
        <v>5.2</v>
      </c>
      <c r="D28" s="30">
        <f t="shared" si="15"/>
        <v>5.8</v>
      </c>
      <c r="E28" s="30">
        <f t="shared" si="15"/>
        <v>4.2999999999999989</v>
      </c>
      <c r="F28" s="30">
        <f t="shared" si="15"/>
        <v>5.2999999999999989</v>
      </c>
      <c r="G28" s="30">
        <f t="shared" si="15"/>
        <v>5.1000000000000005</v>
      </c>
      <c r="H28" s="30">
        <f t="shared" si="15"/>
        <v>3.5</v>
      </c>
      <c r="I28" s="30">
        <f t="shared" si="15"/>
        <v>2.7</v>
      </c>
      <c r="J28" s="30">
        <f t="shared" si="15"/>
        <v>2.9000000000000004</v>
      </c>
      <c r="K28" s="30">
        <f t="shared" si="15"/>
        <v>1.4999999999999996</v>
      </c>
      <c r="L28" s="30">
        <f t="shared" si="15"/>
        <v>0.79999999999999982</v>
      </c>
      <c r="M28" s="30">
        <f t="shared" si="15"/>
        <v>0.60000000000000009</v>
      </c>
      <c r="N28" s="30">
        <f t="shared" si="15"/>
        <v>1.1000000000000001</v>
      </c>
      <c r="O28" s="30">
        <f t="shared" si="15"/>
        <v>0.60000000000000009</v>
      </c>
      <c r="P28" s="30">
        <f t="shared" si="15"/>
        <v>0.30000000000000027</v>
      </c>
      <c r="Q28" s="30">
        <f t="shared" si="15"/>
        <v>-0.40000000000000036</v>
      </c>
      <c r="R28" s="30">
        <f t="shared" si="15"/>
        <v>-0.89999999999999991</v>
      </c>
      <c r="S28" s="30">
        <f t="shared" si="15"/>
        <v>-0.70000000000000018</v>
      </c>
      <c r="T28" s="30">
        <f t="shared" si="15"/>
        <v>-0.29999999999999982</v>
      </c>
      <c r="U28" s="30">
        <f t="shared" si="15"/>
        <v>0.20000000000000018</v>
      </c>
      <c r="V28" s="30">
        <f t="shared" si="15"/>
        <v>9.9999999999999867E-2</v>
      </c>
      <c r="W28" s="30">
        <f t="shared" si="15"/>
        <v>0.29999999999999982</v>
      </c>
      <c r="X28" s="30">
        <f t="shared" si="15"/>
        <v>0.70000000000000018</v>
      </c>
      <c r="Y28" s="30">
        <f t="shared" si="15"/>
        <v>0.7</v>
      </c>
      <c r="Z28" s="30">
        <f t="shared" si="15"/>
        <v>1.1000000000000001</v>
      </c>
      <c r="AA28" s="30">
        <f t="shared" si="15"/>
        <v>0.19999999999999973</v>
      </c>
      <c r="AB28" s="30">
        <f t="shared" si="15"/>
        <v>0.30000000000000027</v>
      </c>
      <c r="AC28" s="30">
        <f t="shared" si="15"/>
        <v>1.8</v>
      </c>
      <c r="AD28" s="30">
        <f t="shared" si="15"/>
        <v>1.7</v>
      </c>
      <c r="AE28" s="30">
        <f t="shared" si="15"/>
        <v>1.7000000000000002</v>
      </c>
      <c r="AF28" s="30">
        <f t="shared" si="15"/>
        <v>2.0999999999999996</v>
      </c>
      <c r="AG28" s="30">
        <f t="shared" si="15"/>
        <v>1.9</v>
      </c>
      <c r="AH28" s="30">
        <f t="shared" si="15"/>
        <v>1.4</v>
      </c>
      <c r="AI28" s="30">
        <f t="shared" si="15"/>
        <v>1.4</v>
      </c>
      <c r="AJ28" s="30">
        <f t="shared" si="15"/>
        <v>1</v>
      </c>
      <c r="AK28" s="30">
        <f t="shared" si="15"/>
        <v>1</v>
      </c>
      <c r="AL28" s="30">
        <f t="shared" si="15"/>
        <v>0.70000000000000018</v>
      </c>
      <c r="AM28" s="30">
        <f t="shared" si="15"/>
        <v>1.2</v>
      </c>
      <c r="AN28" s="30">
        <f t="shared" si="15"/>
        <v>0.89999999999999991</v>
      </c>
      <c r="AO28" s="30">
        <f t="shared" si="15"/>
        <v>0</v>
      </c>
      <c r="AP28" s="30">
        <f t="shared" si="15"/>
        <v>-0.40000000000000036</v>
      </c>
      <c r="AQ28" s="30">
        <f t="shared" si="15"/>
        <v>-0.19999999999999973</v>
      </c>
      <c r="AR28" s="30">
        <f t="shared" si="15"/>
        <v>-0.10000000000000009</v>
      </c>
      <c r="AS28" s="30">
        <f t="shared" si="15"/>
        <v>0</v>
      </c>
      <c r="AT28" s="30">
        <f t="shared" si="15"/>
        <v>0.70000000000000018</v>
      </c>
      <c r="AU28" s="30">
        <f t="shared" si="15"/>
        <v>0.89999999999999991</v>
      </c>
      <c r="AV28" s="30">
        <f t="shared" si="15"/>
        <v>0</v>
      </c>
      <c r="AW28" s="30">
        <f t="shared" si="15"/>
        <v>0</v>
      </c>
      <c r="AX28" s="127"/>
      <c r="BB28" s="41" t="s">
        <v>20</v>
      </c>
      <c r="BC28" s="123">
        <f t="shared" si="0"/>
        <v>1.5</v>
      </c>
      <c r="BD28" s="124">
        <v>8</v>
      </c>
      <c r="BE28" s="12" t="str" cm="1">
        <f t="array" ref="BE28">_xlfn.XLOOKUP(MIN(ABS($AY$6:$AY$22 - MEDIAN(-2, 2, BC28))), ABS($AY$6:$AY$22 - MEDIAN(-2, 2, BC28)), $AZ$6:$AZ$22, "Error", 0)</f>
        <v>8</v>
      </c>
      <c r="BH28" s="12">
        <f t="shared" si="1"/>
        <v>0</v>
      </c>
    </row>
    <row r="29" spans="1:60" ht="25" customHeight="1">
      <c r="A29" s="37" t="s">
        <v>55</v>
      </c>
      <c r="B29" s="30">
        <f>B8-B3</f>
        <v>2.5999999999999996</v>
      </c>
      <c r="C29" s="30">
        <f t="shared" ref="C29:AW29" si="16">C8-C3</f>
        <v>3.6000000000000005</v>
      </c>
      <c r="D29" s="30">
        <f t="shared" si="16"/>
        <v>3.8</v>
      </c>
      <c r="E29" s="30">
        <f t="shared" si="16"/>
        <v>1.9999999999999991</v>
      </c>
      <c r="F29" s="30">
        <f t="shared" si="16"/>
        <v>3.1999999999999993</v>
      </c>
      <c r="G29" s="30">
        <f t="shared" si="16"/>
        <v>2.5</v>
      </c>
      <c r="H29" s="30">
        <f t="shared" si="16"/>
        <v>1.8999999999999995</v>
      </c>
      <c r="I29" s="30">
        <f t="shared" si="16"/>
        <v>1.5</v>
      </c>
      <c r="J29" s="30">
        <f t="shared" si="16"/>
        <v>1.1000000000000005</v>
      </c>
      <c r="K29" s="30">
        <f t="shared" si="16"/>
        <v>-0.30000000000000071</v>
      </c>
      <c r="L29" s="30">
        <f t="shared" si="16"/>
        <v>-0.39999999999999991</v>
      </c>
      <c r="M29" s="30">
        <f t="shared" si="16"/>
        <v>0.60000000000000009</v>
      </c>
      <c r="N29" s="30">
        <f t="shared" si="16"/>
        <v>0.60000000000000009</v>
      </c>
      <c r="O29" s="30">
        <f t="shared" si="16"/>
        <v>0</v>
      </c>
      <c r="P29" s="30">
        <f t="shared" si="16"/>
        <v>-0.29999999999999982</v>
      </c>
      <c r="Q29" s="30">
        <f t="shared" si="16"/>
        <v>-1.3000000000000003</v>
      </c>
      <c r="R29" s="30">
        <f t="shared" si="16"/>
        <v>-2</v>
      </c>
      <c r="S29" s="30">
        <f t="shared" si="16"/>
        <v>-1.7999999999999998</v>
      </c>
      <c r="T29" s="30">
        <f t="shared" si="16"/>
        <v>-1.2999999999999998</v>
      </c>
      <c r="U29" s="30">
        <f t="shared" si="16"/>
        <v>-0.5</v>
      </c>
      <c r="V29" s="30">
        <f t="shared" si="16"/>
        <v>-0.40000000000000013</v>
      </c>
      <c r="W29" s="30">
        <f t="shared" si="16"/>
        <v>0.19999999999999973</v>
      </c>
      <c r="X29" s="30">
        <f t="shared" si="16"/>
        <v>0.20000000000000018</v>
      </c>
      <c r="Y29" s="30">
        <f t="shared" si="16"/>
        <v>0.10000000000000009</v>
      </c>
      <c r="Z29" s="30">
        <f t="shared" si="16"/>
        <v>0.60000000000000009</v>
      </c>
      <c r="AA29" s="30">
        <f t="shared" si="16"/>
        <v>0.39999999999999991</v>
      </c>
      <c r="AB29" s="30">
        <f t="shared" si="16"/>
        <v>0.20000000000000018</v>
      </c>
      <c r="AC29" s="30">
        <f t="shared" si="16"/>
        <v>1.1000000000000001</v>
      </c>
      <c r="AD29" s="30">
        <f t="shared" si="16"/>
        <v>1.2999999999999998</v>
      </c>
      <c r="AE29" s="30">
        <f t="shared" si="16"/>
        <v>1.7000000000000002</v>
      </c>
      <c r="AF29" s="30">
        <f t="shared" si="16"/>
        <v>0.79999999999999982</v>
      </c>
      <c r="AG29" s="30">
        <f t="shared" si="16"/>
        <v>0.59999999999999964</v>
      </c>
      <c r="AH29" s="30">
        <f t="shared" si="16"/>
        <v>0.19999999999999973</v>
      </c>
      <c r="AI29" s="30">
        <f t="shared" si="16"/>
        <v>-0.19999999999999973</v>
      </c>
      <c r="AJ29" s="30">
        <f t="shared" si="16"/>
        <v>-0.19999999999999973</v>
      </c>
      <c r="AK29" s="30">
        <f t="shared" si="16"/>
        <v>-0.39999999999999991</v>
      </c>
      <c r="AL29" s="30">
        <f t="shared" si="16"/>
        <v>-0.79999999999999982</v>
      </c>
      <c r="AM29" s="30">
        <f t="shared" si="16"/>
        <v>-0.70000000000000018</v>
      </c>
      <c r="AN29" s="30">
        <f t="shared" si="16"/>
        <v>-1.2999999999999998</v>
      </c>
      <c r="AO29" s="30">
        <f t="shared" si="16"/>
        <v>-1.4000000000000004</v>
      </c>
      <c r="AP29" s="30">
        <f t="shared" si="16"/>
        <v>-1.2000000000000002</v>
      </c>
      <c r="AQ29" s="30">
        <f t="shared" si="16"/>
        <v>-1.1999999999999997</v>
      </c>
      <c r="AR29" s="30">
        <f t="shared" si="16"/>
        <v>-0.60000000000000009</v>
      </c>
      <c r="AS29" s="30">
        <f t="shared" si="16"/>
        <v>-1.1000000000000001</v>
      </c>
      <c r="AT29" s="30">
        <f t="shared" si="16"/>
        <v>-0.49999999999999956</v>
      </c>
      <c r="AU29" s="30">
        <f t="shared" si="16"/>
        <v>-0.70000000000000018</v>
      </c>
      <c r="AV29" s="30">
        <f t="shared" si="16"/>
        <v>0</v>
      </c>
      <c r="AW29" s="30">
        <f t="shared" si="16"/>
        <v>0</v>
      </c>
      <c r="AX29" s="127"/>
      <c r="BB29" s="42" t="s">
        <v>19</v>
      </c>
      <c r="BC29" s="123">
        <f t="shared" si="0"/>
        <v>0.79999999999999982</v>
      </c>
      <c r="BD29" s="124">
        <v>-8</v>
      </c>
      <c r="BE29" s="12" t="str" cm="1">
        <f t="array" ref="BE29">_xlfn.XLOOKUP(MIN(ABS($AY$6:$AY$22 - MEDIAN(-2, 2, BC29))), ABS($AY$6:$AY$22 - MEDIAN(-2, 2, BC29)), $AZ$6:$AZ$22, "Error", 0)</f>
        <v>-8</v>
      </c>
      <c r="BH29" s="12">
        <f t="shared" si="1"/>
        <v>0</v>
      </c>
    </row>
    <row r="30" spans="1:60" ht="25" customHeight="1">
      <c r="A30" s="37" t="s">
        <v>56</v>
      </c>
      <c r="B30" s="30">
        <f>B8-B7</f>
        <v>3.3999999999999995</v>
      </c>
      <c r="C30" s="30">
        <f t="shared" ref="C30:AW30" si="17">C8-C7</f>
        <v>3.7</v>
      </c>
      <c r="D30" s="30">
        <f t="shared" si="17"/>
        <v>3.3999999999999995</v>
      </c>
      <c r="E30" s="30">
        <f t="shared" si="17"/>
        <v>2.6999999999999993</v>
      </c>
      <c r="F30" s="30">
        <f t="shared" si="17"/>
        <v>2.6999999999999993</v>
      </c>
      <c r="G30" s="30">
        <f t="shared" si="17"/>
        <v>1.9000000000000004</v>
      </c>
      <c r="H30" s="30">
        <f t="shared" si="17"/>
        <v>1.2000000000000002</v>
      </c>
      <c r="I30" s="30">
        <f t="shared" si="17"/>
        <v>1.1000000000000005</v>
      </c>
      <c r="J30" s="30">
        <f t="shared" si="17"/>
        <v>1.1000000000000005</v>
      </c>
      <c r="K30" s="30">
        <f t="shared" si="17"/>
        <v>-0.10000000000000053</v>
      </c>
      <c r="L30" s="30">
        <f t="shared" si="17"/>
        <v>-0.80000000000000027</v>
      </c>
      <c r="M30" s="30">
        <f t="shared" si="17"/>
        <v>-0.70000000000000018</v>
      </c>
      <c r="N30" s="30">
        <f t="shared" si="17"/>
        <v>0</v>
      </c>
      <c r="O30" s="30">
        <f t="shared" si="17"/>
        <v>-0.60000000000000009</v>
      </c>
      <c r="P30" s="30">
        <f t="shared" si="17"/>
        <v>-0.79999999999999982</v>
      </c>
      <c r="Q30" s="30">
        <f t="shared" si="17"/>
        <v>-1</v>
      </c>
      <c r="R30" s="30">
        <f t="shared" si="17"/>
        <v>-1.2999999999999998</v>
      </c>
      <c r="S30" s="30">
        <f t="shared" si="17"/>
        <v>-1.2999999999999998</v>
      </c>
      <c r="T30" s="30">
        <f t="shared" si="17"/>
        <v>0</v>
      </c>
      <c r="U30" s="30">
        <f t="shared" si="17"/>
        <v>0</v>
      </c>
      <c r="V30" s="30">
        <f t="shared" si="17"/>
        <v>-0.50000000000000022</v>
      </c>
      <c r="W30" s="30">
        <f t="shared" si="17"/>
        <v>9.9999999999999645E-2</v>
      </c>
      <c r="X30" s="30">
        <f t="shared" si="17"/>
        <v>0.39999999999999991</v>
      </c>
      <c r="Y30" s="30">
        <f t="shared" si="17"/>
        <v>0.29999999999999982</v>
      </c>
      <c r="Z30" s="30">
        <f t="shared" si="17"/>
        <v>0.5</v>
      </c>
      <c r="AA30" s="30">
        <f t="shared" si="17"/>
        <v>0.29999999999999982</v>
      </c>
      <c r="AB30" s="30">
        <f t="shared" si="17"/>
        <v>0.10000000000000009</v>
      </c>
      <c r="AC30" s="30">
        <f t="shared" si="17"/>
        <v>0.79999999999999982</v>
      </c>
      <c r="AD30" s="30">
        <f t="shared" si="17"/>
        <v>0.69999999999999973</v>
      </c>
      <c r="AE30" s="30">
        <f t="shared" si="17"/>
        <v>0.89999999999999991</v>
      </c>
      <c r="AF30" s="30">
        <f t="shared" si="17"/>
        <v>0.79999999999999982</v>
      </c>
      <c r="AG30" s="30">
        <f t="shared" si="17"/>
        <v>0.79999999999999982</v>
      </c>
      <c r="AH30" s="30">
        <f t="shared" si="17"/>
        <v>0.79999999999999982</v>
      </c>
      <c r="AI30" s="30">
        <f t="shared" si="17"/>
        <v>0.5</v>
      </c>
      <c r="AJ30" s="30">
        <f t="shared" si="17"/>
        <v>0.10000000000000009</v>
      </c>
      <c r="AK30" s="30">
        <f t="shared" si="17"/>
        <v>0.29999999999999982</v>
      </c>
      <c r="AL30" s="30">
        <f t="shared" si="17"/>
        <v>-0.10000000000000009</v>
      </c>
      <c r="AM30" s="30">
        <f t="shared" si="17"/>
        <v>-0.10000000000000009</v>
      </c>
      <c r="AN30" s="30">
        <f t="shared" si="17"/>
        <v>0.19999999999999973</v>
      </c>
      <c r="AO30" s="30">
        <f t="shared" si="17"/>
        <v>-1.2999999999999998</v>
      </c>
      <c r="AP30" s="30">
        <f t="shared" si="17"/>
        <v>-1.2999999999999998</v>
      </c>
      <c r="AQ30" s="30">
        <f t="shared" si="17"/>
        <v>-1.4999999999999996</v>
      </c>
      <c r="AR30" s="30">
        <f t="shared" si="17"/>
        <v>-0.80000000000000027</v>
      </c>
      <c r="AS30" s="30">
        <f t="shared" si="17"/>
        <v>-0.80000000000000027</v>
      </c>
      <c r="AT30" s="30">
        <f t="shared" si="17"/>
        <v>-0.10000000000000009</v>
      </c>
      <c r="AU30" s="30">
        <f t="shared" si="17"/>
        <v>0</v>
      </c>
      <c r="AV30" s="30">
        <f t="shared" si="17"/>
        <v>0</v>
      </c>
      <c r="AW30" s="30">
        <f t="shared" si="17"/>
        <v>0</v>
      </c>
      <c r="AX30" s="127"/>
      <c r="BC30" s="12">
        <v>0.7</v>
      </c>
      <c r="BD30" s="12">
        <v>-8</v>
      </c>
      <c r="BE30" s="12" t="str" cm="1">
        <f t="array" ref="BE30">_xlfn.XLOOKUP(MIN(ABS($AY$6:$AY$22 - MEDIAN(-2, 2, BC30))), ABS($AY$6:$AY$22 - MEDIAN(-2, 2, BC30)), $AZ$6:$AZ$22, "Error", 0)</f>
        <v>-8</v>
      </c>
      <c r="BH30" s="12">
        <f t="shared" si="1"/>
        <v>0</v>
      </c>
    </row>
    <row r="31" spans="1:60" ht="25" customHeight="1">
      <c r="A31" s="40" t="s">
        <v>57</v>
      </c>
      <c r="B31" s="30">
        <f>B6-B5</f>
        <v>-1</v>
      </c>
      <c r="C31" s="30">
        <f t="shared" ref="C31:AW31" si="18">C6-C5</f>
        <v>0.10000000000000009</v>
      </c>
      <c r="D31" s="30">
        <f t="shared" si="18"/>
        <v>-0.30000000000000027</v>
      </c>
      <c r="E31" s="30">
        <f t="shared" si="18"/>
        <v>-0.89999999999999991</v>
      </c>
      <c r="F31" s="30">
        <f t="shared" si="18"/>
        <v>-1</v>
      </c>
      <c r="G31" s="30">
        <f t="shared" si="18"/>
        <v>-1.5999999999999999</v>
      </c>
      <c r="H31" s="30">
        <f t="shared" si="18"/>
        <v>-1.6999999999999997</v>
      </c>
      <c r="I31" s="30">
        <f t="shared" si="18"/>
        <v>-1.6</v>
      </c>
      <c r="J31" s="30">
        <f t="shared" si="18"/>
        <v>-1.3</v>
      </c>
      <c r="K31" s="30">
        <f t="shared" si="18"/>
        <v>-1.5999999999999999</v>
      </c>
      <c r="L31" s="30">
        <f t="shared" si="18"/>
        <v>-1.4</v>
      </c>
      <c r="M31" s="30">
        <f t="shared" si="18"/>
        <v>-0.90000000000000013</v>
      </c>
      <c r="N31" s="30">
        <f t="shared" si="18"/>
        <v>-0.90000000000000013</v>
      </c>
      <c r="O31" s="30">
        <f t="shared" si="18"/>
        <v>-1.5999999999999999</v>
      </c>
      <c r="P31" s="30">
        <f t="shared" si="18"/>
        <v>-1.7000000000000002</v>
      </c>
      <c r="Q31" s="30">
        <f t="shared" si="18"/>
        <v>-1.1000000000000001</v>
      </c>
      <c r="R31" s="30">
        <f t="shared" si="18"/>
        <v>-1.4</v>
      </c>
      <c r="S31" s="30">
        <f t="shared" si="18"/>
        <v>-1.4999999999999998</v>
      </c>
      <c r="T31" s="30">
        <f t="shared" si="18"/>
        <v>-1.4999999999999998</v>
      </c>
      <c r="U31" s="30">
        <f t="shared" si="18"/>
        <v>-1.9</v>
      </c>
      <c r="V31" s="30">
        <f t="shared" si="18"/>
        <v>-1.7</v>
      </c>
      <c r="W31" s="30">
        <f t="shared" si="18"/>
        <v>-1.6999999999999997</v>
      </c>
      <c r="X31" s="30">
        <f t="shared" si="18"/>
        <v>-2.2000000000000002</v>
      </c>
      <c r="Y31" s="30">
        <f t="shared" si="18"/>
        <v>-3</v>
      </c>
      <c r="Z31" s="30">
        <f t="shared" si="18"/>
        <v>-3.6</v>
      </c>
      <c r="AA31" s="30">
        <f t="shared" si="18"/>
        <v>-3.4000000000000004</v>
      </c>
      <c r="AB31" s="30">
        <f t="shared" si="18"/>
        <v>-3.3000000000000003</v>
      </c>
      <c r="AC31" s="30">
        <f t="shared" si="18"/>
        <v>-3.6</v>
      </c>
      <c r="AD31" s="30">
        <f t="shared" si="18"/>
        <v>-3.6</v>
      </c>
      <c r="AE31" s="30">
        <f t="shared" si="18"/>
        <v>-3.1999999999999997</v>
      </c>
      <c r="AF31" s="30">
        <f t="shared" si="18"/>
        <v>-2.9</v>
      </c>
      <c r="AG31" s="30">
        <f t="shared" si="18"/>
        <v>-2.5</v>
      </c>
      <c r="AH31" s="30">
        <f t="shared" si="18"/>
        <v>-2.6999999999999997</v>
      </c>
      <c r="AI31" s="30">
        <f t="shared" si="18"/>
        <v>-2.9</v>
      </c>
      <c r="AJ31" s="30">
        <f t="shared" si="18"/>
        <v>-2.9</v>
      </c>
      <c r="AK31" s="30">
        <f t="shared" si="18"/>
        <v>-2</v>
      </c>
      <c r="AL31" s="30">
        <f t="shared" si="18"/>
        <v>-1.4</v>
      </c>
      <c r="AM31" s="30">
        <f t="shared" si="18"/>
        <v>-1.2</v>
      </c>
      <c r="AN31" s="30">
        <f t="shared" si="18"/>
        <v>-1.2</v>
      </c>
      <c r="AO31" s="30">
        <f t="shared" si="18"/>
        <v>-0.79999999999999993</v>
      </c>
      <c r="AP31" s="30">
        <f t="shared" si="18"/>
        <v>-0.9</v>
      </c>
      <c r="AQ31" s="30">
        <f t="shared" si="18"/>
        <v>-1.1000000000000001</v>
      </c>
      <c r="AR31" s="30">
        <f t="shared" si="18"/>
        <v>-1.5</v>
      </c>
      <c r="AS31" s="30">
        <f t="shared" si="18"/>
        <v>-1</v>
      </c>
      <c r="AT31" s="30">
        <f t="shared" si="18"/>
        <v>-1</v>
      </c>
      <c r="AU31" s="30">
        <f t="shared" si="18"/>
        <v>-1.1000000000000001</v>
      </c>
      <c r="AV31" s="30">
        <f t="shared" si="18"/>
        <v>0</v>
      </c>
      <c r="AW31" s="30">
        <f t="shared" si="18"/>
        <v>0</v>
      </c>
      <c r="AX31" s="127"/>
      <c r="BC31" s="12">
        <v>0.6</v>
      </c>
      <c r="BD31" s="12">
        <v>-6</v>
      </c>
      <c r="BE31" s="12" t="str" cm="1">
        <f t="array" ref="BE31">_xlfn.XLOOKUP(MIN(ABS($AY$6:$AY$22 - MEDIAN(-2, 2, BC31))), ABS($AY$6:$AY$22 - MEDIAN(-2, 2, BC31)), $AZ$6:$AZ$22, "Error", 0)</f>
        <v>-6</v>
      </c>
      <c r="BH31" s="12">
        <f t="shared" si="1"/>
        <v>0</v>
      </c>
    </row>
    <row r="32" spans="1:60" ht="25" customHeight="1">
      <c r="A32" s="41" t="s">
        <v>10</v>
      </c>
      <c r="B32" s="30">
        <f>B3-B9</f>
        <v>1.0999999999999996</v>
      </c>
      <c r="C32" s="30">
        <f t="shared" ref="C32:AA32" si="19">C3-C9</f>
        <v>0.79999999999999982</v>
      </c>
      <c r="D32" s="30">
        <f t="shared" si="19"/>
        <v>1.2999999999999998</v>
      </c>
      <c r="E32" s="30">
        <f t="shared" si="19"/>
        <v>1.7999999999999998</v>
      </c>
      <c r="F32" s="30">
        <f t="shared" si="19"/>
        <v>1.4000000000000004</v>
      </c>
      <c r="G32" s="30">
        <f t="shared" si="19"/>
        <v>2.4000000000000004</v>
      </c>
      <c r="H32" s="30">
        <f t="shared" si="19"/>
        <v>1.7000000000000002</v>
      </c>
      <c r="I32" s="30">
        <f t="shared" si="19"/>
        <v>1.5</v>
      </c>
      <c r="J32" s="30">
        <f t="shared" si="19"/>
        <v>1.8999999999999995</v>
      </c>
      <c r="K32" s="30">
        <f t="shared" si="19"/>
        <v>1.7000000000000002</v>
      </c>
      <c r="L32" s="30">
        <f t="shared" si="19"/>
        <v>1.1999999999999997</v>
      </c>
      <c r="M32" s="30">
        <f t="shared" si="19"/>
        <v>0</v>
      </c>
      <c r="N32" s="30">
        <f t="shared" si="19"/>
        <v>0.29999999999999982</v>
      </c>
      <c r="O32" s="30">
        <f t="shared" si="19"/>
        <v>0.19999999999999973</v>
      </c>
      <c r="P32" s="30">
        <f t="shared" si="19"/>
        <v>0</v>
      </c>
      <c r="Q32" s="30">
        <f t="shared" si="19"/>
        <v>0.20000000000000018</v>
      </c>
      <c r="R32" s="30">
        <f t="shared" si="19"/>
        <v>0.70000000000000018</v>
      </c>
      <c r="S32" s="30">
        <f t="shared" si="19"/>
        <v>0.79999999999999982</v>
      </c>
      <c r="T32" s="30">
        <f t="shared" si="19"/>
        <v>0.60000000000000009</v>
      </c>
      <c r="U32" s="30">
        <f t="shared" si="19"/>
        <v>0.20000000000000018</v>
      </c>
      <c r="V32" s="30">
        <f t="shared" si="19"/>
        <v>-0.29999999999999982</v>
      </c>
      <c r="W32" s="30">
        <f t="shared" si="19"/>
        <v>-0.5</v>
      </c>
      <c r="X32" s="30">
        <f t="shared" si="19"/>
        <v>-0.30000000000000027</v>
      </c>
      <c r="Y32" s="30">
        <f t="shared" si="19"/>
        <v>-0.5</v>
      </c>
      <c r="Z32" s="30">
        <f t="shared" si="19"/>
        <v>-0.60000000000000009</v>
      </c>
      <c r="AA32" s="30">
        <f t="shared" si="19"/>
        <v>-0.39999999999999991</v>
      </c>
      <c r="AB32" s="30">
        <f>AB3-AB9</f>
        <v>0</v>
      </c>
      <c r="AC32" s="30">
        <f t="shared" ref="AC32:AW32" si="20">AC3-AC9</f>
        <v>0.10000000000000009</v>
      </c>
      <c r="AD32" s="30">
        <f t="shared" si="20"/>
        <v>-0.29999999999999982</v>
      </c>
      <c r="AE32" s="30">
        <f t="shared" si="20"/>
        <v>-0.80000000000000027</v>
      </c>
      <c r="AF32" s="30">
        <f t="shared" si="20"/>
        <v>0.29999999999999982</v>
      </c>
      <c r="AG32" s="30">
        <f t="shared" si="20"/>
        <v>0.30000000000000027</v>
      </c>
      <c r="AH32" s="30">
        <f t="shared" si="20"/>
        <v>0.60000000000000009</v>
      </c>
      <c r="AI32" s="30">
        <f t="shared" si="20"/>
        <v>1.0999999999999996</v>
      </c>
      <c r="AJ32" s="30">
        <f t="shared" si="20"/>
        <v>0.69999999999999973</v>
      </c>
      <c r="AK32" s="30">
        <f t="shared" si="20"/>
        <v>1.0999999999999996</v>
      </c>
      <c r="AL32" s="30">
        <f t="shared" si="20"/>
        <v>1.4</v>
      </c>
      <c r="AM32" s="30">
        <f t="shared" si="20"/>
        <v>1.3000000000000003</v>
      </c>
      <c r="AN32" s="30">
        <f t="shared" si="20"/>
        <v>1.2999999999999998</v>
      </c>
      <c r="AO32" s="30">
        <f t="shared" si="20"/>
        <v>0.40000000000000036</v>
      </c>
      <c r="AP32" s="30">
        <f t="shared" si="20"/>
        <v>-0.20000000000000018</v>
      </c>
      <c r="AQ32" s="30">
        <f t="shared" si="20"/>
        <v>0.29999999999999982</v>
      </c>
      <c r="AR32" s="30">
        <f t="shared" si="20"/>
        <v>0.10000000000000009</v>
      </c>
      <c r="AS32" s="30">
        <f t="shared" si="20"/>
        <v>0.29999999999999982</v>
      </c>
      <c r="AT32" s="30">
        <f t="shared" si="20"/>
        <v>0.39999999999999947</v>
      </c>
      <c r="AU32" s="30">
        <f t="shared" si="20"/>
        <v>0.80000000000000027</v>
      </c>
      <c r="AV32" s="30">
        <f t="shared" si="20"/>
        <v>0</v>
      </c>
      <c r="AW32" s="30">
        <f t="shared" si="20"/>
        <v>0</v>
      </c>
      <c r="AX32" s="127"/>
    </row>
    <row r="33" spans="1:50" ht="25" customHeight="1">
      <c r="A33" s="41" t="s">
        <v>58</v>
      </c>
      <c r="B33" s="30">
        <f>B3-B6</f>
        <v>4.2</v>
      </c>
      <c r="C33" s="30">
        <f t="shared" ref="C33:AA33" si="21">C3-C6</f>
        <v>3.4</v>
      </c>
      <c r="D33" s="30">
        <f t="shared" si="21"/>
        <v>3.4</v>
      </c>
      <c r="E33" s="30">
        <f t="shared" si="21"/>
        <v>4.0999999999999996</v>
      </c>
      <c r="F33" s="30">
        <f t="shared" si="21"/>
        <v>3.3</v>
      </c>
      <c r="G33" s="30">
        <f t="shared" si="21"/>
        <v>3.7</v>
      </c>
      <c r="H33" s="30">
        <f t="shared" si="21"/>
        <v>3.3000000000000003</v>
      </c>
      <c r="I33" s="30">
        <f t="shared" si="21"/>
        <v>3.6</v>
      </c>
      <c r="J33" s="30">
        <f t="shared" si="21"/>
        <v>3.8999999999999995</v>
      </c>
      <c r="K33" s="30">
        <f t="shared" si="21"/>
        <v>3.2</v>
      </c>
      <c r="L33" s="30">
        <f t="shared" si="21"/>
        <v>2.9</v>
      </c>
      <c r="M33" s="30">
        <f t="shared" si="21"/>
        <v>1.7</v>
      </c>
      <c r="N33" s="30">
        <f t="shared" si="21"/>
        <v>2.0999999999999996</v>
      </c>
      <c r="O33" s="30">
        <f t="shared" si="21"/>
        <v>2.2000000000000002</v>
      </c>
      <c r="P33" s="30">
        <f t="shared" si="21"/>
        <v>2.5</v>
      </c>
      <c r="Q33" s="30">
        <f t="shared" si="21"/>
        <v>2.2000000000000002</v>
      </c>
      <c r="R33" s="30">
        <f t="shared" si="21"/>
        <v>2.6</v>
      </c>
      <c r="S33" s="30">
        <f t="shared" si="21"/>
        <v>2.5</v>
      </c>
      <c r="T33" s="30">
        <f t="shared" si="21"/>
        <v>2.2000000000000002</v>
      </c>
      <c r="U33" s="30">
        <f t="shared" si="21"/>
        <v>1.6</v>
      </c>
      <c r="V33" s="30">
        <f t="shared" si="21"/>
        <v>1.3</v>
      </c>
      <c r="W33" s="30">
        <f t="shared" si="21"/>
        <v>1.5</v>
      </c>
      <c r="X33" s="30">
        <f t="shared" si="21"/>
        <v>1.7</v>
      </c>
      <c r="Y33" s="30">
        <f t="shared" si="21"/>
        <v>1.7999999999999998</v>
      </c>
      <c r="Z33" s="30">
        <f t="shared" si="21"/>
        <v>2</v>
      </c>
      <c r="AA33" s="30">
        <f t="shared" si="21"/>
        <v>2.1</v>
      </c>
      <c r="AB33" s="30">
        <f>AB3-AB6</f>
        <v>2.1</v>
      </c>
      <c r="AC33" s="30">
        <f t="shared" ref="AC33:AW33" si="22">AC3-AC6</f>
        <v>2.4</v>
      </c>
      <c r="AD33" s="30">
        <f t="shared" si="22"/>
        <v>2.2000000000000002</v>
      </c>
      <c r="AE33" s="30">
        <f t="shared" si="22"/>
        <v>1.7999999999999998</v>
      </c>
      <c r="AF33" s="30">
        <f t="shared" si="22"/>
        <v>2.8</v>
      </c>
      <c r="AG33" s="30">
        <f t="shared" si="22"/>
        <v>3</v>
      </c>
      <c r="AH33" s="30">
        <f t="shared" si="22"/>
        <v>3.4</v>
      </c>
      <c r="AI33" s="30">
        <f t="shared" si="22"/>
        <v>3.6999999999999997</v>
      </c>
      <c r="AJ33" s="30">
        <f t="shared" si="22"/>
        <v>3.4</v>
      </c>
      <c r="AK33" s="30">
        <f t="shared" si="22"/>
        <v>3.6999999999999997</v>
      </c>
      <c r="AL33" s="30">
        <f t="shared" si="22"/>
        <v>3.6999999999999997</v>
      </c>
      <c r="AM33" s="30">
        <f t="shared" si="22"/>
        <v>3.6</v>
      </c>
      <c r="AN33" s="30">
        <f t="shared" si="22"/>
        <v>4.3</v>
      </c>
      <c r="AO33" s="30">
        <f t="shared" si="22"/>
        <v>3.6</v>
      </c>
      <c r="AP33" s="30">
        <f t="shared" si="22"/>
        <v>3.4</v>
      </c>
      <c r="AQ33" s="30">
        <f t="shared" si="22"/>
        <v>3.3</v>
      </c>
      <c r="AR33" s="30">
        <f t="shared" si="22"/>
        <v>3.1</v>
      </c>
      <c r="AS33" s="30">
        <f t="shared" si="22"/>
        <v>3.2</v>
      </c>
      <c r="AT33" s="30">
        <f t="shared" si="22"/>
        <v>3.3</v>
      </c>
      <c r="AU33" s="30">
        <f t="shared" si="22"/>
        <v>3.5</v>
      </c>
      <c r="AV33" s="30">
        <f t="shared" si="22"/>
        <v>0</v>
      </c>
      <c r="AW33" s="30">
        <f t="shared" si="22"/>
        <v>0</v>
      </c>
      <c r="AX33" s="127"/>
    </row>
    <row r="34" spans="1:50" ht="25" customHeight="1">
      <c r="A34" s="41" t="s">
        <v>18</v>
      </c>
      <c r="B34" s="30">
        <f>B3-B5</f>
        <v>3.2</v>
      </c>
      <c r="C34" s="30">
        <f t="shared" ref="C34:AA34" si="23">C3-C5</f>
        <v>3.5</v>
      </c>
      <c r="D34" s="30">
        <f t="shared" si="23"/>
        <v>3.0999999999999996</v>
      </c>
      <c r="E34" s="30">
        <f t="shared" si="23"/>
        <v>3.2</v>
      </c>
      <c r="F34" s="30">
        <f t="shared" si="23"/>
        <v>2.2999999999999998</v>
      </c>
      <c r="G34" s="30">
        <f t="shared" si="23"/>
        <v>2.1000000000000005</v>
      </c>
      <c r="H34" s="30">
        <f t="shared" si="23"/>
        <v>1.6000000000000005</v>
      </c>
      <c r="I34" s="30">
        <f t="shared" si="23"/>
        <v>2</v>
      </c>
      <c r="J34" s="30">
        <f t="shared" si="23"/>
        <v>2.5999999999999996</v>
      </c>
      <c r="K34" s="30">
        <f t="shared" si="23"/>
        <v>1.6000000000000005</v>
      </c>
      <c r="L34" s="30">
        <f t="shared" si="23"/>
        <v>1.5</v>
      </c>
      <c r="M34" s="30">
        <f t="shared" si="23"/>
        <v>0.79999999999999982</v>
      </c>
      <c r="N34" s="30">
        <f t="shared" si="23"/>
        <v>1.1999999999999997</v>
      </c>
      <c r="O34" s="30">
        <f t="shared" si="23"/>
        <v>0.60000000000000009</v>
      </c>
      <c r="P34" s="30">
        <f t="shared" si="23"/>
        <v>0.79999999999999982</v>
      </c>
      <c r="Q34" s="30">
        <f t="shared" si="23"/>
        <v>1.1000000000000001</v>
      </c>
      <c r="R34" s="30">
        <f t="shared" si="23"/>
        <v>1.2000000000000002</v>
      </c>
      <c r="S34" s="30">
        <f t="shared" si="23"/>
        <v>1</v>
      </c>
      <c r="T34" s="30">
        <f t="shared" si="23"/>
        <v>0.70000000000000018</v>
      </c>
      <c r="U34" s="30">
        <f t="shared" si="23"/>
        <v>-0.29999999999999982</v>
      </c>
      <c r="V34" s="30">
        <f t="shared" si="23"/>
        <v>-0.39999999999999991</v>
      </c>
      <c r="W34" s="30">
        <f t="shared" si="23"/>
        <v>-0.19999999999999973</v>
      </c>
      <c r="X34" s="30">
        <f t="shared" si="23"/>
        <v>-0.5</v>
      </c>
      <c r="Y34" s="30">
        <f t="shared" si="23"/>
        <v>-1.2000000000000002</v>
      </c>
      <c r="Z34" s="30">
        <f t="shared" si="23"/>
        <v>-1.6</v>
      </c>
      <c r="AA34" s="30">
        <f t="shared" si="23"/>
        <v>-1.3000000000000003</v>
      </c>
      <c r="AB34" s="30">
        <f>AB3-AB5</f>
        <v>-1.2000000000000002</v>
      </c>
      <c r="AC34" s="30">
        <f t="shared" ref="AC34:AW34" si="24">AC3-AC5</f>
        <v>-1.2000000000000002</v>
      </c>
      <c r="AD34" s="30">
        <f t="shared" si="24"/>
        <v>-1.4</v>
      </c>
      <c r="AE34" s="30">
        <f t="shared" si="24"/>
        <v>-1.4</v>
      </c>
      <c r="AF34" s="30">
        <f t="shared" si="24"/>
        <v>-0.10000000000000009</v>
      </c>
      <c r="AG34" s="30">
        <f t="shared" si="24"/>
        <v>0.5</v>
      </c>
      <c r="AH34" s="30">
        <f t="shared" si="24"/>
        <v>0.70000000000000018</v>
      </c>
      <c r="AI34" s="30">
        <f t="shared" si="24"/>
        <v>0.79999999999999982</v>
      </c>
      <c r="AJ34" s="30">
        <f t="shared" si="24"/>
        <v>0.5</v>
      </c>
      <c r="AK34" s="30">
        <f t="shared" si="24"/>
        <v>1.6999999999999997</v>
      </c>
      <c r="AL34" s="30">
        <f t="shared" si="24"/>
        <v>2.2999999999999998</v>
      </c>
      <c r="AM34" s="30">
        <f t="shared" si="24"/>
        <v>2.4000000000000004</v>
      </c>
      <c r="AN34" s="30">
        <f t="shared" si="24"/>
        <v>3.0999999999999996</v>
      </c>
      <c r="AO34" s="30">
        <f t="shared" si="24"/>
        <v>2.8000000000000003</v>
      </c>
      <c r="AP34" s="30">
        <f t="shared" si="24"/>
        <v>2.5</v>
      </c>
      <c r="AQ34" s="30">
        <f t="shared" si="24"/>
        <v>2.1999999999999997</v>
      </c>
      <c r="AR34" s="30">
        <f t="shared" si="24"/>
        <v>1.6</v>
      </c>
      <c r="AS34" s="30">
        <f t="shared" si="24"/>
        <v>2.2000000000000002</v>
      </c>
      <c r="AT34" s="30">
        <f t="shared" si="24"/>
        <v>2.2999999999999998</v>
      </c>
      <c r="AU34" s="30">
        <f t="shared" si="24"/>
        <v>2.4000000000000004</v>
      </c>
      <c r="AV34" s="30">
        <f t="shared" si="24"/>
        <v>0</v>
      </c>
      <c r="AW34" s="30">
        <f t="shared" si="24"/>
        <v>0</v>
      </c>
      <c r="AX34" s="127"/>
    </row>
    <row r="35" spans="1:50" ht="25" customHeight="1">
      <c r="A35" s="41" t="s">
        <v>59</v>
      </c>
      <c r="B35" s="30">
        <f>B3-B7</f>
        <v>0.79999999999999982</v>
      </c>
      <c r="C35" s="30">
        <f t="shared" ref="C35:AA35" si="25">C3-C7</f>
        <v>9.9999999999999645E-2</v>
      </c>
      <c r="D35" s="30">
        <f t="shared" si="25"/>
        <v>-0.40000000000000036</v>
      </c>
      <c r="E35" s="30">
        <f t="shared" si="25"/>
        <v>0.70000000000000018</v>
      </c>
      <c r="F35" s="30">
        <f t="shared" si="25"/>
        <v>-0.5</v>
      </c>
      <c r="G35" s="30">
        <f t="shared" si="25"/>
        <v>-0.59999999999999964</v>
      </c>
      <c r="H35" s="30">
        <f t="shared" si="25"/>
        <v>-0.69999999999999929</v>
      </c>
      <c r="I35" s="30">
        <f t="shared" si="25"/>
        <v>-0.39999999999999947</v>
      </c>
      <c r="J35" s="30">
        <f t="shared" si="25"/>
        <v>0</v>
      </c>
      <c r="K35" s="30">
        <f t="shared" si="25"/>
        <v>0.20000000000000018</v>
      </c>
      <c r="L35" s="30">
        <f t="shared" si="25"/>
        <v>-0.40000000000000036</v>
      </c>
      <c r="M35" s="30">
        <f t="shared" si="25"/>
        <v>-1.3000000000000003</v>
      </c>
      <c r="N35" s="30">
        <f t="shared" si="25"/>
        <v>-0.60000000000000009</v>
      </c>
      <c r="O35" s="30">
        <f t="shared" si="25"/>
        <v>-0.60000000000000009</v>
      </c>
      <c r="P35" s="30">
        <f t="shared" si="25"/>
        <v>-0.5</v>
      </c>
      <c r="Q35" s="30">
        <f t="shared" si="25"/>
        <v>0.30000000000000027</v>
      </c>
      <c r="R35" s="30">
        <f t="shared" si="25"/>
        <v>0.70000000000000018</v>
      </c>
      <c r="S35" s="30">
        <f t="shared" si="25"/>
        <v>0.5</v>
      </c>
      <c r="T35" s="30">
        <f t="shared" si="25"/>
        <v>1.2999999999999998</v>
      </c>
      <c r="U35" s="30">
        <f t="shared" si="25"/>
        <v>0.5</v>
      </c>
      <c r="V35" s="30">
        <f t="shared" si="25"/>
        <v>-0.10000000000000009</v>
      </c>
      <c r="W35" s="30">
        <f t="shared" si="25"/>
        <v>-0.10000000000000009</v>
      </c>
      <c r="X35" s="30">
        <f t="shared" si="25"/>
        <v>0.19999999999999973</v>
      </c>
      <c r="Y35" s="30">
        <f t="shared" si="25"/>
        <v>0.19999999999999973</v>
      </c>
      <c r="Z35" s="30">
        <f t="shared" si="25"/>
        <v>-0.10000000000000009</v>
      </c>
      <c r="AA35" s="30">
        <f t="shared" si="25"/>
        <v>-0.10000000000000009</v>
      </c>
      <c r="AB35" s="30">
        <f>AB3-AB7</f>
        <v>-0.10000000000000009</v>
      </c>
      <c r="AC35" s="30">
        <f t="shared" ref="AC35:AW35" si="26">AC3-AC7</f>
        <v>-0.30000000000000027</v>
      </c>
      <c r="AD35" s="30">
        <f t="shared" si="26"/>
        <v>-0.60000000000000009</v>
      </c>
      <c r="AE35" s="30">
        <f t="shared" si="26"/>
        <v>-0.80000000000000027</v>
      </c>
      <c r="AF35" s="30">
        <f t="shared" si="26"/>
        <v>0</v>
      </c>
      <c r="AG35" s="30">
        <f t="shared" si="26"/>
        <v>0.20000000000000018</v>
      </c>
      <c r="AH35" s="30">
        <f t="shared" si="26"/>
        <v>0.60000000000000009</v>
      </c>
      <c r="AI35" s="30">
        <f t="shared" si="26"/>
        <v>0.69999999999999973</v>
      </c>
      <c r="AJ35" s="30">
        <f t="shared" si="26"/>
        <v>0.29999999999999982</v>
      </c>
      <c r="AK35" s="30">
        <f t="shared" si="26"/>
        <v>0.69999999999999973</v>
      </c>
      <c r="AL35" s="30">
        <f t="shared" si="26"/>
        <v>0.69999999999999973</v>
      </c>
      <c r="AM35" s="30">
        <f t="shared" si="26"/>
        <v>0.60000000000000009</v>
      </c>
      <c r="AN35" s="30">
        <f t="shared" si="26"/>
        <v>1.4999999999999996</v>
      </c>
      <c r="AO35" s="30">
        <f t="shared" si="26"/>
        <v>0.10000000000000053</v>
      </c>
      <c r="AP35" s="30">
        <f t="shared" si="26"/>
        <v>-9.9999999999999645E-2</v>
      </c>
      <c r="AQ35" s="30">
        <f t="shared" si="26"/>
        <v>-0.29999999999999982</v>
      </c>
      <c r="AR35" s="30">
        <f t="shared" si="26"/>
        <v>-0.20000000000000018</v>
      </c>
      <c r="AS35" s="30">
        <f t="shared" si="26"/>
        <v>0.29999999999999982</v>
      </c>
      <c r="AT35" s="30">
        <f t="shared" si="26"/>
        <v>0.39999999999999947</v>
      </c>
      <c r="AU35" s="30">
        <f t="shared" si="26"/>
        <v>0.70000000000000018</v>
      </c>
      <c r="AV35" s="30">
        <f t="shared" si="26"/>
        <v>0</v>
      </c>
      <c r="AW35" s="30">
        <f t="shared" si="26"/>
        <v>0</v>
      </c>
      <c r="AX35" s="127"/>
    </row>
    <row r="36" spans="1:50" ht="25" customHeight="1">
      <c r="A36" s="41" t="s">
        <v>20</v>
      </c>
      <c r="B36" s="30">
        <f>B3-B4</f>
        <v>1.5999999999999996</v>
      </c>
      <c r="C36" s="30">
        <f t="shared" ref="C36:AA36" si="27">C3-C4</f>
        <v>1.5999999999999996</v>
      </c>
      <c r="D36" s="30">
        <f t="shared" si="27"/>
        <v>2</v>
      </c>
      <c r="E36" s="30">
        <f t="shared" si="27"/>
        <v>2.2999999999999998</v>
      </c>
      <c r="F36" s="30">
        <f t="shared" si="27"/>
        <v>2.1</v>
      </c>
      <c r="G36" s="30">
        <f t="shared" si="27"/>
        <v>2.6000000000000005</v>
      </c>
      <c r="H36" s="30">
        <f t="shared" si="27"/>
        <v>1.6000000000000005</v>
      </c>
      <c r="I36" s="30">
        <f t="shared" si="27"/>
        <v>1.2000000000000002</v>
      </c>
      <c r="J36" s="30">
        <f t="shared" si="27"/>
        <v>1.7999999999999998</v>
      </c>
      <c r="K36" s="30">
        <f t="shared" si="27"/>
        <v>1.8000000000000003</v>
      </c>
      <c r="L36" s="30">
        <f t="shared" si="27"/>
        <v>1.1999999999999997</v>
      </c>
      <c r="M36" s="30">
        <f t="shared" si="27"/>
        <v>0</v>
      </c>
      <c r="N36" s="30">
        <f t="shared" si="27"/>
        <v>0.5</v>
      </c>
      <c r="O36" s="30">
        <f t="shared" si="27"/>
        <v>0.60000000000000009</v>
      </c>
      <c r="P36" s="30">
        <f t="shared" si="27"/>
        <v>0.60000000000000009</v>
      </c>
      <c r="Q36" s="30">
        <f t="shared" si="27"/>
        <v>0.89999999999999991</v>
      </c>
      <c r="R36" s="30">
        <f t="shared" si="27"/>
        <v>1.1000000000000001</v>
      </c>
      <c r="S36" s="30">
        <f t="shared" si="27"/>
        <v>1.0999999999999996</v>
      </c>
      <c r="T36" s="30">
        <f t="shared" si="27"/>
        <v>1</v>
      </c>
      <c r="U36" s="30">
        <f t="shared" si="27"/>
        <v>0.70000000000000018</v>
      </c>
      <c r="V36" s="30">
        <f t="shared" si="27"/>
        <v>0.5</v>
      </c>
      <c r="W36" s="30">
        <f t="shared" si="27"/>
        <v>0.10000000000000009</v>
      </c>
      <c r="X36" s="30">
        <f t="shared" si="27"/>
        <v>0.5</v>
      </c>
      <c r="Y36" s="30">
        <f t="shared" si="27"/>
        <v>0.59999999999999987</v>
      </c>
      <c r="Z36" s="30">
        <f t="shared" si="27"/>
        <v>0.5</v>
      </c>
      <c r="AA36" s="30">
        <f t="shared" si="27"/>
        <v>-0.20000000000000018</v>
      </c>
      <c r="AB36" s="30">
        <f>AB3-AB4</f>
        <v>0.10000000000000009</v>
      </c>
      <c r="AC36" s="30">
        <f t="shared" ref="AC36:AW36" si="28">AC3-AC4</f>
        <v>0.7</v>
      </c>
      <c r="AD36" s="30">
        <f t="shared" si="28"/>
        <v>0.40000000000000013</v>
      </c>
      <c r="AE36" s="30">
        <f t="shared" si="28"/>
        <v>0</v>
      </c>
      <c r="AF36" s="30">
        <f t="shared" si="28"/>
        <v>1.3</v>
      </c>
      <c r="AG36" s="30">
        <f t="shared" si="28"/>
        <v>1.3000000000000003</v>
      </c>
      <c r="AH36" s="30">
        <f t="shared" si="28"/>
        <v>1.2000000000000002</v>
      </c>
      <c r="AI36" s="30">
        <f t="shared" si="28"/>
        <v>1.5999999999999996</v>
      </c>
      <c r="AJ36" s="30">
        <f t="shared" si="28"/>
        <v>1.1999999999999997</v>
      </c>
      <c r="AK36" s="30">
        <f t="shared" si="28"/>
        <v>1.4</v>
      </c>
      <c r="AL36" s="30">
        <f t="shared" si="28"/>
        <v>1.5</v>
      </c>
      <c r="AM36" s="30">
        <f t="shared" si="28"/>
        <v>1.9000000000000001</v>
      </c>
      <c r="AN36" s="30">
        <f t="shared" si="28"/>
        <v>2.1999999999999997</v>
      </c>
      <c r="AO36" s="30">
        <f t="shared" si="28"/>
        <v>1.4000000000000004</v>
      </c>
      <c r="AP36" s="30">
        <f t="shared" si="28"/>
        <v>0.79999999999999982</v>
      </c>
      <c r="AQ36" s="30">
        <f t="shared" si="28"/>
        <v>1</v>
      </c>
      <c r="AR36" s="30">
        <f t="shared" si="28"/>
        <v>0.5</v>
      </c>
      <c r="AS36" s="30">
        <f t="shared" si="28"/>
        <v>1.1000000000000001</v>
      </c>
      <c r="AT36" s="30">
        <f t="shared" si="28"/>
        <v>1.1999999999999997</v>
      </c>
      <c r="AU36" s="30">
        <f t="shared" si="28"/>
        <v>1.6</v>
      </c>
      <c r="AV36" s="30">
        <f t="shared" si="28"/>
        <v>0</v>
      </c>
      <c r="AW36" s="30">
        <f t="shared" si="28"/>
        <v>0</v>
      </c>
      <c r="AX36" s="127"/>
    </row>
    <row r="37" spans="1:50" ht="25" customHeight="1">
      <c r="A37" s="42" t="s">
        <v>19</v>
      </c>
      <c r="B37" s="30">
        <f>B4-B5</f>
        <v>1.6000000000000005</v>
      </c>
      <c r="C37" s="30">
        <f t="shared" ref="C37:AW37" si="29">C4-C5</f>
        <v>1.9000000000000004</v>
      </c>
      <c r="D37" s="30">
        <f t="shared" si="29"/>
        <v>1.0999999999999996</v>
      </c>
      <c r="E37" s="30">
        <f t="shared" si="29"/>
        <v>0.90000000000000036</v>
      </c>
      <c r="F37" s="30">
        <f t="shared" si="29"/>
        <v>0.19999999999999973</v>
      </c>
      <c r="G37" s="30">
        <f t="shared" si="29"/>
        <v>-0.5</v>
      </c>
      <c r="H37" s="30">
        <f t="shared" si="29"/>
        <v>0</v>
      </c>
      <c r="I37" s="30">
        <f t="shared" si="29"/>
        <v>0.79999999999999982</v>
      </c>
      <c r="J37" s="30">
        <f t="shared" si="29"/>
        <v>0.79999999999999982</v>
      </c>
      <c r="K37" s="30">
        <f t="shared" si="29"/>
        <v>-0.19999999999999973</v>
      </c>
      <c r="L37" s="30">
        <f t="shared" si="29"/>
        <v>0.30000000000000027</v>
      </c>
      <c r="M37" s="30">
        <f t="shared" si="29"/>
        <v>0.79999999999999982</v>
      </c>
      <c r="N37" s="30">
        <f t="shared" si="29"/>
        <v>0.69999999999999973</v>
      </c>
      <c r="O37" s="30">
        <f t="shared" si="29"/>
        <v>0</v>
      </c>
      <c r="P37" s="30">
        <f t="shared" si="29"/>
        <v>0.19999999999999973</v>
      </c>
      <c r="Q37" s="30">
        <f t="shared" si="29"/>
        <v>0.20000000000000018</v>
      </c>
      <c r="R37" s="30">
        <f t="shared" si="29"/>
        <v>0.10000000000000009</v>
      </c>
      <c r="S37" s="30">
        <f t="shared" si="29"/>
        <v>-9.9999999999999645E-2</v>
      </c>
      <c r="T37" s="30">
        <f t="shared" si="29"/>
        <v>-0.29999999999999982</v>
      </c>
      <c r="U37" s="30">
        <f t="shared" si="29"/>
        <v>-1</v>
      </c>
      <c r="V37" s="30">
        <f t="shared" si="29"/>
        <v>-0.89999999999999991</v>
      </c>
      <c r="W37" s="30">
        <f t="shared" si="29"/>
        <v>-0.29999999999999982</v>
      </c>
      <c r="X37" s="30">
        <f t="shared" si="29"/>
        <v>-1</v>
      </c>
      <c r="Y37" s="30">
        <f t="shared" si="29"/>
        <v>-1.8</v>
      </c>
      <c r="Z37" s="30">
        <f t="shared" si="29"/>
        <v>-2.1</v>
      </c>
      <c r="AA37" s="30">
        <f t="shared" si="29"/>
        <v>-1.1000000000000001</v>
      </c>
      <c r="AB37" s="30">
        <f t="shared" si="29"/>
        <v>-1.3000000000000003</v>
      </c>
      <c r="AC37" s="30">
        <f t="shared" si="29"/>
        <v>-1.9000000000000001</v>
      </c>
      <c r="AD37" s="30">
        <f t="shared" si="29"/>
        <v>-1.8</v>
      </c>
      <c r="AE37" s="30">
        <f t="shared" si="29"/>
        <v>-1.4</v>
      </c>
      <c r="AF37" s="30">
        <f t="shared" si="29"/>
        <v>-1.4000000000000001</v>
      </c>
      <c r="AG37" s="30">
        <f t="shared" si="29"/>
        <v>-0.80000000000000027</v>
      </c>
      <c r="AH37" s="30">
        <f t="shared" si="29"/>
        <v>-0.5</v>
      </c>
      <c r="AI37" s="30">
        <f t="shared" si="29"/>
        <v>-0.79999999999999982</v>
      </c>
      <c r="AJ37" s="30">
        <f t="shared" si="29"/>
        <v>-0.69999999999999973</v>
      </c>
      <c r="AK37" s="30">
        <f t="shared" si="29"/>
        <v>0.29999999999999982</v>
      </c>
      <c r="AL37" s="30">
        <f t="shared" si="29"/>
        <v>0.79999999999999982</v>
      </c>
      <c r="AM37" s="30">
        <f t="shared" si="29"/>
        <v>0.5</v>
      </c>
      <c r="AN37" s="30">
        <f t="shared" si="29"/>
        <v>0.89999999999999991</v>
      </c>
      <c r="AO37" s="30">
        <f t="shared" si="29"/>
        <v>1.4</v>
      </c>
      <c r="AP37" s="30">
        <f t="shared" si="29"/>
        <v>1.7000000000000002</v>
      </c>
      <c r="AQ37" s="30">
        <f t="shared" si="29"/>
        <v>1.1999999999999997</v>
      </c>
      <c r="AR37" s="30">
        <f t="shared" si="29"/>
        <v>1.1000000000000001</v>
      </c>
      <c r="AS37" s="30">
        <f t="shared" si="29"/>
        <v>1.0999999999999999</v>
      </c>
      <c r="AT37" s="30">
        <f t="shared" si="29"/>
        <v>1.0999999999999999</v>
      </c>
      <c r="AU37" s="30">
        <f t="shared" si="29"/>
        <v>0.8</v>
      </c>
      <c r="AV37" s="30">
        <f t="shared" si="29"/>
        <v>0</v>
      </c>
      <c r="AW37" s="30">
        <f t="shared" si="29"/>
        <v>0</v>
      </c>
      <c r="AX37" s="127"/>
    </row>
    <row r="43" spans="1:50" ht="25" customHeight="1">
      <c r="A43" s="28" t="s">
        <v>45</v>
      </c>
      <c r="B43" s="185">
        <v>44927</v>
      </c>
      <c r="C43" s="185">
        <v>44958</v>
      </c>
      <c r="D43" s="185">
        <v>44986</v>
      </c>
      <c r="E43" s="185">
        <v>45017</v>
      </c>
      <c r="F43" s="185">
        <v>45047</v>
      </c>
      <c r="G43" s="185">
        <v>45078</v>
      </c>
      <c r="H43" s="185">
        <v>45108</v>
      </c>
      <c r="I43" s="185">
        <v>45139</v>
      </c>
      <c r="J43" s="185">
        <v>45170</v>
      </c>
      <c r="K43" s="185">
        <v>45200</v>
      </c>
      <c r="L43" s="185">
        <v>45231</v>
      </c>
      <c r="M43" s="185">
        <v>45261</v>
      </c>
      <c r="N43" s="185">
        <v>45292</v>
      </c>
      <c r="O43" s="185">
        <v>45323</v>
      </c>
      <c r="P43" s="185">
        <v>45352</v>
      </c>
      <c r="Q43" s="185">
        <v>45383</v>
      </c>
      <c r="R43" s="185">
        <v>45413</v>
      </c>
      <c r="S43" s="185">
        <v>45444</v>
      </c>
      <c r="T43" s="185">
        <v>45474</v>
      </c>
      <c r="U43" s="185">
        <v>45505</v>
      </c>
      <c r="V43" s="185">
        <v>45536</v>
      </c>
      <c r="W43" s="185">
        <v>45566</v>
      </c>
      <c r="X43" s="185">
        <v>45597</v>
      </c>
      <c r="Y43" s="185">
        <v>45627</v>
      </c>
      <c r="Z43" s="185">
        <v>45658</v>
      </c>
      <c r="AA43" s="185">
        <v>45689</v>
      </c>
      <c r="AB43" s="185">
        <v>45717</v>
      </c>
      <c r="AC43" s="185">
        <v>45748</v>
      </c>
      <c r="AD43" s="185">
        <v>45778</v>
      </c>
      <c r="AE43" s="185">
        <v>45809</v>
      </c>
      <c r="AF43" s="185">
        <v>45839</v>
      </c>
      <c r="AG43" s="185">
        <v>45870</v>
      </c>
      <c r="AH43" s="185">
        <v>45901</v>
      </c>
      <c r="AI43" s="185">
        <v>45931</v>
      </c>
      <c r="AJ43" s="185">
        <v>45962</v>
      </c>
      <c r="AK43" s="185">
        <v>45992</v>
      </c>
      <c r="AL43" s="185">
        <v>46023</v>
      </c>
      <c r="AM43" s="185">
        <v>46054</v>
      </c>
      <c r="AN43" s="185">
        <v>46082</v>
      </c>
      <c r="AO43" s="185">
        <v>46113</v>
      </c>
      <c r="AP43" s="185">
        <v>46143</v>
      </c>
      <c r="AQ43" s="185">
        <v>46174</v>
      </c>
      <c r="AR43" s="185">
        <v>46204</v>
      </c>
      <c r="AS43" s="185">
        <v>46235</v>
      </c>
      <c r="AT43" s="185">
        <v>46266</v>
      </c>
      <c r="AU43" s="185">
        <v>46296</v>
      </c>
      <c r="AV43" s="185">
        <v>46327</v>
      </c>
      <c r="AW43" s="185">
        <v>46357</v>
      </c>
    </row>
    <row r="44" spans="1:50" ht="25" customHeight="1">
      <c r="A44" s="43" t="s">
        <v>16</v>
      </c>
      <c r="B44" s="30" t="str" cm="1">
        <f t="array" ref="B44">_xlfn.XLOOKUP(MIN(ABS($AY$6:$AY$22 - MEDIAN(-2, 2, B15))), ABS($AY$6:$AY$22 - MEDIAN(-2, 2, B15)), $AZ$6:$AZ$22, "Error", 0)</f>
        <v>10</v>
      </c>
      <c r="C44" s="30" t="str" cm="1">
        <f t="array" ref="C44">_xlfn.XLOOKUP(MIN(ABS($AY$6:$AY$22 - MEDIAN(-2, 2, C15))), ABS($AY$6:$AY$22 - MEDIAN(-2, 2, C15)), $AZ$6:$AZ$22, "Error", 0)</f>
        <v>10</v>
      </c>
      <c r="D44" s="30" t="str" cm="1">
        <f t="array" ref="D44">_xlfn.XLOOKUP(MIN(ABS($AY$6:$AY$22 - MEDIAN(-2, 2, D15))), ABS($AY$6:$AY$22 - MEDIAN(-2, 2, D15)), $AZ$6:$AZ$22, "Error", 0)</f>
        <v>9</v>
      </c>
      <c r="E44" s="30" t="str" cm="1">
        <f t="array" ref="E44">_xlfn.XLOOKUP(MIN(ABS($AY$6:$AY$22 - MEDIAN(-2, 2, E15))), ABS($AY$6:$AY$22 - MEDIAN(-2, 2, E15)), $AZ$6:$AZ$22, "Error", 0)</f>
        <v>8</v>
      </c>
      <c r="F44" s="30" t="str" cm="1">
        <f t="array" ref="F44">_xlfn.XLOOKUP(MIN(ABS($AY$6:$AY$22 - MEDIAN(-2, 2, F15))), ABS($AY$6:$AY$22 - MEDIAN(-2, 2, F15)), $AZ$6:$AZ$22, "Error", 0)</f>
        <v>-10</v>
      </c>
      <c r="G44" s="30" t="str" cm="1">
        <f t="array" ref="G44">_xlfn.XLOOKUP(MIN(ABS($AY$6:$AY$22 - MEDIAN(-2, 2, G15))), ABS($AY$6:$AY$22 - MEDIAN(-2, 2, G15)), $AZ$6:$AZ$22, "Error", 0)</f>
        <v>4</v>
      </c>
      <c r="H44" s="30" cm="1">
        <f t="array" ref="H44">_xlfn.XLOOKUP(MIN(ABS($AY$6:$AY$22 - MEDIAN(-2, 2, H15))), ABS($AY$6:$AY$22 - MEDIAN(-2, 2, H15)), $AZ$6:$AZ$22, "Error", 0)</f>
        <v>0</v>
      </c>
      <c r="I44" s="30" t="str" cm="1">
        <f t="array" ref="I44">_xlfn.XLOOKUP(MIN(ABS($AY$6:$AY$22 - MEDIAN(-2, 2, I15))), ABS($AY$6:$AY$22 - MEDIAN(-2, 2, I15)), $AZ$6:$AZ$22, "Error", 0)</f>
        <v>-6</v>
      </c>
      <c r="J44" s="30" t="str" cm="1">
        <f t="array" ref="J44">_xlfn.XLOOKUP(MIN(ABS($AY$6:$AY$22 - MEDIAN(-2, 2, J15))), ABS($AY$6:$AY$22 - MEDIAN(-2, 2, J15)), $AZ$6:$AZ$22, "Error", 0)</f>
        <v>-8</v>
      </c>
      <c r="K44" s="30" cm="1">
        <f t="array" ref="K44">_xlfn.XLOOKUP(MIN(ABS($AY$6:$AY$22 - MEDIAN(-2, 2, K15))), ABS($AY$6:$AY$22 - MEDIAN(-2, 2, K15)), $AZ$6:$AZ$22, "Error", 0)</f>
        <v>0</v>
      </c>
      <c r="L44" s="30" t="str" cm="1">
        <f t="array" ref="L44">_xlfn.XLOOKUP(MIN(ABS($AY$6:$AY$22 - MEDIAN(-2, 2, L15))), ABS($AY$6:$AY$22 - MEDIAN(-2, 2, L15)), $AZ$6:$AZ$22, "Error", 0)</f>
        <v>-4</v>
      </c>
      <c r="M44" s="30" t="str" cm="1">
        <f t="array" ref="M44">_xlfn.XLOOKUP(MIN(ABS($AY$6:$AY$22 - MEDIAN(-2, 2, M15))), ABS($AY$6:$AY$22 - MEDIAN(-2, 2, M15)), $AZ$6:$AZ$22, "Error", 0)</f>
        <v>-8</v>
      </c>
      <c r="N44" s="30" t="str" cm="1">
        <f t="array" ref="N44">_xlfn.XLOOKUP(MIN(ABS($AY$6:$AY$22 - MEDIAN(-2, 2, N15))), ABS($AY$6:$AY$22 - MEDIAN(-2, 2, N15)), $AZ$6:$AZ$22, "Error", 0)</f>
        <v>-10</v>
      </c>
      <c r="O44" s="30" t="str" cm="1">
        <f t="array" ref="O44">_xlfn.XLOOKUP(MIN(ABS($AY$6:$AY$22 - MEDIAN(-2, 2, O15))), ABS($AY$6:$AY$22 - MEDIAN(-2, 2, O15)), $AZ$6:$AZ$22, "Error", 0)</f>
        <v>-6</v>
      </c>
      <c r="P44" s="30" t="str" cm="1">
        <f t="array" ref="P44">_xlfn.XLOOKUP(MIN(ABS($AY$6:$AY$22 - MEDIAN(-2, 2, P15))), ABS($AY$6:$AY$22 - MEDIAN(-2, 2, P15)), $AZ$6:$AZ$22, "Error", 0)</f>
        <v>-8</v>
      </c>
      <c r="Q44" s="30" t="str" cm="1">
        <f t="array" ref="Q44">_xlfn.XLOOKUP(MIN(ABS($AY$6:$AY$22 - MEDIAN(-2, 2, Q15))), ABS($AY$6:$AY$22 - MEDIAN(-2, 2, Q15)), $AZ$6:$AZ$22, "Error", 0)</f>
        <v>-10</v>
      </c>
      <c r="R44" s="30" t="str" cm="1">
        <f t="array" ref="R44">_xlfn.XLOOKUP(MIN(ABS($AY$6:$AY$22 - MEDIAN(-2, 2, R15))), ABS($AY$6:$AY$22 - MEDIAN(-2, 2, R15)), $AZ$6:$AZ$22, "Error", 0)</f>
        <v>-6</v>
      </c>
      <c r="S44" s="30" t="str" cm="1">
        <f t="array" ref="S44">_xlfn.XLOOKUP(MIN(ABS($AY$6:$AY$22 - MEDIAN(-2, 2, S15))), ABS($AY$6:$AY$22 - MEDIAN(-2, 2, S15)), $AZ$6:$AZ$22, "Error", 0)</f>
        <v>-4</v>
      </c>
      <c r="T44" s="30" cm="1">
        <f t="array" ref="T44">_xlfn.XLOOKUP(MIN(ABS($AY$6:$AY$22 - MEDIAN(-2, 2, T15))), ABS($AY$6:$AY$22 - MEDIAN(-2, 2, T15)), $AZ$6:$AZ$22, "Error", 0)</f>
        <v>0</v>
      </c>
      <c r="U44" s="30" t="str" cm="1">
        <f t="array" ref="U44">_xlfn.XLOOKUP(MIN(ABS($AY$6:$AY$22 - MEDIAN(-2, 2, U15))), ABS($AY$6:$AY$22 - MEDIAN(-2, 2, U15)), $AZ$6:$AZ$22, "Error", 0)</f>
        <v>6</v>
      </c>
      <c r="V44" s="30" cm="1">
        <f t="array" ref="V44">_xlfn.XLOOKUP(MIN(ABS($AY$6:$AY$22 - MEDIAN(-2, 2, V15))), ABS($AY$6:$AY$22 - MEDIAN(-2, 2, V15)), $AZ$6:$AZ$22, "Error", 0)</f>
        <v>0</v>
      </c>
      <c r="W44" s="30" t="str" cm="1">
        <f t="array" ref="W44">_xlfn.XLOOKUP(MIN(ABS($AY$6:$AY$22 - MEDIAN(-2, 2, W15))), ABS($AY$6:$AY$22 - MEDIAN(-2, 2, W15)), $AZ$6:$AZ$22, "Error", 0)</f>
        <v>-4</v>
      </c>
      <c r="X44" s="30" t="str" cm="1">
        <f t="array" ref="X44">_xlfn.XLOOKUP(MIN(ABS($AY$6:$AY$22 - MEDIAN(-2, 2, X15))), ABS($AY$6:$AY$22 - MEDIAN(-2, 2, X15)), $AZ$6:$AZ$22, "Error", 0)</f>
        <v>4</v>
      </c>
      <c r="Y44" s="30" t="str" cm="1">
        <f t="array" ref="Y44">_xlfn.XLOOKUP(MIN(ABS($AY$6:$AY$22 - MEDIAN(-2, 2, Y15))), ABS($AY$6:$AY$22 - MEDIAN(-2, 2, Y15)), $AZ$6:$AZ$22, "Error", 0)</f>
        <v>8</v>
      </c>
      <c r="Z44" s="30" t="str" cm="1">
        <f t="array" ref="Z44">_xlfn.XLOOKUP(MIN(ABS($AY$6:$AY$22 - MEDIAN(-2, 2, Z15))), ABS($AY$6:$AY$22 - MEDIAN(-2, 2, Z15)), $AZ$6:$AZ$22, "Error", 0)</f>
        <v>10</v>
      </c>
      <c r="AA44" s="30" t="str" cm="1">
        <f t="array" ref="AA44">_xlfn.XLOOKUP(MIN(ABS($AY$6:$AY$22 - MEDIAN(-2, 2, AA15))), ABS($AY$6:$AY$22 - MEDIAN(-2, 2, AA15)), $AZ$6:$AZ$22, "Error", 0)</f>
        <v>10</v>
      </c>
      <c r="AB44" s="30" t="str" cm="1">
        <f t="array" ref="AB44">_xlfn.XLOOKUP(MIN(ABS($AY$6:$AY$22 - MEDIAN(-2, 2, AB15))), ABS($AY$6:$AY$22 - MEDIAN(-2, 2, AB15)), $AZ$6:$AZ$22, "Error", 0)</f>
        <v>6</v>
      </c>
      <c r="AC44" s="30" t="str" cm="1">
        <f t="array" ref="AC44">_xlfn.XLOOKUP(MIN(ABS($AY$6:$AY$22 - MEDIAN(-2, 2, AC15))), ABS($AY$6:$AY$22 - MEDIAN(-2, 2, AC15)), $AZ$6:$AZ$22, "Error", 0)</f>
        <v>6</v>
      </c>
      <c r="AD44" s="30" t="str" cm="1">
        <f t="array" ref="AD44">_xlfn.XLOOKUP(MIN(ABS($AY$6:$AY$22 - MEDIAN(-2, 2, AD15))), ABS($AY$6:$AY$22 - MEDIAN(-2, 2, AD15)), $AZ$6:$AZ$22, "Error", 0)</f>
        <v>10</v>
      </c>
      <c r="AE44" s="30" t="str" cm="1">
        <f t="array" ref="AE44">_xlfn.XLOOKUP(MIN(ABS($AY$6:$AY$22 - MEDIAN(-2, 2, AE15))), ABS($AY$6:$AY$22 - MEDIAN(-2, 2, AE15)), $AZ$6:$AZ$22, "Error", 0)</f>
        <v>6</v>
      </c>
      <c r="AF44" s="30" t="str" cm="1">
        <f t="array" ref="AF44">_xlfn.XLOOKUP(MIN(ABS($AY$6:$AY$22 - MEDIAN(-2, 2, AF15))), ABS($AY$6:$AY$22 - MEDIAN(-2, 2, AF15)), $AZ$6:$AZ$22, "Error", 0)</f>
        <v>6</v>
      </c>
      <c r="AG44" s="30" t="str" cm="1">
        <f t="array" ref="AG44">_xlfn.XLOOKUP(MIN(ABS($AY$6:$AY$22 - MEDIAN(-2, 2, AG15))), ABS($AY$6:$AY$22 - MEDIAN(-2, 2, AG15)), $AZ$6:$AZ$22, "Error", 0)</f>
        <v>-4</v>
      </c>
      <c r="AH44" s="30" cm="1">
        <f t="array" ref="AH44">_xlfn.XLOOKUP(MIN(ABS($AY$6:$AY$22 - MEDIAN(-2, 2, AH15))), ABS($AY$6:$AY$22 - MEDIAN(-2, 2, AH15)), $AZ$6:$AZ$22, "Error", 0)</f>
        <v>0</v>
      </c>
      <c r="AI44" s="30" t="str" cm="1">
        <f t="array" ref="AI44">_xlfn.XLOOKUP(MIN(ABS($AY$6:$AY$22 - MEDIAN(-2, 2, AI15))), ABS($AY$6:$AY$22 - MEDIAN(-2, 2, AI15)), $AZ$6:$AZ$22, "Error", 0)</f>
        <v>4</v>
      </c>
      <c r="AJ44" s="30" t="str" cm="1">
        <f t="array" ref="AJ44">_xlfn.XLOOKUP(MIN(ABS($AY$6:$AY$22 - MEDIAN(-2, 2, AJ15))), ABS($AY$6:$AY$22 - MEDIAN(-2, 2, AJ15)), $AZ$6:$AZ$22, "Error", 0)</f>
        <v>4</v>
      </c>
      <c r="AK44" s="30" t="str" cm="1">
        <f t="array" ref="AK44">_xlfn.XLOOKUP(MIN(ABS($AY$6:$AY$22 - MEDIAN(-2, 2, AK15))), ABS($AY$6:$AY$22 - MEDIAN(-2, 2, AK15)), $AZ$6:$AZ$22, "Error", 0)</f>
        <v>-6</v>
      </c>
      <c r="AL44" s="30" t="str" cm="1">
        <f t="array" ref="AL44">_xlfn.XLOOKUP(MIN(ABS($AY$6:$AY$22 - MEDIAN(-2, 2, AL15))), ABS($AY$6:$AY$22 - MEDIAN(-2, 2, AL15)), $AZ$6:$AZ$22, "Error", 0)</f>
        <v>-10</v>
      </c>
      <c r="AM44" s="30" t="str" cm="1">
        <f t="array" ref="AM44">_xlfn.XLOOKUP(MIN(ABS($AY$6:$AY$22 - MEDIAN(-2, 2, AM15))), ABS($AY$6:$AY$22 - MEDIAN(-2, 2, AM15)), $AZ$6:$AZ$22, "Error", 0)</f>
        <v>-10</v>
      </c>
      <c r="AN44" s="30" t="str" cm="1">
        <f t="array" ref="AN44">_xlfn.XLOOKUP(MIN(ABS($AY$6:$AY$22 - MEDIAN(-2, 2, AN15))), ABS($AY$6:$AY$22 - MEDIAN(-2, 2, AN15)), $AZ$6:$AZ$22, "Error", 0)</f>
        <v>9</v>
      </c>
      <c r="AO44" s="30" t="str" cm="1">
        <f t="array" ref="AO44">_xlfn.XLOOKUP(MIN(ABS($AY$6:$AY$22 - MEDIAN(-2, 2, AO15))), ABS($AY$6:$AY$22 - MEDIAN(-2, 2, AO15)), $AZ$6:$AZ$22, "Error", 0)</f>
        <v>10</v>
      </c>
      <c r="AP44" s="30" t="str" cm="1">
        <f t="array" ref="AP44">_xlfn.XLOOKUP(MIN(ABS($AY$6:$AY$22 - MEDIAN(-2, 2, AP15))), ABS($AY$6:$AY$22 - MEDIAN(-2, 2, AP15)), $AZ$6:$AZ$22, "Error", 0)</f>
        <v>10</v>
      </c>
      <c r="AQ44" s="30" t="str" cm="1">
        <f t="array" ref="AQ44">_xlfn.XLOOKUP(MIN(ABS($AY$6:$AY$22 - MEDIAN(-2, 2, AQ15))), ABS($AY$6:$AY$22 - MEDIAN(-2, 2, AQ15)), $AZ$6:$AZ$22, "Error", 0)</f>
        <v>10</v>
      </c>
      <c r="AR44" s="30" t="str" cm="1">
        <f t="array" ref="AR44">_xlfn.XLOOKUP(MIN(ABS($AY$6:$AY$22 - MEDIAN(-2, 2, AR15))), ABS($AY$6:$AY$22 - MEDIAN(-2, 2, AR15)), $AZ$6:$AZ$22, "Error", 0)</f>
        <v>8</v>
      </c>
      <c r="AS44" s="30" t="str" cm="1">
        <f t="array" ref="AS44">_xlfn.XLOOKUP(MIN(ABS($AY$6:$AY$22 - MEDIAN(-2, 2, AS15))), ABS($AY$6:$AY$22 - MEDIAN(-2, 2, AS15)), $AZ$6:$AZ$22, "Error", 0)</f>
        <v>10</v>
      </c>
      <c r="AT44" s="30" t="str" cm="1">
        <f t="array" ref="AT44">_xlfn.XLOOKUP(MIN(ABS($AY$6:$AY$22 - MEDIAN(-2, 2, AT15))), ABS($AY$6:$AY$22 - MEDIAN(-2, 2, AT15)), $AZ$6:$AZ$22, "Error", 0)</f>
        <v>10</v>
      </c>
      <c r="AU44" s="30" t="str" cm="1">
        <f t="array" ref="AU44">_xlfn.XLOOKUP(MIN(ABS($AY$6:$AY$22 - MEDIAN(-2, 2, AU15))), ABS($AY$6:$AY$22 - MEDIAN(-2, 2, AU15)), $AZ$6:$AZ$22, "Error", 0)</f>
        <v>8</v>
      </c>
      <c r="AV44" s="30" cm="1">
        <f t="array" ref="AV44">_xlfn.XLOOKUP(MIN(ABS($AY$6:$AY$22 - MEDIAN(-2, 2, AV15))), ABS($AY$6:$AY$22 - MEDIAN(-2, 2, AV15)), $AZ$6:$AZ$22, "Error", 0)</f>
        <v>0</v>
      </c>
      <c r="AW44" s="30" cm="1">
        <f t="array" ref="AW44">_xlfn.XLOOKUP(MIN(ABS($AY$6:$AY$22 - MEDIAN(-2, 2, AW15))), ABS($AY$6:$AY$22 - MEDIAN(-2, 2, AW15)), $AZ$6:$AZ$22, "Error", 0)</f>
        <v>0</v>
      </c>
    </row>
    <row r="45" spans="1:50" ht="25" customHeight="1">
      <c r="A45" s="45" t="s">
        <v>46</v>
      </c>
      <c r="B45" s="30" t="str" cm="1">
        <f t="array" ref="B45">_xlfn.XLOOKUP(MIN(ABS($AY$6:$AY$22 - MEDIAN(-2, 2, B16))), ABS($AY$6:$AY$22 - MEDIAN(-2, 2, B16)), $AZ$6:$AZ$22, "Error", 0)</f>
        <v>10</v>
      </c>
      <c r="C45" s="30" t="str" cm="1">
        <f t="array" ref="C45">_xlfn.XLOOKUP(MIN(ABS($AY$6:$AY$22 - MEDIAN(-2, 2, C16))), ABS($AY$6:$AY$22 - MEDIAN(-2, 2, C16)), $AZ$6:$AZ$22, "Error", 0)</f>
        <v>10</v>
      </c>
      <c r="D45" s="30" t="str" cm="1">
        <f t="array" ref="D45">_xlfn.XLOOKUP(MIN(ABS($AY$6:$AY$22 - MEDIAN(-2, 2, D16))), ABS($AY$6:$AY$22 - MEDIAN(-2, 2, D16)), $AZ$6:$AZ$22, "Error", 0)</f>
        <v>10</v>
      </c>
      <c r="E45" s="30" t="str" cm="1">
        <f t="array" ref="E45">_xlfn.XLOOKUP(MIN(ABS($AY$6:$AY$22 - MEDIAN(-2, 2, E16))), ABS($AY$6:$AY$22 - MEDIAN(-2, 2, E16)), $AZ$6:$AZ$22, "Error", 0)</f>
        <v>10</v>
      </c>
      <c r="F45" s="30" t="str" cm="1">
        <f t="array" ref="F45">_xlfn.XLOOKUP(MIN(ABS($AY$6:$AY$22 - MEDIAN(-2, 2, F16))), ABS($AY$6:$AY$22 - MEDIAN(-2, 2, F16)), $AZ$6:$AZ$22, "Error", 0)</f>
        <v>10</v>
      </c>
      <c r="G45" s="30" t="str" cm="1">
        <f t="array" ref="G45">_xlfn.XLOOKUP(MIN(ABS($AY$6:$AY$22 - MEDIAN(-2, 2, G16))), ABS($AY$6:$AY$22 - MEDIAN(-2, 2, G16)), $AZ$6:$AZ$22, "Error", 0)</f>
        <v>6</v>
      </c>
      <c r="H45" s="30" t="str" cm="1">
        <f t="array" ref="H45">_xlfn.XLOOKUP(MIN(ABS($AY$6:$AY$22 - MEDIAN(-2, 2, H16))), ABS($AY$6:$AY$22 - MEDIAN(-2, 2, H16)), $AZ$6:$AZ$22, "Error", 0)</f>
        <v>8</v>
      </c>
      <c r="I45" s="30" t="str" cm="1">
        <f t="array" ref="I45">_xlfn.XLOOKUP(MIN(ABS($AY$6:$AY$22 - MEDIAN(-2, 2, I16))), ABS($AY$6:$AY$22 - MEDIAN(-2, 2, I16)), $AZ$6:$AZ$22, "Error", 0)</f>
        <v>10</v>
      </c>
      <c r="J45" s="30" t="str" cm="1">
        <f t="array" ref="J45">_xlfn.XLOOKUP(MIN(ABS($AY$6:$AY$22 - MEDIAN(-2, 2, J16))), ABS($AY$6:$AY$22 - MEDIAN(-2, 2, J16)), $AZ$6:$AZ$22, "Error", 0)</f>
        <v>10</v>
      </c>
      <c r="K45" s="30" t="str" cm="1">
        <f t="array" ref="K45">_xlfn.XLOOKUP(MIN(ABS($AY$6:$AY$22 - MEDIAN(-2, 2, K16))), ABS($AY$6:$AY$22 - MEDIAN(-2, 2, K16)), $AZ$6:$AZ$22, "Error", 0)</f>
        <v>8</v>
      </c>
      <c r="L45" s="30" t="str" cm="1">
        <f t="array" ref="L45">_xlfn.XLOOKUP(MIN(ABS($AY$6:$AY$22 - MEDIAN(-2, 2, L16))), ABS($AY$6:$AY$22 - MEDIAN(-2, 2, L16)), $AZ$6:$AZ$22, "Error", 0)</f>
        <v>9</v>
      </c>
      <c r="M45" s="30" t="str" cm="1">
        <f t="array" ref="M45">_xlfn.XLOOKUP(MIN(ABS($AY$6:$AY$22 - MEDIAN(-2, 2, M16))), ABS($AY$6:$AY$22 - MEDIAN(-2, 2, M16)), $AZ$6:$AZ$22, "Error", 0)</f>
        <v>9</v>
      </c>
      <c r="N45" s="30" t="str" cm="1">
        <f t="array" ref="N45">_xlfn.XLOOKUP(MIN(ABS($AY$6:$AY$22 - MEDIAN(-2, 2, N16))), ABS($AY$6:$AY$22 - MEDIAN(-2, 2, N16)), $AZ$6:$AZ$22, "Error", 0)</f>
        <v>9</v>
      </c>
      <c r="O45" s="30" t="str" cm="1">
        <f t="array" ref="O45">_xlfn.XLOOKUP(MIN(ABS($AY$6:$AY$22 - MEDIAN(-2, 2, O16))), ABS($AY$6:$AY$22 - MEDIAN(-2, 2, O16)), $AZ$6:$AZ$22, "Error", 0)</f>
        <v>10</v>
      </c>
      <c r="P45" s="30" t="str" cm="1">
        <f t="array" ref="P45">_xlfn.XLOOKUP(MIN(ABS($AY$6:$AY$22 - MEDIAN(-2, 2, P16))), ABS($AY$6:$AY$22 - MEDIAN(-2, 2, P16)), $AZ$6:$AZ$22, "Error", 0)</f>
        <v>10</v>
      </c>
      <c r="Q45" s="30" t="str" cm="1">
        <f t="array" ref="Q45">_xlfn.XLOOKUP(MIN(ABS($AY$6:$AY$22 - MEDIAN(-2, 2, Q16))), ABS($AY$6:$AY$22 - MEDIAN(-2, 2, Q16)), $AZ$6:$AZ$22, "Error", 0)</f>
        <v>10</v>
      </c>
      <c r="R45" s="30" t="str" cm="1">
        <f t="array" ref="R45">_xlfn.XLOOKUP(MIN(ABS($AY$6:$AY$22 - MEDIAN(-2, 2, R16))), ABS($AY$6:$AY$22 - MEDIAN(-2, 2, R16)), $AZ$6:$AZ$22, "Error", 0)</f>
        <v>10</v>
      </c>
      <c r="S45" s="30" t="str" cm="1">
        <f t="array" ref="S45">_xlfn.XLOOKUP(MIN(ABS($AY$6:$AY$22 - MEDIAN(-2, 2, S16))), ABS($AY$6:$AY$22 - MEDIAN(-2, 2, S16)), $AZ$6:$AZ$22, "Error", 0)</f>
        <v>9</v>
      </c>
      <c r="T45" s="30" t="str" cm="1">
        <f t="array" ref="T45">_xlfn.XLOOKUP(MIN(ABS($AY$6:$AY$22 - MEDIAN(-2, 2, T16))), ABS($AY$6:$AY$22 - MEDIAN(-2, 2, T16)), $AZ$6:$AZ$22, "Error", 0)</f>
        <v>8</v>
      </c>
      <c r="U45" s="30" t="str" cm="1">
        <f t="array" ref="U45">_xlfn.XLOOKUP(MIN(ABS($AY$6:$AY$22 - MEDIAN(-2, 2, U16))), ABS($AY$6:$AY$22 - MEDIAN(-2, 2, U16)), $AZ$6:$AZ$22, "Error", 0)</f>
        <v>8</v>
      </c>
      <c r="V45" s="30" t="str" cm="1">
        <f t="array" ref="V45">_xlfn.XLOOKUP(MIN(ABS($AY$6:$AY$22 - MEDIAN(-2, 2, V16))), ABS($AY$6:$AY$22 - MEDIAN(-2, 2, V16)), $AZ$6:$AZ$22, "Error", 0)</f>
        <v>8</v>
      </c>
      <c r="W45" s="30" t="str" cm="1">
        <f t="array" ref="W45">_xlfn.XLOOKUP(MIN(ABS($AY$6:$AY$22 - MEDIAN(-2, 2, W16))), ABS($AY$6:$AY$22 - MEDIAN(-2, 2, W16)), $AZ$6:$AZ$22, "Error", 0)</f>
        <v>10</v>
      </c>
      <c r="X45" s="30" t="str" cm="1">
        <f t="array" ref="X45">_xlfn.XLOOKUP(MIN(ABS($AY$6:$AY$22 - MEDIAN(-2, 2, X16))), ABS($AY$6:$AY$22 - MEDIAN(-2, 2, X16)), $AZ$6:$AZ$22, "Error", 0)</f>
        <v>10</v>
      </c>
      <c r="Y45" s="30" t="str" cm="1">
        <f t="array" ref="Y45">_xlfn.XLOOKUP(MIN(ABS($AY$6:$AY$22 - MEDIAN(-2, 2, Y16))), ABS($AY$6:$AY$22 - MEDIAN(-2, 2, Y16)), $AZ$6:$AZ$22, "Error", 0)</f>
        <v>10</v>
      </c>
      <c r="Z45" s="30" t="str" cm="1">
        <f t="array" ref="Z45">_xlfn.XLOOKUP(MIN(ABS($AY$6:$AY$22 - MEDIAN(-2, 2, Z16))), ABS($AY$6:$AY$22 - MEDIAN(-2, 2, Z16)), $AZ$6:$AZ$22, "Error", 0)</f>
        <v>10</v>
      </c>
      <c r="AA45" s="30" t="str" cm="1">
        <f t="array" ref="AA45">_xlfn.XLOOKUP(MIN(ABS($AY$6:$AY$22 - MEDIAN(-2, 2, AA16))), ABS($AY$6:$AY$22 - MEDIAN(-2, 2, AA16)), $AZ$6:$AZ$22, "Error", 0)</f>
        <v>10</v>
      </c>
      <c r="AB45" s="30" t="str" cm="1">
        <f t="array" ref="AB45">_xlfn.XLOOKUP(MIN(ABS($AY$6:$AY$22 - MEDIAN(-2, 2, AB16))), ABS($AY$6:$AY$22 - MEDIAN(-2, 2, AB16)), $AZ$6:$AZ$22, "Error", 0)</f>
        <v>10</v>
      </c>
      <c r="AC45" s="30" t="str" cm="1">
        <f t="array" ref="AC45">_xlfn.XLOOKUP(MIN(ABS($AY$6:$AY$22 - MEDIAN(-2, 2, AC16))), ABS($AY$6:$AY$22 - MEDIAN(-2, 2, AC16)), $AZ$6:$AZ$22, "Error", 0)</f>
        <v>10</v>
      </c>
      <c r="AD45" s="30" t="str" cm="1">
        <f t="array" ref="AD45">_xlfn.XLOOKUP(MIN(ABS($AY$6:$AY$22 - MEDIAN(-2, 2, AD16))), ABS($AY$6:$AY$22 - MEDIAN(-2, 2, AD16)), $AZ$6:$AZ$22, "Error", 0)</f>
        <v>10</v>
      </c>
      <c r="AE45" s="30" t="str" cm="1">
        <f t="array" ref="AE45">_xlfn.XLOOKUP(MIN(ABS($AY$6:$AY$22 - MEDIAN(-2, 2, AE16))), ABS($AY$6:$AY$22 - MEDIAN(-2, 2, AE16)), $AZ$6:$AZ$22, "Error", 0)</f>
        <v>10</v>
      </c>
      <c r="AF45" s="30" t="str" cm="1">
        <f t="array" ref="AF45">_xlfn.XLOOKUP(MIN(ABS($AY$6:$AY$22 - MEDIAN(-2, 2, AF16))), ABS($AY$6:$AY$22 - MEDIAN(-2, 2, AF16)), $AZ$6:$AZ$22, "Error", 0)</f>
        <v>10</v>
      </c>
      <c r="AG45" s="30" t="str" cm="1">
        <f t="array" ref="AG45">_xlfn.XLOOKUP(MIN(ABS($AY$6:$AY$22 - MEDIAN(-2, 2, AG16))), ABS($AY$6:$AY$22 - MEDIAN(-2, 2, AG16)), $AZ$6:$AZ$22, "Error", 0)</f>
        <v>10</v>
      </c>
      <c r="AH45" s="30" t="str" cm="1">
        <f t="array" ref="AH45">_xlfn.XLOOKUP(MIN(ABS($AY$6:$AY$22 - MEDIAN(-2, 2, AH16))), ABS($AY$6:$AY$22 - MEDIAN(-2, 2, AH16)), $AZ$6:$AZ$22, "Error", 0)</f>
        <v>10</v>
      </c>
      <c r="AI45" s="30" t="str" cm="1">
        <f t="array" ref="AI45">_xlfn.XLOOKUP(MIN(ABS($AY$6:$AY$22 - MEDIAN(-2, 2, AI16))), ABS($AY$6:$AY$22 - MEDIAN(-2, 2, AI16)), $AZ$6:$AZ$22, "Error", 0)</f>
        <v>10</v>
      </c>
      <c r="AJ45" s="30" t="str" cm="1">
        <f t="array" ref="AJ45">_xlfn.XLOOKUP(MIN(ABS($AY$6:$AY$22 - MEDIAN(-2, 2, AJ16))), ABS($AY$6:$AY$22 - MEDIAN(-2, 2, AJ16)), $AZ$6:$AZ$22, "Error", 0)</f>
        <v>10</v>
      </c>
      <c r="AK45" s="30" t="str" cm="1">
        <f t="array" ref="AK45">_xlfn.XLOOKUP(MIN(ABS($AY$6:$AY$22 - MEDIAN(-2, 2, AK16))), ABS($AY$6:$AY$22 - MEDIAN(-2, 2, AK16)), $AZ$6:$AZ$22, "Error", 0)</f>
        <v>10</v>
      </c>
      <c r="AL45" s="30" t="str" cm="1">
        <f t="array" ref="AL45">_xlfn.XLOOKUP(MIN(ABS($AY$6:$AY$22 - MEDIAN(-2, 2, AL16))), ABS($AY$6:$AY$22 - MEDIAN(-2, 2, AL16)), $AZ$6:$AZ$22, "Error", 0)</f>
        <v>10</v>
      </c>
      <c r="AM45" s="30" t="str" cm="1">
        <f t="array" ref="AM45">_xlfn.XLOOKUP(MIN(ABS($AY$6:$AY$22 - MEDIAN(-2, 2, AM16))), ABS($AY$6:$AY$22 - MEDIAN(-2, 2, AM16)), $AZ$6:$AZ$22, "Error", 0)</f>
        <v>10</v>
      </c>
      <c r="AN45" s="30" t="str" cm="1">
        <f t="array" ref="AN45">_xlfn.XLOOKUP(MIN(ABS($AY$6:$AY$22 - MEDIAN(-2, 2, AN16))), ABS($AY$6:$AY$22 - MEDIAN(-2, 2, AN16)), $AZ$6:$AZ$22, "Error", 0)</f>
        <v>10</v>
      </c>
      <c r="AO45" s="30" t="str" cm="1">
        <f t="array" ref="AO45">_xlfn.XLOOKUP(MIN(ABS($AY$6:$AY$22 - MEDIAN(-2, 2, AO16))), ABS($AY$6:$AY$22 - MEDIAN(-2, 2, AO16)), $AZ$6:$AZ$22, "Error", 0)</f>
        <v>10</v>
      </c>
      <c r="AP45" s="30" t="str" cm="1">
        <f t="array" ref="AP45">_xlfn.XLOOKUP(MIN(ABS($AY$6:$AY$22 - MEDIAN(-2, 2, AP16))), ABS($AY$6:$AY$22 - MEDIAN(-2, 2, AP16)), $AZ$6:$AZ$22, "Error", 0)</f>
        <v>10</v>
      </c>
      <c r="AQ45" s="30" t="str" cm="1">
        <f t="array" ref="AQ45">_xlfn.XLOOKUP(MIN(ABS($AY$6:$AY$22 - MEDIAN(-2, 2, AQ16))), ABS($AY$6:$AY$22 - MEDIAN(-2, 2, AQ16)), $AZ$6:$AZ$22, "Error", 0)</f>
        <v>10</v>
      </c>
      <c r="AR45" s="30" t="str" cm="1">
        <f t="array" ref="AR45">_xlfn.XLOOKUP(MIN(ABS($AY$6:$AY$22 - MEDIAN(-2, 2, AR16))), ABS($AY$6:$AY$22 - MEDIAN(-2, 2, AR16)), $AZ$6:$AZ$22, "Error", 0)</f>
        <v>10</v>
      </c>
      <c r="AS45" s="30" t="str" cm="1">
        <f t="array" ref="AS45">_xlfn.XLOOKUP(MIN(ABS($AY$6:$AY$22 - MEDIAN(-2, 2, AS16))), ABS($AY$6:$AY$22 - MEDIAN(-2, 2, AS16)), $AZ$6:$AZ$22, "Error", 0)</f>
        <v>10</v>
      </c>
      <c r="AT45" s="30" t="str" cm="1">
        <f t="array" ref="AT45">_xlfn.XLOOKUP(MIN(ABS($AY$6:$AY$22 - MEDIAN(-2, 2, AT16))), ABS($AY$6:$AY$22 - MEDIAN(-2, 2, AT16)), $AZ$6:$AZ$22, "Error", 0)</f>
        <v>10</v>
      </c>
      <c r="AU45" s="30" t="str" cm="1">
        <f t="array" ref="AU45">_xlfn.XLOOKUP(MIN(ABS($AY$6:$AY$22 - MEDIAN(-2, 2, AU16))), ABS($AY$6:$AY$22 - MEDIAN(-2, 2, AU16)), $AZ$6:$AZ$22, "Error", 0)</f>
        <v>10</v>
      </c>
      <c r="AV45" s="30" cm="1">
        <f t="array" ref="AV45">_xlfn.XLOOKUP(MIN(ABS($AY$6:$AY$22 - MEDIAN(-2, 2, AV16))), ABS($AY$6:$AY$22 - MEDIAN(-2, 2, AV16)), $AZ$6:$AZ$22, "Error", 0)</f>
        <v>0</v>
      </c>
      <c r="AW45" s="30" cm="1">
        <f t="array" ref="AW45">_xlfn.XLOOKUP(MIN(ABS($AY$6:$AY$22 - MEDIAN(-2, 2, AW16))), ABS($AY$6:$AY$22 - MEDIAN(-2, 2, AW16)), $AZ$6:$AZ$22, "Error", 0)</f>
        <v>0</v>
      </c>
    </row>
    <row r="46" spans="1:50" ht="25" customHeight="1">
      <c r="A46" s="45" t="s">
        <v>17</v>
      </c>
      <c r="B46" s="30" t="str" cm="1">
        <f t="array" ref="B46">_xlfn.XLOOKUP(MIN(ABS($AY$6:$AY$22 - MEDIAN(-2, 2, B17))), ABS($AY$6:$AY$22 - MEDIAN(-2, 2, B17)), $AZ$6:$AZ$22, "Error", 0)</f>
        <v>-6</v>
      </c>
      <c r="C46" s="30" t="str" cm="1">
        <f t="array" ref="C46">_xlfn.XLOOKUP(MIN(ABS($AY$6:$AY$22 - MEDIAN(-2, 2, C17))), ABS($AY$6:$AY$22 - MEDIAN(-2, 2, C17)), $AZ$6:$AZ$22, "Error", 0)</f>
        <v>-8</v>
      </c>
      <c r="D46" s="30" t="str" cm="1">
        <f t="array" ref="D46">_xlfn.XLOOKUP(MIN(ABS($AY$6:$AY$22 - MEDIAN(-2, 2, D17))), ABS($AY$6:$AY$22 - MEDIAN(-2, 2, D17)), $AZ$6:$AZ$22, "Error", 0)</f>
        <v>-8</v>
      </c>
      <c r="E46" s="30" t="str" cm="1">
        <f t="array" ref="E46">_xlfn.XLOOKUP(MIN(ABS($AY$6:$AY$22 - MEDIAN(-2, 2, E17))), ABS($AY$6:$AY$22 - MEDIAN(-2, 2, E17)), $AZ$6:$AZ$22, "Error", 0)</f>
        <v>-6</v>
      </c>
      <c r="F46" s="30" t="str" cm="1">
        <f t="array" ref="F46">_xlfn.XLOOKUP(MIN(ABS($AY$6:$AY$22 - MEDIAN(-2, 2, F17))), ABS($AY$6:$AY$22 - MEDIAN(-2, 2, F17)), $AZ$6:$AZ$22, "Error", 0)</f>
        <v>-8</v>
      </c>
      <c r="G46" s="30" t="str" cm="1">
        <f t="array" ref="G46">_xlfn.XLOOKUP(MIN(ABS($AY$6:$AY$22 - MEDIAN(-2, 2, G17))), ABS($AY$6:$AY$22 - MEDIAN(-2, 2, G17)), $AZ$6:$AZ$22, "Error", 0)</f>
        <v>-4</v>
      </c>
      <c r="H46" s="30" cm="1">
        <f t="array" ref="H46">_xlfn.XLOOKUP(MIN(ABS($AY$6:$AY$22 - MEDIAN(-2, 2, H17))), ABS($AY$6:$AY$22 - MEDIAN(-2, 2, H17)), $AZ$6:$AZ$22, "Error", 0)</f>
        <v>0</v>
      </c>
      <c r="I46" s="30" t="str" cm="1">
        <f t="array" ref="I46">_xlfn.XLOOKUP(MIN(ABS($AY$6:$AY$22 - MEDIAN(-2, 2, I17))), ABS($AY$6:$AY$22 - MEDIAN(-2, 2, I17)), $AZ$6:$AZ$22, "Error", 0)</f>
        <v>4</v>
      </c>
      <c r="J46" s="30" cm="1">
        <f t="array" ref="J46">_xlfn.XLOOKUP(MIN(ABS($AY$6:$AY$22 - MEDIAN(-2, 2, J17))), ABS($AY$6:$AY$22 - MEDIAN(-2, 2, J17)), $AZ$6:$AZ$22, "Error", 0)</f>
        <v>0</v>
      </c>
      <c r="K46" s="30" cm="1">
        <f t="array" ref="K46">_xlfn.XLOOKUP(MIN(ABS($AY$6:$AY$22 - MEDIAN(-2, 2, K17))), ABS($AY$6:$AY$22 - MEDIAN(-2, 2, K17)), $AZ$6:$AZ$22, "Error", 0)</f>
        <v>0</v>
      </c>
      <c r="L46" s="30" cm="1">
        <f t="array" ref="L46">_xlfn.XLOOKUP(MIN(ABS($AY$6:$AY$22 - MEDIAN(-2, 2, L17))), ABS($AY$6:$AY$22 - MEDIAN(-2, 2, L17)), $AZ$6:$AZ$22, "Error", 0)</f>
        <v>0</v>
      </c>
      <c r="M46" s="30" cm="1">
        <f t="array" ref="M46">_xlfn.XLOOKUP(MIN(ABS($AY$6:$AY$22 - MEDIAN(-2, 2, M17))), ABS($AY$6:$AY$22 - MEDIAN(-2, 2, M17)), $AZ$6:$AZ$22, "Error", 0)</f>
        <v>0</v>
      </c>
      <c r="N46" s="30" t="str" cm="1">
        <f t="array" ref="N46">_xlfn.XLOOKUP(MIN(ABS($AY$6:$AY$22 - MEDIAN(-2, 2, N17))), ABS($AY$6:$AY$22 - MEDIAN(-2, 2, N17)), $AZ$6:$AZ$22, "Error", 0)</f>
        <v>-4</v>
      </c>
      <c r="O46" s="30" t="str" cm="1">
        <f t="array" ref="O46">_xlfn.XLOOKUP(MIN(ABS($AY$6:$AY$22 - MEDIAN(-2, 2, O17))), ABS($AY$6:$AY$22 - MEDIAN(-2, 2, O17)), $AZ$6:$AZ$22, "Error", 0)</f>
        <v>-6</v>
      </c>
      <c r="P46" s="30" t="str" cm="1">
        <f t="array" ref="P46">_xlfn.XLOOKUP(MIN(ABS($AY$6:$AY$22 - MEDIAN(-2, 2, P17))), ABS($AY$6:$AY$22 - MEDIAN(-2, 2, P17)), $AZ$6:$AZ$22, "Error", 0)</f>
        <v>-6</v>
      </c>
      <c r="Q46" s="30" t="str" cm="1">
        <f t="array" ref="Q46">_xlfn.XLOOKUP(MIN(ABS($AY$6:$AY$22 - MEDIAN(-2, 2, Q17))), ABS($AY$6:$AY$22 - MEDIAN(-2, 2, Q17)), $AZ$6:$AZ$22, "Error", 0)</f>
        <v>-8</v>
      </c>
      <c r="R46" s="30" t="str" cm="1">
        <f t="array" ref="R46">_xlfn.XLOOKUP(MIN(ABS($AY$6:$AY$22 - MEDIAN(-2, 2, R17))), ABS($AY$6:$AY$22 - MEDIAN(-2, 2, R17)), $AZ$6:$AZ$22, "Error", 0)</f>
        <v>-6</v>
      </c>
      <c r="S46" s="30" t="str" cm="1">
        <f t="array" ref="S46">_xlfn.XLOOKUP(MIN(ABS($AY$6:$AY$22 - MEDIAN(-2, 2, S17))), ABS($AY$6:$AY$22 - MEDIAN(-2, 2, S17)), $AZ$6:$AZ$22, "Error", 0)</f>
        <v>-4</v>
      </c>
      <c r="T46" s="30" t="str" cm="1">
        <f t="array" ref="T46">_xlfn.XLOOKUP(MIN(ABS($AY$6:$AY$22 - MEDIAN(-2, 2, T17))), ABS($AY$6:$AY$22 - MEDIAN(-2, 2, T17)), $AZ$6:$AZ$22, "Error", 0)</f>
        <v>-6</v>
      </c>
      <c r="U46" s="30" t="str" cm="1">
        <f t="array" ref="U46">_xlfn.XLOOKUP(MIN(ABS($AY$6:$AY$22 - MEDIAN(-2, 2, U17))), ABS($AY$6:$AY$22 - MEDIAN(-2, 2, U17)), $AZ$6:$AZ$22, "Error", 0)</f>
        <v>-6</v>
      </c>
      <c r="V46" s="30" t="str" cm="1">
        <f t="array" ref="V46">_xlfn.XLOOKUP(MIN(ABS($AY$6:$AY$22 - MEDIAN(-2, 2, V17))), ABS($AY$6:$AY$22 - MEDIAN(-2, 2, V17)), $AZ$6:$AZ$22, "Error", 0)</f>
        <v>-8</v>
      </c>
      <c r="W46" s="30" t="str" cm="1">
        <f t="array" ref="W46">_xlfn.XLOOKUP(MIN(ABS($AY$6:$AY$22 - MEDIAN(-2, 2, W17))), ABS($AY$6:$AY$22 - MEDIAN(-2, 2, W17)), $AZ$6:$AZ$22, "Error", 0)</f>
        <v>-6</v>
      </c>
      <c r="X46" s="30" t="str" cm="1">
        <f t="array" ref="X46">_xlfn.XLOOKUP(MIN(ABS($AY$6:$AY$22 - MEDIAN(-2, 2, X17))), ABS($AY$6:$AY$22 - MEDIAN(-2, 2, X17)), $AZ$6:$AZ$22, "Error", 0)</f>
        <v>-8</v>
      </c>
      <c r="Y46" s="30" t="str" cm="1">
        <f t="array" ref="Y46">_xlfn.XLOOKUP(MIN(ABS($AY$6:$AY$22 - MEDIAN(-2, 2, Y17))), ABS($AY$6:$AY$22 - MEDIAN(-2, 2, Y17)), $AZ$6:$AZ$22, "Error", 0)</f>
        <v>-10</v>
      </c>
      <c r="Z46" s="30" t="str" cm="1">
        <f t="array" ref="Z46">_xlfn.XLOOKUP(MIN(ABS($AY$6:$AY$22 - MEDIAN(-2, 2, Z17))), ABS($AY$6:$AY$22 - MEDIAN(-2, 2, Z17)), $AZ$6:$AZ$22, "Error", 0)</f>
        <v>-10</v>
      </c>
      <c r="AA46" s="30" t="str" cm="1">
        <f t="array" ref="AA46">_xlfn.XLOOKUP(MIN(ABS($AY$6:$AY$22 - MEDIAN(-2, 2, AA17))), ABS($AY$6:$AY$22 - MEDIAN(-2, 2, AA17)), $AZ$6:$AZ$22, "Error", 0)</f>
        <v>-4</v>
      </c>
      <c r="AB46" s="30" cm="1">
        <f t="array" ref="AB46">_xlfn.XLOOKUP(MIN(ABS($AY$6:$AY$22 - MEDIAN(-2, 2, AB17))), ABS($AY$6:$AY$22 - MEDIAN(-2, 2, AB17)), $AZ$6:$AZ$22, "Error", 0)</f>
        <v>0</v>
      </c>
      <c r="AC46" s="30" t="str" cm="1">
        <f t="array" ref="AC46">_xlfn.XLOOKUP(MIN(ABS($AY$6:$AY$22 - MEDIAN(-2, 2, AC17))), ABS($AY$6:$AY$22 - MEDIAN(-2, 2, AC17)), $AZ$6:$AZ$22, "Error", 0)</f>
        <v>-6</v>
      </c>
      <c r="AD46" s="30" t="str" cm="1">
        <f t="array" ref="AD46">_xlfn.XLOOKUP(MIN(ABS($AY$6:$AY$22 - MEDIAN(-2, 2, AD17))), ABS($AY$6:$AY$22 - MEDIAN(-2, 2, AD17)), $AZ$6:$AZ$22, "Error", 0)</f>
        <v>-8</v>
      </c>
      <c r="AE46" s="30" t="str" cm="1">
        <f t="array" ref="AE46">_xlfn.XLOOKUP(MIN(ABS($AY$6:$AY$22 - MEDIAN(-2, 2, AE17))), ABS($AY$6:$AY$22 - MEDIAN(-2, 2, AE17)), $AZ$6:$AZ$22, "Error", 0)</f>
        <v>-8</v>
      </c>
      <c r="AF46" s="30" t="str" cm="1">
        <f t="array" ref="AF46">_xlfn.XLOOKUP(MIN(ABS($AY$6:$AY$22 - MEDIAN(-2, 2, AF17))), ABS($AY$6:$AY$22 - MEDIAN(-2, 2, AF17)), $AZ$6:$AZ$22, "Error", 0)</f>
        <v>-10</v>
      </c>
      <c r="AG46" s="30" t="str" cm="1">
        <f t="array" ref="AG46">_xlfn.XLOOKUP(MIN(ABS($AY$6:$AY$22 - MEDIAN(-2, 2, AG17))), ABS($AY$6:$AY$22 - MEDIAN(-2, 2, AG17)), $AZ$6:$AZ$22, "Error", 0)</f>
        <v>-10</v>
      </c>
      <c r="AH46" s="30" t="str" cm="1">
        <f t="array" ref="AH46">_xlfn.XLOOKUP(MIN(ABS($AY$6:$AY$22 - MEDIAN(-2, 2, AH17))), ABS($AY$6:$AY$22 - MEDIAN(-2, 2, AH17)), $AZ$6:$AZ$22, "Error", 0)</f>
        <v>-6</v>
      </c>
      <c r="AI46" s="30" t="str" cm="1">
        <f t="array" ref="AI46">_xlfn.XLOOKUP(MIN(ABS($AY$6:$AY$22 - MEDIAN(-2, 2, AI17))), ABS($AY$6:$AY$22 - MEDIAN(-2, 2, AI17)), $AZ$6:$AZ$22, "Error", 0)</f>
        <v>-6</v>
      </c>
      <c r="AJ46" s="30" t="str" cm="1">
        <f t="array" ref="AJ46">_xlfn.XLOOKUP(MIN(ABS($AY$6:$AY$22 - MEDIAN(-2, 2, AJ17))), ABS($AY$6:$AY$22 - MEDIAN(-2, 2, AJ17)), $AZ$6:$AZ$22, "Error", 0)</f>
        <v>-6</v>
      </c>
      <c r="AK46" s="30" t="str" cm="1">
        <f t="array" ref="AK46">_xlfn.XLOOKUP(MIN(ABS($AY$6:$AY$22 - MEDIAN(-2, 2, AK17))), ABS($AY$6:$AY$22 - MEDIAN(-2, 2, AK17)), $AZ$6:$AZ$22, "Error", 0)</f>
        <v>-4</v>
      </c>
      <c r="AL46" s="30" cm="1">
        <f t="array" ref="AL46">_xlfn.XLOOKUP(MIN(ABS($AY$6:$AY$22 - MEDIAN(-2, 2, AL17))), ABS($AY$6:$AY$22 - MEDIAN(-2, 2, AL17)), $AZ$6:$AZ$22, "Error", 0)</f>
        <v>0</v>
      </c>
      <c r="AM46" s="30" t="str" cm="1">
        <f t="array" ref="AM46">_xlfn.XLOOKUP(MIN(ABS($AY$6:$AY$22 - MEDIAN(-2, 2, AM17))), ABS($AY$6:$AY$22 - MEDIAN(-2, 2, AM17)), $AZ$6:$AZ$22, "Error", 0)</f>
        <v>-6</v>
      </c>
      <c r="AN46" s="30" t="str" cm="1">
        <f t="array" ref="AN46">_xlfn.XLOOKUP(MIN(ABS($AY$6:$AY$22 - MEDIAN(-2, 2, AN17))), ABS($AY$6:$AY$22 - MEDIAN(-2, 2, AN17)), $AZ$6:$AZ$22, "Error", 0)</f>
        <v>-10</v>
      </c>
      <c r="AO46" s="30" t="str" cm="1">
        <f t="array" ref="AO46">_xlfn.XLOOKUP(MIN(ABS($AY$6:$AY$22 - MEDIAN(-2, 2, AO17))), ABS($AY$6:$AY$22 - MEDIAN(-2, 2, AO17)), $AZ$6:$AZ$22, "Error", 0)</f>
        <v>-10</v>
      </c>
      <c r="AP46" s="30" t="str" cm="1">
        <f t="array" ref="AP46">_xlfn.XLOOKUP(MIN(ABS($AY$6:$AY$22 - MEDIAN(-2, 2, AP17))), ABS($AY$6:$AY$22 - MEDIAN(-2, 2, AP17)), $AZ$6:$AZ$22, "Error", 0)</f>
        <v>-10</v>
      </c>
      <c r="AQ46" s="30" t="str" cm="1">
        <f t="array" ref="AQ46">_xlfn.XLOOKUP(MIN(ABS($AY$6:$AY$22 - MEDIAN(-2, 2, AQ17))), ABS($AY$6:$AY$22 - MEDIAN(-2, 2, AQ17)), $AZ$6:$AZ$22, "Error", 0)</f>
        <v>-8</v>
      </c>
      <c r="AR46" s="30" t="str" cm="1">
        <f t="array" ref="AR46">_xlfn.XLOOKUP(MIN(ABS($AY$6:$AY$22 - MEDIAN(-2, 2, AR17))), ABS($AY$6:$AY$22 - MEDIAN(-2, 2, AR17)), $AZ$6:$AZ$22, "Error", 0)</f>
        <v>-6</v>
      </c>
      <c r="AS46" s="30" t="str" cm="1">
        <f t="array" ref="AS46">_xlfn.XLOOKUP(MIN(ABS($AY$6:$AY$22 - MEDIAN(-2, 2, AS17))), ABS($AY$6:$AY$22 - MEDIAN(-2, 2, AS17)), $AZ$6:$AZ$22, "Error", 0)</f>
        <v>-8</v>
      </c>
      <c r="AT46" s="30" t="str" cm="1">
        <f t="array" ref="AT46">_xlfn.XLOOKUP(MIN(ABS($AY$6:$AY$22 - MEDIAN(-2, 2, AT17))), ABS($AY$6:$AY$22 - MEDIAN(-2, 2, AT17)), $AZ$6:$AZ$22, "Error", 0)</f>
        <v>-8</v>
      </c>
      <c r="AU46" s="30" t="str" cm="1">
        <f t="array" ref="AU46">_xlfn.XLOOKUP(MIN(ABS($AY$6:$AY$22 - MEDIAN(-2, 2, AU17))), ABS($AY$6:$AY$22 - MEDIAN(-2, 2, AU17)), $AZ$6:$AZ$22, "Error", 0)</f>
        <v>-8</v>
      </c>
      <c r="AV46" s="30" cm="1">
        <f t="array" ref="AV46">_xlfn.XLOOKUP(MIN(ABS($AY$6:$AY$22 - MEDIAN(-2, 2, AV17))), ABS($AY$6:$AY$22 - MEDIAN(-2, 2, AV17)), $AZ$6:$AZ$22, "Error", 0)</f>
        <v>0</v>
      </c>
      <c r="AW46" s="30" cm="1">
        <f t="array" ref="AW46">_xlfn.XLOOKUP(MIN(ABS($AY$6:$AY$22 - MEDIAN(-2, 2, AW17))), ABS($AY$6:$AY$22 - MEDIAN(-2, 2, AW17)), $AZ$6:$AZ$22, "Error", 0)</f>
        <v>0</v>
      </c>
    </row>
    <row r="47" spans="1:50" ht="25" customHeight="1">
      <c r="A47" s="46" t="s">
        <v>47</v>
      </c>
      <c r="B47" s="30" t="str" cm="1">
        <f t="array" ref="B47">_xlfn.XLOOKUP(MIN(ABS($AY$6:$AY$22 - MEDIAN(-2, 2, B18))), ABS($AY$6:$AY$22 - MEDIAN(-2, 2, B18)), $AZ$6:$AZ$22, "Error", 0)</f>
        <v>10</v>
      </c>
      <c r="C47" s="30" t="str" cm="1">
        <f t="array" ref="C47">_xlfn.XLOOKUP(MIN(ABS($AY$6:$AY$22 - MEDIAN(-2, 2, C18))), ABS($AY$6:$AY$22 - MEDIAN(-2, 2, C18)), $AZ$6:$AZ$22, "Error", 0)</f>
        <v>10</v>
      </c>
      <c r="D47" s="30" t="str" cm="1">
        <f t="array" ref="D47">_xlfn.XLOOKUP(MIN(ABS($AY$6:$AY$22 - MEDIAN(-2, 2, D18))), ABS($AY$6:$AY$22 - MEDIAN(-2, 2, D18)), $AZ$6:$AZ$22, "Error", 0)</f>
        <v>10</v>
      </c>
      <c r="E47" s="30" t="str" cm="1">
        <f t="array" ref="E47">_xlfn.XLOOKUP(MIN(ABS($AY$6:$AY$22 - MEDIAN(-2, 2, E18))), ABS($AY$6:$AY$22 - MEDIAN(-2, 2, E18)), $AZ$6:$AZ$22, "Error", 0)</f>
        <v>10</v>
      </c>
      <c r="F47" s="30" t="str" cm="1">
        <f t="array" ref="F47">_xlfn.XLOOKUP(MIN(ABS($AY$6:$AY$22 - MEDIAN(-2, 2, F18))), ABS($AY$6:$AY$22 - MEDIAN(-2, 2, F18)), $AZ$6:$AZ$22, "Error", 0)</f>
        <v>10</v>
      </c>
      <c r="G47" s="30" t="str" cm="1">
        <f t="array" ref="G47">_xlfn.XLOOKUP(MIN(ABS($AY$6:$AY$22 - MEDIAN(-2, 2, G18))), ABS($AY$6:$AY$22 - MEDIAN(-2, 2, G18)), $AZ$6:$AZ$22, "Error", 0)</f>
        <v>10</v>
      </c>
      <c r="H47" s="30" t="str" cm="1">
        <f t="array" ref="H47">_xlfn.XLOOKUP(MIN(ABS($AY$6:$AY$22 - MEDIAN(-2, 2, H18))), ABS($AY$6:$AY$22 - MEDIAN(-2, 2, H18)), $AZ$6:$AZ$22, "Error", 0)</f>
        <v>10</v>
      </c>
      <c r="I47" s="30" t="str" cm="1">
        <f t="array" ref="I47">_xlfn.XLOOKUP(MIN(ABS($AY$6:$AY$22 - MEDIAN(-2, 2, I18))), ABS($AY$6:$AY$22 - MEDIAN(-2, 2, I18)), $AZ$6:$AZ$22, "Error", 0)</f>
        <v>8</v>
      </c>
      <c r="J47" s="30" t="str" cm="1">
        <f t="array" ref="J47">_xlfn.XLOOKUP(MIN(ABS($AY$6:$AY$22 - MEDIAN(-2, 2, J18))), ABS($AY$6:$AY$22 - MEDIAN(-2, 2, J18)), $AZ$6:$AZ$22, "Error", 0)</f>
        <v>-6</v>
      </c>
      <c r="K47" s="30" t="str" cm="1">
        <f t="array" ref="K47">_xlfn.XLOOKUP(MIN(ABS($AY$6:$AY$22 - MEDIAN(-2, 2, K18))), ABS($AY$6:$AY$22 - MEDIAN(-2, 2, K18)), $AZ$6:$AZ$22, "Error", 0)</f>
        <v>4</v>
      </c>
      <c r="L47" s="30" t="str" cm="1">
        <f t="array" ref="L47">_xlfn.XLOOKUP(MIN(ABS($AY$6:$AY$22 - MEDIAN(-2, 2, L18))), ABS($AY$6:$AY$22 - MEDIAN(-2, 2, L18)), $AZ$6:$AZ$22, "Error", 0)</f>
        <v>8</v>
      </c>
      <c r="M47" s="30" t="str" cm="1">
        <f t="array" ref="M47">_xlfn.XLOOKUP(MIN(ABS($AY$6:$AY$22 - MEDIAN(-2, 2, M18))), ABS($AY$6:$AY$22 - MEDIAN(-2, 2, M18)), $AZ$6:$AZ$22, "Error", 0)</f>
        <v>6</v>
      </c>
      <c r="N47" s="30" t="str" cm="1">
        <f t="array" ref="N47">_xlfn.XLOOKUP(MIN(ABS($AY$6:$AY$22 - MEDIAN(-2, 2, N18))), ABS($AY$6:$AY$22 - MEDIAN(-2, 2, N18)), $AZ$6:$AZ$22, "Error", 0)</f>
        <v>4</v>
      </c>
      <c r="O47" s="30" t="str" cm="1">
        <f t="array" ref="O47">_xlfn.XLOOKUP(MIN(ABS($AY$6:$AY$22 - MEDIAN(-2, 2, O18))), ABS($AY$6:$AY$22 - MEDIAN(-2, 2, O18)), $AZ$6:$AZ$22, "Error", 0)</f>
        <v>6</v>
      </c>
      <c r="P47" s="30" t="str" cm="1">
        <f t="array" ref="P47">_xlfn.XLOOKUP(MIN(ABS($AY$6:$AY$22 - MEDIAN(-2, 2, P18))), ABS($AY$6:$AY$22 - MEDIAN(-2, 2, P18)), $AZ$6:$AZ$22, "Error", 0)</f>
        <v>10</v>
      </c>
      <c r="Q47" s="30" t="str" cm="1">
        <f t="array" ref="Q47">_xlfn.XLOOKUP(MIN(ABS($AY$6:$AY$22 - MEDIAN(-2, 2, Q18))), ABS($AY$6:$AY$22 - MEDIAN(-2, 2, Q18)), $AZ$6:$AZ$22, "Error", 0)</f>
        <v>10</v>
      </c>
      <c r="R47" s="30" t="str" cm="1">
        <f t="array" ref="R47">_xlfn.XLOOKUP(MIN(ABS($AY$6:$AY$22 - MEDIAN(-2, 2, R18))), ABS($AY$6:$AY$22 - MEDIAN(-2, 2, R18)), $AZ$6:$AZ$22, "Error", 0)</f>
        <v>8</v>
      </c>
      <c r="S47" s="30" t="str" cm="1">
        <f t="array" ref="S47">_xlfn.XLOOKUP(MIN(ABS($AY$6:$AY$22 - MEDIAN(-2, 2, S18))), ABS($AY$6:$AY$22 - MEDIAN(-2, 2, S18)), $AZ$6:$AZ$22, "Error", 0)</f>
        <v>6</v>
      </c>
      <c r="T47" s="30" t="str" cm="1">
        <f t="array" ref="T47">_xlfn.XLOOKUP(MIN(ABS($AY$6:$AY$22 - MEDIAN(-2, 2, T18))), ABS($AY$6:$AY$22 - MEDIAN(-2, 2, T18)), $AZ$6:$AZ$22, "Error", 0)</f>
        <v>4</v>
      </c>
      <c r="U47" s="30" t="str" cm="1">
        <f t="array" ref="U47">_xlfn.XLOOKUP(MIN(ABS($AY$6:$AY$22 - MEDIAN(-2, 2, U18))), ABS($AY$6:$AY$22 - MEDIAN(-2, 2, U18)), $AZ$6:$AZ$22, "Error", 0)</f>
        <v>4</v>
      </c>
      <c r="V47" s="30" t="str" cm="1">
        <f t="array" ref="V47">_xlfn.XLOOKUP(MIN(ABS($AY$6:$AY$22 - MEDIAN(-2, 2, V18))), ABS($AY$6:$AY$22 - MEDIAN(-2, 2, V18)), $AZ$6:$AZ$22, "Error", 0)</f>
        <v>8</v>
      </c>
      <c r="W47" s="30" t="str" cm="1">
        <f t="array" ref="W47">_xlfn.XLOOKUP(MIN(ABS($AY$6:$AY$22 - MEDIAN(-2, 2, W18))), ABS($AY$6:$AY$22 - MEDIAN(-2, 2, W18)), $AZ$6:$AZ$22, "Error", 0)</f>
        <v>6</v>
      </c>
      <c r="X47" s="30" t="str" cm="1">
        <f t="array" ref="X47">_xlfn.XLOOKUP(MIN(ABS($AY$6:$AY$22 - MEDIAN(-2, 2, X18))), ABS($AY$6:$AY$22 - MEDIAN(-2, 2, X18)), $AZ$6:$AZ$22, "Error", 0)</f>
        <v>6</v>
      </c>
      <c r="Y47" s="30" t="str" cm="1">
        <f t="array" ref="Y47">_xlfn.XLOOKUP(MIN(ABS($AY$6:$AY$22 - MEDIAN(-2, 2, Y18))), ABS($AY$6:$AY$22 - MEDIAN(-2, 2, Y18)), $AZ$6:$AZ$22, "Error", 0)</f>
        <v>6</v>
      </c>
      <c r="Z47" s="30" t="str" cm="1">
        <f t="array" ref="Z47">_xlfn.XLOOKUP(MIN(ABS($AY$6:$AY$22 - MEDIAN(-2, 2, Z18))), ABS($AY$6:$AY$22 - MEDIAN(-2, 2, Z18)), $AZ$6:$AZ$22, "Error", 0)</f>
        <v>6</v>
      </c>
      <c r="AA47" s="30" t="str" cm="1">
        <f t="array" ref="AA47">_xlfn.XLOOKUP(MIN(ABS($AY$6:$AY$22 - MEDIAN(-2, 2, AA18))), ABS($AY$6:$AY$22 - MEDIAN(-2, 2, AA18)), $AZ$6:$AZ$22, "Error", 0)</f>
        <v>6</v>
      </c>
      <c r="AB47" s="30" t="str" cm="1">
        <f t="array" ref="AB47">_xlfn.XLOOKUP(MIN(ABS($AY$6:$AY$22 - MEDIAN(-2, 2, AB18))), ABS($AY$6:$AY$22 - MEDIAN(-2, 2, AB18)), $AZ$6:$AZ$22, "Error", 0)</f>
        <v>4</v>
      </c>
      <c r="AC47" s="30" cm="1">
        <f t="array" ref="AC47">_xlfn.XLOOKUP(MIN(ABS($AY$6:$AY$22 - MEDIAN(-2, 2, AC18))), ABS($AY$6:$AY$22 - MEDIAN(-2, 2, AC18)), $AZ$6:$AZ$22, "Error", 0)</f>
        <v>0</v>
      </c>
      <c r="AD47" s="30" t="str" cm="1">
        <f t="array" ref="AD47">_xlfn.XLOOKUP(MIN(ABS($AY$6:$AY$22 - MEDIAN(-2, 2, AD18))), ABS($AY$6:$AY$22 - MEDIAN(-2, 2, AD18)), $AZ$6:$AZ$22, "Error", 0)</f>
        <v>6</v>
      </c>
      <c r="AE47" s="30" t="str" cm="1">
        <f t="array" ref="AE47">_xlfn.XLOOKUP(MIN(ABS($AY$6:$AY$22 - MEDIAN(-2, 2, AE18))), ABS($AY$6:$AY$22 - MEDIAN(-2, 2, AE18)), $AZ$6:$AZ$22, "Error", 0)</f>
        <v>8</v>
      </c>
      <c r="AF47" s="30" t="str" cm="1">
        <f t="array" ref="AF47">_xlfn.XLOOKUP(MIN(ABS($AY$6:$AY$22 - MEDIAN(-2, 2, AF18))), ABS($AY$6:$AY$22 - MEDIAN(-2, 2, AF18)), $AZ$6:$AZ$22, "Error", 0)</f>
        <v>8</v>
      </c>
      <c r="AG47" s="30" t="str" cm="1">
        <f t="array" ref="AG47">_xlfn.XLOOKUP(MIN(ABS($AY$6:$AY$22 - MEDIAN(-2, 2, AG18))), ABS($AY$6:$AY$22 - MEDIAN(-2, 2, AG18)), $AZ$6:$AZ$22, "Error", 0)</f>
        <v>10</v>
      </c>
      <c r="AH47" s="30" t="str" cm="1">
        <f t="array" ref="AH47">_xlfn.XLOOKUP(MIN(ABS($AY$6:$AY$22 - MEDIAN(-2, 2, AH18))), ABS($AY$6:$AY$22 - MEDIAN(-2, 2, AH18)), $AZ$6:$AZ$22, "Error", 0)</f>
        <v>8</v>
      </c>
      <c r="AI47" s="30" t="str" cm="1">
        <f t="array" ref="AI47">_xlfn.XLOOKUP(MIN(ABS($AY$6:$AY$22 - MEDIAN(-2, 2, AI18))), ABS($AY$6:$AY$22 - MEDIAN(-2, 2, AI18)), $AZ$6:$AZ$22, "Error", 0)</f>
        <v>6</v>
      </c>
      <c r="AJ47" s="30" t="str" cm="1">
        <f t="array" ref="AJ47">_xlfn.XLOOKUP(MIN(ABS($AY$6:$AY$22 - MEDIAN(-2, 2, AJ18))), ABS($AY$6:$AY$22 - MEDIAN(-2, 2, AJ18)), $AZ$6:$AZ$22, "Error", 0)</f>
        <v>6</v>
      </c>
      <c r="AK47" s="30" t="str" cm="1">
        <f t="array" ref="AK47">_xlfn.XLOOKUP(MIN(ABS($AY$6:$AY$22 - MEDIAN(-2, 2, AK18))), ABS($AY$6:$AY$22 - MEDIAN(-2, 2, AK18)), $AZ$6:$AZ$22, "Error", 0)</f>
        <v>8</v>
      </c>
      <c r="AL47" s="30" t="str" cm="1">
        <f t="array" ref="AL47">_xlfn.XLOOKUP(MIN(ABS($AY$6:$AY$22 - MEDIAN(-2, 2, AL18))), ABS($AY$6:$AY$22 - MEDIAN(-2, 2, AL18)), $AZ$6:$AZ$22, "Error", 0)</f>
        <v>8</v>
      </c>
      <c r="AM47" s="30" t="str" cm="1">
        <f t="array" ref="AM47">_xlfn.XLOOKUP(MIN(ABS($AY$6:$AY$22 - MEDIAN(-2, 2, AM18))), ABS($AY$6:$AY$22 - MEDIAN(-2, 2, AM18)), $AZ$6:$AZ$22, "Error", 0)</f>
        <v>6</v>
      </c>
      <c r="AN47" s="30" t="str" cm="1">
        <f t="array" ref="AN47">_xlfn.XLOOKUP(MIN(ABS($AY$6:$AY$22 - MEDIAN(-2, 2, AN18))), ABS($AY$6:$AY$22 - MEDIAN(-2, 2, AN18)), $AZ$6:$AZ$22, "Error", 0)</f>
        <v>8</v>
      </c>
      <c r="AO47" s="30" t="str" cm="1">
        <f t="array" ref="AO47">_xlfn.XLOOKUP(MIN(ABS($AY$6:$AY$22 - MEDIAN(-2, 2, AO18))), ABS($AY$6:$AY$22 - MEDIAN(-2, 2, AO18)), $AZ$6:$AZ$22, "Error", 0)</f>
        <v>8</v>
      </c>
      <c r="AP47" s="30" t="str" cm="1">
        <f t="array" ref="AP47">_xlfn.XLOOKUP(MIN(ABS($AY$6:$AY$22 - MEDIAN(-2, 2, AP18))), ABS($AY$6:$AY$22 - MEDIAN(-2, 2, AP18)), $AZ$6:$AZ$22, "Error", 0)</f>
        <v>10</v>
      </c>
      <c r="AQ47" s="30" t="str" cm="1">
        <f t="array" ref="AQ47">_xlfn.XLOOKUP(MIN(ABS($AY$6:$AY$22 - MEDIAN(-2, 2, AQ18))), ABS($AY$6:$AY$22 - MEDIAN(-2, 2, AQ18)), $AZ$6:$AZ$22, "Error", 0)</f>
        <v>8</v>
      </c>
      <c r="AR47" s="30" t="str" cm="1">
        <f t="array" ref="AR47">_xlfn.XLOOKUP(MIN(ABS($AY$6:$AY$22 - MEDIAN(-2, 2, AR18))), ABS($AY$6:$AY$22 - MEDIAN(-2, 2, AR18)), $AZ$6:$AZ$22, "Error", 0)</f>
        <v>6</v>
      </c>
      <c r="AS47" s="30" t="str" cm="1">
        <f t="array" ref="AS47">_xlfn.XLOOKUP(MIN(ABS($AY$6:$AY$22 - MEDIAN(-2, 2, AS18))), ABS($AY$6:$AY$22 - MEDIAN(-2, 2, AS18)), $AZ$6:$AZ$22, "Error", 0)</f>
        <v>6</v>
      </c>
      <c r="AT47" s="30" t="str" cm="1">
        <f t="array" ref="AT47">_xlfn.XLOOKUP(MIN(ABS($AY$6:$AY$22 - MEDIAN(-2, 2, AT18))), ABS($AY$6:$AY$22 - MEDIAN(-2, 2, AT18)), $AZ$6:$AZ$22, "Error", 0)</f>
        <v>4</v>
      </c>
      <c r="AU47" s="30" cm="1">
        <f t="array" ref="AU47">_xlfn.XLOOKUP(MIN(ABS($AY$6:$AY$22 - MEDIAN(-2, 2, AU18))), ABS($AY$6:$AY$22 - MEDIAN(-2, 2, AU18)), $AZ$6:$AZ$22, "Error", 0)</f>
        <v>0</v>
      </c>
      <c r="AV47" s="30" cm="1">
        <f t="array" ref="AV47">_xlfn.XLOOKUP(MIN(ABS($AY$6:$AY$22 - MEDIAN(-2, 2, AV18))), ABS($AY$6:$AY$22 - MEDIAN(-2, 2, AV18)), $AZ$6:$AZ$22, "Error", 0)</f>
        <v>0</v>
      </c>
      <c r="AW47" s="30" cm="1">
        <f t="array" ref="AW47">_xlfn.XLOOKUP(MIN(ABS($AY$6:$AY$22 - MEDIAN(-2, 2, AW18))), ABS($AY$6:$AY$22 - MEDIAN(-2, 2, AW18)), $AZ$6:$AZ$22, "Error", 0)</f>
        <v>0</v>
      </c>
    </row>
    <row r="48" spans="1:50" ht="25" customHeight="1">
      <c r="A48" s="46" t="s">
        <v>14</v>
      </c>
      <c r="B48" s="30" t="str" cm="1">
        <f t="array" ref="B48">_xlfn.XLOOKUP(MIN(ABS($AY$6:$AY$22 - MEDIAN(-2, 2, B19))), ABS($AY$6:$AY$22 - MEDIAN(-2, 2, B19)), $AZ$6:$AZ$22, "Error", 0)</f>
        <v>10</v>
      </c>
      <c r="C48" s="30" t="str" cm="1">
        <f t="array" ref="C48">_xlfn.XLOOKUP(MIN(ABS($AY$6:$AY$22 - MEDIAN(-2, 2, C19))), ABS($AY$6:$AY$22 - MEDIAN(-2, 2, C19)), $AZ$6:$AZ$22, "Error", 0)</f>
        <v>10</v>
      </c>
      <c r="D48" s="30" t="str" cm="1">
        <f t="array" ref="D48">_xlfn.XLOOKUP(MIN(ABS($AY$6:$AY$22 - MEDIAN(-2, 2, D19))), ABS($AY$6:$AY$22 - MEDIAN(-2, 2, D19)), $AZ$6:$AZ$22, "Error", 0)</f>
        <v>10</v>
      </c>
      <c r="E48" s="30" t="str" cm="1">
        <f t="array" ref="E48">_xlfn.XLOOKUP(MIN(ABS($AY$6:$AY$22 - MEDIAN(-2, 2, E19))), ABS($AY$6:$AY$22 - MEDIAN(-2, 2, E19)), $AZ$6:$AZ$22, "Error", 0)</f>
        <v>10</v>
      </c>
      <c r="F48" s="30" t="str" cm="1">
        <f t="array" ref="F48">_xlfn.XLOOKUP(MIN(ABS($AY$6:$AY$22 - MEDIAN(-2, 2, F19))), ABS($AY$6:$AY$22 - MEDIAN(-2, 2, F19)), $AZ$6:$AZ$22, "Error", 0)</f>
        <v>10</v>
      </c>
      <c r="G48" s="30" t="str" cm="1">
        <f t="array" ref="G48">_xlfn.XLOOKUP(MIN(ABS($AY$6:$AY$22 - MEDIAN(-2, 2, G19))), ABS($AY$6:$AY$22 - MEDIAN(-2, 2, G19)), $AZ$6:$AZ$22, "Error", 0)</f>
        <v>10</v>
      </c>
      <c r="H48" s="30" t="str" cm="1">
        <f t="array" ref="H48">_xlfn.XLOOKUP(MIN(ABS($AY$6:$AY$22 - MEDIAN(-2, 2, H19))), ABS($AY$6:$AY$22 - MEDIAN(-2, 2, H19)), $AZ$6:$AZ$22, "Error", 0)</f>
        <v>10</v>
      </c>
      <c r="I48" s="30" t="str" cm="1">
        <f t="array" ref="I48">_xlfn.XLOOKUP(MIN(ABS($AY$6:$AY$22 - MEDIAN(-2, 2, I19))), ABS($AY$6:$AY$22 - MEDIAN(-2, 2, I19)), $AZ$6:$AZ$22, "Error", 0)</f>
        <v>10</v>
      </c>
      <c r="J48" s="30" t="str" cm="1">
        <f t="array" ref="J48">_xlfn.XLOOKUP(MIN(ABS($AY$6:$AY$22 - MEDIAN(-2, 2, J19))), ABS($AY$6:$AY$22 - MEDIAN(-2, 2, J19)), $AZ$6:$AZ$22, "Error", 0)</f>
        <v>6</v>
      </c>
      <c r="K48" s="30" t="str" cm="1">
        <f t="array" ref="K48">_xlfn.XLOOKUP(MIN(ABS($AY$6:$AY$22 - MEDIAN(-2, 2, K19))), ABS($AY$6:$AY$22 - MEDIAN(-2, 2, K19)), $AZ$6:$AZ$22, "Error", 0)</f>
        <v>6</v>
      </c>
      <c r="L48" s="30" t="str" cm="1">
        <f t="array" ref="L48">_xlfn.XLOOKUP(MIN(ABS($AY$6:$AY$22 - MEDIAN(-2, 2, L19))), ABS($AY$6:$AY$22 - MEDIAN(-2, 2, L19)), $AZ$6:$AZ$22, "Error", 0)</f>
        <v>6</v>
      </c>
      <c r="M48" s="30" t="str" cm="1">
        <f t="array" ref="M48">_xlfn.XLOOKUP(MIN(ABS($AY$6:$AY$22 - MEDIAN(-2, 2, M19))), ABS($AY$6:$AY$22 - MEDIAN(-2, 2, M19)), $AZ$6:$AZ$22, "Error", 0)</f>
        <v>-4</v>
      </c>
      <c r="N48" s="30" t="str" cm="1">
        <f t="array" ref="N48">_xlfn.XLOOKUP(MIN(ABS($AY$6:$AY$22 - MEDIAN(-2, 2, N19))), ABS($AY$6:$AY$22 - MEDIAN(-2, 2, N19)), $AZ$6:$AZ$22, "Error", 0)</f>
        <v>-6</v>
      </c>
      <c r="O48" s="30" t="str" cm="1">
        <f t="array" ref="O48">_xlfn.XLOOKUP(MIN(ABS($AY$6:$AY$22 - MEDIAN(-2, 2, O19))), ABS($AY$6:$AY$22 - MEDIAN(-2, 2, O19)), $AZ$6:$AZ$22, "Error", 0)</f>
        <v>4</v>
      </c>
      <c r="P48" s="30" t="str" cm="1">
        <f t="array" ref="P48">_xlfn.XLOOKUP(MIN(ABS($AY$6:$AY$22 - MEDIAN(-2, 2, P19))), ABS($AY$6:$AY$22 - MEDIAN(-2, 2, P19)), $AZ$6:$AZ$22, "Error", 0)</f>
        <v>4</v>
      </c>
      <c r="Q48" s="30" cm="1">
        <f t="array" ref="Q48">_xlfn.XLOOKUP(MIN(ABS($AY$6:$AY$22 - MEDIAN(-2, 2, Q19))), ABS($AY$6:$AY$22 - MEDIAN(-2, 2, Q19)), $AZ$6:$AZ$22, "Error", 0)</f>
        <v>0</v>
      </c>
      <c r="R48" s="30" t="str" cm="1">
        <f t="array" ref="R48">_xlfn.XLOOKUP(MIN(ABS($AY$6:$AY$22 - MEDIAN(-2, 2, R19))), ABS($AY$6:$AY$22 - MEDIAN(-2, 2, R19)), $AZ$6:$AZ$22, "Error", 0)</f>
        <v>4</v>
      </c>
      <c r="S48" s="30" t="str" cm="1">
        <f t="array" ref="S48">_xlfn.XLOOKUP(MIN(ABS($AY$6:$AY$22 - MEDIAN(-2, 2, S19))), ABS($AY$6:$AY$22 - MEDIAN(-2, 2, S19)), $AZ$6:$AZ$22, "Error", 0)</f>
        <v>4</v>
      </c>
      <c r="T48" s="30" t="str" cm="1">
        <f t="array" ref="T48">_xlfn.XLOOKUP(MIN(ABS($AY$6:$AY$22 - MEDIAN(-2, 2, T19))), ABS($AY$6:$AY$22 - MEDIAN(-2, 2, T19)), $AZ$6:$AZ$22, "Error", 0)</f>
        <v>4</v>
      </c>
      <c r="U48" s="30" t="str" cm="1">
        <f t="array" ref="U48">_xlfn.XLOOKUP(MIN(ABS($AY$6:$AY$22 - MEDIAN(-2, 2, U19))), ABS($AY$6:$AY$22 - MEDIAN(-2, 2, U19)), $AZ$6:$AZ$22, "Error", 0)</f>
        <v>8</v>
      </c>
      <c r="V48" s="30" t="str" cm="1">
        <f t="array" ref="V48">_xlfn.XLOOKUP(MIN(ABS($AY$6:$AY$22 - MEDIAN(-2, 2, V19))), ABS($AY$6:$AY$22 - MEDIAN(-2, 2, V19)), $AZ$6:$AZ$22, "Error", 0)</f>
        <v>8</v>
      </c>
      <c r="W48" s="30" t="str" cm="1">
        <f t="array" ref="W48">_xlfn.XLOOKUP(MIN(ABS($AY$6:$AY$22 - MEDIAN(-2, 2, W19))), ABS($AY$6:$AY$22 - MEDIAN(-2, 2, W19)), $AZ$6:$AZ$22, "Error", 0)</f>
        <v>4</v>
      </c>
      <c r="X48" s="30" t="str" cm="1">
        <f t="array" ref="X48">_xlfn.XLOOKUP(MIN(ABS($AY$6:$AY$22 - MEDIAN(-2, 2, X19))), ABS($AY$6:$AY$22 - MEDIAN(-2, 2, X19)), $AZ$6:$AZ$22, "Error", 0)</f>
        <v>8</v>
      </c>
      <c r="Y48" s="30" t="str" cm="1">
        <f t="array" ref="Y48">_xlfn.XLOOKUP(MIN(ABS($AY$6:$AY$22 - MEDIAN(-2, 2, Y19))), ABS($AY$6:$AY$22 - MEDIAN(-2, 2, Y19)), $AZ$6:$AZ$22, "Error", 0)</f>
        <v>6</v>
      </c>
      <c r="Z48" s="30" t="str" cm="1">
        <f t="array" ref="Z48">_xlfn.XLOOKUP(MIN(ABS($AY$6:$AY$22 - MEDIAN(-2, 2, Z19))), ABS($AY$6:$AY$22 - MEDIAN(-2, 2, Z19)), $AZ$6:$AZ$22, "Error", 0)</f>
        <v>4</v>
      </c>
      <c r="AA48" s="30" t="str" cm="1">
        <f t="array" ref="AA48">_xlfn.XLOOKUP(MIN(ABS($AY$6:$AY$22 - MEDIAN(-2, 2, AA19))), ABS($AY$6:$AY$22 - MEDIAN(-2, 2, AA19)), $AZ$6:$AZ$22, "Error", 0)</f>
        <v>4</v>
      </c>
      <c r="AB48" s="30" t="str" cm="1">
        <f t="array" ref="AB48">_xlfn.XLOOKUP(MIN(ABS($AY$6:$AY$22 - MEDIAN(-2, 2, AB19))), ABS($AY$6:$AY$22 - MEDIAN(-2, 2, AB19)), $AZ$6:$AZ$22, "Error", 0)</f>
        <v>4</v>
      </c>
      <c r="AC48" s="30" t="str" cm="1">
        <f t="array" ref="AC48">_xlfn.XLOOKUP(MIN(ABS($AY$6:$AY$22 - MEDIAN(-2, 2, AC19))), ABS($AY$6:$AY$22 - MEDIAN(-2, 2, AC19)), $AZ$6:$AZ$22, "Error", 0)</f>
        <v>4</v>
      </c>
      <c r="AD48" s="30" t="str" cm="1">
        <f t="array" ref="AD48">_xlfn.XLOOKUP(MIN(ABS($AY$6:$AY$22 - MEDIAN(-2, 2, AD19))), ABS($AY$6:$AY$22 - MEDIAN(-2, 2, AD19)), $AZ$6:$AZ$22, "Error", 0)</f>
        <v>4</v>
      </c>
      <c r="AE48" s="30" t="str" cm="1">
        <f t="array" ref="AE48">_xlfn.XLOOKUP(MIN(ABS($AY$6:$AY$22 - MEDIAN(-2, 2, AE19))), ABS($AY$6:$AY$22 - MEDIAN(-2, 2, AE19)), $AZ$6:$AZ$22, "Error", 0)</f>
        <v>6</v>
      </c>
      <c r="AF48" s="30" t="str" cm="1">
        <f t="array" ref="AF48">_xlfn.XLOOKUP(MIN(ABS($AY$6:$AY$22 - MEDIAN(-2, 2, AF19))), ABS($AY$6:$AY$22 - MEDIAN(-2, 2, AF19)), $AZ$6:$AZ$22, "Error", 0)</f>
        <v>10</v>
      </c>
      <c r="AG48" s="30" t="str" cm="1">
        <f t="array" ref="AG48">_xlfn.XLOOKUP(MIN(ABS($AY$6:$AY$22 - MEDIAN(-2, 2, AG19))), ABS($AY$6:$AY$22 - MEDIAN(-2, 2, AG19)), $AZ$6:$AZ$22, "Error", 0)</f>
        <v>8</v>
      </c>
      <c r="AH48" s="30" t="str" cm="1">
        <f t="array" ref="AH48">_xlfn.XLOOKUP(MIN(ABS($AY$6:$AY$22 - MEDIAN(-2, 2, AH19))), ABS($AY$6:$AY$22 - MEDIAN(-2, 2, AH19)), $AZ$6:$AZ$22, "Error", 0)</f>
        <v>8</v>
      </c>
      <c r="AI48" s="30" t="str" cm="1">
        <f t="array" ref="AI48">_xlfn.XLOOKUP(MIN(ABS($AY$6:$AY$22 - MEDIAN(-2, 2, AI19))), ABS($AY$6:$AY$22 - MEDIAN(-2, 2, AI19)), $AZ$6:$AZ$22, "Error", 0)</f>
        <v>10</v>
      </c>
      <c r="AJ48" s="30" t="str" cm="1">
        <f t="array" ref="AJ48">_xlfn.XLOOKUP(MIN(ABS($AY$6:$AY$22 - MEDIAN(-2, 2, AJ19))), ABS($AY$6:$AY$22 - MEDIAN(-2, 2, AJ19)), $AZ$6:$AZ$22, "Error", 0)</f>
        <v>8</v>
      </c>
      <c r="AK48" s="30" cm="1">
        <f t="array" ref="AK48">_xlfn.XLOOKUP(MIN(ABS($AY$6:$AY$22 - MEDIAN(-2, 2, AK19))), ABS($AY$6:$AY$22 - MEDIAN(-2, 2, AK19)), $AZ$6:$AZ$22, "Error", 0)</f>
        <v>0</v>
      </c>
      <c r="AL48" s="30" t="str" cm="1">
        <f t="array" ref="AL48">_xlfn.XLOOKUP(MIN(ABS($AY$6:$AY$22 - MEDIAN(-2, 2, AL19))), ABS($AY$6:$AY$22 - MEDIAN(-2, 2, AL19)), $AZ$6:$AZ$22, "Error", 0)</f>
        <v>-4</v>
      </c>
      <c r="AM48" s="30" t="str" cm="1">
        <f t="array" ref="AM48">_xlfn.XLOOKUP(MIN(ABS($AY$6:$AY$22 - MEDIAN(-2, 2, AM19))), ABS($AY$6:$AY$22 - MEDIAN(-2, 2, AM19)), $AZ$6:$AZ$22, "Error", 0)</f>
        <v>-6</v>
      </c>
      <c r="AN48" s="30" t="str" cm="1">
        <f t="array" ref="AN48">_xlfn.XLOOKUP(MIN(ABS($AY$6:$AY$22 - MEDIAN(-2, 2, AN19))), ABS($AY$6:$AY$22 - MEDIAN(-2, 2, AN19)), $AZ$6:$AZ$22, "Error", 0)</f>
        <v>-10</v>
      </c>
      <c r="AO48" s="30" t="str" cm="1">
        <f t="array" ref="AO48">_xlfn.XLOOKUP(MIN(ABS($AY$6:$AY$22 - MEDIAN(-2, 2, AO19))), ABS($AY$6:$AY$22 - MEDIAN(-2, 2, AO19)), $AZ$6:$AZ$22, "Error", 0)</f>
        <v>8</v>
      </c>
      <c r="AP48" s="30" t="str" cm="1">
        <f t="array" ref="AP48">_xlfn.XLOOKUP(MIN(ABS($AY$6:$AY$22 - MEDIAN(-2, 2, AP19))), ABS($AY$6:$AY$22 - MEDIAN(-2, 2, AP19)), $AZ$6:$AZ$22, "Error", 0)</f>
        <v>9</v>
      </c>
      <c r="AQ48" s="30" t="str" cm="1">
        <f t="array" ref="AQ48">_xlfn.XLOOKUP(MIN(ABS($AY$6:$AY$22 - MEDIAN(-2, 2, AQ19))), ABS($AY$6:$AY$22 - MEDIAN(-2, 2, AQ19)), $AZ$6:$AZ$22, "Error", 0)</f>
        <v>6</v>
      </c>
      <c r="AR48" s="30" t="str" cm="1">
        <f t="array" ref="AR48">_xlfn.XLOOKUP(MIN(ABS($AY$6:$AY$22 - MEDIAN(-2, 2, AR19))), ABS($AY$6:$AY$22 - MEDIAN(-2, 2, AR19)), $AZ$6:$AZ$22, "Error", 0)</f>
        <v>-10</v>
      </c>
      <c r="AS48" s="30" t="str" cm="1">
        <f t="array" ref="AS48">_xlfn.XLOOKUP(MIN(ABS($AY$6:$AY$22 - MEDIAN(-2, 2, AS19))), ABS($AY$6:$AY$22 - MEDIAN(-2, 2, AS19)), $AZ$6:$AZ$22, "Error", 0)</f>
        <v>8</v>
      </c>
      <c r="AT48" s="30" t="str" cm="1">
        <f t="array" ref="AT48">_xlfn.XLOOKUP(MIN(ABS($AY$6:$AY$22 - MEDIAN(-2, 2, AT19))), ABS($AY$6:$AY$22 - MEDIAN(-2, 2, AT19)), $AZ$6:$AZ$22, "Error", 0)</f>
        <v>9</v>
      </c>
      <c r="AU48" s="30" t="str" cm="1">
        <f t="array" ref="AU48">_xlfn.XLOOKUP(MIN(ABS($AY$6:$AY$22 - MEDIAN(-2, 2, AU19))), ABS($AY$6:$AY$22 - MEDIAN(-2, 2, AU19)), $AZ$6:$AZ$22, "Error", 0)</f>
        <v>8</v>
      </c>
      <c r="AV48" s="30" cm="1">
        <f t="array" ref="AV48">_xlfn.XLOOKUP(MIN(ABS($AY$6:$AY$22 - MEDIAN(-2, 2, AV19))), ABS($AY$6:$AY$22 - MEDIAN(-2, 2, AV19)), $AZ$6:$AZ$22, "Error", 0)</f>
        <v>0</v>
      </c>
      <c r="AW48" s="30" cm="1">
        <f t="array" ref="AW48">_xlfn.XLOOKUP(MIN(ABS($AY$6:$AY$22 - MEDIAN(-2, 2, AW19))), ABS($AY$6:$AY$22 - MEDIAN(-2, 2, AW19)), $AZ$6:$AZ$22, "Error", 0)</f>
        <v>0</v>
      </c>
    </row>
    <row r="49" spans="1:49" ht="25" customHeight="1">
      <c r="A49" s="46" t="s">
        <v>48</v>
      </c>
      <c r="B49" s="30" t="str" cm="1">
        <f t="array" ref="B49">_xlfn.XLOOKUP(MIN(ABS($AY$6:$AY$22 - MEDIAN(-2, 2, B20))), ABS($AY$6:$AY$22 - MEDIAN(-2, 2, B20)), $AZ$6:$AZ$22, "Error", 0)</f>
        <v>10</v>
      </c>
      <c r="C49" s="30" t="str" cm="1">
        <f t="array" ref="C49">_xlfn.XLOOKUP(MIN(ABS($AY$6:$AY$22 - MEDIAN(-2, 2, C20))), ABS($AY$6:$AY$22 - MEDIAN(-2, 2, C20)), $AZ$6:$AZ$22, "Error", 0)</f>
        <v>10</v>
      </c>
      <c r="D49" s="30" t="str" cm="1">
        <f t="array" ref="D49">_xlfn.XLOOKUP(MIN(ABS($AY$6:$AY$22 - MEDIAN(-2, 2, D20))), ABS($AY$6:$AY$22 - MEDIAN(-2, 2, D20)), $AZ$6:$AZ$22, "Error", 0)</f>
        <v>10</v>
      </c>
      <c r="E49" s="30" t="str" cm="1">
        <f t="array" ref="E49">_xlfn.XLOOKUP(MIN(ABS($AY$6:$AY$22 - MEDIAN(-2, 2, E20))), ABS($AY$6:$AY$22 - MEDIAN(-2, 2, E20)), $AZ$6:$AZ$22, "Error", 0)</f>
        <v>10</v>
      </c>
      <c r="F49" s="30" t="str" cm="1">
        <f t="array" ref="F49">_xlfn.XLOOKUP(MIN(ABS($AY$6:$AY$22 - MEDIAN(-2, 2, F20))), ABS($AY$6:$AY$22 - MEDIAN(-2, 2, F20)), $AZ$6:$AZ$22, "Error", 0)</f>
        <v>10</v>
      </c>
      <c r="G49" s="30" t="str" cm="1">
        <f t="array" ref="G49">_xlfn.XLOOKUP(MIN(ABS($AY$6:$AY$22 - MEDIAN(-2, 2, G20))), ABS($AY$6:$AY$22 - MEDIAN(-2, 2, G20)), $AZ$6:$AZ$22, "Error", 0)</f>
        <v>10</v>
      </c>
      <c r="H49" s="30" t="str" cm="1">
        <f t="array" ref="H49">_xlfn.XLOOKUP(MIN(ABS($AY$6:$AY$22 - MEDIAN(-2, 2, H20))), ABS($AY$6:$AY$22 - MEDIAN(-2, 2, H20)), $AZ$6:$AZ$22, "Error", 0)</f>
        <v>10</v>
      </c>
      <c r="I49" s="30" t="str" cm="1">
        <f t="array" ref="I49">_xlfn.XLOOKUP(MIN(ABS($AY$6:$AY$22 - MEDIAN(-2, 2, I20))), ABS($AY$6:$AY$22 - MEDIAN(-2, 2, I20)), $AZ$6:$AZ$22, "Error", 0)</f>
        <v>10</v>
      </c>
      <c r="J49" s="30" t="str" cm="1">
        <f t="array" ref="J49">_xlfn.XLOOKUP(MIN(ABS($AY$6:$AY$22 - MEDIAN(-2, 2, J20))), ABS($AY$6:$AY$22 - MEDIAN(-2, 2, J20)), $AZ$6:$AZ$22, "Error", 0)</f>
        <v>10</v>
      </c>
      <c r="K49" s="30" t="str" cm="1">
        <f t="array" ref="K49">_xlfn.XLOOKUP(MIN(ABS($AY$6:$AY$22 - MEDIAN(-2, 2, K20))), ABS($AY$6:$AY$22 - MEDIAN(-2, 2, K20)), $AZ$6:$AZ$22, "Error", 0)</f>
        <v>6</v>
      </c>
      <c r="L49" s="30" t="str" cm="1">
        <f t="array" ref="L49">_xlfn.XLOOKUP(MIN(ABS($AY$6:$AY$22 - MEDIAN(-2, 2, L20))), ABS($AY$6:$AY$22 - MEDIAN(-2, 2, L20)), $AZ$6:$AZ$22, "Error", 0)</f>
        <v>-10</v>
      </c>
      <c r="M49" s="30" t="str" cm="1">
        <f t="array" ref="M49">_xlfn.XLOOKUP(MIN(ABS($AY$6:$AY$22 - MEDIAN(-2, 2, M20))), ABS($AY$6:$AY$22 - MEDIAN(-2, 2, M20)), $AZ$6:$AZ$22, "Error", 0)</f>
        <v>6</v>
      </c>
      <c r="N49" s="30" t="str" cm="1">
        <f t="array" ref="N49">_xlfn.XLOOKUP(MIN(ABS($AY$6:$AY$22 - MEDIAN(-2, 2, N20))), ABS($AY$6:$AY$22 - MEDIAN(-2, 2, N20)), $AZ$6:$AZ$22, "Error", 0)</f>
        <v>8</v>
      </c>
      <c r="O49" s="30" t="str" cm="1">
        <f t="array" ref="O49">_xlfn.XLOOKUP(MIN(ABS($AY$6:$AY$22 - MEDIAN(-2, 2, O20))), ABS($AY$6:$AY$22 - MEDIAN(-2, 2, O20)), $AZ$6:$AZ$22, "Error", 0)</f>
        <v>8</v>
      </c>
      <c r="P49" s="30" t="str" cm="1">
        <f t="array" ref="P49">_xlfn.XLOOKUP(MIN(ABS($AY$6:$AY$22 - MEDIAN(-2, 2, P20))), ABS($AY$6:$AY$22 - MEDIAN(-2, 2, P20)), $AZ$6:$AZ$22, "Error", 0)</f>
        <v>8</v>
      </c>
      <c r="Q49" s="30" t="str" cm="1">
        <f t="array" ref="Q49">_xlfn.XLOOKUP(MIN(ABS($AY$6:$AY$22 - MEDIAN(-2, 2, Q20))), ABS($AY$6:$AY$22 - MEDIAN(-2, 2, Q20)), $AZ$6:$AZ$22, "Error", 0)</f>
        <v>-10</v>
      </c>
      <c r="R49" s="30" t="str" cm="1">
        <f t="array" ref="R49">_xlfn.XLOOKUP(MIN(ABS($AY$6:$AY$22 - MEDIAN(-2, 2, R20))), ABS($AY$6:$AY$22 - MEDIAN(-2, 2, R20)), $AZ$6:$AZ$22, "Error", 0)</f>
        <v>6</v>
      </c>
      <c r="S49" s="30" t="str" cm="1">
        <f t="array" ref="S49">_xlfn.XLOOKUP(MIN(ABS($AY$6:$AY$22 - MEDIAN(-2, 2, S20))), ABS($AY$6:$AY$22 - MEDIAN(-2, 2, S20)), $AZ$6:$AZ$22, "Error", 0)</f>
        <v>6</v>
      </c>
      <c r="T49" s="30" t="str" cm="1">
        <f t="array" ref="T49">_xlfn.XLOOKUP(MIN(ABS($AY$6:$AY$22 - MEDIAN(-2, 2, T20))), ABS($AY$6:$AY$22 - MEDIAN(-2, 2, T20)), $AZ$6:$AZ$22, "Error", 0)</f>
        <v>6</v>
      </c>
      <c r="U49" s="30" t="str" cm="1">
        <f t="array" ref="U49">_xlfn.XLOOKUP(MIN(ABS($AY$6:$AY$22 - MEDIAN(-2, 2, U20))), ABS($AY$6:$AY$22 - MEDIAN(-2, 2, U20)), $AZ$6:$AZ$22, "Error", 0)</f>
        <v>-10</v>
      </c>
      <c r="V49" s="30" t="str" cm="1">
        <f t="array" ref="V49">_xlfn.XLOOKUP(MIN(ABS($AY$6:$AY$22 - MEDIAN(-2, 2, V20))), ABS($AY$6:$AY$22 - MEDIAN(-2, 2, V20)), $AZ$6:$AZ$22, "Error", 0)</f>
        <v>-10</v>
      </c>
      <c r="W49" s="30" t="str" cm="1">
        <f t="array" ref="W49">_xlfn.XLOOKUP(MIN(ABS($AY$6:$AY$22 - MEDIAN(-2, 2, W20))), ABS($AY$6:$AY$22 - MEDIAN(-2, 2, W20)), $AZ$6:$AZ$22, "Error", 0)</f>
        <v>8</v>
      </c>
      <c r="X49" s="30" t="str" cm="1">
        <f t="array" ref="X49">_xlfn.XLOOKUP(MIN(ABS($AY$6:$AY$22 - MEDIAN(-2, 2, X20))), ABS($AY$6:$AY$22 - MEDIAN(-2, 2, X20)), $AZ$6:$AZ$22, "Error", 0)</f>
        <v>8</v>
      </c>
      <c r="Y49" s="30" t="str" cm="1">
        <f t="array" ref="Y49">_xlfn.XLOOKUP(MIN(ABS($AY$6:$AY$22 - MEDIAN(-2, 2, Y20))), ABS($AY$6:$AY$22 - MEDIAN(-2, 2, Y20)), $AZ$6:$AZ$22, "Error", 0)</f>
        <v>9</v>
      </c>
      <c r="Z49" s="30" t="str" cm="1">
        <f t="array" ref="Z49">_xlfn.XLOOKUP(MIN(ABS($AY$6:$AY$22 - MEDIAN(-2, 2, Z20))), ABS($AY$6:$AY$22 - MEDIAN(-2, 2, Z20)), $AZ$6:$AZ$22, "Error", 0)</f>
        <v>10</v>
      </c>
      <c r="AA49" s="30" t="str" cm="1">
        <f t="array" ref="AA49">_xlfn.XLOOKUP(MIN(ABS($AY$6:$AY$22 - MEDIAN(-2, 2, AA20))), ABS($AY$6:$AY$22 - MEDIAN(-2, 2, AA20)), $AZ$6:$AZ$22, "Error", 0)</f>
        <v>10</v>
      </c>
      <c r="AB49" s="30" t="str" cm="1">
        <f t="array" ref="AB49">_xlfn.XLOOKUP(MIN(ABS($AY$6:$AY$22 - MEDIAN(-2, 2, AB20))), ABS($AY$6:$AY$22 - MEDIAN(-2, 2, AB20)), $AZ$6:$AZ$22, "Error", 0)</f>
        <v>10</v>
      </c>
      <c r="AC49" s="30" t="str" cm="1">
        <f t="array" ref="AC49">_xlfn.XLOOKUP(MIN(ABS($AY$6:$AY$22 - MEDIAN(-2, 2, AC20))), ABS($AY$6:$AY$22 - MEDIAN(-2, 2, AC20)), $AZ$6:$AZ$22, "Error", 0)</f>
        <v>10</v>
      </c>
      <c r="AD49" s="30" t="str" cm="1">
        <f t="array" ref="AD49">_xlfn.XLOOKUP(MIN(ABS($AY$6:$AY$22 - MEDIAN(-2, 2, AD20))), ABS($AY$6:$AY$22 - MEDIAN(-2, 2, AD20)), $AZ$6:$AZ$22, "Error", 0)</f>
        <v>10</v>
      </c>
      <c r="AE49" s="30" t="str" cm="1">
        <f t="array" ref="AE49">_xlfn.XLOOKUP(MIN(ABS($AY$6:$AY$22 - MEDIAN(-2, 2, AE20))), ABS($AY$6:$AY$22 - MEDIAN(-2, 2, AE20)), $AZ$6:$AZ$22, "Error", 0)</f>
        <v>10</v>
      </c>
      <c r="AF49" s="30" t="str" cm="1">
        <f t="array" ref="AF49">_xlfn.XLOOKUP(MIN(ABS($AY$6:$AY$22 - MEDIAN(-2, 2, AF20))), ABS($AY$6:$AY$22 - MEDIAN(-2, 2, AF20)), $AZ$6:$AZ$22, "Error", 0)</f>
        <v>9</v>
      </c>
      <c r="AG49" s="30" t="str" cm="1">
        <f t="array" ref="AG49">_xlfn.XLOOKUP(MIN(ABS($AY$6:$AY$22 - MEDIAN(-2, 2, AG20))), ABS($AY$6:$AY$22 - MEDIAN(-2, 2, AG20)), $AZ$6:$AZ$22, "Error", 0)</f>
        <v>9</v>
      </c>
      <c r="AH49" s="30" t="str" cm="1">
        <f t="array" ref="AH49">_xlfn.XLOOKUP(MIN(ABS($AY$6:$AY$22 - MEDIAN(-2, 2, AH20))), ABS($AY$6:$AY$22 - MEDIAN(-2, 2, AH20)), $AZ$6:$AZ$22, "Error", 0)</f>
        <v>10</v>
      </c>
      <c r="AI49" s="30" t="str" cm="1">
        <f t="array" ref="AI49">_xlfn.XLOOKUP(MIN(ABS($AY$6:$AY$22 - MEDIAN(-2, 2, AI20))), ABS($AY$6:$AY$22 - MEDIAN(-2, 2, AI20)), $AZ$6:$AZ$22, "Error", 0)</f>
        <v>10</v>
      </c>
      <c r="AJ49" s="30" t="str" cm="1">
        <f t="array" ref="AJ49">_xlfn.XLOOKUP(MIN(ABS($AY$6:$AY$22 - MEDIAN(-2, 2, AJ20))), ABS($AY$6:$AY$22 - MEDIAN(-2, 2, AJ20)), $AZ$6:$AZ$22, "Error", 0)</f>
        <v>10</v>
      </c>
      <c r="AK49" s="30" t="str" cm="1">
        <f t="array" ref="AK49">_xlfn.XLOOKUP(MIN(ABS($AY$6:$AY$22 - MEDIAN(-2, 2, AK20))), ABS($AY$6:$AY$22 - MEDIAN(-2, 2, AK20)), $AZ$6:$AZ$22, "Error", 0)</f>
        <v>10</v>
      </c>
      <c r="AL49" s="30" t="str" cm="1">
        <f t="array" ref="AL49">_xlfn.XLOOKUP(MIN(ABS($AY$6:$AY$22 - MEDIAN(-2, 2, AL20))), ABS($AY$6:$AY$22 - MEDIAN(-2, 2, AL20)), $AZ$6:$AZ$22, "Error", 0)</f>
        <v>8</v>
      </c>
      <c r="AM49" s="30" t="str" cm="1">
        <f t="array" ref="AM49">_xlfn.XLOOKUP(MIN(ABS($AY$6:$AY$22 - MEDIAN(-2, 2, AM20))), ABS($AY$6:$AY$22 - MEDIAN(-2, 2, AM20)), $AZ$6:$AZ$22, "Error", 0)</f>
        <v>9</v>
      </c>
      <c r="AN49" s="30" t="str" cm="1">
        <f t="array" ref="AN49">_xlfn.XLOOKUP(MIN(ABS($AY$6:$AY$22 - MEDIAN(-2, 2, AN20))), ABS($AY$6:$AY$22 - MEDIAN(-2, 2, AN20)), $AZ$6:$AZ$22, "Error", 0)</f>
        <v>10</v>
      </c>
      <c r="AO49" s="30" t="str" cm="1">
        <f t="array" ref="AO49">_xlfn.XLOOKUP(MIN(ABS($AY$6:$AY$22 - MEDIAN(-2, 2, AO20))), ABS($AY$6:$AY$22 - MEDIAN(-2, 2, AO20)), $AZ$6:$AZ$22, "Error", 0)</f>
        <v>10</v>
      </c>
      <c r="AP49" s="30" t="str" cm="1">
        <f t="array" ref="AP49">_xlfn.XLOOKUP(MIN(ABS($AY$6:$AY$22 - MEDIAN(-2, 2, AP20))), ABS($AY$6:$AY$22 - MEDIAN(-2, 2, AP20)), $AZ$6:$AZ$22, "Error", 0)</f>
        <v>10</v>
      </c>
      <c r="AQ49" s="30" t="str" cm="1">
        <f t="array" ref="AQ49">_xlfn.XLOOKUP(MIN(ABS($AY$6:$AY$22 - MEDIAN(-2, 2, AQ20))), ABS($AY$6:$AY$22 - MEDIAN(-2, 2, AQ20)), $AZ$6:$AZ$22, "Error", 0)</f>
        <v>10</v>
      </c>
      <c r="AR49" s="30" t="str" cm="1">
        <f t="array" ref="AR49">_xlfn.XLOOKUP(MIN(ABS($AY$6:$AY$22 - MEDIAN(-2, 2, AR20))), ABS($AY$6:$AY$22 - MEDIAN(-2, 2, AR20)), $AZ$6:$AZ$22, "Error", 0)</f>
        <v>10</v>
      </c>
      <c r="AS49" s="30" t="str" cm="1">
        <f t="array" ref="AS49">_xlfn.XLOOKUP(MIN(ABS($AY$6:$AY$22 - MEDIAN(-2, 2, AS20))), ABS($AY$6:$AY$22 - MEDIAN(-2, 2, AS20)), $AZ$6:$AZ$22, "Error", 0)</f>
        <v>10</v>
      </c>
      <c r="AT49" s="30" t="str" cm="1">
        <f t="array" ref="AT49">_xlfn.XLOOKUP(MIN(ABS($AY$6:$AY$22 - MEDIAN(-2, 2, AT20))), ABS($AY$6:$AY$22 - MEDIAN(-2, 2, AT20)), $AZ$6:$AZ$22, "Error", 0)</f>
        <v>10</v>
      </c>
      <c r="AU49" s="30" t="str" cm="1">
        <f t="array" ref="AU49">_xlfn.XLOOKUP(MIN(ABS($AY$6:$AY$22 - MEDIAN(-2, 2, AU20))), ABS($AY$6:$AY$22 - MEDIAN(-2, 2, AU20)), $AZ$6:$AZ$22, "Error", 0)</f>
        <v>10</v>
      </c>
      <c r="AV49" s="30" cm="1">
        <f t="array" ref="AV49">_xlfn.XLOOKUP(MIN(ABS($AY$6:$AY$22 - MEDIAN(-2, 2, AV20))), ABS($AY$6:$AY$22 - MEDIAN(-2, 2, AV20)), $AZ$6:$AZ$22, "Error", 0)</f>
        <v>0</v>
      </c>
      <c r="AW49" s="30" cm="1">
        <f t="array" ref="AW49">_xlfn.XLOOKUP(MIN(ABS($AY$6:$AY$22 - MEDIAN(-2, 2, AW20))), ABS($AY$6:$AY$22 - MEDIAN(-2, 2, AW20)), $AZ$6:$AZ$22, "Error", 0)</f>
        <v>0</v>
      </c>
    </row>
    <row r="50" spans="1:49" ht="25" customHeight="1">
      <c r="A50" s="46" t="s">
        <v>49</v>
      </c>
      <c r="B50" s="30" t="str" cm="1">
        <f t="array" ref="B50">_xlfn.XLOOKUP(MIN(ABS($AY$6:$AY$22 - MEDIAN(-2, 2, B21))), ABS($AY$6:$AY$22 - MEDIAN(-2, 2, B21)), $AZ$6:$AZ$22, "Error", 0)</f>
        <v>4</v>
      </c>
      <c r="C50" s="30" t="str" cm="1">
        <f t="array" ref="C50">_xlfn.XLOOKUP(MIN(ABS($AY$6:$AY$22 - MEDIAN(-2, 2, C21))), ABS($AY$6:$AY$22 - MEDIAN(-2, 2, C21)), $AZ$6:$AZ$22, "Error", 0)</f>
        <v>2</v>
      </c>
      <c r="D50" s="30" t="str" cm="1">
        <f t="array" ref="D50">_xlfn.XLOOKUP(MIN(ABS($AY$6:$AY$22 - MEDIAN(-2, 2, D21))), ABS($AY$6:$AY$22 - MEDIAN(-2, 2, D21)), $AZ$6:$AZ$22, "Error", 0)</f>
        <v>2</v>
      </c>
      <c r="E50" s="30" t="str" cm="1">
        <f t="array" ref="E50">_xlfn.XLOOKUP(MIN(ABS($AY$6:$AY$22 - MEDIAN(-2, 2, E21))), ABS($AY$6:$AY$22 - MEDIAN(-2, 2, E21)), $AZ$6:$AZ$22, "Error", 0)</f>
        <v>3</v>
      </c>
      <c r="F50" s="30" t="str" cm="1">
        <f t="array" ref="F50">_xlfn.XLOOKUP(MIN(ABS($AY$6:$AY$22 - MEDIAN(-2, 2, F21))), ABS($AY$6:$AY$22 - MEDIAN(-2, 2, F21)), $AZ$6:$AZ$22, "Error", 0)</f>
        <v>2</v>
      </c>
      <c r="G50" s="30" t="str" cm="1">
        <f t="array" ref="G50">_xlfn.XLOOKUP(MIN(ABS($AY$6:$AY$22 - MEDIAN(-2, 2, G21))), ABS($AY$6:$AY$22 - MEDIAN(-2, 2, G21)), $AZ$6:$AZ$22, "Error", 0)</f>
        <v>2</v>
      </c>
      <c r="H50" s="30" t="str" cm="1">
        <f t="array" ref="H50">_xlfn.XLOOKUP(MIN(ABS($AY$6:$AY$22 - MEDIAN(-2, 2, H21))), ABS($AY$6:$AY$22 - MEDIAN(-2, 2, H21)), $AZ$6:$AZ$22, "Error", 0)</f>
        <v>4</v>
      </c>
      <c r="I50" s="30" t="str" cm="1">
        <f t="array" ref="I50">_xlfn.XLOOKUP(MIN(ABS($AY$6:$AY$22 - MEDIAN(-2, 2, I21))), ABS($AY$6:$AY$22 - MEDIAN(-2, 2, I21)), $AZ$6:$AZ$22, "Error", 0)</f>
        <v>4</v>
      </c>
      <c r="J50" s="30" t="str" cm="1">
        <f t="array" ref="J50">_xlfn.XLOOKUP(MIN(ABS($AY$6:$AY$22 - MEDIAN(-2, 2, J21))), ABS($AY$6:$AY$22 - MEDIAN(-2, 2, J21)), $AZ$6:$AZ$22, "Error", 0)</f>
        <v>2</v>
      </c>
      <c r="K50" s="30" t="str" cm="1">
        <f t="array" ref="K50">_xlfn.XLOOKUP(MIN(ABS($AY$6:$AY$22 - MEDIAN(-2, 2, K21))), ABS($AY$6:$AY$22 - MEDIAN(-2, 2, K21)), $AZ$6:$AZ$22, "Error", 0)</f>
        <v>3</v>
      </c>
      <c r="L50" s="30" t="str" cm="1">
        <f t="array" ref="L50">_xlfn.XLOOKUP(MIN(ABS($AY$6:$AY$22 - MEDIAN(-2, 2, L21))), ABS($AY$6:$AY$22 - MEDIAN(-2, 2, L21)), $AZ$6:$AZ$22, "Error", 0)</f>
        <v>4</v>
      </c>
      <c r="M50" s="30" t="str" cm="1">
        <f t="array" ref="M50">_xlfn.XLOOKUP(MIN(ABS($AY$6:$AY$22 - MEDIAN(-2, 2, M21))), ABS($AY$6:$AY$22 - MEDIAN(-2, 2, M21)), $AZ$6:$AZ$22, "Error", 0)</f>
        <v>10</v>
      </c>
      <c r="N50" s="30" t="str" cm="1">
        <f t="array" ref="N50">_xlfn.XLOOKUP(MIN(ABS($AY$6:$AY$22 - MEDIAN(-2, 2, N21))), ABS($AY$6:$AY$22 - MEDIAN(-2, 2, N21)), $AZ$6:$AZ$22, "Error", 0)</f>
        <v>6</v>
      </c>
      <c r="O50" s="30" t="str" cm="1">
        <f t="array" ref="O50">_xlfn.XLOOKUP(MIN(ABS($AY$6:$AY$22 - MEDIAN(-2, 2, O21))), ABS($AY$6:$AY$22 - MEDIAN(-2, 2, O21)), $AZ$6:$AZ$22, "Error", 0)</f>
        <v>8</v>
      </c>
      <c r="P50" s="30" t="str" cm="1">
        <f t="array" ref="P50">_xlfn.XLOOKUP(MIN(ABS($AY$6:$AY$22 - MEDIAN(-2, 2, P21))), ABS($AY$6:$AY$22 - MEDIAN(-2, 2, P21)), $AZ$6:$AZ$22, "Error", 0)</f>
        <v>8</v>
      </c>
      <c r="Q50" s="30" cm="1">
        <f t="array" ref="Q50">_xlfn.XLOOKUP(MIN(ABS($AY$6:$AY$22 - MEDIAN(-2, 2, Q21))), ABS($AY$6:$AY$22 - MEDIAN(-2, 2, Q21)), $AZ$6:$AZ$22, "Error", 0)</f>
        <v>0</v>
      </c>
      <c r="R50" s="30" t="str" cm="1">
        <f t="array" ref="R50">_xlfn.XLOOKUP(MIN(ABS($AY$6:$AY$22 - MEDIAN(-2, 2, R21))), ABS($AY$6:$AY$22 - MEDIAN(-2, 2, R21)), $AZ$6:$AZ$22, "Error", 0)</f>
        <v>-6</v>
      </c>
      <c r="S50" s="30" t="str" cm="1">
        <f t="array" ref="S50">_xlfn.XLOOKUP(MIN(ABS($AY$6:$AY$22 - MEDIAN(-2, 2, S21))), ABS($AY$6:$AY$22 - MEDIAN(-2, 2, S21)), $AZ$6:$AZ$22, "Error", 0)</f>
        <v>-6</v>
      </c>
      <c r="T50" s="30" t="str" cm="1">
        <f t="array" ref="T50">_xlfn.XLOOKUP(MIN(ABS($AY$6:$AY$22 - MEDIAN(-2, 2, T21))), ABS($AY$6:$AY$22 - MEDIAN(-2, 2, T21)), $AZ$6:$AZ$22, "Error", 0)</f>
        <v>-6</v>
      </c>
      <c r="U50" s="30" cm="1">
        <f t="array" ref="U50">_xlfn.XLOOKUP(MIN(ABS($AY$6:$AY$22 - MEDIAN(-2, 2, U21))), ABS($AY$6:$AY$22 - MEDIAN(-2, 2, U21)), $AZ$6:$AZ$22, "Error", 0)</f>
        <v>0</v>
      </c>
      <c r="V50" s="30" cm="1">
        <f t="array" ref="V50">_xlfn.XLOOKUP(MIN(ABS($AY$6:$AY$22 - MEDIAN(-2, 2, V21))), ABS($AY$6:$AY$22 - MEDIAN(-2, 2, V21)), $AZ$6:$AZ$22, "Error", 0)</f>
        <v>0</v>
      </c>
      <c r="W50" s="30" t="str" cm="1">
        <f t="array" ref="W50">_xlfn.XLOOKUP(MIN(ABS($AY$6:$AY$22 - MEDIAN(-2, 2, W21))), ABS($AY$6:$AY$22 - MEDIAN(-2, 2, W21)), $AZ$6:$AZ$22, "Error", 0)</f>
        <v>4</v>
      </c>
      <c r="X50" s="30" t="str" cm="1">
        <f t="array" ref="X50">_xlfn.XLOOKUP(MIN(ABS($AY$6:$AY$22 - MEDIAN(-2, 2, X21))), ABS($AY$6:$AY$22 - MEDIAN(-2, 2, X21)), $AZ$6:$AZ$22, "Error", 0)</f>
        <v>6</v>
      </c>
      <c r="Y50" s="30" cm="1">
        <f t="array" ref="Y50">_xlfn.XLOOKUP(MIN(ABS($AY$6:$AY$22 - MEDIAN(-2, 2, Y21))), ABS($AY$6:$AY$22 - MEDIAN(-2, 2, Y21)), $AZ$6:$AZ$22, "Error", 0)</f>
        <v>0</v>
      </c>
      <c r="Z50" s="30" t="str" cm="1">
        <f t="array" ref="Z50">_xlfn.XLOOKUP(MIN(ABS($AY$6:$AY$22 - MEDIAN(-2, 2, Z21))), ABS($AY$6:$AY$22 - MEDIAN(-2, 2, Z21)), $AZ$6:$AZ$22, "Error", 0)</f>
        <v>6</v>
      </c>
      <c r="AA50" s="30" t="str" cm="1">
        <f t="array" ref="AA50">_xlfn.XLOOKUP(MIN(ABS($AY$6:$AY$22 - MEDIAN(-2, 2, AA21))), ABS($AY$6:$AY$22 - MEDIAN(-2, 2, AA21)), $AZ$6:$AZ$22, "Error", 0)</f>
        <v>6</v>
      </c>
      <c r="AB50" s="30" t="str" cm="1">
        <f t="array" ref="AB50">_xlfn.XLOOKUP(MIN(ABS($AY$6:$AY$22 - MEDIAN(-2, 2, AB21))), ABS($AY$6:$AY$22 - MEDIAN(-2, 2, AB21)), $AZ$6:$AZ$22, "Error", 0)</f>
        <v>6</v>
      </c>
      <c r="AC50" s="30" t="str" cm="1">
        <f t="array" ref="AC50">_xlfn.XLOOKUP(MIN(ABS($AY$6:$AY$22 - MEDIAN(-2, 2, AC21))), ABS($AY$6:$AY$22 - MEDIAN(-2, 2, AC21)), $AZ$6:$AZ$22, "Error", 0)</f>
        <v>6</v>
      </c>
      <c r="AD50" s="30" t="str" cm="1">
        <f t="array" ref="AD50">_xlfn.XLOOKUP(MIN(ABS($AY$6:$AY$22 - MEDIAN(-2, 2, AD21))), ABS($AY$6:$AY$22 - MEDIAN(-2, 2, AD21)), $AZ$6:$AZ$22, "Error", 0)</f>
        <v>4</v>
      </c>
      <c r="AE50" s="30" t="str" cm="1">
        <f t="array" ref="AE50">_xlfn.XLOOKUP(MIN(ABS($AY$6:$AY$22 - MEDIAN(-2, 2, AE21))), ABS($AY$6:$AY$22 - MEDIAN(-2, 2, AE21)), $AZ$6:$AZ$22, "Error", 0)</f>
        <v>4</v>
      </c>
      <c r="AF50" s="30" t="str" cm="1">
        <f t="array" ref="AF50">_xlfn.XLOOKUP(MIN(ABS($AY$6:$AY$22 - MEDIAN(-2, 2, AF21))), ABS($AY$6:$AY$22 - MEDIAN(-2, 2, AF21)), $AZ$6:$AZ$22, "Error", 0)</f>
        <v>3</v>
      </c>
      <c r="AG50" s="30" t="str" cm="1">
        <f t="array" ref="AG50">_xlfn.XLOOKUP(MIN(ABS($AY$6:$AY$22 - MEDIAN(-2, 2, AG21))), ABS($AY$6:$AY$22 - MEDIAN(-2, 2, AG21)), $AZ$6:$AZ$22, "Error", 0)</f>
        <v>3</v>
      </c>
      <c r="AH50" s="30" t="str" cm="1">
        <f t="array" ref="AH50">_xlfn.XLOOKUP(MIN(ABS($AY$6:$AY$22 - MEDIAN(-2, 2, AH21))), ABS($AY$6:$AY$22 - MEDIAN(-2, 2, AH21)), $AZ$6:$AZ$22, "Error", 0)</f>
        <v>4</v>
      </c>
      <c r="AI50" s="30" t="str" cm="1">
        <f t="array" ref="AI50">_xlfn.XLOOKUP(MIN(ABS($AY$6:$AY$22 - MEDIAN(-2, 2, AI21))), ABS($AY$6:$AY$22 - MEDIAN(-2, 2, AI21)), $AZ$6:$AZ$22, "Error", 0)</f>
        <v>4</v>
      </c>
      <c r="AJ50" s="30" t="str" cm="1">
        <f t="array" ref="AJ50">_xlfn.XLOOKUP(MIN(ABS($AY$6:$AY$22 - MEDIAN(-2, 2, AJ21))), ABS($AY$6:$AY$22 - MEDIAN(-2, 2, AJ21)), $AZ$6:$AZ$22, "Error", 0)</f>
        <v>10</v>
      </c>
      <c r="AK50" s="30" t="str" cm="1">
        <f t="array" ref="AK50">_xlfn.XLOOKUP(MIN(ABS($AY$6:$AY$22 - MEDIAN(-2, 2, AK21))), ABS($AY$6:$AY$22 - MEDIAN(-2, 2, AK21)), $AZ$6:$AZ$22, "Error", 0)</f>
        <v>4</v>
      </c>
      <c r="AL50" s="30" t="str" cm="1">
        <f t="array" ref="AL50">_xlfn.XLOOKUP(MIN(ABS($AY$6:$AY$22 - MEDIAN(-2, 2, AL21))), ABS($AY$6:$AY$22 - MEDIAN(-2, 2, AL21)), $AZ$6:$AZ$22, "Error", 0)</f>
        <v>6</v>
      </c>
      <c r="AM50" s="30" t="str" cm="1">
        <f t="array" ref="AM50">_xlfn.XLOOKUP(MIN(ABS($AY$6:$AY$22 - MEDIAN(-2, 2, AM21))), ABS($AY$6:$AY$22 - MEDIAN(-2, 2, AM21)), $AZ$6:$AZ$22, "Error", 0)</f>
        <v>10</v>
      </c>
      <c r="AN50" s="30" t="str" cm="1">
        <f t="array" ref="AN50">_xlfn.XLOOKUP(MIN(ABS($AY$6:$AY$22 - MEDIAN(-2, 2, AN21))), ABS($AY$6:$AY$22 - MEDIAN(-2, 2, AN21)), $AZ$6:$AZ$22, "Error", 0)</f>
        <v>8</v>
      </c>
      <c r="AO50" s="30" t="str" cm="1">
        <f t="array" ref="AO50">_xlfn.XLOOKUP(MIN(ABS($AY$6:$AY$22 - MEDIAN(-2, 2, AO21))), ABS($AY$6:$AY$22 - MEDIAN(-2, 2, AO21)), $AZ$6:$AZ$22, "Error", 0)</f>
        <v>-4</v>
      </c>
      <c r="AP50" s="30" t="str" cm="1">
        <f t="array" ref="AP50">_xlfn.XLOOKUP(MIN(ABS($AY$6:$AY$22 - MEDIAN(-2, 2, AP21))), ABS($AY$6:$AY$22 - MEDIAN(-2, 2, AP21)), $AZ$6:$AZ$22, "Error", 0)</f>
        <v>-6</v>
      </c>
      <c r="AQ50" s="30" t="str" cm="1">
        <f t="array" ref="AQ50">_xlfn.XLOOKUP(MIN(ABS($AY$6:$AY$22 - MEDIAN(-2, 2, AQ21))), ABS($AY$6:$AY$22 - MEDIAN(-2, 2, AQ21)), $AZ$6:$AZ$22, "Error", 0)</f>
        <v>-4</v>
      </c>
      <c r="AR50" s="30" cm="1">
        <f t="array" ref="AR50">_xlfn.XLOOKUP(MIN(ABS($AY$6:$AY$22 - MEDIAN(-2, 2, AR21))), ABS($AY$6:$AY$22 - MEDIAN(-2, 2, AR21)), $AZ$6:$AZ$22, "Error", 0)</f>
        <v>0</v>
      </c>
      <c r="AS50" s="30" t="str" cm="1">
        <f t="array" ref="AS50">_xlfn.XLOOKUP(MIN(ABS($AY$6:$AY$22 - MEDIAN(-2, 2, AS21))), ABS($AY$6:$AY$22 - MEDIAN(-2, 2, AS21)), $AZ$6:$AZ$22, "Error", 0)</f>
        <v>-6</v>
      </c>
      <c r="AT50" s="30" cm="1">
        <f t="array" ref="AT50">_xlfn.XLOOKUP(MIN(ABS($AY$6:$AY$22 - MEDIAN(-2, 2, AT21))), ABS($AY$6:$AY$22 - MEDIAN(-2, 2, AT21)), $AZ$6:$AZ$22, "Error", 0)</f>
        <v>0</v>
      </c>
      <c r="AU50" s="30" t="str" cm="1">
        <f t="array" ref="AU50">_xlfn.XLOOKUP(MIN(ABS($AY$6:$AY$22 - MEDIAN(-2, 2, AU21))), ABS($AY$6:$AY$22 - MEDIAN(-2, 2, AU21)), $AZ$6:$AZ$22, "Error", 0)</f>
        <v>4</v>
      </c>
      <c r="AV50" s="30" cm="1">
        <f t="array" ref="AV50">_xlfn.XLOOKUP(MIN(ABS($AY$6:$AY$22 - MEDIAN(-2, 2, AV21))), ABS($AY$6:$AY$22 - MEDIAN(-2, 2, AV21)), $AZ$6:$AZ$22, "Error", 0)</f>
        <v>0</v>
      </c>
      <c r="AW50" s="30" cm="1">
        <f t="array" ref="AW50">_xlfn.XLOOKUP(MIN(ABS($AY$6:$AY$22 - MEDIAN(-2, 2, AW21))), ABS($AY$6:$AY$22 - MEDIAN(-2, 2, AW21)), $AZ$6:$AZ$22, "Error", 0)</f>
        <v>0</v>
      </c>
    </row>
    <row r="51" spans="1:49" ht="25" customHeight="1">
      <c r="A51" s="46" t="s">
        <v>15</v>
      </c>
      <c r="B51" s="30" t="str" cm="1">
        <f t="array" ref="B51">_xlfn.XLOOKUP(MIN(ABS($AY$6:$AY$22 - MEDIAN(-2, 2, B22))), ABS($AY$6:$AY$22 - MEDIAN(-2, 2, B22)), $AZ$6:$AZ$22, "Error", 0)</f>
        <v>10</v>
      </c>
      <c r="C51" s="30" t="str" cm="1">
        <f t="array" ref="C51">_xlfn.XLOOKUP(MIN(ABS($AY$6:$AY$22 - MEDIAN(-2, 2, C22))), ABS($AY$6:$AY$22 - MEDIAN(-2, 2, C22)), $AZ$6:$AZ$22, "Error", 0)</f>
        <v>10</v>
      </c>
      <c r="D51" s="30" t="str" cm="1">
        <f t="array" ref="D51">_xlfn.XLOOKUP(MIN(ABS($AY$6:$AY$22 - MEDIAN(-2, 2, D22))), ABS($AY$6:$AY$22 - MEDIAN(-2, 2, D22)), $AZ$6:$AZ$22, "Error", 0)</f>
        <v>10</v>
      </c>
      <c r="E51" s="30" t="str" cm="1">
        <f t="array" ref="E51">_xlfn.XLOOKUP(MIN(ABS($AY$6:$AY$22 - MEDIAN(-2, 2, E22))), ABS($AY$6:$AY$22 - MEDIAN(-2, 2, E22)), $AZ$6:$AZ$22, "Error", 0)</f>
        <v>10</v>
      </c>
      <c r="F51" s="30" t="str" cm="1">
        <f t="array" ref="F51">_xlfn.XLOOKUP(MIN(ABS($AY$6:$AY$22 - MEDIAN(-2, 2, F22))), ABS($AY$6:$AY$22 - MEDIAN(-2, 2, F22)), $AZ$6:$AZ$22, "Error", 0)</f>
        <v>10</v>
      </c>
      <c r="G51" s="30" t="str" cm="1">
        <f t="array" ref="G51">_xlfn.XLOOKUP(MIN(ABS($AY$6:$AY$22 - MEDIAN(-2, 2, G22))), ABS($AY$6:$AY$22 - MEDIAN(-2, 2, G22)), $AZ$6:$AZ$22, "Error", 0)</f>
        <v>10</v>
      </c>
      <c r="H51" s="30" t="str" cm="1">
        <f t="array" ref="H51">_xlfn.XLOOKUP(MIN(ABS($AY$6:$AY$22 - MEDIAN(-2, 2, H22))), ABS($AY$6:$AY$22 - MEDIAN(-2, 2, H22)), $AZ$6:$AZ$22, "Error", 0)</f>
        <v>10</v>
      </c>
      <c r="I51" s="30" t="str" cm="1">
        <f t="array" ref="I51">_xlfn.XLOOKUP(MIN(ABS($AY$6:$AY$22 - MEDIAN(-2, 2, I22))), ABS($AY$6:$AY$22 - MEDIAN(-2, 2, I22)), $AZ$6:$AZ$22, "Error", 0)</f>
        <v>6</v>
      </c>
      <c r="J51" s="30" t="str" cm="1">
        <f t="array" ref="J51">_xlfn.XLOOKUP(MIN(ABS($AY$6:$AY$22 - MEDIAN(-2, 2, J22))), ABS($AY$6:$AY$22 - MEDIAN(-2, 2, J22)), $AZ$6:$AZ$22, "Error", 0)</f>
        <v>-6</v>
      </c>
      <c r="K51" s="30" t="str" cm="1">
        <f t="array" ref="K51">_xlfn.XLOOKUP(MIN(ABS($AY$6:$AY$22 - MEDIAN(-2, 2, K22))), ABS($AY$6:$AY$22 - MEDIAN(-2, 2, K22)), $AZ$6:$AZ$22, "Error", 0)</f>
        <v>4</v>
      </c>
      <c r="L51" s="30" t="str" cm="1">
        <f t="array" ref="L51">_xlfn.XLOOKUP(MIN(ABS($AY$6:$AY$22 - MEDIAN(-2, 2, L22))), ABS($AY$6:$AY$22 - MEDIAN(-2, 2, L22)), $AZ$6:$AZ$22, "Error", 0)</f>
        <v>8</v>
      </c>
      <c r="M51" s="30" t="str" cm="1">
        <f t="array" ref="M51">_xlfn.XLOOKUP(MIN(ABS($AY$6:$AY$22 - MEDIAN(-2, 2, M22))), ABS($AY$6:$AY$22 - MEDIAN(-2, 2, M22)), $AZ$6:$AZ$22, "Error", 0)</f>
        <v>6</v>
      </c>
      <c r="N51" s="30" cm="1">
        <f t="array" ref="N51">_xlfn.XLOOKUP(MIN(ABS($AY$6:$AY$22 - MEDIAN(-2, 2, N22))), ABS($AY$6:$AY$22 - MEDIAN(-2, 2, N22)), $AZ$6:$AZ$22, "Error", 0)</f>
        <v>0</v>
      </c>
      <c r="O51" s="30" t="str" cm="1">
        <f t="array" ref="O51">_xlfn.XLOOKUP(MIN(ABS($AY$6:$AY$22 - MEDIAN(-2, 2, O22))), ABS($AY$6:$AY$22 - MEDIAN(-2, 2, O22)), $AZ$6:$AZ$22, "Error", 0)</f>
        <v>4</v>
      </c>
      <c r="P51" s="30" t="str" cm="1">
        <f t="array" ref="P51">_xlfn.XLOOKUP(MIN(ABS($AY$6:$AY$22 - MEDIAN(-2, 2, P22))), ABS($AY$6:$AY$22 - MEDIAN(-2, 2, P22)), $AZ$6:$AZ$22, "Error", 0)</f>
        <v>6</v>
      </c>
      <c r="Q51" s="30" t="str" cm="1">
        <f t="array" ref="Q51">_xlfn.XLOOKUP(MIN(ABS($AY$6:$AY$22 - MEDIAN(-2, 2, Q22))), ABS($AY$6:$AY$22 - MEDIAN(-2, 2, Q22)), $AZ$6:$AZ$22, "Error", 0)</f>
        <v>4</v>
      </c>
      <c r="R51" s="30" t="str" cm="1">
        <f t="array" ref="R51">_xlfn.XLOOKUP(MIN(ABS($AY$6:$AY$22 - MEDIAN(-2, 2, R22))), ABS($AY$6:$AY$22 - MEDIAN(-2, 2, R22)), $AZ$6:$AZ$22, "Error", 0)</f>
        <v>4</v>
      </c>
      <c r="S51" s="30" t="str" cm="1">
        <f t="array" ref="S51">_xlfn.XLOOKUP(MIN(ABS($AY$6:$AY$22 - MEDIAN(-2, 2, S22))), ABS($AY$6:$AY$22 - MEDIAN(-2, 2, S22)), $AZ$6:$AZ$22, "Error", 0)</f>
        <v>4</v>
      </c>
      <c r="T51" s="30" cm="1">
        <f t="array" ref="T51">_xlfn.XLOOKUP(MIN(ABS($AY$6:$AY$22 - MEDIAN(-2, 2, T22))), ABS($AY$6:$AY$22 - MEDIAN(-2, 2, T22)), $AZ$6:$AZ$22, "Error", 0)</f>
        <v>0</v>
      </c>
      <c r="U51" s="30" t="str" cm="1">
        <f t="array" ref="U51">_xlfn.XLOOKUP(MIN(ABS($AY$6:$AY$22 - MEDIAN(-2, 2, U22))), ABS($AY$6:$AY$22 - MEDIAN(-2, 2, U22)), $AZ$6:$AZ$22, "Error", 0)</f>
        <v>-4</v>
      </c>
      <c r="V51" s="30" cm="1">
        <f t="array" ref="V51">_xlfn.XLOOKUP(MIN(ABS($AY$6:$AY$22 - MEDIAN(-2, 2, V22))), ABS($AY$6:$AY$22 - MEDIAN(-2, 2, V22)), $AZ$6:$AZ$22, "Error", 0)</f>
        <v>0</v>
      </c>
      <c r="W51" s="30" cm="1">
        <f t="array" ref="W51">_xlfn.XLOOKUP(MIN(ABS($AY$6:$AY$22 - MEDIAN(-2, 2, W22))), ABS($AY$6:$AY$22 - MEDIAN(-2, 2, W22)), $AZ$6:$AZ$22, "Error", 0)</f>
        <v>0</v>
      </c>
      <c r="X51" s="30" t="str" cm="1">
        <f t="array" ref="X51">_xlfn.XLOOKUP(MIN(ABS($AY$6:$AY$22 - MEDIAN(-2, 2, X22))), ABS($AY$6:$AY$22 - MEDIAN(-2, 2, X22)), $AZ$6:$AZ$22, "Error", 0)</f>
        <v>-4</v>
      </c>
      <c r="Y51" s="30" t="str" cm="1">
        <f t="array" ref="Y51">_xlfn.XLOOKUP(MIN(ABS($AY$6:$AY$22 - MEDIAN(-2, 2, Y22))), ABS($AY$6:$AY$22 - MEDIAN(-2, 2, Y22)), $AZ$6:$AZ$22, "Error", 0)</f>
        <v>-6</v>
      </c>
      <c r="Z51" s="30" t="str" cm="1">
        <f t="array" ref="Z51">_xlfn.XLOOKUP(MIN(ABS($AY$6:$AY$22 - MEDIAN(-2, 2, Z22))), ABS($AY$6:$AY$22 - MEDIAN(-2, 2, Z22)), $AZ$6:$AZ$22, "Error", 0)</f>
        <v>-6</v>
      </c>
      <c r="AA51" s="30" t="str" cm="1">
        <f t="array" ref="AA51">_xlfn.XLOOKUP(MIN(ABS($AY$6:$AY$22 - MEDIAN(-2, 2, AA22))), ABS($AY$6:$AY$22 - MEDIAN(-2, 2, AA22)), $AZ$6:$AZ$22, "Error", 0)</f>
        <v>4</v>
      </c>
      <c r="AB51" s="30" cm="1">
        <f t="array" ref="AB51">_xlfn.XLOOKUP(MIN(ABS($AY$6:$AY$22 - MEDIAN(-2, 2, AB22))), ABS($AY$6:$AY$22 - MEDIAN(-2, 2, AB22)), $AZ$6:$AZ$22, "Error", 0)</f>
        <v>0</v>
      </c>
      <c r="AC51" s="30" t="str" cm="1">
        <f t="array" ref="AC51">_xlfn.XLOOKUP(MIN(ABS($AY$6:$AY$22 - MEDIAN(-2, 2, AC22))), ABS($AY$6:$AY$22 - MEDIAN(-2, 2, AC22)), $AZ$6:$AZ$22, "Error", 0)</f>
        <v>-6</v>
      </c>
      <c r="AD51" s="30" t="str" cm="1">
        <f t="array" ref="AD51">_xlfn.XLOOKUP(MIN(ABS($AY$6:$AY$22 - MEDIAN(-2, 2, AD22))), ABS($AY$6:$AY$22 - MEDIAN(-2, 2, AD22)), $AZ$6:$AZ$22, "Error", 0)</f>
        <v>-4</v>
      </c>
      <c r="AE51" s="30" cm="1">
        <f t="array" ref="AE51">_xlfn.XLOOKUP(MIN(ABS($AY$6:$AY$22 - MEDIAN(-2, 2, AE22))), ABS($AY$6:$AY$22 - MEDIAN(-2, 2, AE22)), $AZ$6:$AZ$22, "Error", 0)</f>
        <v>0</v>
      </c>
      <c r="AF51" s="30" t="str" cm="1">
        <f t="array" ref="AF51">_xlfn.XLOOKUP(MIN(ABS($AY$6:$AY$22 - MEDIAN(-2, 2, AF22))), ABS($AY$6:$AY$22 - MEDIAN(-2, 2, AF22)), $AZ$6:$AZ$22, "Error", 0)</f>
        <v>-4</v>
      </c>
      <c r="AG51" s="30" cm="1">
        <f t="array" ref="AG51">_xlfn.XLOOKUP(MIN(ABS($AY$6:$AY$22 - MEDIAN(-2, 2, AG22))), ABS($AY$6:$AY$22 - MEDIAN(-2, 2, AG22)), $AZ$6:$AZ$22, "Error", 0)</f>
        <v>0</v>
      </c>
      <c r="AH51" s="30" t="str" cm="1">
        <f t="array" ref="AH51">_xlfn.XLOOKUP(MIN(ABS($AY$6:$AY$22 - MEDIAN(-2, 2, AH22))), ABS($AY$6:$AY$22 - MEDIAN(-2, 2, AH22)), $AZ$6:$AZ$22, "Error", 0)</f>
        <v>4</v>
      </c>
      <c r="AI51" s="30" cm="1">
        <f t="array" ref="AI51">_xlfn.XLOOKUP(MIN(ABS($AY$6:$AY$22 - MEDIAN(-2, 2, AI22))), ABS($AY$6:$AY$22 - MEDIAN(-2, 2, AI22)), $AZ$6:$AZ$22, "Error", 0)</f>
        <v>0</v>
      </c>
      <c r="AJ51" s="30" cm="1">
        <f t="array" ref="AJ51">_xlfn.XLOOKUP(MIN(ABS($AY$6:$AY$22 - MEDIAN(-2, 2, AJ22))), ABS($AY$6:$AY$22 - MEDIAN(-2, 2, AJ22)), $AZ$6:$AZ$22, "Error", 0)</f>
        <v>0</v>
      </c>
      <c r="AK51" s="30" t="str" cm="1">
        <f t="array" ref="AK51">_xlfn.XLOOKUP(MIN(ABS($AY$6:$AY$22 - MEDIAN(-2, 2, AK22))), ABS($AY$6:$AY$22 - MEDIAN(-2, 2, AK22)), $AZ$6:$AZ$22, "Error", 0)</f>
        <v>6</v>
      </c>
      <c r="AL51" s="30" t="str" cm="1">
        <f t="array" ref="AL51">_xlfn.XLOOKUP(MIN(ABS($AY$6:$AY$22 - MEDIAN(-2, 2, AL22))), ABS($AY$6:$AY$22 - MEDIAN(-2, 2, AL22)), $AZ$6:$AZ$22, "Error", 0)</f>
        <v>6</v>
      </c>
      <c r="AM51" s="30" cm="1">
        <f t="array" ref="AM51">_xlfn.XLOOKUP(MIN(ABS($AY$6:$AY$22 - MEDIAN(-2, 2, AM22))), ABS($AY$6:$AY$22 - MEDIAN(-2, 2, AM22)), $AZ$6:$AZ$22, "Error", 0)</f>
        <v>0</v>
      </c>
      <c r="AN51" s="30" t="str" cm="1">
        <f t="array" ref="AN51">_xlfn.XLOOKUP(MIN(ABS($AY$6:$AY$22 - MEDIAN(-2, 2, AN22))), ABS($AY$6:$AY$22 - MEDIAN(-2, 2, AN22)), $AZ$6:$AZ$22, "Error", 0)</f>
        <v>-4</v>
      </c>
      <c r="AO51" s="30" t="str" cm="1">
        <f t="array" ref="AO51">_xlfn.XLOOKUP(MIN(ABS($AY$6:$AY$22 - MEDIAN(-2, 2, AO22))), ABS($AY$6:$AY$22 - MEDIAN(-2, 2, AO22)), $AZ$6:$AZ$22, "Error", 0)</f>
        <v>-4</v>
      </c>
      <c r="AP51" s="30" cm="1">
        <f t="array" ref="AP51">_xlfn.XLOOKUP(MIN(ABS($AY$6:$AY$22 - MEDIAN(-2, 2, AP22))), ABS($AY$6:$AY$22 - MEDIAN(-2, 2, AP22)), $AZ$6:$AZ$22, "Error", 0)</f>
        <v>0</v>
      </c>
      <c r="AQ51" s="30" cm="1">
        <f t="array" ref="AQ51">_xlfn.XLOOKUP(MIN(ABS($AY$6:$AY$22 - MEDIAN(-2, 2, AQ22))), ABS($AY$6:$AY$22 - MEDIAN(-2, 2, AQ22)), $AZ$6:$AZ$22, "Error", 0)</f>
        <v>0</v>
      </c>
      <c r="AR51" s="30" cm="1">
        <f t="array" ref="AR51">_xlfn.XLOOKUP(MIN(ABS($AY$6:$AY$22 - MEDIAN(-2, 2, AR22))), ABS($AY$6:$AY$22 - MEDIAN(-2, 2, AR22)), $AZ$6:$AZ$22, "Error", 0)</f>
        <v>0</v>
      </c>
      <c r="AS51" s="30" t="str" cm="1">
        <f t="array" ref="AS51">_xlfn.XLOOKUP(MIN(ABS($AY$6:$AY$22 - MEDIAN(-2, 2, AS22))), ABS($AY$6:$AY$22 - MEDIAN(-2, 2, AS22)), $AZ$6:$AZ$22, "Error", 0)</f>
        <v>-6</v>
      </c>
      <c r="AT51" s="30" t="str" cm="1">
        <f t="array" ref="AT51">_xlfn.XLOOKUP(MIN(ABS($AY$6:$AY$22 - MEDIAN(-2, 2, AT22))), ABS($AY$6:$AY$22 - MEDIAN(-2, 2, AT22)), $AZ$6:$AZ$22, "Error", 0)</f>
        <v>-6</v>
      </c>
      <c r="AU51" s="30" t="str" cm="1">
        <f t="array" ref="AU51">_xlfn.XLOOKUP(MIN(ABS($AY$6:$AY$22 - MEDIAN(-2, 2, AU22))), ABS($AY$6:$AY$22 - MEDIAN(-2, 2, AU22)), $AZ$6:$AZ$22, "Error", 0)</f>
        <v>-8</v>
      </c>
      <c r="AV51" s="30" cm="1">
        <f t="array" ref="AV51">_xlfn.XLOOKUP(MIN(ABS($AY$6:$AY$22 - MEDIAN(-2, 2, AV22))), ABS($AY$6:$AY$22 - MEDIAN(-2, 2, AV22)), $AZ$6:$AZ$22, "Error", 0)</f>
        <v>0</v>
      </c>
      <c r="AW51" s="30" cm="1">
        <f t="array" ref="AW51">_xlfn.XLOOKUP(MIN(ABS($AY$6:$AY$22 - MEDIAN(-2, 2, AW22))), ABS($AY$6:$AY$22 - MEDIAN(-2, 2, AW22)), $AZ$6:$AZ$22, "Error", 0)</f>
        <v>0</v>
      </c>
    </row>
    <row r="52" spans="1:49" ht="25" customHeight="1">
      <c r="A52" s="46" t="s">
        <v>12</v>
      </c>
      <c r="B52" s="30" cm="1">
        <f t="array" ref="B52">_xlfn.XLOOKUP(MIN(ABS($AY$6:$AY$22 - MEDIAN(-2, 2, B23))), ABS($AY$6:$AY$22 - MEDIAN(-2, 2, B23)), $AZ$6:$AZ$22, "Error", 0)</f>
        <v>0</v>
      </c>
      <c r="C52" s="30" cm="1">
        <f t="array" ref="C52">_xlfn.XLOOKUP(MIN(ABS($AY$6:$AY$22 - MEDIAN(-2, 2, C23))), ABS($AY$6:$AY$22 - MEDIAN(-2, 2, C23)), $AZ$6:$AZ$22, "Error", 0)</f>
        <v>0</v>
      </c>
      <c r="D52" s="30" cm="1">
        <f t="array" ref="D52">_xlfn.XLOOKUP(MIN(ABS($AY$6:$AY$22 - MEDIAN(-2, 2, D23))), ABS($AY$6:$AY$22 - MEDIAN(-2, 2, D23)), $AZ$6:$AZ$22, "Error", 0)</f>
        <v>0</v>
      </c>
      <c r="E52" s="30" cm="1">
        <f t="array" ref="E52">_xlfn.XLOOKUP(MIN(ABS($AY$6:$AY$22 - MEDIAN(-2, 2, E23))), ABS($AY$6:$AY$22 - MEDIAN(-2, 2, E23)), $AZ$6:$AZ$22, "Error", 0)</f>
        <v>0</v>
      </c>
      <c r="F52" s="30" cm="1">
        <f t="array" ref="F52">_xlfn.XLOOKUP(MIN(ABS($AY$6:$AY$22 - MEDIAN(-2, 2, F23))), ABS($AY$6:$AY$22 - MEDIAN(-2, 2, F23)), $AZ$6:$AZ$22, "Error", 0)</f>
        <v>0</v>
      </c>
      <c r="G52" s="30" cm="1">
        <f t="array" ref="G52">_xlfn.XLOOKUP(MIN(ABS($AY$6:$AY$22 - MEDIAN(-2, 2, G23))), ABS($AY$6:$AY$22 - MEDIAN(-2, 2, G23)), $AZ$6:$AZ$22, "Error", 0)</f>
        <v>0</v>
      </c>
      <c r="H52" s="30" cm="1">
        <f t="array" ref="H52">_xlfn.XLOOKUP(MIN(ABS($AY$6:$AY$22 - MEDIAN(-2, 2, H23))), ABS($AY$6:$AY$22 - MEDIAN(-2, 2, H23)), $AZ$6:$AZ$22, "Error", 0)</f>
        <v>0</v>
      </c>
      <c r="I52" s="30" cm="1">
        <f t="array" ref="I52">_xlfn.XLOOKUP(MIN(ABS($AY$6:$AY$22 - MEDIAN(-2, 2, I23))), ABS($AY$6:$AY$22 - MEDIAN(-2, 2, I23)), $AZ$6:$AZ$22, "Error", 0)</f>
        <v>0</v>
      </c>
      <c r="J52" s="30" cm="1">
        <f t="array" ref="J52">_xlfn.XLOOKUP(MIN(ABS($AY$6:$AY$22 - MEDIAN(-2, 2, J23))), ABS($AY$6:$AY$22 - MEDIAN(-2, 2, J23)), $AZ$6:$AZ$22, "Error", 0)</f>
        <v>0</v>
      </c>
      <c r="K52" s="30" cm="1">
        <f t="array" ref="K52">_xlfn.XLOOKUP(MIN(ABS($AY$6:$AY$22 - MEDIAN(-2, 2, K23))), ABS($AY$6:$AY$22 - MEDIAN(-2, 2, K23)), $AZ$6:$AZ$22, "Error", 0)</f>
        <v>0</v>
      </c>
      <c r="L52" s="30" cm="1">
        <f t="array" ref="L52">_xlfn.XLOOKUP(MIN(ABS($AY$6:$AY$22 - MEDIAN(-2, 2, L23))), ABS($AY$6:$AY$22 - MEDIAN(-2, 2, L23)), $AZ$6:$AZ$22, "Error", 0)</f>
        <v>0</v>
      </c>
      <c r="M52" s="30" cm="1">
        <f t="array" ref="M52">_xlfn.XLOOKUP(MIN(ABS($AY$6:$AY$22 - MEDIAN(-2, 2, M23))), ABS($AY$6:$AY$22 - MEDIAN(-2, 2, M23)), $AZ$6:$AZ$22, "Error", 0)</f>
        <v>0</v>
      </c>
      <c r="N52" s="30" cm="1">
        <f t="array" ref="N52">_xlfn.XLOOKUP(MIN(ABS($AY$6:$AY$22 - MEDIAN(-2, 2, N23))), ABS($AY$6:$AY$22 - MEDIAN(-2, 2, N23)), $AZ$6:$AZ$22, "Error", 0)</f>
        <v>0</v>
      </c>
      <c r="O52" s="30" cm="1">
        <f t="array" ref="O52">_xlfn.XLOOKUP(MIN(ABS($AY$6:$AY$22 - MEDIAN(-2, 2, O23))), ABS($AY$6:$AY$22 - MEDIAN(-2, 2, O23)), $AZ$6:$AZ$22, "Error", 0)</f>
        <v>0</v>
      </c>
      <c r="P52" s="30" cm="1">
        <f t="array" ref="P52">_xlfn.XLOOKUP(MIN(ABS($AY$6:$AY$22 - MEDIAN(-2, 2, P23))), ABS($AY$6:$AY$22 - MEDIAN(-2, 2, P23)), $AZ$6:$AZ$22, "Error", 0)</f>
        <v>0</v>
      </c>
      <c r="Q52" s="30" cm="1">
        <f t="array" ref="Q52">_xlfn.XLOOKUP(MIN(ABS($AY$6:$AY$22 - MEDIAN(-2, 2, Q23))), ABS($AY$6:$AY$22 - MEDIAN(-2, 2, Q23)), $AZ$6:$AZ$22, "Error", 0)</f>
        <v>0</v>
      </c>
      <c r="R52" s="30" cm="1">
        <f t="array" ref="R52">_xlfn.XLOOKUP(MIN(ABS($AY$6:$AY$22 - MEDIAN(-2, 2, R23))), ABS($AY$6:$AY$22 - MEDIAN(-2, 2, R23)), $AZ$6:$AZ$22, "Error", 0)</f>
        <v>0</v>
      </c>
      <c r="S52" s="30" cm="1">
        <f t="array" ref="S52">_xlfn.XLOOKUP(MIN(ABS($AY$6:$AY$22 - MEDIAN(-2, 2, S23))), ABS($AY$6:$AY$22 - MEDIAN(-2, 2, S23)), $AZ$6:$AZ$22, "Error", 0)</f>
        <v>0</v>
      </c>
      <c r="T52" s="30" cm="1">
        <f t="array" ref="T52">_xlfn.XLOOKUP(MIN(ABS($AY$6:$AY$22 - MEDIAN(-2, 2, T23))), ABS($AY$6:$AY$22 - MEDIAN(-2, 2, T23)), $AZ$6:$AZ$22, "Error", 0)</f>
        <v>0</v>
      </c>
      <c r="U52" s="30" cm="1">
        <f t="array" ref="U52">_xlfn.XLOOKUP(MIN(ABS($AY$6:$AY$22 - MEDIAN(-2, 2, U23))), ABS($AY$6:$AY$22 - MEDIAN(-2, 2, U23)), $AZ$6:$AZ$22, "Error", 0)</f>
        <v>0</v>
      </c>
      <c r="V52" s="30" cm="1">
        <f t="array" ref="V52">_xlfn.XLOOKUP(MIN(ABS($AY$6:$AY$22 - MEDIAN(-2, 2, V23))), ABS($AY$6:$AY$22 - MEDIAN(-2, 2, V23)), $AZ$6:$AZ$22, "Error", 0)</f>
        <v>0</v>
      </c>
      <c r="W52" s="30" cm="1">
        <f t="array" ref="W52">_xlfn.XLOOKUP(MIN(ABS($AY$6:$AY$22 - MEDIAN(-2, 2, W23))), ABS($AY$6:$AY$22 - MEDIAN(-2, 2, W23)), $AZ$6:$AZ$22, "Error", 0)</f>
        <v>0</v>
      </c>
      <c r="X52" s="30" cm="1">
        <f t="array" ref="X52">_xlfn.XLOOKUP(MIN(ABS($AY$6:$AY$22 - MEDIAN(-2, 2, X23))), ABS($AY$6:$AY$22 - MEDIAN(-2, 2, X23)), $AZ$6:$AZ$22, "Error", 0)</f>
        <v>0</v>
      </c>
      <c r="Y52" s="30" cm="1">
        <f t="array" ref="Y52">_xlfn.XLOOKUP(MIN(ABS($AY$6:$AY$22 - MEDIAN(-2, 2, Y23))), ABS($AY$6:$AY$22 - MEDIAN(-2, 2, Y23)), $AZ$6:$AZ$22, "Error", 0)</f>
        <v>0</v>
      </c>
      <c r="Z52" s="30" cm="1">
        <f t="array" ref="Z52">_xlfn.XLOOKUP(MIN(ABS($AY$6:$AY$22 - MEDIAN(-2, 2, Z23))), ABS($AY$6:$AY$22 - MEDIAN(-2, 2, Z23)), $AZ$6:$AZ$22, "Error", 0)</f>
        <v>0</v>
      </c>
      <c r="AA52" s="30" cm="1">
        <f t="array" ref="AA52">_xlfn.XLOOKUP(MIN(ABS($AY$6:$AY$22 - MEDIAN(-2, 2, AA23))), ABS($AY$6:$AY$22 - MEDIAN(-2, 2, AA23)), $AZ$6:$AZ$22, "Error", 0)</f>
        <v>0</v>
      </c>
      <c r="AB52" s="30" cm="1">
        <f t="array" ref="AB52">_xlfn.XLOOKUP(MIN(ABS($AY$6:$AY$22 - MEDIAN(-2, 2, AB23))), ABS($AY$6:$AY$22 - MEDIAN(-2, 2, AB23)), $AZ$6:$AZ$22, "Error", 0)</f>
        <v>0</v>
      </c>
      <c r="AC52" s="30" t="str" cm="1">
        <f t="array" ref="AC52">_xlfn.XLOOKUP(MIN(ABS($AY$6:$AY$22 - MEDIAN(-2, 2, AC23))), ABS($AY$6:$AY$22 - MEDIAN(-2, 2, AC23)), $AZ$6:$AZ$22, "Error", 0)</f>
        <v>4</v>
      </c>
      <c r="AD52" s="30" t="str" cm="1">
        <f t="array" ref="AD52">_xlfn.XLOOKUP(MIN(ABS($AY$6:$AY$22 - MEDIAN(-2, 2, AD23))), ABS($AY$6:$AY$22 - MEDIAN(-2, 2, AD23)), $AZ$6:$AZ$22, "Error", 0)</f>
        <v>4</v>
      </c>
      <c r="AE52" s="30" cm="1">
        <f t="array" ref="AE52">_xlfn.XLOOKUP(MIN(ABS($AY$6:$AY$22 - MEDIAN(-2, 2, AE23))), ABS($AY$6:$AY$22 - MEDIAN(-2, 2, AE23)), $AZ$6:$AZ$22, "Error", 0)</f>
        <v>0</v>
      </c>
      <c r="AF52" s="30" t="str" cm="1">
        <f t="array" ref="AF52">_xlfn.XLOOKUP(MIN(ABS($AY$6:$AY$22 - MEDIAN(-2, 2, AF23))), ABS($AY$6:$AY$22 - MEDIAN(-2, 2, AF23)), $AZ$6:$AZ$22, "Error", 0)</f>
        <v>10</v>
      </c>
      <c r="AG52" s="30" t="str" cm="1">
        <f t="array" ref="AG52">_xlfn.XLOOKUP(MIN(ABS($AY$6:$AY$22 - MEDIAN(-2, 2, AG23))), ABS($AY$6:$AY$22 - MEDIAN(-2, 2, AG23)), $AZ$6:$AZ$22, "Error", 0)</f>
        <v>6</v>
      </c>
      <c r="AH52" s="30" t="str" cm="1">
        <f t="array" ref="AH52">_xlfn.XLOOKUP(MIN(ABS($AY$6:$AY$22 - MEDIAN(-2, 2, AH23))), ABS($AY$6:$AY$22 - MEDIAN(-2, 2, AH23)), $AZ$6:$AZ$22, "Error", 0)</f>
        <v>4</v>
      </c>
      <c r="AI52" s="30" t="str" cm="1">
        <f t="array" ref="AI52">_xlfn.XLOOKUP(MIN(ABS($AY$6:$AY$22 - MEDIAN(-2, 2, AI23))), ABS($AY$6:$AY$22 - MEDIAN(-2, 2, AI23)), $AZ$6:$AZ$22, "Error", 0)</f>
        <v>3</v>
      </c>
      <c r="AJ52" s="30" t="str" cm="1">
        <f t="array" ref="AJ52">_xlfn.XLOOKUP(MIN(ABS($AY$6:$AY$22 - MEDIAN(-2, 2, AJ23))), ABS($AY$6:$AY$22 - MEDIAN(-2, 2, AJ23)), $AZ$6:$AZ$22, "Error", 0)</f>
        <v>6</v>
      </c>
      <c r="AK52" s="30" t="str" cm="1">
        <f t="array" ref="AK52">_xlfn.XLOOKUP(MIN(ABS($AY$6:$AY$22 - MEDIAN(-2, 2, AK23))), ABS($AY$6:$AY$22 - MEDIAN(-2, 2, AK23)), $AZ$6:$AZ$22, "Error", 0)</f>
        <v>3</v>
      </c>
      <c r="AL52" s="30" t="str" cm="1">
        <f t="array" ref="AL52">_xlfn.XLOOKUP(MIN(ABS($AY$6:$AY$22 - MEDIAN(-2, 2, AL23))), ABS($AY$6:$AY$22 - MEDIAN(-2, 2, AL23)), $AZ$6:$AZ$22, "Error", 0)</f>
        <v>2</v>
      </c>
      <c r="AM52" s="30" t="str" cm="1">
        <f t="array" ref="AM52">_xlfn.XLOOKUP(MIN(ABS($AY$6:$AY$22 - MEDIAN(-2, 2, AM23))), ABS($AY$6:$AY$22 - MEDIAN(-2, 2, AM23)), $AZ$6:$AZ$22, "Error", 0)</f>
        <v>3</v>
      </c>
      <c r="AN52" s="30" t="str" cm="1">
        <f t="array" ref="AN52">_xlfn.XLOOKUP(MIN(ABS($AY$6:$AY$22 - MEDIAN(-2, 2, AN23))), ABS($AY$6:$AY$22 - MEDIAN(-2, 2, AN23)), $AZ$6:$AZ$22, "Error", 0)</f>
        <v>2</v>
      </c>
      <c r="AO52" s="30" t="str" cm="1">
        <f t="array" ref="AO52">_xlfn.XLOOKUP(MIN(ABS($AY$6:$AY$22 - MEDIAN(-2, 2, AO23))), ABS($AY$6:$AY$22 - MEDIAN(-2, 2, AO23)), $AZ$6:$AZ$22, "Error", 0)</f>
        <v>6</v>
      </c>
      <c r="AP52" s="30" t="str" cm="1">
        <f t="array" ref="AP52">_xlfn.XLOOKUP(MIN(ABS($AY$6:$AY$22 - MEDIAN(-2, 2, AP23))), ABS($AY$6:$AY$22 - MEDIAN(-2, 2, AP23)), $AZ$6:$AZ$22, "Error", 0)</f>
        <v>8</v>
      </c>
      <c r="AQ52" s="30" t="str" cm="1">
        <f t="array" ref="AQ52">_xlfn.XLOOKUP(MIN(ABS($AY$6:$AY$22 - MEDIAN(-2, 2, AQ23))), ABS($AY$6:$AY$22 - MEDIAN(-2, 2, AQ23)), $AZ$6:$AZ$22, "Error", 0)</f>
        <v>10</v>
      </c>
      <c r="AR52" s="30" t="str" cm="1">
        <f t="array" ref="AR52">_xlfn.XLOOKUP(MIN(ABS($AY$6:$AY$22 - MEDIAN(-2, 2, AR23))), ABS($AY$6:$AY$22 - MEDIAN(-2, 2, AR23)), $AZ$6:$AZ$22, "Error", 0)</f>
        <v>6</v>
      </c>
      <c r="AS52" s="30" t="str" cm="1">
        <f t="array" ref="AS52">_xlfn.XLOOKUP(MIN(ABS($AY$6:$AY$22 - MEDIAN(-2, 2, AS23))), ABS($AY$6:$AY$22 - MEDIAN(-2, 2, AS23)), $AZ$6:$AZ$22, "Error", 0)</f>
        <v>8</v>
      </c>
      <c r="AT52" s="30" t="str" cm="1">
        <f t="array" ref="AT52">_xlfn.XLOOKUP(MIN(ABS($AY$6:$AY$22 - MEDIAN(-2, 2, AT23))), ABS($AY$6:$AY$22 - MEDIAN(-2, 2, AT23)), $AZ$6:$AZ$22, "Error", 0)</f>
        <v>6</v>
      </c>
      <c r="AU52" s="30" t="str" cm="1">
        <f t="array" ref="AU52">_xlfn.XLOOKUP(MIN(ABS($AY$6:$AY$22 - MEDIAN(-2, 2, AU23))), ABS($AY$6:$AY$22 - MEDIAN(-2, 2, AU23)), $AZ$6:$AZ$22, "Error", 0)</f>
        <v>10</v>
      </c>
      <c r="AV52" s="30" cm="1">
        <f t="array" ref="AV52">_xlfn.XLOOKUP(MIN(ABS($AY$6:$AY$22 - MEDIAN(-2, 2, AV23))), ABS($AY$6:$AY$22 - MEDIAN(-2, 2, AV23)), $AZ$6:$AZ$22, "Error", 0)</f>
        <v>0</v>
      </c>
      <c r="AW52" s="30" cm="1">
        <f t="array" ref="AW52">_xlfn.XLOOKUP(MIN(ABS($AY$6:$AY$22 - MEDIAN(-2, 2, AW23))), ABS($AY$6:$AY$22 - MEDIAN(-2, 2, AW23)), $AZ$6:$AZ$22, "Error", 0)</f>
        <v>0</v>
      </c>
    </row>
    <row r="53" spans="1:49" ht="25" customHeight="1">
      <c r="A53" s="47" t="s">
        <v>50</v>
      </c>
      <c r="B53" s="30" t="str" cm="1">
        <f t="array" ref="B53">_xlfn.XLOOKUP(MIN(ABS($AY$6:$AY$22 - MEDIAN(-2, 2, B24))), ABS($AY$6:$AY$22 - MEDIAN(-2, 2, B24)), $AZ$6:$AZ$22, "Error", 0)</f>
        <v>10</v>
      </c>
      <c r="C53" s="30" t="str" cm="1">
        <f t="array" ref="C53">_xlfn.XLOOKUP(MIN(ABS($AY$6:$AY$22 - MEDIAN(-2, 2, C24))), ABS($AY$6:$AY$22 - MEDIAN(-2, 2, C24)), $AZ$6:$AZ$22, "Error", 0)</f>
        <v>9</v>
      </c>
      <c r="D53" s="30" t="str" cm="1">
        <f t="array" ref="D53">_xlfn.XLOOKUP(MIN(ABS($AY$6:$AY$22 - MEDIAN(-2, 2, D24))), ABS($AY$6:$AY$22 - MEDIAN(-2, 2, D24)), $AZ$6:$AZ$22, "Error", 0)</f>
        <v>-4</v>
      </c>
      <c r="E53" s="30" t="str" cm="1">
        <f t="array" ref="E53">_xlfn.XLOOKUP(MIN(ABS($AY$6:$AY$22 - MEDIAN(-2, 2, E24))), ABS($AY$6:$AY$22 - MEDIAN(-2, 2, E24)), $AZ$6:$AZ$22, "Error", 0)</f>
        <v>-10</v>
      </c>
      <c r="F53" s="30" cm="1">
        <f t="array" ref="F53">_xlfn.XLOOKUP(MIN(ABS($AY$6:$AY$22 - MEDIAN(-2, 2, F24))), ABS($AY$6:$AY$22 - MEDIAN(-2, 2, F24)), $AZ$6:$AZ$22, "Error", 0)</f>
        <v>0</v>
      </c>
      <c r="G53" s="30" t="str" cm="1">
        <f t="array" ref="G53">_xlfn.XLOOKUP(MIN(ABS($AY$6:$AY$22 - MEDIAN(-2, 2, G24))), ABS($AY$6:$AY$22 - MEDIAN(-2, 2, G24)), $AZ$6:$AZ$22, "Error", 0)</f>
        <v>6</v>
      </c>
      <c r="H53" s="30" t="str" cm="1">
        <f t="array" ref="H53">_xlfn.XLOOKUP(MIN(ABS($AY$6:$AY$22 - MEDIAN(-2, 2, H24))), ABS($AY$6:$AY$22 - MEDIAN(-2, 2, H24)), $AZ$6:$AZ$22, "Error", 0)</f>
        <v>4</v>
      </c>
      <c r="I53" s="30" t="str" cm="1">
        <f t="array" ref="I53">_xlfn.XLOOKUP(MIN(ABS($AY$6:$AY$22 - MEDIAN(-2, 2, I24))), ABS($AY$6:$AY$22 - MEDIAN(-2, 2, I24)), $AZ$6:$AZ$22, "Error", 0)</f>
        <v>6</v>
      </c>
      <c r="J53" s="30" t="str" cm="1">
        <f t="array" ref="J53">_xlfn.XLOOKUP(MIN(ABS($AY$6:$AY$22 - MEDIAN(-2, 2, J24))), ABS($AY$6:$AY$22 - MEDIAN(-2, 2, J24)), $AZ$6:$AZ$22, "Error", 0)</f>
        <v>6</v>
      </c>
      <c r="K53" s="30" t="str" cm="1">
        <f t="array" ref="K53">_xlfn.XLOOKUP(MIN(ABS($AY$6:$AY$22 - MEDIAN(-2, 2, K24))), ABS($AY$6:$AY$22 - MEDIAN(-2, 2, K24)), $AZ$6:$AZ$22, "Error", 0)</f>
        <v>3</v>
      </c>
      <c r="L53" s="30" t="str" cm="1">
        <f t="array" ref="L53">_xlfn.XLOOKUP(MIN(ABS($AY$6:$AY$22 - MEDIAN(-2, 2, L24))), ABS($AY$6:$AY$22 - MEDIAN(-2, 2, L24)), $AZ$6:$AZ$22, "Error", 0)</f>
        <v>2</v>
      </c>
      <c r="M53" s="30" t="str" cm="1">
        <f t="array" ref="M53">_xlfn.XLOOKUP(MIN(ABS($AY$6:$AY$22 - MEDIAN(-2, 2, M24))), ABS($AY$6:$AY$22 - MEDIAN(-2, 2, M24)), $AZ$6:$AZ$22, "Error", 0)</f>
        <v>3</v>
      </c>
      <c r="N53" s="30" t="str" cm="1">
        <f t="array" ref="N53">_xlfn.XLOOKUP(MIN(ABS($AY$6:$AY$22 - MEDIAN(-2, 2, N24))), ABS($AY$6:$AY$22 - MEDIAN(-2, 2, N24)), $AZ$6:$AZ$22, "Error", 0)</f>
        <v>6</v>
      </c>
      <c r="O53" s="30" t="str" cm="1">
        <f t="array" ref="O53">_xlfn.XLOOKUP(MIN(ABS($AY$6:$AY$22 - MEDIAN(-2, 2, O24))), ABS($AY$6:$AY$22 - MEDIAN(-2, 2, O24)), $AZ$6:$AZ$22, "Error", 0)</f>
        <v>4</v>
      </c>
      <c r="P53" s="30" t="str" cm="1">
        <f t="array" ref="P53">_xlfn.XLOOKUP(MIN(ABS($AY$6:$AY$22 - MEDIAN(-2, 2, P24))), ABS($AY$6:$AY$22 - MEDIAN(-2, 2, P24)), $AZ$6:$AZ$22, "Error", 0)</f>
        <v>4</v>
      </c>
      <c r="Q53" s="30" t="str" cm="1">
        <f t="array" ref="Q53">_xlfn.XLOOKUP(MIN(ABS($AY$6:$AY$22 - MEDIAN(-2, 2, Q24))), ABS($AY$6:$AY$22 - MEDIAN(-2, 2, Q24)), $AZ$6:$AZ$22, "Error", 0)</f>
        <v>10</v>
      </c>
      <c r="R53" s="30" t="str" cm="1">
        <f t="array" ref="R53">_xlfn.XLOOKUP(MIN(ABS($AY$6:$AY$22 - MEDIAN(-2, 2, R24))), ABS($AY$6:$AY$22 - MEDIAN(-2, 2, R24)), $AZ$6:$AZ$22, "Error", 0)</f>
        <v>8</v>
      </c>
      <c r="S53" s="30" t="str" cm="1">
        <f t="array" ref="S53">_xlfn.XLOOKUP(MIN(ABS($AY$6:$AY$22 - MEDIAN(-2, 2, S24))), ABS($AY$6:$AY$22 - MEDIAN(-2, 2, S24)), $AZ$6:$AZ$22, "Error", 0)</f>
        <v>8</v>
      </c>
      <c r="T53" s="30" t="str" cm="1">
        <f t="array" ref="T53">_xlfn.XLOOKUP(MIN(ABS($AY$6:$AY$22 - MEDIAN(-2, 2, T24))), ABS($AY$6:$AY$22 - MEDIAN(-2, 2, T24)), $AZ$6:$AZ$22, "Error", 0)</f>
        <v>-6</v>
      </c>
      <c r="U53" s="30" cm="1">
        <f t="array" ref="U53">_xlfn.XLOOKUP(MIN(ABS($AY$6:$AY$22 - MEDIAN(-2, 2, U24))), ABS($AY$6:$AY$22 - MEDIAN(-2, 2, U24)), $AZ$6:$AZ$22, "Error", 0)</f>
        <v>0</v>
      </c>
      <c r="V53" s="30" t="str" cm="1">
        <f t="array" ref="V53">_xlfn.XLOOKUP(MIN(ABS($AY$6:$AY$22 - MEDIAN(-2, 2, V24))), ABS($AY$6:$AY$22 - MEDIAN(-2, 2, V24)), $AZ$6:$AZ$22, "Error", 0)</f>
        <v>6</v>
      </c>
      <c r="W53" s="30" t="str" cm="1">
        <f t="array" ref="W53">_xlfn.XLOOKUP(MIN(ABS($AY$6:$AY$22 - MEDIAN(-2, 2, W24))), ABS($AY$6:$AY$22 - MEDIAN(-2, 2, W24)), $AZ$6:$AZ$22, "Error", 0)</f>
        <v>4</v>
      </c>
      <c r="X53" s="30" cm="1">
        <f t="array" ref="X53">_xlfn.XLOOKUP(MIN(ABS($AY$6:$AY$22 - MEDIAN(-2, 2, X24))), ABS($AY$6:$AY$22 - MEDIAN(-2, 2, X24)), $AZ$6:$AZ$22, "Error", 0)</f>
        <v>0</v>
      </c>
      <c r="Y53" s="30" t="str" cm="1">
        <f t="array" ref="Y53">_xlfn.XLOOKUP(MIN(ABS($AY$6:$AY$22 - MEDIAN(-2, 2, Y24))), ABS($AY$6:$AY$22 - MEDIAN(-2, 2, Y24)), $AZ$6:$AZ$22, "Error", 0)</f>
        <v>-4</v>
      </c>
      <c r="Z53" s="30" cm="1">
        <f t="array" ref="Z53">_xlfn.XLOOKUP(MIN(ABS($AY$6:$AY$22 - MEDIAN(-2, 2, Z24))), ABS($AY$6:$AY$22 - MEDIAN(-2, 2, Z24)), $AZ$6:$AZ$22, "Error", 0)</f>
        <v>0</v>
      </c>
      <c r="AA53" s="30" t="str" cm="1">
        <f t="array" ref="AA53">_xlfn.XLOOKUP(MIN(ABS($AY$6:$AY$22 - MEDIAN(-2, 2, AA24))), ABS($AY$6:$AY$22 - MEDIAN(-2, 2, AA24)), $AZ$6:$AZ$22, "Error", 0)</f>
        <v>4</v>
      </c>
      <c r="AB53" s="30" t="str" cm="1">
        <f t="array" ref="AB53">_xlfn.XLOOKUP(MIN(ABS($AY$6:$AY$22 - MEDIAN(-2, 2, AB24))), ABS($AY$6:$AY$22 - MEDIAN(-2, 2, AB24)), $AZ$6:$AZ$22, "Error", 0)</f>
        <v>4</v>
      </c>
      <c r="AC53" s="30" t="str" cm="1">
        <f t="array" ref="AC53">_xlfn.XLOOKUP(MIN(ABS($AY$6:$AY$22 - MEDIAN(-2, 2, AC24))), ABS($AY$6:$AY$22 - MEDIAN(-2, 2, AC24)), $AZ$6:$AZ$22, "Error", 0)</f>
        <v>6</v>
      </c>
      <c r="AD53" s="30" t="str" cm="1">
        <f t="array" ref="AD53">_xlfn.XLOOKUP(MIN(ABS($AY$6:$AY$22 - MEDIAN(-2, 2, AD24))), ABS($AY$6:$AY$22 - MEDIAN(-2, 2, AD24)), $AZ$6:$AZ$22, "Error", 0)</f>
        <v>8</v>
      </c>
      <c r="AE53" s="30" t="str" cm="1">
        <f t="array" ref="AE53">_xlfn.XLOOKUP(MIN(ABS($AY$6:$AY$22 - MEDIAN(-2, 2, AE24))), ABS($AY$6:$AY$22 - MEDIAN(-2, 2, AE24)), $AZ$6:$AZ$22, "Error", 0)</f>
        <v>8</v>
      </c>
      <c r="AF53" s="30" t="str" cm="1">
        <f t="array" ref="AF53">_xlfn.XLOOKUP(MIN(ABS($AY$6:$AY$22 - MEDIAN(-2, 2, AF24))), ABS($AY$6:$AY$22 - MEDIAN(-2, 2, AF24)), $AZ$6:$AZ$22, "Error", 0)</f>
        <v>10</v>
      </c>
      <c r="AG53" s="30" t="str" cm="1">
        <f t="array" ref="AG53">_xlfn.XLOOKUP(MIN(ABS($AY$6:$AY$22 - MEDIAN(-2, 2, AG24))), ABS($AY$6:$AY$22 - MEDIAN(-2, 2, AG24)), $AZ$6:$AZ$22, "Error", 0)</f>
        <v>10</v>
      </c>
      <c r="AH53" s="30" t="str" cm="1">
        <f t="array" ref="AH53">_xlfn.XLOOKUP(MIN(ABS($AY$6:$AY$22 - MEDIAN(-2, 2, AH24))), ABS($AY$6:$AY$22 - MEDIAN(-2, 2, AH24)), $AZ$6:$AZ$22, "Error", 0)</f>
        <v>8</v>
      </c>
      <c r="AI53" s="30" t="str" cm="1">
        <f t="array" ref="AI53">_xlfn.XLOOKUP(MIN(ABS($AY$6:$AY$22 - MEDIAN(-2, 2, AI24))), ABS($AY$6:$AY$22 - MEDIAN(-2, 2, AI24)), $AZ$6:$AZ$22, "Error", 0)</f>
        <v>10</v>
      </c>
      <c r="AJ53" s="30" t="str" cm="1">
        <f t="array" ref="AJ53">_xlfn.XLOOKUP(MIN(ABS($AY$6:$AY$22 - MEDIAN(-2, 2, AJ24))), ABS($AY$6:$AY$22 - MEDIAN(-2, 2, AJ24)), $AZ$6:$AZ$22, "Error", 0)</f>
        <v>10</v>
      </c>
      <c r="AK53" s="30" t="str" cm="1">
        <f t="array" ref="AK53">_xlfn.XLOOKUP(MIN(ABS($AY$6:$AY$22 - MEDIAN(-2, 2, AK24))), ABS($AY$6:$AY$22 - MEDIAN(-2, 2, AK24)), $AZ$6:$AZ$22, "Error", 0)</f>
        <v>10</v>
      </c>
      <c r="AL53" s="30" t="str" cm="1">
        <f t="array" ref="AL53">_xlfn.XLOOKUP(MIN(ABS($AY$6:$AY$22 - MEDIAN(-2, 2, AL24))), ABS($AY$6:$AY$22 - MEDIAN(-2, 2, AL24)), $AZ$6:$AZ$22, "Error", 0)</f>
        <v>4</v>
      </c>
      <c r="AM53" s="30" t="str" cm="1">
        <f t="array" ref="AM53">_xlfn.XLOOKUP(MIN(ABS($AY$6:$AY$22 - MEDIAN(-2, 2, AM24))), ABS($AY$6:$AY$22 - MEDIAN(-2, 2, AM24)), $AZ$6:$AZ$22, "Error", 0)</f>
        <v>6</v>
      </c>
      <c r="AN53" s="30" t="str" cm="1">
        <f t="array" ref="AN53">_xlfn.XLOOKUP(MIN(ABS($AY$6:$AY$22 - MEDIAN(-2, 2, AN24))), ABS($AY$6:$AY$22 - MEDIAN(-2, 2, AN24)), $AZ$6:$AZ$22, "Error", 0)</f>
        <v>6</v>
      </c>
      <c r="AO53" s="30" t="str" cm="1">
        <f t="array" ref="AO53">_xlfn.XLOOKUP(MIN(ABS($AY$6:$AY$22 - MEDIAN(-2, 2, AO24))), ABS($AY$6:$AY$22 - MEDIAN(-2, 2, AO24)), $AZ$6:$AZ$22, "Error", 0)</f>
        <v>10</v>
      </c>
      <c r="AP53" s="30" t="str" cm="1">
        <f t="array" ref="AP53">_xlfn.XLOOKUP(MIN(ABS($AY$6:$AY$22 - MEDIAN(-2, 2, AP24))), ABS($AY$6:$AY$22 - MEDIAN(-2, 2, AP24)), $AZ$6:$AZ$22, "Error", 0)</f>
        <v>10</v>
      </c>
      <c r="AQ53" s="30" t="str" cm="1">
        <f t="array" ref="AQ53">_xlfn.XLOOKUP(MIN(ABS($AY$6:$AY$22 - MEDIAN(-2, 2, AQ24))), ABS($AY$6:$AY$22 - MEDIAN(-2, 2, AQ24)), $AZ$6:$AZ$22, "Error", 0)</f>
        <v>6</v>
      </c>
      <c r="AR53" s="30" t="str" cm="1">
        <f t="array" ref="AR53">_xlfn.XLOOKUP(MIN(ABS($AY$6:$AY$22 - MEDIAN(-2, 2, AR24))), ABS($AY$6:$AY$22 - MEDIAN(-2, 2, AR24)), $AZ$6:$AZ$22, "Error", 0)</f>
        <v>8</v>
      </c>
      <c r="AS53" s="30" t="str" cm="1">
        <f t="array" ref="AS53">_xlfn.XLOOKUP(MIN(ABS($AY$6:$AY$22 - MEDIAN(-2, 2, AS24))), ABS($AY$6:$AY$22 - MEDIAN(-2, 2, AS24)), $AZ$6:$AZ$22, "Error", 0)</f>
        <v>6</v>
      </c>
      <c r="AT53" s="30" t="str" cm="1">
        <f t="array" ref="AT53">_xlfn.XLOOKUP(MIN(ABS($AY$6:$AY$22 - MEDIAN(-2, 2, AT24))), ABS($AY$6:$AY$22 - MEDIAN(-2, 2, AT24)), $AZ$6:$AZ$22, "Error", 0)</f>
        <v>4</v>
      </c>
      <c r="AU53" s="30" t="str" cm="1">
        <f t="array" ref="AU53">_xlfn.XLOOKUP(MIN(ABS($AY$6:$AY$22 - MEDIAN(-2, 2, AU24))), ABS($AY$6:$AY$22 - MEDIAN(-2, 2, AU24)), $AZ$6:$AZ$22, "Error", 0)</f>
        <v>4</v>
      </c>
      <c r="AV53" s="30" cm="1">
        <f t="array" ref="AV53">_xlfn.XLOOKUP(MIN(ABS($AY$6:$AY$22 - MEDIAN(-2, 2, AV24))), ABS($AY$6:$AY$22 - MEDIAN(-2, 2, AV24)), $AZ$6:$AZ$22, "Error", 0)</f>
        <v>0</v>
      </c>
      <c r="AW53" s="30" cm="1">
        <f t="array" ref="AW53">_xlfn.XLOOKUP(MIN(ABS($AY$6:$AY$22 - MEDIAN(-2, 2, AW24))), ABS($AY$6:$AY$22 - MEDIAN(-2, 2, AW24)), $AZ$6:$AZ$22, "Error", 0)</f>
        <v>0</v>
      </c>
    </row>
    <row r="54" spans="1:49" ht="25" customHeight="1">
      <c r="A54" s="48" t="s">
        <v>51</v>
      </c>
      <c r="B54" s="30" t="str" cm="1">
        <f t="array" ref="B54">_xlfn.XLOOKUP(MIN(ABS($AY$6:$AY$22 - MEDIAN(-2, 2, B25))), ABS($AY$6:$AY$22 - MEDIAN(-2, 2, B25)), $AZ$6:$AZ$22, "Error", 0)</f>
        <v>10</v>
      </c>
      <c r="C54" s="30" t="str" cm="1">
        <f t="array" ref="C54">_xlfn.XLOOKUP(MIN(ABS($AY$6:$AY$22 - MEDIAN(-2, 2, C25))), ABS($AY$6:$AY$22 - MEDIAN(-2, 2, C25)), $AZ$6:$AZ$22, "Error", 0)</f>
        <v>10</v>
      </c>
      <c r="D54" s="30" t="str" cm="1">
        <f t="array" ref="D54">_xlfn.XLOOKUP(MIN(ABS($AY$6:$AY$22 - MEDIAN(-2, 2, D25))), ABS($AY$6:$AY$22 - MEDIAN(-2, 2, D25)), $AZ$6:$AZ$22, "Error", 0)</f>
        <v>10</v>
      </c>
      <c r="E54" s="30" t="str" cm="1">
        <f t="array" ref="E54">_xlfn.XLOOKUP(MIN(ABS($AY$6:$AY$22 - MEDIAN(-2, 2, E25))), ABS($AY$6:$AY$22 - MEDIAN(-2, 2, E25)), $AZ$6:$AZ$22, "Error", 0)</f>
        <v>10</v>
      </c>
      <c r="F54" s="30" t="str" cm="1">
        <f t="array" ref="F54">_xlfn.XLOOKUP(MIN(ABS($AY$6:$AY$22 - MEDIAN(-2, 2, F25))), ABS($AY$6:$AY$22 - MEDIAN(-2, 2, F25)), $AZ$6:$AZ$22, "Error", 0)</f>
        <v>10</v>
      </c>
      <c r="G54" s="30" t="str" cm="1">
        <f t="array" ref="G54">_xlfn.XLOOKUP(MIN(ABS($AY$6:$AY$22 - MEDIAN(-2, 2, G25))), ABS($AY$6:$AY$22 - MEDIAN(-2, 2, G25)), $AZ$6:$AZ$22, "Error", 0)</f>
        <v>10</v>
      </c>
      <c r="H54" s="30" t="str" cm="1">
        <f t="array" ref="H54">_xlfn.XLOOKUP(MIN(ABS($AY$6:$AY$22 - MEDIAN(-2, 2, H25))), ABS($AY$6:$AY$22 - MEDIAN(-2, 2, H25)), $AZ$6:$AZ$22, "Error", 0)</f>
        <v>10</v>
      </c>
      <c r="I54" s="30" t="str" cm="1">
        <f t="array" ref="I54">_xlfn.XLOOKUP(MIN(ABS($AY$6:$AY$22 - MEDIAN(-2, 2, I25))), ABS($AY$6:$AY$22 - MEDIAN(-2, 2, I25)), $AZ$6:$AZ$22, "Error", 0)</f>
        <v>10</v>
      </c>
      <c r="J54" s="30" t="str" cm="1">
        <f t="array" ref="J54">_xlfn.XLOOKUP(MIN(ABS($AY$6:$AY$22 - MEDIAN(-2, 2, J25))), ABS($AY$6:$AY$22 - MEDIAN(-2, 2, J25)), $AZ$6:$AZ$22, "Error", 0)</f>
        <v>10</v>
      </c>
      <c r="K54" s="30" t="str" cm="1">
        <f t="array" ref="K54">_xlfn.XLOOKUP(MIN(ABS($AY$6:$AY$22 - MEDIAN(-2, 2, K25))), ABS($AY$6:$AY$22 - MEDIAN(-2, 2, K25)), $AZ$6:$AZ$22, "Error", 0)</f>
        <v>8</v>
      </c>
      <c r="L54" s="30" t="str" cm="1">
        <f t="array" ref="L54">_xlfn.XLOOKUP(MIN(ABS($AY$6:$AY$22 - MEDIAN(-2, 2, L25))), ABS($AY$6:$AY$22 - MEDIAN(-2, 2, L25)), $AZ$6:$AZ$22, "Error", 0)</f>
        <v>-8</v>
      </c>
      <c r="M54" s="30" t="str" cm="1">
        <f t="array" ref="M54">_xlfn.XLOOKUP(MIN(ABS($AY$6:$AY$22 - MEDIAN(-2, 2, M25))), ABS($AY$6:$AY$22 - MEDIAN(-2, 2, M25)), $AZ$6:$AZ$22, "Error", 0)</f>
        <v>-6</v>
      </c>
      <c r="N54" s="30" t="str" cm="1">
        <f t="array" ref="N54">_xlfn.XLOOKUP(MIN(ABS($AY$6:$AY$22 - MEDIAN(-2, 2, N25))), ABS($AY$6:$AY$22 - MEDIAN(-2, 2, N25)), $AZ$6:$AZ$22, "Error", 0)</f>
        <v>-10</v>
      </c>
      <c r="O54" s="30" t="str" cm="1">
        <f t="array" ref="O54">_xlfn.XLOOKUP(MIN(ABS($AY$6:$AY$22 - MEDIAN(-2, 2, O25))), ABS($AY$6:$AY$22 - MEDIAN(-2, 2, O25)), $AZ$6:$AZ$22, "Error", 0)</f>
        <v>-4</v>
      </c>
      <c r="P54" s="30" t="str" cm="1">
        <f t="array" ref="P54">_xlfn.XLOOKUP(MIN(ABS($AY$6:$AY$22 - MEDIAN(-2, 2, P25))), ABS($AY$6:$AY$22 - MEDIAN(-2, 2, P25)), $AZ$6:$AZ$22, "Error", 0)</f>
        <v>4</v>
      </c>
      <c r="Q54" s="30" t="str" cm="1">
        <f t="array" ref="Q54">_xlfn.XLOOKUP(MIN(ABS($AY$6:$AY$22 - MEDIAN(-2, 2, Q25))), ABS($AY$6:$AY$22 - MEDIAN(-2, 2, Q25)), $AZ$6:$AZ$22, "Error", 0)</f>
        <v>10</v>
      </c>
      <c r="R54" s="30" t="str" cm="1">
        <f t="array" ref="R54">_xlfn.XLOOKUP(MIN(ABS($AY$6:$AY$22 - MEDIAN(-2, 2, R25))), ABS($AY$6:$AY$22 - MEDIAN(-2, 2, R25)), $AZ$6:$AZ$22, "Error", 0)</f>
        <v>6</v>
      </c>
      <c r="S54" s="30" t="str" cm="1">
        <f t="array" ref="S54">_xlfn.XLOOKUP(MIN(ABS($AY$6:$AY$22 - MEDIAN(-2, 2, S25))), ABS($AY$6:$AY$22 - MEDIAN(-2, 2, S25)), $AZ$6:$AZ$22, "Error", 0)</f>
        <v>10</v>
      </c>
      <c r="T54" s="30" t="str" cm="1">
        <f t="array" ref="T54">_xlfn.XLOOKUP(MIN(ABS($AY$6:$AY$22 - MEDIAN(-2, 2, T25))), ABS($AY$6:$AY$22 - MEDIAN(-2, 2, T25)), $AZ$6:$AZ$22, "Error", 0)</f>
        <v>8</v>
      </c>
      <c r="U54" s="30" t="str" cm="1">
        <f t="array" ref="U54">_xlfn.XLOOKUP(MIN(ABS($AY$6:$AY$22 - MEDIAN(-2, 2, U25))), ABS($AY$6:$AY$22 - MEDIAN(-2, 2, U25)), $AZ$6:$AZ$22, "Error", 0)</f>
        <v>4</v>
      </c>
      <c r="V54" s="30" t="str" cm="1">
        <f t="array" ref="V54">_xlfn.XLOOKUP(MIN(ABS($AY$6:$AY$22 - MEDIAN(-2, 2, V25))), ABS($AY$6:$AY$22 - MEDIAN(-2, 2, V25)), $AZ$6:$AZ$22, "Error", 0)</f>
        <v>8</v>
      </c>
      <c r="W54" s="30" t="str" cm="1">
        <f t="array" ref="W54">_xlfn.XLOOKUP(MIN(ABS($AY$6:$AY$22 - MEDIAN(-2, 2, W25))), ABS($AY$6:$AY$22 - MEDIAN(-2, 2, W25)), $AZ$6:$AZ$22, "Error", 0)</f>
        <v>4</v>
      </c>
      <c r="X54" s="30" cm="1">
        <f t="array" ref="X54">_xlfn.XLOOKUP(MIN(ABS($AY$6:$AY$22 - MEDIAN(-2, 2, X25))), ABS($AY$6:$AY$22 - MEDIAN(-2, 2, X25)), $AZ$6:$AZ$22, "Error", 0)</f>
        <v>0</v>
      </c>
      <c r="Y54" s="30" t="str" cm="1">
        <f t="array" ref="Y54">_xlfn.XLOOKUP(MIN(ABS($AY$6:$AY$22 - MEDIAN(-2, 2, Y25))), ABS($AY$6:$AY$22 - MEDIAN(-2, 2, Y25)), $AZ$6:$AZ$22, "Error", 0)</f>
        <v>6</v>
      </c>
      <c r="Z54" s="30" cm="1">
        <f t="array" ref="Z54">_xlfn.XLOOKUP(MIN(ABS($AY$6:$AY$22 - MEDIAN(-2, 2, Z25))), ABS($AY$6:$AY$22 - MEDIAN(-2, 2, Z25)), $AZ$6:$AZ$22, "Error", 0)</f>
        <v>0</v>
      </c>
      <c r="AA54" s="30" cm="1">
        <f t="array" ref="AA54">_xlfn.XLOOKUP(MIN(ABS($AY$6:$AY$22 - MEDIAN(-2, 2, AA25))), ABS($AY$6:$AY$22 - MEDIAN(-2, 2, AA25)), $AZ$6:$AZ$22, "Error", 0)</f>
        <v>0</v>
      </c>
      <c r="AB54" s="30" t="str" cm="1">
        <f t="array" ref="AB54">_xlfn.XLOOKUP(MIN(ABS($AY$6:$AY$22 - MEDIAN(-2, 2, AB25))), ABS($AY$6:$AY$22 - MEDIAN(-2, 2, AB25)), $AZ$6:$AZ$22, "Error", 0)</f>
        <v>-4</v>
      </c>
      <c r="AC54" s="30" t="str" cm="1">
        <f t="array" ref="AC54">_xlfn.XLOOKUP(MIN(ABS($AY$6:$AY$22 - MEDIAN(-2, 2, AC25))), ABS($AY$6:$AY$22 - MEDIAN(-2, 2, AC25)), $AZ$6:$AZ$22, "Error", 0)</f>
        <v>6</v>
      </c>
      <c r="AD54" s="30" t="str" cm="1">
        <f t="array" ref="AD54">_xlfn.XLOOKUP(MIN(ABS($AY$6:$AY$22 - MEDIAN(-2, 2, AD25))), ABS($AY$6:$AY$22 - MEDIAN(-2, 2, AD25)), $AZ$6:$AZ$22, "Error", 0)</f>
        <v>-10</v>
      </c>
      <c r="AE54" s="30" t="str" cm="1">
        <f t="array" ref="AE54">_xlfn.XLOOKUP(MIN(ABS($AY$6:$AY$22 - MEDIAN(-2, 2, AE25))), ABS($AY$6:$AY$22 - MEDIAN(-2, 2, AE25)), $AZ$6:$AZ$22, "Error", 0)</f>
        <v>-10</v>
      </c>
      <c r="AF54" s="30" t="str" cm="1">
        <f t="array" ref="AF54">_xlfn.XLOOKUP(MIN(ABS($AY$6:$AY$22 - MEDIAN(-2, 2, AF25))), ABS($AY$6:$AY$22 - MEDIAN(-2, 2, AF25)), $AZ$6:$AZ$22, "Error", 0)</f>
        <v>-10</v>
      </c>
      <c r="AG54" s="30" t="str" cm="1">
        <f t="array" ref="AG54">_xlfn.XLOOKUP(MIN(ABS($AY$6:$AY$22 - MEDIAN(-2, 2, AG25))), ABS($AY$6:$AY$22 - MEDIAN(-2, 2, AG25)), $AZ$6:$AZ$22, "Error", 0)</f>
        <v>-10</v>
      </c>
      <c r="AH54" s="30" t="str" cm="1">
        <f t="array" ref="AH54">_xlfn.XLOOKUP(MIN(ABS($AY$6:$AY$22 - MEDIAN(-2, 2, AH25))), ABS($AY$6:$AY$22 - MEDIAN(-2, 2, AH25)), $AZ$6:$AZ$22, "Error", 0)</f>
        <v>-8</v>
      </c>
      <c r="AI54" s="30" t="str" cm="1">
        <f t="array" ref="AI54">_xlfn.XLOOKUP(MIN(ABS($AY$6:$AY$22 - MEDIAN(-2, 2, AI25))), ABS($AY$6:$AY$22 - MEDIAN(-2, 2, AI25)), $AZ$6:$AZ$22, "Error", 0)</f>
        <v>-10</v>
      </c>
      <c r="AJ54" s="30" t="str" cm="1">
        <f t="array" ref="AJ54">_xlfn.XLOOKUP(MIN(ABS($AY$6:$AY$22 - MEDIAN(-2, 2, AJ25))), ABS($AY$6:$AY$22 - MEDIAN(-2, 2, AJ25)), $AZ$6:$AZ$22, "Error", 0)</f>
        <v>-6</v>
      </c>
      <c r="AK54" s="30" t="str" cm="1">
        <f t="array" ref="AK54">_xlfn.XLOOKUP(MIN(ABS($AY$6:$AY$22 - MEDIAN(-2, 2, AK25))), ABS($AY$6:$AY$22 - MEDIAN(-2, 2, AK25)), $AZ$6:$AZ$22, "Error", 0)</f>
        <v>-8</v>
      </c>
      <c r="AL54" s="30" t="str" cm="1">
        <f t="array" ref="AL54">_xlfn.XLOOKUP(MIN(ABS($AY$6:$AY$22 - MEDIAN(-2, 2, AL25))), ABS($AY$6:$AY$22 - MEDIAN(-2, 2, AL25)), $AZ$6:$AZ$22, "Error", 0)</f>
        <v>-6</v>
      </c>
      <c r="AM54" s="30" t="str" cm="1">
        <f t="array" ref="AM54">_xlfn.XLOOKUP(MIN(ABS($AY$6:$AY$22 - MEDIAN(-2, 2, AM25))), ABS($AY$6:$AY$22 - MEDIAN(-2, 2, AM25)), $AZ$6:$AZ$22, "Error", 0)</f>
        <v>-6</v>
      </c>
      <c r="AN54" s="30" cm="1">
        <f t="array" ref="AN54">_xlfn.XLOOKUP(MIN(ABS($AY$6:$AY$22 - MEDIAN(-2, 2, AN25))), ABS($AY$6:$AY$22 - MEDIAN(-2, 2, AN25)), $AZ$6:$AZ$22, "Error", 0)</f>
        <v>0</v>
      </c>
      <c r="AO54" s="30" t="str" cm="1">
        <f t="array" ref="AO54">_xlfn.XLOOKUP(MIN(ABS($AY$6:$AY$22 - MEDIAN(-2, 2, AO25))), ABS($AY$6:$AY$22 - MEDIAN(-2, 2, AO25)), $AZ$6:$AZ$22, "Error", 0)</f>
        <v>10</v>
      </c>
      <c r="AP54" s="30" t="str" cm="1">
        <f t="array" ref="AP54">_xlfn.XLOOKUP(MIN(ABS($AY$6:$AY$22 - MEDIAN(-2, 2, AP25))), ABS($AY$6:$AY$22 - MEDIAN(-2, 2, AP25)), $AZ$6:$AZ$22, "Error", 0)</f>
        <v>4</v>
      </c>
      <c r="AQ54" s="30" t="str" cm="1">
        <f t="array" ref="AQ54">_xlfn.XLOOKUP(MIN(ABS($AY$6:$AY$22 - MEDIAN(-2, 2, AQ25))), ABS($AY$6:$AY$22 - MEDIAN(-2, 2, AQ25)), $AZ$6:$AZ$22, "Error", 0)</f>
        <v>10</v>
      </c>
      <c r="AR54" s="30" t="str" cm="1">
        <f t="array" ref="AR54">_xlfn.XLOOKUP(MIN(ABS($AY$6:$AY$22 - MEDIAN(-2, 2, AR25))), ABS($AY$6:$AY$22 - MEDIAN(-2, 2, AR25)), $AZ$6:$AZ$22, "Error", 0)</f>
        <v>6</v>
      </c>
      <c r="AS54" s="30" t="str" cm="1">
        <f t="array" ref="AS54">_xlfn.XLOOKUP(MIN(ABS($AY$6:$AY$22 - MEDIAN(-2, 2, AS25))), ABS($AY$6:$AY$22 - MEDIAN(-2, 2, AS25)), $AZ$6:$AZ$22, "Error", 0)</f>
        <v>8</v>
      </c>
      <c r="AT54" s="30" cm="1">
        <f t="array" ref="AT54">_xlfn.XLOOKUP(MIN(ABS($AY$6:$AY$22 - MEDIAN(-2, 2, AT25))), ABS($AY$6:$AY$22 - MEDIAN(-2, 2, AT25)), $AZ$6:$AZ$22, "Error", 0)</f>
        <v>0</v>
      </c>
      <c r="AU54" s="30" cm="1">
        <f t="array" ref="AU54">_xlfn.XLOOKUP(MIN(ABS($AY$6:$AY$22 - MEDIAN(-2, 2, AU25))), ABS($AY$6:$AY$22 - MEDIAN(-2, 2, AU25)), $AZ$6:$AZ$22, "Error", 0)</f>
        <v>0</v>
      </c>
      <c r="AV54" s="30" cm="1">
        <f t="array" ref="AV54">_xlfn.XLOOKUP(MIN(ABS($AY$6:$AY$22 - MEDIAN(-2, 2, AV25))), ABS($AY$6:$AY$22 - MEDIAN(-2, 2, AV25)), $AZ$6:$AZ$22, "Error", 0)</f>
        <v>0</v>
      </c>
      <c r="AW54" s="30" cm="1">
        <f t="array" ref="AW54">_xlfn.XLOOKUP(MIN(ABS($AY$6:$AY$22 - MEDIAN(-2, 2, AW25))), ABS($AY$6:$AY$22 - MEDIAN(-2, 2, AW25)), $AZ$6:$AZ$22, "Error", 0)</f>
        <v>0</v>
      </c>
    </row>
    <row r="55" spans="1:49" ht="25" customHeight="1">
      <c r="A55" s="48" t="s">
        <v>52</v>
      </c>
      <c r="B55" s="30" t="str" cm="1">
        <f t="array" ref="B55">_xlfn.XLOOKUP(MIN(ABS($AY$6:$AY$22 - MEDIAN(-2, 2, B26))), ABS($AY$6:$AY$22 - MEDIAN(-2, 2, B26)), $AZ$6:$AZ$22, "Error", 0)</f>
        <v>10</v>
      </c>
      <c r="C55" s="30" t="str" cm="1">
        <f t="array" ref="C55">_xlfn.XLOOKUP(MIN(ABS($AY$6:$AY$22 - MEDIAN(-2, 2, C26))), ABS($AY$6:$AY$22 - MEDIAN(-2, 2, C26)), $AZ$6:$AZ$22, "Error", 0)</f>
        <v>10</v>
      </c>
      <c r="D55" s="30" t="str" cm="1">
        <f t="array" ref="D55">_xlfn.XLOOKUP(MIN(ABS($AY$6:$AY$22 - MEDIAN(-2, 2, D26))), ABS($AY$6:$AY$22 - MEDIAN(-2, 2, D26)), $AZ$6:$AZ$22, "Error", 0)</f>
        <v>10</v>
      </c>
      <c r="E55" s="30" t="str" cm="1">
        <f t="array" ref="E55">_xlfn.XLOOKUP(MIN(ABS($AY$6:$AY$22 - MEDIAN(-2, 2, E26))), ABS($AY$6:$AY$22 - MEDIAN(-2, 2, E26)), $AZ$6:$AZ$22, "Error", 0)</f>
        <v>10</v>
      </c>
      <c r="F55" s="30" t="str" cm="1">
        <f t="array" ref="F55">_xlfn.XLOOKUP(MIN(ABS($AY$6:$AY$22 - MEDIAN(-2, 2, F26))), ABS($AY$6:$AY$22 - MEDIAN(-2, 2, F26)), $AZ$6:$AZ$22, "Error", 0)</f>
        <v>10</v>
      </c>
      <c r="G55" s="30" t="str" cm="1">
        <f t="array" ref="G55">_xlfn.XLOOKUP(MIN(ABS($AY$6:$AY$22 - MEDIAN(-2, 2, G26))), ABS($AY$6:$AY$22 - MEDIAN(-2, 2, G26)), $AZ$6:$AZ$22, "Error", 0)</f>
        <v>10</v>
      </c>
      <c r="H55" s="30" t="str" cm="1">
        <f t="array" ref="H55">_xlfn.XLOOKUP(MIN(ABS($AY$6:$AY$22 - MEDIAN(-2, 2, H26))), ABS($AY$6:$AY$22 - MEDIAN(-2, 2, H26)), $AZ$6:$AZ$22, "Error", 0)</f>
        <v>10</v>
      </c>
      <c r="I55" s="30" t="str" cm="1">
        <f t="array" ref="I55">_xlfn.XLOOKUP(MIN(ABS($AY$6:$AY$22 - MEDIAN(-2, 2, I26))), ABS($AY$6:$AY$22 - MEDIAN(-2, 2, I26)), $AZ$6:$AZ$22, "Error", 0)</f>
        <v>10</v>
      </c>
      <c r="J55" s="30" t="str" cm="1">
        <f t="array" ref="J55">_xlfn.XLOOKUP(MIN(ABS($AY$6:$AY$22 - MEDIAN(-2, 2, J26))), ABS($AY$6:$AY$22 - MEDIAN(-2, 2, J26)), $AZ$6:$AZ$22, "Error", 0)</f>
        <v>10</v>
      </c>
      <c r="K55" s="30" t="str" cm="1">
        <f t="array" ref="K55">_xlfn.XLOOKUP(MIN(ABS($AY$6:$AY$22 - MEDIAN(-2, 2, K26))), ABS($AY$6:$AY$22 - MEDIAN(-2, 2, K26)), $AZ$6:$AZ$22, "Error", 0)</f>
        <v>6</v>
      </c>
      <c r="L55" s="30" t="str" cm="1">
        <f t="array" ref="L55">_xlfn.XLOOKUP(MIN(ABS($AY$6:$AY$22 - MEDIAN(-2, 2, L26))), ABS($AY$6:$AY$22 - MEDIAN(-2, 2, L26)), $AZ$6:$AZ$22, "Error", 0)</f>
        <v>-10</v>
      </c>
      <c r="M55" s="30" t="str" cm="1">
        <f t="array" ref="M55">_xlfn.XLOOKUP(MIN(ABS($AY$6:$AY$22 - MEDIAN(-2, 2, M26))), ABS($AY$6:$AY$22 - MEDIAN(-2, 2, M26)), $AZ$6:$AZ$22, "Error", 0)</f>
        <v>8</v>
      </c>
      <c r="N55" s="30" t="str" cm="1">
        <f t="array" ref="N55">_xlfn.XLOOKUP(MIN(ABS($AY$6:$AY$22 - MEDIAN(-2, 2, N26))), ABS($AY$6:$AY$22 - MEDIAN(-2, 2, N26)), $AZ$6:$AZ$22, "Error", 0)</f>
        <v>9</v>
      </c>
      <c r="O55" s="30" t="str" cm="1">
        <f t="array" ref="O55">_xlfn.XLOOKUP(MIN(ABS($AY$6:$AY$22 - MEDIAN(-2, 2, O26))), ABS($AY$6:$AY$22 - MEDIAN(-2, 2, O26)), $AZ$6:$AZ$22, "Error", 0)</f>
        <v>-6</v>
      </c>
      <c r="P55" s="30" t="str" cm="1">
        <f t="array" ref="P55">_xlfn.XLOOKUP(MIN(ABS($AY$6:$AY$22 - MEDIAN(-2, 2, P26))), ABS($AY$6:$AY$22 - MEDIAN(-2, 2, P26)), $AZ$6:$AZ$22, "Error", 0)</f>
        <v>-6</v>
      </c>
      <c r="Q55" s="30" t="str" cm="1">
        <f t="array" ref="Q55">_xlfn.XLOOKUP(MIN(ABS($AY$6:$AY$22 - MEDIAN(-2, 2, Q26))), ABS($AY$6:$AY$22 - MEDIAN(-2, 2, Q26)), $AZ$6:$AZ$22, "Error", 0)</f>
        <v>4</v>
      </c>
      <c r="R55" s="30" t="str" cm="1">
        <f t="array" ref="R55">_xlfn.XLOOKUP(MIN(ABS($AY$6:$AY$22 - MEDIAN(-2, 2, R26))), ABS($AY$6:$AY$22 - MEDIAN(-2, 2, R26)), $AZ$6:$AZ$22, "Error", 0)</f>
        <v>8</v>
      </c>
      <c r="S55" s="30" t="str" cm="1">
        <f t="array" ref="S55">_xlfn.XLOOKUP(MIN(ABS($AY$6:$AY$22 - MEDIAN(-2, 2, S26))), ABS($AY$6:$AY$22 - MEDIAN(-2, 2, S26)), $AZ$6:$AZ$22, "Error", 0)</f>
        <v>8</v>
      </c>
      <c r="T55" s="30" t="str" cm="1">
        <f t="array" ref="T55">_xlfn.XLOOKUP(MIN(ABS($AY$6:$AY$22 - MEDIAN(-2, 2, T26))), ABS($AY$6:$AY$22 - MEDIAN(-2, 2, T26)), $AZ$6:$AZ$22, "Error", 0)</f>
        <v>6</v>
      </c>
      <c r="U55" s="30" t="str" cm="1">
        <f t="array" ref="U55">_xlfn.XLOOKUP(MIN(ABS($AY$6:$AY$22 - MEDIAN(-2, 2, U26))), ABS($AY$6:$AY$22 - MEDIAN(-2, 2, U26)), $AZ$6:$AZ$22, "Error", 0)</f>
        <v>8</v>
      </c>
      <c r="V55" s="30" t="str" cm="1">
        <f t="array" ref="V55">_xlfn.XLOOKUP(MIN(ABS($AY$6:$AY$22 - MEDIAN(-2, 2, V26))), ABS($AY$6:$AY$22 - MEDIAN(-2, 2, V26)), $AZ$6:$AZ$22, "Error", 0)</f>
        <v>8</v>
      </c>
      <c r="W55" s="30" cm="1">
        <f t="array" ref="W55">_xlfn.XLOOKUP(MIN(ABS($AY$6:$AY$22 - MEDIAN(-2, 2, W26))), ABS($AY$6:$AY$22 - MEDIAN(-2, 2, W26)), $AZ$6:$AZ$22, "Error", 0)</f>
        <v>0</v>
      </c>
      <c r="X55" s="30" t="str" cm="1">
        <f t="array" ref="X55">_xlfn.XLOOKUP(MIN(ABS($AY$6:$AY$22 - MEDIAN(-2, 2, X26))), ABS($AY$6:$AY$22 - MEDIAN(-2, 2, X26)), $AZ$6:$AZ$22, "Error", 0)</f>
        <v>4</v>
      </c>
      <c r="Y55" s="30" t="str" cm="1">
        <f t="array" ref="Y55">_xlfn.XLOOKUP(MIN(ABS($AY$6:$AY$22 - MEDIAN(-2, 2, Y26))), ABS($AY$6:$AY$22 - MEDIAN(-2, 2, Y26)), $AZ$6:$AZ$22, "Error", 0)</f>
        <v>10</v>
      </c>
      <c r="Z55" s="30" t="str" cm="1">
        <f t="array" ref="Z55">_xlfn.XLOOKUP(MIN(ABS($AY$6:$AY$22 - MEDIAN(-2, 2, Z26))), ABS($AY$6:$AY$22 - MEDIAN(-2, 2, Z26)), $AZ$6:$AZ$22, "Error", 0)</f>
        <v>10</v>
      </c>
      <c r="AA55" s="30" t="str" cm="1">
        <f t="array" ref="AA55">_xlfn.XLOOKUP(MIN(ABS($AY$6:$AY$22 - MEDIAN(-2, 2, AA26))), ABS($AY$6:$AY$22 - MEDIAN(-2, 2, AA26)), $AZ$6:$AZ$22, "Error", 0)</f>
        <v>10</v>
      </c>
      <c r="AB55" s="30" t="str" cm="1">
        <f t="array" ref="AB55">_xlfn.XLOOKUP(MIN(ABS($AY$6:$AY$22 - MEDIAN(-2, 2, AB26))), ABS($AY$6:$AY$22 - MEDIAN(-2, 2, AB26)), $AZ$6:$AZ$22, "Error", 0)</f>
        <v>10</v>
      </c>
      <c r="AC55" s="30" cm="1">
        <f t="array" ref="AC55">_xlfn.XLOOKUP(MIN(ABS($AY$6:$AY$22 - MEDIAN(-2, 2, AC26))), ABS($AY$6:$AY$22 - MEDIAN(-2, 2, AC26)), $AZ$6:$AZ$22, "Error", 0)</f>
        <v>0</v>
      </c>
      <c r="AD55" s="30" cm="1">
        <f t="array" ref="AD55">_xlfn.XLOOKUP(MIN(ABS($AY$6:$AY$22 - MEDIAN(-2, 2, AD26))), ABS($AY$6:$AY$22 - MEDIAN(-2, 2, AD26)), $AZ$6:$AZ$22, "Error", 0)</f>
        <v>0</v>
      </c>
      <c r="AE55" s="30" t="str" cm="1">
        <f t="array" ref="AE55">_xlfn.XLOOKUP(MIN(ABS($AY$6:$AY$22 - MEDIAN(-2, 2, AE26))), ABS($AY$6:$AY$22 - MEDIAN(-2, 2, AE26)), $AZ$6:$AZ$22, "Error", 0)</f>
        <v>-4</v>
      </c>
      <c r="AF55" s="30" t="str" cm="1">
        <f t="array" ref="AF55">_xlfn.XLOOKUP(MIN(ABS($AY$6:$AY$22 - MEDIAN(-2, 2, AF26))), ABS($AY$6:$AY$22 - MEDIAN(-2, 2, AF26)), $AZ$6:$AZ$22, "Error", 0)</f>
        <v>-8</v>
      </c>
      <c r="AG55" s="30" t="str" cm="1">
        <f t="array" ref="AG55">_xlfn.XLOOKUP(MIN(ABS($AY$6:$AY$22 - MEDIAN(-2, 2, AG26))), ABS($AY$6:$AY$22 - MEDIAN(-2, 2, AG26)), $AZ$6:$AZ$22, "Error", 0)</f>
        <v>-10</v>
      </c>
      <c r="AH55" s="30" t="str" cm="1">
        <f t="array" ref="AH55">_xlfn.XLOOKUP(MIN(ABS($AY$6:$AY$22 - MEDIAN(-2, 2, AH26))), ABS($AY$6:$AY$22 - MEDIAN(-2, 2, AH26)), $AZ$6:$AZ$22, "Error", 0)</f>
        <v>-10</v>
      </c>
      <c r="AI55" s="30" t="str" cm="1">
        <f t="array" ref="AI55">_xlfn.XLOOKUP(MIN(ABS($AY$6:$AY$22 - MEDIAN(-2, 2, AI26))), ABS($AY$6:$AY$22 - MEDIAN(-2, 2, AI26)), $AZ$6:$AZ$22, "Error", 0)</f>
        <v>-6</v>
      </c>
      <c r="AJ55" s="30" t="str" cm="1">
        <f t="array" ref="AJ55">_xlfn.XLOOKUP(MIN(ABS($AY$6:$AY$22 - MEDIAN(-2, 2, AJ26))), ABS($AY$6:$AY$22 - MEDIAN(-2, 2, AJ26)), $AZ$6:$AZ$22, "Error", 0)</f>
        <v>-4</v>
      </c>
      <c r="AK55" s="30" t="str" cm="1">
        <f t="array" ref="AK55">_xlfn.XLOOKUP(MIN(ABS($AY$6:$AY$22 - MEDIAN(-2, 2, AK26))), ABS($AY$6:$AY$22 - MEDIAN(-2, 2, AK26)), $AZ$6:$AZ$22, "Error", 0)</f>
        <v>6</v>
      </c>
      <c r="AL55" s="30" t="str" cm="1">
        <f t="array" ref="AL55">_xlfn.XLOOKUP(MIN(ABS($AY$6:$AY$22 - MEDIAN(-2, 2, AL26))), ABS($AY$6:$AY$22 - MEDIAN(-2, 2, AL26)), $AZ$6:$AZ$22, "Error", 0)</f>
        <v>8</v>
      </c>
      <c r="AM55" s="30" t="str" cm="1">
        <f t="array" ref="AM55">_xlfn.XLOOKUP(MIN(ABS($AY$6:$AY$22 - MEDIAN(-2, 2, AM26))), ABS($AY$6:$AY$22 - MEDIAN(-2, 2, AM26)), $AZ$6:$AZ$22, "Error", 0)</f>
        <v>9</v>
      </c>
      <c r="AN55" s="30" t="str" cm="1">
        <f t="array" ref="AN55">_xlfn.XLOOKUP(MIN(ABS($AY$6:$AY$22 - MEDIAN(-2, 2, AN26))), ABS($AY$6:$AY$22 - MEDIAN(-2, 2, AN26)), $AZ$6:$AZ$22, "Error", 0)</f>
        <v>9</v>
      </c>
      <c r="AO55" s="30" t="str" cm="1">
        <f t="array" ref="AO55">_xlfn.XLOOKUP(MIN(ABS($AY$6:$AY$22 - MEDIAN(-2, 2, AO26))), ABS($AY$6:$AY$22 - MEDIAN(-2, 2, AO26)), $AZ$6:$AZ$22, "Error", 0)</f>
        <v>8</v>
      </c>
      <c r="AP55" s="30" t="str" cm="1">
        <f t="array" ref="AP55">_xlfn.XLOOKUP(MIN(ABS($AY$6:$AY$22 - MEDIAN(-2, 2, AP26))), ABS($AY$6:$AY$22 - MEDIAN(-2, 2, AP26)), $AZ$6:$AZ$22, "Error", 0)</f>
        <v>6</v>
      </c>
      <c r="AQ55" s="30" t="str" cm="1">
        <f t="array" ref="AQ55">_xlfn.XLOOKUP(MIN(ABS($AY$6:$AY$22 - MEDIAN(-2, 2, AQ26))), ABS($AY$6:$AY$22 - MEDIAN(-2, 2, AQ26)), $AZ$6:$AZ$22, "Error", 0)</f>
        <v>-10</v>
      </c>
      <c r="AR55" s="30" t="str" cm="1">
        <f t="array" ref="AR55">_xlfn.XLOOKUP(MIN(ABS($AY$6:$AY$22 - MEDIAN(-2, 2, AR26))), ABS($AY$6:$AY$22 - MEDIAN(-2, 2, AR26)), $AZ$6:$AZ$22, "Error", 0)</f>
        <v>-10</v>
      </c>
      <c r="AS55" s="30" t="str" cm="1">
        <f t="array" ref="AS55">_xlfn.XLOOKUP(MIN(ABS($AY$6:$AY$22 - MEDIAN(-2, 2, AS26))), ABS($AY$6:$AY$22 - MEDIAN(-2, 2, AS26)), $AZ$6:$AZ$22, "Error", 0)</f>
        <v>-10</v>
      </c>
      <c r="AT55" s="30" t="str" cm="1">
        <f t="array" ref="AT55">_xlfn.XLOOKUP(MIN(ABS($AY$6:$AY$22 - MEDIAN(-2, 2, AT26))), ABS($AY$6:$AY$22 - MEDIAN(-2, 2, AT26)), $AZ$6:$AZ$22, "Error", 0)</f>
        <v>9</v>
      </c>
      <c r="AU55" s="30" t="str" cm="1">
        <f t="array" ref="AU55">_xlfn.XLOOKUP(MIN(ABS($AY$6:$AY$22 - MEDIAN(-2, 2, AU26))), ABS($AY$6:$AY$22 - MEDIAN(-2, 2, AU26)), $AZ$6:$AZ$22, "Error", 0)</f>
        <v>9</v>
      </c>
      <c r="AV55" s="30" cm="1">
        <f t="array" ref="AV55">_xlfn.XLOOKUP(MIN(ABS($AY$6:$AY$22 - MEDIAN(-2, 2, AV26))), ABS($AY$6:$AY$22 - MEDIAN(-2, 2, AV26)), $AZ$6:$AZ$22, "Error", 0)</f>
        <v>0</v>
      </c>
      <c r="AW55" s="30" cm="1">
        <f t="array" ref="AW55">_xlfn.XLOOKUP(MIN(ABS($AY$6:$AY$22 - MEDIAN(-2, 2, AW26))), ABS($AY$6:$AY$22 - MEDIAN(-2, 2, AW26)), $AZ$6:$AZ$22, "Error", 0)</f>
        <v>0</v>
      </c>
    </row>
    <row r="56" spans="1:49" ht="25" customHeight="1">
      <c r="A56" s="48" t="s">
        <v>53</v>
      </c>
      <c r="B56" s="30" t="str" cm="1">
        <f t="array" ref="B56">_xlfn.XLOOKUP(MIN(ABS($AY$6:$AY$22 - MEDIAN(-2, 2, B27))), ABS($AY$6:$AY$22 - MEDIAN(-2, 2, B27)), $AZ$6:$AZ$22, "Error", 0)</f>
        <v>10</v>
      </c>
      <c r="C56" s="30" t="str" cm="1">
        <f t="array" ref="C56">_xlfn.XLOOKUP(MIN(ABS($AY$6:$AY$22 - MEDIAN(-2, 2, C27))), ABS($AY$6:$AY$22 - MEDIAN(-2, 2, C27)), $AZ$6:$AZ$22, "Error", 0)</f>
        <v>10</v>
      </c>
      <c r="D56" s="30" t="str" cm="1">
        <f t="array" ref="D56">_xlfn.XLOOKUP(MIN(ABS($AY$6:$AY$22 - MEDIAN(-2, 2, D27))), ABS($AY$6:$AY$22 - MEDIAN(-2, 2, D27)), $AZ$6:$AZ$22, "Error", 0)</f>
        <v>10</v>
      </c>
      <c r="E56" s="30" t="str" cm="1">
        <f t="array" ref="E56">_xlfn.XLOOKUP(MIN(ABS($AY$6:$AY$22 - MEDIAN(-2, 2, E27))), ABS($AY$6:$AY$22 - MEDIAN(-2, 2, E27)), $AZ$6:$AZ$22, "Error", 0)</f>
        <v>10</v>
      </c>
      <c r="F56" s="30" t="str" cm="1">
        <f t="array" ref="F56">_xlfn.XLOOKUP(MIN(ABS($AY$6:$AY$22 - MEDIAN(-2, 2, F27))), ABS($AY$6:$AY$22 - MEDIAN(-2, 2, F27)), $AZ$6:$AZ$22, "Error", 0)</f>
        <v>10</v>
      </c>
      <c r="G56" s="30" t="str" cm="1">
        <f t="array" ref="G56">_xlfn.XLOOKUP(MIN(ABS($AY$6:$AY$22 - MEDIAN(-2, 2, G27))), ABS($AY$6:$AY$22 - MEDIAN(-2, 2, G27)), $AZ$6:$AZ$22, "Error", 0)</f>
        <v>10</v>
      </c>
      <c r="H56" s="30" t="str" cm="1">
        <f t="array" ref="H56">_xlfn.XLOOKUP(MIN(ABS($AY$6:$AY$22 - MEDIAN(-2, 2, H27))), ABS($AY$6:$AY$22 - MEDIAN(-2, 2, H27)), $AZ$6:$AZ$22, "Error", 0)</f>
        <v>10</v>
      </c>
      <c r="I56" s="30" t="str" cm="1">
        <f t="array" ref="I56">_xlfn.XLOOKUP(MIN(ABS($AY$6:$AY$22 - MEDIAN(-2, 2, I27))), ABS($AY$6:$AY$22 - MEDIAN(-2, 2, I27)), $AZ$6:$AZ$22, "Error", 0)</f>
        <v>10</v>
      </c>
      <c r="J56" s="30" t="str" cm="1">
        <f t="array" ref="J56">_xlfn.XLOOKUP(MIN(ABS($AY$6:$AY$22 - MEDIAN(-2, 2, J27))), ABS($AY$6:$AY$22 - MEDIAN(-2, 2, J27)), $AZ$6:$AZ$22, "Error", 0)</f>
        <v>10</v>
      </c>
      <c r="K56" s="30" t="str" cm="1">
        <f t="array" ref="K56">_xlfn.XLOOKUP(MIN(ABS($AY$6:$AY$22 - MEDIAN(-2, 2, K27))), ABS($AY$6:$AY$22 - MEDIAN(-2, 2, K27)), $AZ$6:$AZ$22, "Error", 0)</f>
        <v>10</v>
      </c>
      <c r="L56" s="30" t="str" cm="1">
        <f t="array" ref="L56">_xlfn.XLOOKUP(MIN(ABS($AY$6:$AY$22 - MEDIAN(-2, 2, L27))), ABS($AY$6:$AY$22 - MEDIAN(-2, 2, L27)), $AZ$6:$AZ$22, "Error", 0)</f>
        <v>10</v>
      </c>
      <c r="M56" s="30" t="str" cm="1">
        <f t="array" ref="M56">_xlfn.XLOOKUP(MIN(ABS($AY$6:$AY$22 - MEDIAN(-2, 2, M27))), ABS($AY$6:$AY$22 - MEDIAN(-2, 2, M27)), $AZ$6:$AZ$22, "Error", 0)</f>
        <v>10</v>
      </c>
      <c r="N56" s="30" t="str" cm="1">
        <f t="array" ref="N56">_xlfn.XLOOKUP(MIN(ABS($AY$6:$AY$22 - MEDIAN(-2, 2, N27))), ABS($AY$6:$AY$22 - MEDIAN(-2, 2, N27)), $AZ$6:$AZ$22, "Error", 0)</f>
        <v>10</v>
      </c>
      <c r="O56" s="30" t="str" cm="1">
        <f t="array" ref="O56">_xlfn.XLOOKUP(MIN(ABS($AY$6:$AY$22 - MEDIAN(-2, 2, O27))), ABS($AY$6:$AY$22 - MEDIAN(-2, 2, O27)), $AZ$6:$AZ$22, "Error", 0)</f>
        <v>10</v>
      </c>
      <c r="P56" s="30" t="str" cm="1">
        <f t="array" ref="P56">_xlfn.XLOOKUP(MIN(ABS($AY$6:$AY$22 - MEDIAN(-2, 2, P27))), ABS($AY$6:$AY$22 - MEDIAN(-2, 2, P27)), $AZ$6:$AZ$22, "Error", 0)</f>
        <v>10</v>
      </c>
      <c r="Q56" s="30" t="str" cm="1">
        <f t="array" ref="Q56">_xlfn.XLOOKUP(MIN(ABS($AY$6:$AY$22 - MEDIAN(-2, 2, Q27))), ABS($AY$6:$AY$22 - MEDIAN(-2, 2, Q27)), $AZ$6:$AZ$22, "Error", 0)</f>
        <v>-10</v>
      </c>
      <c r="R56" s="30" t="str" cm="1">
        <f t="array" ref="R56">_xlfn.XLOOKUP(MIN(ABS($AY$6:$AY$22 - MEDIAN(-2, 2, R27))), ABS($AY$6:$AY$22 - MEDIAN(-2, 2, R27)), $AZ$6:$AZ$22, "Error", 0)</f>
        <v>-6</v>
      </c>
      <c r="S56" s="30" t="str" cm="1">
        <f t="array" ref="S56">_xlfn.XLOOKUP(MIN(ABS($AY$6:$AY$22 - MEDIAN(-2, 2, S27))), ABS($AY$6:$AY$22 - MEDIAN(-2, 2, S27)), $AZ$6:$AZ$22, "Error", 0)</f>
        <v>-8</v>
      </c>
      <c r="T56" s="30" t="str" cm="1">
        <f t="array" ref="T56">_xlfn.XLOOKUP(MIN(ABS($AY$6:$AY$22 - MEDIAN(-2, 2, T27))), ABS($AY$6:$AY$22 - MEDIAN(-2, 2, T27)), $AZ$6:$AZ$22, "Error", 0)</f>
        <v>-10</v>
      </c>
      <c r="U56" s="30" t="str" cm="1">
        <f t="array" ref="U56">_xlfn.XLOOKUP(MIN(ABS($AY$6:$AY$22 - MEDIAN(-2, 2, U27))), ABS($AY$6:$AY$22 - MEDIAN(-2, 2, U27)), $AZ$6:$AZ$22, "Error", 0)</f>
        <v>-10</v>
      </c>
      <c r="V56" s="30" t="str" cm="1">
        <f t="array" ref="V56">_xlfn.XLOOKUP(MIN(ABS($AY$6:$AY$22 - MEDIAN(-2, 2, V27))), ABS($AY$6:$AY$22 - MEDIAN(-2, 2, V27)), $AZ$6:$AZ$22, "Error", 0)</f>
        <v>-10</v>
      </c>
      <c r="W56" s="30" t="str" cm="1">
        <f t="array" ref="W56">_xlfn.XLOOKUP(MIN(ABS($AY$6:$AY$22 - MEDIAN(-2, 2, W27))), ABS($AY$6:$AY$22 - MEDIAN(-2, 2, W27)), $AZ$6:$AZ$22, "Error", 0)</f>
        <v>9</v>
      </c>
      <c r="X56" s="30" t="str" cm="1">
        <f t="array" ref="X56">_xlfn.XLOOKUP(MIN(ABS($AY$6:$AY$22 - MEDIAN(-2, 2, X27))), ABS($AY$6:$AY$22 - MEDIAN(-2, 2, X27)), $AZ$6:$AZ$22, "Error", 0)</f>
        <v>10</v>
      </c>
      <c r="Y56" s="30" t="str" cm="1">
        <f t="array" ref="Y56">_xlfn.XLOOKUP(MIN(ABS($AY$6:$AY$22 - MEDIAN(-2, 2, Y27))), ABS($AY$6:$AY$22 - MEDIAN(-2, 2, Y27)), $AZ$6:$AZ$22, "Error", 0)</f>
        <v>10</v>
      </c>
      <c r="Z56" s="30" t="str" cm="1">
        <f t="array" ref="Z56">_xlfn.XLOOKUP(MIN(ABS($AY$6:$AY$22 - MEDIAN(-2, 2, Z27))), ABS($AY$6:$AY$22 - MEDIAN(-2, 2, Z27)), $AZ$6:$AZ$22, "Error", 0)</f>
        <v>10</v>
      </c>
      <c r="AA56" s="30" t="str" cm="1">
        <f t="array" ref="AA56">_xlfn.XLOOKUP(MIN(ABS($AY$6:$AY$22 - MEDIAN(-2, 2, AA27))), ABS($AY$6:$AY$22 - MEDIAN(-2, 2, AA27)), $AZ$6:$AZ$22, "Error", 0)</f>
        <v>10</v>
      </c>
      <c r="AB56" s="30" t="str" cm="1">
        <f t="array" ref="AB56">_xlfn.XLOOKUP(MIN(ABS($AY$6:$AY$22 - MEDIAN(-2, 2, AB27))), ABS($AY$6:$AY$22 - MEDIAN(-2, 2, AB27)), $AZ$6:$AZ$22, "Error", 0)</f>
        <v>10</v>
      </c>
      <c r="AC56" s="30" t="str" cm="1">
        <f t="array" ref="AC56">_xlfn.XLOOKUP(MIN(ABS($AY$6:$AY$22 - MEDIAN(-2, 2, AC27))), ABS($AY$6:$AY$22 - MEDIAN(-2, 2, AC27)), $AZ$6:$AZ$22, "Error", 0)</f>
        <v>10</v>
      </c>
      <c r="AD56" s="30" t="str" cm="1">
        <f t="array" ref="AD56">_xlfn.XLOOKUP(MIN(ABS($AY$6:$AY$22 - MEDIAN(-2, 2, AD27))), ABS($AY$6:$AY$22 - MEDIAN(-2, 2, AD27)), $AZ$6:$AZ$22, "Error", 0)</f>
        <v>10</v>
      </c>
      <c r="AE56" s="30" t="str" cm="1">
        <f t="array" ref="AE56">_xlfn.XLOOKUP(MIN(ABS($AY$6:$AY$22 - MEDIAN(-2, 2, AE27))), ABS($AY$6:$AY$22 - MEDIAN(-2, 2, AE27)), $AZ$6:$AZ$22, "Error", 0)</f>
        <v>10</v>
      </c>
      <c r="AF56" s="30" t="str" cm="1">
        <f t="array" ref="AF56">_xlfn.XLOOKUP(MIN(ABS($AY$6:$AY$22 - MEDIAN(-2, 2, AF27))), ABS($AY$6:$AY$22 - MEDIAN(-2, 2, AF27)), $AZ$6:$AZ$22, "Error", 0)</f>
        <v>10</v>
      </c>
      <c r="AG56" s="30" t="str" cm="1">
        <f t="array" ref="AG56">_xlfn.XLOOKUP(MIN(ABS($AY$6:$AY$22 - MEDIAN(-2, 2, AG27))), ABS($AY$6:$AY$22 - MEDIAN(-2, 2, AG27)), $AZ$6:$AZ$22, "Error", 0)</f>
        <v>10</v>
      </c>
      <c r="AH56" s="30" t="str" cm="1">
        <f t="array" ref="AH56">_xlfn.XLOOKUP(MIN(ABS($AY$6:$AY$22 - MEDIAN(-2, 2, AH27))), ABS($AY$6:$AY$22 - MEDIAN(-2, 2, AH27)), $AZ$6:$AZ$22, "Error", 0)</f>
        <v>10</v>
      </c>
      <c r="AI56" s="30" t="str" cm="1">
        <f t="array" ref="AI56">_xlfn.XLOOKUP(MIN(ABS($AY$6:$AY$22 - MEDIAN(-2, 2, AI27))), ABS($AY$6:$AY$22 - MEDIAN(-2, 2, AI27)), $AZ$6:$AZ$22, "Error", 0)</f>
        <v>10</v>
      </c>
      <c r="AJ56" s="30" t="str" cm="1">
        <f t="array" ref="AJ56">_xlfn.XLOOKUP(MIN(ABS($AY$6:$AY$22 - MEDIAN(-2, 2, AJ27))), ABS($AY$6:$AY$22 - MEDIAN(-2, 2, AJ27)), $AZ$6:$AZ$22, "Error", 0)</f>
        <v>10</v>
      </c>
      <c r="AK56" s="30" t="str" cm="1">
        <f t="array" ref="AK56">_xlfn.XLOOKUP(MIN(ABS($AY$6:$AY$22 - MEDIAN(-2, 2, AK27))), ABS($AY$6:$AY$22 - MEDIAN(-2, 2, AK27)), $AZ$6:$AZ$22, "Error", 0)</f>
        <v>10</v>
      </c>
      <c r="AL56" s="30" t="str" cm="1">
        <f t="array" ref="AL56">_xlfn.XLOOKUP(MIN(ABS($AY$6:$AY$22 - MEDIAN(-2, 2, AL27))), ABS($AY$6:$AY$22 - MEDIAN(-2, 2, AL27)), $AZ$6:$AZ$22, "Error", 0)</f>
        <v>10</v>
      </c>
      <c r="AM56" s="30" t="str" cm="1">
        <f t="array" ref="AM56">_xlfn.XLOOKUP(MIN(ABS($AY$6:$AY$22 - MEDIAN(-2, 2, AM27))), ABS($AY$6:$AY$22 - MEDIAN(-2, 2, AM27)), $AZ$6:$AZ$22, "Error", 0)</f>
        <v>10</v>
      </c>
      <c r="AN56" s="30" t="str" cm="1">
        <f t="array" ref="AN56">_xlfn.XLOOKUP(MIN(ABS($AY$6:$AY$22 - MEDIAN(-2, 2, AN27))), ABS($AY$6:$AY$22 - MEDIAN(-2, 2, AN27)), $AZ$6:$AZ$22, "Error", 0)</f>
        <v>10</v>
      </c>
      <c r="AO56" s="30" t="str" cm="1">
        <f t="array" ref="AO56">_xlfn.XLOOKUP(MIN(ABS($AY$6:$AY$22 - MEDIAN(-2, 2, AO27))), ABS($AY$6:$AY$22 - MEDIAN(-2, 2, AO27)), $AZ$6:$AZ$22, "Error", 0)</f>
        <v>10</v>
      </c>
      <c r="AP56" s="30" t="str" cm="1">
        <f t="array" ref="AP56">_xlfn.XLOOKUP(MIN(ABS($AY$6:$AY$22 - MEDIAN(-2, 2, AP27))), ABS($AY$6:$AY$22 - MEDIAN(-2, 2, AP27)), $AZ$6:$AZ$22, "Error", 0)</f>
        <v>10</v>
      </c>
      <c r="AQ56" s="30" t="str" cm="1">
        <f t="array" ref="AQ56">_xlfn.XLOOKUP(MIN(ABS($AY$6:$AY$22 - MEDIAN(-2, 2, AQ27))), ABS($AY$6:$AY$22 - MEDIAN(-2, 2, AQ27)), $AZ$6:$AZ$22, "Error", 0)</f>
        <v>10</v>
      </c>
      <c r="AR56" s="30" t="str" cm="1">
        <f t="array" ref="AR56">_xlfn.XLOOKUP(MIN(ABS($AY$6:$AY$22 - MEDIAN(-2, 2, AR27))), ABS($AY$6:$AY$22 - MEDIAN(-2, 2, AR27)), $AZ$6:$AZ$22, "Error", 0)</f>
        <v>10</v>
      </c>
      <c r="AS56" s="30" t="str" cm="1">
        <f t="array" ref="AS56">_xlfn.XLOOKUP(MIN(ABS($AY$6:$AY$22 - MEDIAN(-2, 2, AS27))), ABS($AY$6:$AY$22 - MEDIAN(-2, 2, AS27)), $AZ$6:$AZ$22, "Error", 0)</f>
        <v>10</v>
      </c>
      <c r="AT56" s="30" t="str" cm="1">
        <f t="array" ref="AT56">_xlfn.XLOOKUP(MIN(ABS($AY$6:$AY$22 - MEDIAN(-2, 2, AT27))), ABS($AY$6:$AY$22 - MEDIAN(-2, 2, AT27)), $AZ$6:$AZ$22, "Error", 0)</f>
        <v>10</v>
      </c>
      <c r="AU56" s="30" t="str" cm="1">
        <f t="array" ref="AU56">_xlfn.XLOOKUP(MIN(ABS($AY$6:$AY$22 - MEDIAN(-2, 2, AU27))), ABS($AY$6:$AY$22 - MEDIAN(-2, 2, AU27)), $AZ$6:$AZ$22, "Error", 0)</f>
        <v>10</v>
      </c>
      <c r="AV56" s="30" cm="1">
        <f t="array" ref="AV56">_xlfn.XLOOKUP(MIN(ABS($AY$6:$AY$22 - MEDIAN(-2, 2, AV27))), ABS($AY$6:$AY$22 - MEDIAN(-2, 2, AV27)), $AZ$6:$AZ$22, "Error", 0)</f>
        <v>0</v>
      </c>
      <c r="AW56" s="30" cm="1">
        <f t="array" ref="AW56">_xlfn.XLOOKUP(MIN(ABS($AY$6:$AY$22 - MEDIAN(-2, 2, AW27))), ABS($AY$6:$AY$22 - MEDIAN(-2, 2, AW27)), $AZ$6:$AZ$22, "Error", 0)</f>
        <v>0</v>
      </c>
    </row>
    <row r="57" spans="1:49" ht="25" customHeight="1">
      <c r="A57" s="48" t="s">
        <v>54</v>
      </c>
      <c r="B57" s="30" t="str" cm="1">
        <f t="array" ref="B57">_xlfn.XLOOKUP(MIN(ABS($AY$6:$AY$22 - MEDIAN(-2, 2, B28))), ABS($AY$6:$AY$22 - MEDIAN(-2, 2, B28)), $AZ$6:$AZ$22, "Error", 0)</f>
        <v>10</v>
      </c>
      <c r="C57" s="30" t="str" cm="1">
        <f t="array" ref="C57">_xlfn.XLOOKUP(MIN(ABS($AY$6:$AY$22 - MEDIAN(-2, 2, C28))), ABS($AY$6:$AY$22 - MEDIAN(-2, 2, C28)), $AZ$6:$AZ$22, "Error", 0)</f>
        <v>10</v>
      </c>
      <c r="D57" s="30" t="str" cm="1">
        <f t="array" ref="D57">_xlfn.XLOOKUP(MIN(ABS($AY$6:$AY$22 - MEDIAN(-2, 2, D28))), ABS($AY$6:$AY$22 - MEDIAN(-2, 2, D28)), $AZ$6:$AZ$22, "Error", 0)</f>
        <v>10</v>
      </c>
      <c r="E57" s="30" t="str" cm="1">
        <f t="array" ref="E57">_xlfn.XLOOKUP(MIN(ABS($AY$6:$AY$22 - MEDIAN(-2, 2, E28))), ABS($AY$6:$AY$22 - MEDIAN(-2, 2, E28)), $AZ$6:$AZ$22, "Error", 0)</f>
        <v>10</v>
      </c>
      <c r="F57" s="30" t="str" cm="1">
        <f t="array" ref="F57">_xlfn.XLOOKUP(MIN(ABS($AY$6:$AY$22 - MEDIAN(-2, 2, F28))), ABS($AY$6:$AY$22 - MEDIAN(-2, 2, F28)), $AZ$6:$AZ$22, "Error", 0)</f>
        <v>10</v>
      </c>
      <c r="G57" s="30" t="str" cm="1">
        <f t="array" ref="G57">_xlfn.XLOOKUP(MIN(ABS($AY$6:$AY$22 - MEDIAN(-2, 2, G28))), ABS($AY$6:$AY$22 - MEDIAN(-2, 2, G28)), $AZ$6:$AZ$22, "Error", 0)</f>
        <v>10</v>
      </c>
      <c r="H57" s="30" t="str" cm="1">
        <f t="array" ref="H57">_xlfn.XLOOKUP(MIN(ABS($AY$6:$AY$22 - MEDIAN(-2, 2, H28))), ABS($AY$6:$AY$22 - MEDIAN(-2, 2, H28)), $AZ$6:$AZ$22, "Error", 0)</f>
        <v>10</v>
      </c>
      <c r="I57" s="30" t="str" cm="1">
        <f t="array" ref="I57">_xlfn.XLOOKUP(MIN(ABS($AY$6:$AY$22 - MEDIAN(-2, 2, I28))), ABS($AY$6:$AY$22 - MEDIAN(-2, 2, I28)), $AZ$6:$AZ$22, "Error", 0)</f>
        <v>10</v>
      </c>
      <c r="J57" s="30" t="str" cm="1">
        <f t="array" ref="J57">_xlfn.XLOOKUP(MIN(ABS($AY$6:$AY$22 - MEDIAN(-2, 2, J28))), ABS($AY$6:$AY$22 - MEDIAN(-2, 2, J28)), $AZ$6:$AZ$22, "Error", 0)</f>
        <v>10</v>
      </c>
      <c r="K57" s="30" t="str" cm="1">
        <f t="array" ref="K57">_xlfn.XLOOKUP(MIN(ABS($AY$6:$AY$22 - MEDIAN(-2, 2, K28))), ABS($AY$6:$AY$22 - MEDIAN(-2, 2, K28)), $AZ$6:$AZ$22, "Error", 0)</f>
        <v>8</v>
      </c>
      <c r="L57" s="30" t="str" cm="1">
        <f t="array" ref="L57">_xlfn.XLOOKUP(MIN(ABS($AY$6:$AY$22 - MEDIAN(-2, 2, L28))), ABS($AY$6:$AY$22 - MEDIAN(-2, 2, L28)), $AZ$6:$AZ$22, "Error", 0)</f>
        <v>-8</v>
      </c>
      <c r="M57" s="30" t="str" cm="1">
        <f t="array" ref="M57">_xlfn.XLOOKUP(MIN(ABS($AY$6:$AY$22 - MEDIAN(-2, 2, M28))), ABS($AY$6:$AY$22 - MEDIAN(-2, 2, M28)), $AZ$6:$AZ$22, "Error", 0)</f>
        <v>-6</v>
      </c>
      <c r="N57" s="30" t="str" cm="1">
        <f t="array" ref="N57">_xlfn.XLOOKUP(MIN(ABS($AY$6:$AY$22 - MEDIAN(-2, 2, N28))), ABS($AY$6:$AY$22 - MEDIAN(-2, 2, N28)), $AZ$6:$AZ$22, "Error", 0)</f>
        <v>-10</v>
      </c>
      <c r="O57" s="30" t="str" cm="1">
        <f t="array" ref="O57">_xlfn.XLOOKUP(MIN(ABS($AY$6:$AY$22 - MEDIAN(-2, 2, O28))), ABS($AY$6:$AY$22 - MEDIAN(-2, 2, O28)), $AZ$6:$AZ$22, "Error", 0)</f>
        <v>-6</v>
      </c>
      <c r="P57" s="30" t="str" cm="1">
        <f t="array" ref="P57">_xlfn.XLOOKUP(MIN(ABS($AY$6:$AY$22 - MEDIAN(-2, 2, P28))), ABS($AY$6:$AY$22 - MEDIAN(-2, 2, P28)), $AZ$6:$AZ$22, "Error", 0)</f>
        <v>-4</v>
      </c>
      <c r="Q57" s="30" t="str" cm="1">
        <f t="array" ref="Q57">_xlfn.XLOOKUP(MIN(ABS($AY$6:$AY$22 - MEDIAN(-2, 2, Q28))), ABS($AY$6:$AY$22 - MEDIAN(-2, 2, Q28)), $AZ$6:$AZ$22, "Error", 0)</f>
        <v>6</v>
      </c>
      <c r="R57" s="30" t="str" cm="1">
        <f t="array" ref="R57">_xlfn.XLOOKUP(MIN(ABS($AY$6:$AY$22 - MEDIAN(-2, 2, R28))), ABS($AY$6:$AY$22 - MEDIAN(-2, 2, R28)), $AZ$6:$AZ$22, "Error", 0)</f>
        <v>10</v>
      </c>
      <c r="S57" s="30" t="str" cm="1">
        <f t="array" ref="S57">_xlfn.XLOOKUP(MIN(ABS($AY$6:$AY$22 - MEDIAN(-2, 2, S28))), ABS($AY$6:$AY$22 - MEDIAN(-2, 2, S28)), $AZ$6:$AZ$22, "Error", 0)</f>
        <v>8</v>
      </c>
      <c r="T57" s="30" t="str" cm="1">
        <f t="array" ref="T57">_xlfn.XLOOKUP(MIN(ABS($AY$6:$AY$22 - MEDIAN(-2, 2, T28))), ABS($AY$6:$AY$22 - MEDIAN(-2, 2, T28)), $AZ$6:$AZ$22, "Error", 0)</f>
        <v>4</v>
      </c>
      <c r="U57" s="30" t="str" cm="1">
        <f t="array" ref="U57">_xlfn.XLOOKUP(MIN(ABS($AY$6:$AY$22 - MEDIAN(-2, 2, U28))), ABS($AY$6:$AY$22 - MEDIAN(-2, 2, U28)), $AZ$6:$AZ$22, "Error", 0)</f>
        <v>-4</v>
      </c>
      <c r="V57" s="30" cm="1">
        <f t="array" ref="V57">_xlfn.XLOOKUP(MIN(ABS($AY$6:$AY$22 - MEDIAN(-2, 2, V28))), ABS($AY$6:$AY$22 - MEDIAN(-2, 2, V28)), $AZ$6:$AZ$22, "Error", 0)</f>
        <v>0</v>
      </c>
      <c r="W57" s="30" t="str" cm="1">
        <f t="array" ref="W57">_xlfn.XLOOKUP(MIN(ABS($AY$6:$AY$22 - MEDIAN(-2, 2, W28))), ABS($AY$6:$AY$22 - MEDIAN(-2, 2, W28)), $AZ$6:$AZ$22, "Error", 0)</f>
        <v>-4</v>
      </c>
      <c r="X57" s="30" t="str" cm="1">
        <f t="array" ref="X57">_xlfn.XLOOKUP(MIN(ABS($AY$6:$AY$22 - MEDIAN(-2, 2, X28))), ABS($AY$6:$AY$22 - MEDIAN(-2, 2, X28)), $AZ$6:$AZ$22, "Error", 0)</f>
        <v>-8</v>
      </c>
      <c r="Y57" s="30" t="str" cm="1">
        <f t="array" ref="Y57">_xlfn.XLOOKUP(MIN(ABS($AY$6:$AY$22 - MEDIAN(-2, 2, Y28))), ABS($AY$6:$AY$22 - MEDIAN(-2, 2, Y28)), $AZ$6:$AZ$22, "Error", 0)</f>
        <v>-8</v>
      </c>
      <c r="Z57" s="30" t="str" cm="1">
        <f t="array" ref="Z57">_xlfn.XLOOKUP(MIN(ABS($AY$6:$AY$22 - MEDIAN(-2, 2, Z28))), ABS($AY$6:$AY$22 - MEDIAN(-2, 2, Z28)), $AZ$6:$AZ$22, "Error", 0)</f>
        <v>-10</v>
      </c>
      <c r="AA57" s="30" t="str" cm="1">
        <f t="array" ref="AA57">_xlfn.XLOOKUP(MIN(ABS($AY$6:$AY$22 - MEDIAN(-2, 2, AA28))), ABS($AY$6:$AY$22 - MEDIAN(-2, 2, AA28)), $AZ$6:$AZ$22, "Error", 0)</f>
        <v>-4</v>
      </c>
      <c r="AB57" s="30" t="str" cm="1">
        <f t="array" ref="AB57">_xlfn.XLOOKUP(MIN(ABS($AY$6:$AY$22 - MEDIAN(-2, 2, AB28))), ABS($AY$6:$AY$22 - MEDIAN(-2, 2, AB28)), $AZ$6:$AZ$22, "Error", 0)</f>
        <v>-4</v>
      </c>
      <c r="AC57" s="30" t="str" cm="1">
        <f t="array" ref="AC57">_xlfn.XLOOKUP(MIN(ABS($AY$6:$AY$22 - MEDIAN(-2, 2, AC28))), ABS($AY$6:$AY$22 - MEDIAN(-2, 2, AC28)), $AZ$6:$AZ$22, "Error", 0)</f>
        <v>9</v>
      </c>
      <c r="AD57" s="30" t="str" cm="1">
        <f t="array" ref="AD57">_xlfn.XLOOKUP(MIN(ABS($AY$6:$AY$22 - MEDIAN(-2, 2, AD28))), ABS($AY$6:$AY$22 - MEDIAN(-2, 2, AD28)), $AZ$6:$AZ$22, "Error", 0)</f>
        <v>9</v>
      </c>
      <c r="AE57" s="30" t="str" cm="1">
        <f t="array" ref="AE57">_xlfn.XLOOKUP(MIN(ABS($AY$6:$AY$22 - MEDIAN(-2, 2, AE28))), ABS($AY$6:$AY$22 - MEDIAN(-2, 2, AE28)), $AZ$6:$AZ$22, "Error", 0)</f>
        <v>9</v>
      </c>
      <c r="AF57" s="30" t="str" cm="1">
        <f t="array" ref="AF57">_xlfn.XLOOKUP(MIN(ABS($AY$6:$AY$22 - MEDIAN(-2, 2, AF28))), ABS($AY$6:$AY$22 - MEDIAN(-2, 2, AF28)), $AZ$6:$AZ$22, "Error", 0)</f>
        <v>10</v>
      </c>
      <c r="AG57" s="30" t="str" cm="1">
        <f t="array" ref="AG57">_xlfn.XLOOKUP(MIN(ABS($AY$6:$AY$22 - MEDIAN(-2, 2, AG28))), ABS($AY$6:$AY$22 - MEDIAN(-2, 2, AG28)), $AZ$6:$AZ$22, "Error", 0)</f>
        <v>10</v>
      </c>
      <c r="AH57" s="30" t="str" cm="1">
        <f t="array" ref="AH57">_xlfn.XLOOKUP(MIN(ABS($AY$6:$AY$22 - MEDIAN(-2, 2, AH28))), ABS($AY$6:$AY$22 - MEDIAN(-2, 2, AH28)), $AZ$6:$AZ$22, "Error", 0)</f>
        <v>8</v>
      </c>
      <c r="AI57" s="30" t="str" cm="1">
        <f t="array" ref="AI57">_xlfn.XLOOKUP(MIN(ABS($AY$6:$AY$22 - MEDIAN(-2, 2, AI28))), ABS($AY$6:$AY$22 - MEDIAN(-2, 2, AI28)), $AZ$6:$AZ$22, "Error", 0)</f>
        <v>8</v>
      </c>
      <c r="AJ57" s="30" t="str" cm="1">
        <f t="array" ref="AJ57">_xlfn.XLOOKUP(MIN(ABS($AY$6:$AY$22 - MEDIAN(-2, 2, AJ28))), ABS($AY$6:$AY$22 - MEDIAN(-2, 2, AJ28)), $AZ$6:$AZ$22, "Error", 0)</f>
        <v>-10</v>
      </c>
      <c r="AK57" s="30" t="str" cm="1">
        <f t="array" ref="AK57">_xlfn.XLOOKUP(MIN(ABS($AY$6:$AY$22 - MEDIAN(-2, 2, AK28))), ABS($AY$6:$AY$22 - MEDIAN(-2, 2, AK28)), $AZ$6:$AZ$22, "Error", 0)</f>
        <v>-10</v>
      </c>
      <c r="AL57" s="30" t="str" cm="1">
        <f t="array" ref="AL57">_xlfn.XLOOKUP(MIN(ABS($AY$6:$AY$22 - MEDIAN(-2, 2, AL28))), ABS($AY$6:$AY$22 - MEDIAN(-2, 2, AL28)), $AZ$6:$AZ$22, "Error", 0)</f>
        <v>-8</v>
      </c>
      <c r="AM57" s="30" t="str" cm="1">
        <f t="array" ref="AM57">_xlfn.XLOOKUP(MIN(ABS($AY$6:$AY$22 - MEDIAN(-2, 2, AM28))), ABS($AY$6:$AY$22 - MEDIAN(-2, 2, AM28)), $AZ$6:$AZ$22, "Error", 0)</f>
        <v>6</v>
      </c>
      <c r="AN57" s="30" t="str" cm="1">
        <f t="array" ref="AN57">_xlfn.XLOOKUP(MIN(ABS($AY$6:$AY$22 - MEDIAN(-2, 2, AN28))), ABS($AY$6:$AY$22 - MEDIAN(-2, 2, AN28)), $AZ$6:$AZ$22, "Error", 0)</f>
        <v>-10</v>
      </c>
      <c r="AO57" s="30" cm="1">
        <f t="array" ref="AO57">_xlfn.XLOOKUP(MIN(ABS($AY$6:$AY$22 - MEDIAN(-2, 2, AO28))), ABS($AY$6:$AY$22 - MEDIAN(-2, 2, AO28)), $AZ$6:$AZ$22, "Error", 0)</f>
        <v>0</v>
      </c>
      <c r="AP57" s="30" t="str" cm="1">
        <f t="array" ref="AP57">_xlfn.XLOOKUP(MIN(ABS($AY$6:$AY$22 - MEDIAN(-2, 2, AP28))), ABS($AY$6:$AY$22 - MEDIAN(-2, 2, AP28)), $AZ$6:$AZ$22, "Error", 0)</f>
        <v>6</v>
      </c>
      <c r="AQ57" s="30" t="str" cm="1">
        <f t="array" ref="AQ57">_xlfn.XLOOKUP(MIN(ABS($AY$6:$AY$22 - MEDIAN(-2, 2, AQ28))), ABS($AY$6:$AY$22 - MEDIAN(-2, 2, AQ28)), $AZ$6:$AZ$22, "Error", 0)</f>
        <v>4</v>
      </c>
      <c r="AR57" s="30" cm="1">
        <f t="array" ref="AR57">_xlfn.XLOOKUP(MIN(ABS($AY$6:$AY$22 - MEDIAN(-2, 2, AR28))), ABS($AY$6:$AY$22 - MEDIAN(-2, 2, AR28)), $AZ$6:$AZ$22, "Error", 0)</f>
        <v>0</v>
      </c>
      <c r="AS57" s="30" cm="1">
        <f t="array" ref="AS57">_xlfn.XLOOKUP(MIN(ABS($AY$6:$AY$22 - MEDIAN(-2, 2, AS28))), ABS($AY$6:$AY$22 - MEDIAN(-2, 2, AS28)), $AZ$6:$AZ$22, "Error", 0)</f>
        <v>0</v>
      </c>
      <c r="AT57" s="30" t="str" cm="1">
        <f t="array" ref="AT57">_xlfn.XLOOKUP(MIN(ABS($AY$6:$AY$22 - MEDIAN(-2, 2, AT28))), ABS($AY$6:$AY$22 - MEDIAN(-2, 2, AT28)), $AZ$6:$AZ$22, "Error", 0)</f>
        <v>-8</v>
      </c>
      <c r="AU57" s="30" t="str" cm="1">
        <f t="array" ref="AU57">_xlfn.XLOOKUP(MIN(ABS($AY$6:$AY$22 - MEDIAN(-2, 2, AU28))), ABS($AY$6:$AY$22 - MEDIAN(-2, 2, AU28)), $AZ$6:$AZ$22, "Error", 0)</f>
        <v>-10</v>
      </c>
      <c r="AV57" s="30" cm="1">
        <f t="array" ref="AV57">_xlfn.XLOOKUP(MIN(ABS($AY$6:$AY$22 - MEDIAN(-2, 2, AV28))), ABS($AY$6:$AY$22 - MEDIAN(-2, 2, AV28)), $AZ$6:$AZ$22, "Error", 0)</f>
        <v>0</v>
      </c>
      <c r="AW57" s="30" cm="1">
        <f t="array" ref="AW57">_xlfn.XLOOKUP(MIN(ABS($AY$6:$AY$22 - MEDIAN(-2, 2, AW28))), ABS($AY$6:$AY$22 - MEDIAN(-2, 2, AW28)), $AZ$6:$AZ$22, "Error", 0)</f>
        <v>0</v>
      </c>
    </row>
    <row r="58" spans="1:49" ht="25" customHeight="1">
      <c r="A58" s="48" t="s">
        <v>55</v>
      </c>
      <c r="B58" s="30" t="str" cm="1">
        <f t="array" ref="B58">_xlfn.XLOOKUP(MIN(ABS($AY$6:$AY$22 - MEDIAN(-2, 2, B29))), ABS($AY$6:$AY$22 - MEDIAN(-2, 2, B29)), $AZ$6:$AZ$22, "Error", 0)</f>
        <v>10</v>
      </c>
      <c r="C58" s="30" t="str" cm="1">
        <f t="array" ref="C58">_xlfn.XLOOKUP(MIN(ABS($AY$6:$AY$22 - MEDIAN(-2, 2, C29))), ABS($AY$6:$AY$22 - MEDIAN(-2, 2, C29)), $AZ$6:$AZ$22, "Error", 0)</f>
        <v>10</v>
      </c>
      <c r="D58" s="30" t="str" cm="1">
        <f t="array" ref="D58">_xlfn.XLOOKUP(MIN(ABS($AY$6:$AY$22 - MEDIAN(-2, 2, D29))), ABS($AY$6:$AY$22 - MEDIAN(-2, 2, D29)), $AZ$6:$AZ$22, "Error", 0)</f>
        <v>10</v>
      </c>
      <c r="E58" s="30" t="str" cm="1">
        <f t="array" ref="E58">_xlfn.XLOOKUP(MIN(ABS($AY$6:$AY$22 - MEDIAN(-2, 2, E29))), ABS($AY$6:$AY$22 - MEDIAN(-2, 2, E29)), $AZ$6:$AZ$22, "Error", 0)</f>
        <v>10</v>
      </c>
      <c r="F58" s="30" t="str" cm="1">
        <f t="array" ref="F58">_xlfn.XLOOKUP(MIN(ABS($AY$6:$AY$22 - MEDIAN(-2, 2, F29))), ABS($AY$6:$AY$22 - MEDIAN(-2, 2, F29)), $AZ$6:$AZ$22, "Error", 0)</f>
        <v>10</v>
      </c>
      <c r="G58" s="30" t="str" cm="1">
        <f t="array" ref="G58">_xlfn.XLOOKUP(MIN(ABS($AY$6:$AY$22 - MEDIAN(-2, 2, G29))), ABS($AY$6:$AY$22 - MEDIAN(-2, 2, G29)), $AZ$6:$AZ$22, "Error", 0)</f>
        <v>10</v>
      </c>
      <c r="H58" s="30" t="str" cm="1">
        <f t="array" ref="H58">_xlfn.XLOOKUP(MIN(ABS($AY$6:$AY$22 - MEDIAN(-2, 2, H29))), ABS($AY$6:$AY$22 - MEDIAN(-2, 2, H29)), $AZ$6:$AZ$22, "Error", 0)</f>
        <v>10</v>
      </c>
      <c r="I58" s="30" t="str" cm="1">
        <f t="array" ref="I58">_xlfn.XLOOKUP(MIN(ABS($AY$6:$AY$22 - MEDIAN(-2, 2, I29))), ABS($AY$6:$AY$22 - MEDIAN(-2, 2, I29)), $AZ$6:$AZ$22, "Error", 0)</f>
        <v>8</v>
      </c>
      <c r="J58" s="30" t="str" cm="1">
        <f t="array" ref="J58">_xlfn.XLOOKUP(MIN(ABS($AY$6:$AY$22 - MEDIAN(-2, 2, J29))), ABS($AY$6:$AY$22 - MEDIAN(-2, 2, J29)), $AZ$6:$AZ$22, "Error", 0)</f>
        <v>-10</v>
      </c>
      <c r="K58" s="30" t="str" cm="1">
        <f t="array" ref="K58">_xlfn.XLOOKUP(MIN(ABS($AY$6:$AY$22 - MEDIAN(-2, 2, K29))), ABS($AY$6:$AY$22 - MEDIAN(-2, 2, K29)), $AZ$6:$AZ$22, "Error", 0)</f>
        <v>4</v>
      </c>
      <c r="L58" s="30" t="str" cm="1">
        <f t="array" ref="L58">_xlfn.XLOOKUP(MIN(ABS($AY$6:$AY$22 - MEDIAN(-2, 2, L29))), ABS($AY$6:$AY$22 - MEDIAN(-2, 2, L29)), $AZ$6:$AZ$22, "Error", 0)</f>
        <v>6</v>
      </c>
      <c r="M58" s="30" t="str" cm="1">
        <f t="array" ref="M58">_xlfn.XLOOKUP(MIN(ABS($AY$6:$AY$22 - MEDIAN(-2, 2, M29))), ABS($AY$6:$AY$22 - MEDIAN(-2, 2, M29)), $AZ$6:$AZ$22, "Error", 0)</f>
        <v>-6</v>
      </c>
      <c r="N58" s="30" t="str" cm="1">
        <f t="array" ref="N58">_xlfn.XLOOKUP(MIN(ABS($AY$6:$AY$22 - MEDIAN(-2, 2, N29))), ABS($AY$6:$AY$22 - MEDIAN(-2, 2, N29)), $AZ$6:$AZ$22, "Error", 0)</f>
        <v>-6</v>
      </c>
      <c r="O58" s="30" cm="1">
        <f t="array" ref="O58">_xlfn.XLOOKUP(MIN(ABS($AY$6:$AY$22 - MEDIAN(-2, 2, O29))), ABS($AY$6:$AY$22 - MEDIAN(-2, 2, O29)), $AZ$6:$AZ$22, "Error", 0)</f>
        <v>0</v>
      </c>
      <c r="P58" s="30" t="str" cm="1">
        <f t="array" ref="P58">_xlfn.XLOOKUP(MIN(ABS($AY$6:$AY$22 - MEDIAN(-2, 2, P29))), ABS($AY$6:$AY$22 - MEDIAN(-2, 2, P29)), $AZ$6:$AZ$22, "Error", 0)</f>
        <v>4</v>
      </c>
      <c r="Q58" s="30" t="str" cm="1">
        <f t="array" ref="Q58">_xlfn.XLOOKUP(MIN(ABS($AY$6:$AY$22 - MEDIAN(-2, 2, Q29))), ABS($AY$6:$AY$22 - MEDIAN(-2, 2, Q29)), $AZ$6:$AZ$22, "Error", 0)</f>
        <v>6</v>
      </c>
      <c r="R58" s="30" t="str" cm="1">
        <f t="array" ref="R58">_xlfn.XLOOKUP(MIN(ABS($AY$6:$AY$22 - MEDIAN(-2, 2, R29))), ABS($AY$6:$AY$22 - MEDIAN(-2, 2, R29)), $AZ$6:$AZ$22, "Error", 0)</f>
        <v>2</v>
      </c>
      <c r="S58" s="30" t="str" cm="1">
        <f t="array" ref="S58">_xlfn.XLOOKUP(MIN(ABS($AY$6:$AY$22 - MEDIAN(-2, 2, S29))), ABS($AY$6:$AY$22 - MEDIAN(-2, 2, S29)), $AZ$6:$AZ$22, "Error", 0)</f>
        <v>3</v>
      </c>
      <c r="T58" s="30" t="str" cm="1">
        <f t="array" ref="T58">_xlfn.XLOOKUP(MIN(ABS($AY$6:$AY$22 - MEDIAN(-2, 2, T29))), ABS($AY$6:$AY$22 - MEDIAN(-2, 2, T29)), $AZ$6:$AZ$22, "Error", 0)</f>
        <v>6</v>
      </c>
      <c r="U58" s="30" t="str" cm="1">
        <f t="array" ref="U58">_xlfn.XLOOKUP(MIN(ABS($AY$6:$AY$22 - MEDIAN(-2, 2, U29))), ABS($AY$6:$AY$22 - MEDIAN(-2, 2, U29)), $AZ$6:$AZ$22, "Error", 0)</f>
        <v>6</v>
      </c>
      <c r="V58" s="30" t="str" cm="1">
        <f t="array" ref="V58">_xlfn.XLOOKUP(MIN(ABS($AY$6:$AY$22 - MEDIAN(-2, 2, V29))), ABS($AY$6:$AY$22 - MEDIAN(-2, 2, V29)), $AZ$6:$AZ$22, "Error", 0)</f>
        <v>6</v>
      </c>
      <c r="W58" s="30" t="str" cm="1">
        <f t="array" ref="W58">_xlfn.XLOOKUP(MIN(ABS($AY$6:$AY$22 - MEDIAN(-2, 2, W29))), ABS($AY$6:$AY$22 - MEDIAN(-2, 2, W29)), $AZ$6:$AZ$22, "Error", 0)</f>
        <v>-4</v>
      </c>
      <c r="X58" s="30" t="str" cm="1">
        <f t="array" ref="X58">_xlfn.XLOOKUP(MIN(ABS($AY$6:$AY$22 - MEDIAN(-2, 2, X29))), ABS($AY$6:$AY$22 - MEDIAN(-2, 2, X29)), $AZ$6:$AZ$22, "Error", 0)</f>
        <v>-4</v>
      </c>
      <c r="Y58" s="30" cm="1">
        <f t="array" ref="Y58">_xlfn.XLOOKUP(MIN(ABS($AY$6:$AY$22 - MEDIAN(-2, 2, Y29))), ABS($AY$6:$AY$22 - MEDIAN(-2, 2, Y29)), $AZ$6:$AZ$22, "Error", 0)</f>
        <v>0</v>
      </c>
      <c r="Z58" s="30" t="str" cm="1">
        <f t="array" ref="Z58">_xlfn.XLOOKUP(MIN(ABS($AY$6:$AY$22 - MEDIAN(-2, 2, Z29))), ABS($AY$6:$AY$22 - MEDIAN(-2, 2, Z29)), $AZ$6:$AZ$22, "Error", 0)</f>
        <v>-6</v>
      </c>
      <c r="AA58" s="30" t="str" cm="1">
        <f t="array" ref="AA58">_xlfn.XLOOKUP(MIN(ABS($AY$6:$AY$22 - MEDIAN(-2, 2, AA29))), ABS($AY$6:$AY$22 - MEDIAN(-2, 2, AA29)), $AZ$6:$AZ$22, "Error", 0)</f>
        <v>-6</v>
      </c>
      <c r="AB58" s="30" t="str" cm="1">
        <f t="array" ref="AB58">_xlfn.XLOOKUP(MIN(ABS($AY$6:$AY$22 - MEDIAN(-2, 2, AB29))), ABS($AY$6:$AY$22 - MEDIAN(-2, 2, AB29)), $AZ$6:$AZ$22, "Error", 0)</f>
        <v>-4</v>
      </c>
      <c r="AC58" s="30" t="str" cm="1">
        <f t="array" ref="AC58">_xlfn.XLOOKUP(MIN(ABS($AY$6:$AY$22 - MEDIAN(-2, 2, AC29))), ABS($AY$6:$AY$22 - MEDIAN(-2, 2, AC29)), $AZ$6:$AZ$22, "Error", 0)</f>
        <v>-10</v>
      </c>
      <c r="AD58" s="30" t="str" cm="1">
        <f t="array" ref="AD58">_xlfn.XLOOKUP(MIN(ABS($AY$6:$AY$22 - MEDIAN(-2, 2, AD29))), ABS($AY$6:$AY$22 - MEDIAN(-2, 2, AD29)), $AZ$6:$AZ$22, "Error", 0)</f>
        <v>6</v>
      </c>
      <c r="AE58" s="30" t="str" cm="1">
        <f t="array" ref="AE58">_xlfn.XLOOKUP(MIN(ABS($AY$6:$AY$22 - MEDIAN(-2, 2, AE29))), ABS($AY$6:$AY$22 - MEDIAN(-2, 2, AE29)), $AZ$6:$AZ$22, "Error", 0)</f>
        <v>9</v>
      </c>
      <c r="AF58" s="30" t="str" cm="1">
        <f t="array" ref="AF58">_xlfn.XLOOKUP(MIN(ABS($AY$6:$AY$22 - MEDIAN(-2, 2, AF29))), ABS($AY$6:$AY$22 - MEDIAN(-2, 2, AF29)), $AZ$6:$AZ$22, "Error", 0)</f>
        <v>-8</v>
      </c>
      <c r="AG58" s="30" t="str" cm="1">
        <f t="array" ref="AG58">_xlfn.XLOOKUP(MIN(ABS($AY$6:$AY$22 - MEDIAN(-2, 2, AG29))), ABS($AY$6:$AY$22 - MEDIAN(-2, 2, AG29)), $AZ$6:$AZ$22, "Error", 0)</f>
        <v>-6</v>
      </c>
      <c r="AH58" s="30" t="str" cm="1">
        <f t="array" ref="AH58">_xlfn.XLOOKUP(MIN(ABS($AY$6:$AY$22 - MEDIAN(-2, 2, AH29))), ABS($AY$6:$AY$22 - MEDIAN(-2, 2, AH29)), $AZ$6:$AZ$22, "Error", 0)</f>
        <v>-4</v>
      </c>
      <c r="AI58" s="30" t="str" cm="1">
        <f t="array" ref="AI58">_xlfn.XLOOKUP(MIN(ABS($AY$6:$AY$22 - MEDIAN(-2, 2, AI29))), ABS($AY$6:$AY$22 - MEDIAN(-2, 2, AI29)), $AZ$6:$AZ$22, "Error", 0)</f>
        <v>4</v>
      </c>
      <c r="AJ58" s="30" t="str" cm="1">
        <f t="array" ref="AJ58">_xlfn.XLOOKUP(MIN(ABS($AY$6:$AY$22 - MEDIAN(-2, 2, AJ29))), ABS($AY$6:$AY$22 - MEDIAN(-2, 2, AJ29)), $AZ$6:$AZ$22, "Error", 0)</f>
        <v>4</v>
      </c>
      <c r="AK58" s="30" t="str" cm="1">
        <f t="array" ref="AK58">_xlfn.XLOOKUP(MIN(ABS($AY$6:$AY$22 - MEDIAN(-2, 2, AK29))), ABS($AY$6:$AY$22 - MEDIAN(-2, 2, AK29)), $AZ$6:$AZ$22, "Error", 0)</f>
        <v>6</v>
      </c>
      <c r="AL58" s="30" t="str" cm="1">
        <f t="array" ref="AL58">_xlfn.XLOOKUP(MIN(ABS($AY$6:$AY$22 - MEDIAN(-2, 2, AL29))), ABS($AY$6:$AY$22 - MEDIAN(-2, 2, AL29)), $AZ$6:$AZ$22, "Error", 0)</f>
        <v>8</v>
      </c>
      <c r="AM58" s="30" t="str" cm="1">
        <f t="array" ref="AM58">_xlfn.XLOOKUP(MIN(ABS($AY$6:$AY$22 - MEDIAN(-2, 2, AM29))), ABS($AY$6:$AY$22 - MEDIAN(-2, 2, AM29)), $AZ$6:$AZ$22, "Error", 0)</f>
        <v>8</v>
      </c>
      <c r="AN58" s="30" t="str" cm="1">
        <f t="array" ref="AN58">_xlfn.XLOOKUP(MIN(ABS($AY$6:$AY$22 - MEDIAN(-2, 2, AN29))), ABS($AY$6:$AY$22 - MEDIAN(-2, 2, AN29)), $AZ$6:$AZ$22, "Error", 0)</f>
        <v>6</v>
      </c>
      <c r="AO58" s="30" t="str" cm="1">
        <f t="array" ref="AO58">_xlfn.XLOOKUP(MIN(ABS($AY$6:$AY$22 - MEDIAN(-2, 2, AO29))), ABS($AY$6:$AY$22 - MEDIAN(-2, 2, AO29)), $AZ$6:$AZ$22, "Error", 0)</f>
        <v>4</v>
      </c>
      <c r="AP58" s="30" t="str" cm="1">
        <f t="array" ref="AP58">_xlfn.XLOOKUP(MIN(ABS($AY$6:$AY$22 - MEDIAN(-2, 2, AP29))), ABS($AY$6:$AY$22 - MEDIAN(-2, 2, AP29)), $AZ$6:$AZ$22, "Error", 0)</f>
        <v>6</v>
      </c>
      <c r="AQ58" s="30" t="str" cm="1">
        <f t="array" ref="AQ58">_xlfn.XLOOKUP(MIN(ABS($AY$6:$AY$22 - MEDIAN(-2, 2, AQ29))), ABS($AY$6:$AY$22 - MEDIAN(-2, 2, AQ29)), $AZ$6:$AZ$22, "Error", 0)</f>
        <v>6</v>
      </c>
      <c r="AR58" s="30" t="str" cm="1">
        <f t="array" ref="AR58">_xlfn.XLOOKUP(MIN(ABS($AY$6:$AY$22 - MEDIAN(-2, 2, AR29))), ABS($AY$6:$AY$22 - MEDIAN(-2, 2, AR29)), $AZ$6:$AZ$22, "Error", 0)</f>
        <v>6</v>
      </c>
      <c r="AS58" s="30" t="str" cm="1">
        <f t="array" ref="AS58">_xlfn.XLOOKUP(MIN(ABS($AY$6:$AY$22 - MEDIAN(-2, 2, AS29))), ABS($AY$6:$AY$22 - MEDIAN(-2, 2, AS29)), $AZ$6:$AZ$22, "Error", 0)</f>
        <v>10</v>
      </c>
      <c r="AT58" s="30" t="str" cm="1">
        <f t="array" ref="AT58">_xlfn.XLOOKUP(MIN(ABS($AY$6:$AY$22 - MEDIAN(-2, 2, AT29))), ABS($AY$6:$AY$22 - MEDIAN(-2, 2, AT29)), $AZ$6:$AZ$22, "Error", 0)</f>
        <v>6</v>
      </c>
      <c r="AU58" s="30" t="str" cm="1">
        <f t="array" ref="AU58">_xlfn.XLOOKUP(MIN(ABS($AY$6:$AY$22 - MEDIAN(-2, 2, AU29))), ABS($AY$6:$AY$22 - MEDIAN(-2, 2, AU29)), $AZ$6:$AZ$22, "Error", 0)</f>
        <v>8</v>
      </c>
      <c r="AV58" s="30" cm="1">
        <f t="array" ref="AV58">_xlfn.XLOOKUP(MIN(ABS($AY$6:$AY$22 - MEDIAN(-2, 2, AV29))), ABS($AY$6:$AY$22 - MEDIAN(-2, 2, AV29)), $AZ$6:$AZ$22, "Error", 0)</f>
        <v>0</v>
      </c>
      <c r="AW58" s="30" cm="1">
        <f t="array" ref="AW58">_xlfn.XLOOKUP(MIN(ABS($AY$6:$AY$22 - MEDIAN(-2, 2, AW29))), ABS($AY$6:$AY$22 - MEDIAN(-2, 2, AW29)), $AZ$6:$AZ$22, "Error", 0)</f>
        <v>0</v>
      </c>
    </row>
    <row r="59" spans="1:49" ht="25" customHeight="1">
      <c r="A59" s="48" t="s">
        <v>56</v>
      </c>
      <c r="B59" s="30" t="str" cm="1">
        <f t="array" ref="B59">_xlfn.XLOOKUP(MIN(ABS($AY$6:$AY$22 - MEDIAN(-2, 2, B30))), ABS($AY$6:$AY$22 - MEDIAN(-2, 2, B30)), $AZ$6:$AZ$22, "Error", 0)</f>
        <v>10</v>
      </c>
      <c r="C59" s="30" t="str" cm="1">
        <f t="array" ref="C59">_xlfn.XLOOKUP(MIN(ABS($AY$6:$AY$22 - MEDIAN(-2, 2, C30))), ABS($AY$6:$AY$22 - MEDIAN(-2, 2, C30)), $AZ$6:$AZ$22, "Error", 0)</f>
        <v>10</v>
      </c>
      <c r="D59" s="30" t="str" cm="1">
        <f t="array" ref="D59">_xlfn.XLOOKUP(MIN(ABS($AY$6:$AY$22 - MEDIAN(-2, 2, D30))), ABS($AY$6:$AY$22 - MEDIAN(-2, 2, D30)), $AZ$6:$AZ$22, "Error", 0)</f>
        <v>10</v>
      </c>
      <c r="E59" s="30" t="str" cm="1">
        <f t="array" ref="E59">_xlfn.XLOOKUP(MIN(ABS($AY$6:$AY$22 - MEDIAN(-2, 2, E30))), ABS($AY$6:$AY$22 - MEDIAN(-2, 2, E30)), $AZ$6:$AZ$22, "Error", 0)</f>
        <v>10</v>
      </c>
      <c r="F59" s="30" t="str" cm="1">
        <f t="array" ref="F59">_xlfn.XLOOKUP(MIN(ABS($AY$6:$AY$22 - MEDIAN(-2, 2, F30))), ABS($AY$6:$AY$22 - MEDIAN(-2, 2, F30)), $AZ$6:$AZ$22, "Error", 0)</f>
        <v>10</v>
      </c>
      <c r="G59" s="30" t="str" cm="1">
        <f t="array" ref="G59">_xlfn.XLOOKUP(MIN(ABS($AY$6:$AY$22 - MEDIAN(-2, 2, G30))), ABS($AY$6:$AY$22 - MEDIAN(-2, 2, G30)), $AZ$6:$AZ$22, "Error", 0)</f>
        <v>10</v>
      </c>
      <c r="H59" s="30" t="str" cm="1">
        <f t="array" ref="H59">_xlfn.XLOOKUP(MIN(ABS($AY$6:$AY$22 - MEDIAN(-2, 2, H30))), ABS($AY$6:$AY$22 - MEDIAN(-2, 2, H30)), $AZ$6:$AZ$22, "Error", 0)</f>
        <v>6</v>
      </c>
      <c r="I59" s="30" t="str" cm="1">
        <f t="array" ref="I59">_xlfn.XLOOKUP(MIN(ABS($AY$6:$AY$22 - MEDIAN(-2, 2, I30))), ABS($AY$6:$AY$22 - MEDIAN(-2, 2, I30)), $AZ$6:$AZ$22, "Error", 0)</f>
        <v>-10</v>
      </c>
      <c r="J59" s="30" t="str" cm="1">
        <f t="array" ref="J59">_xlfn.XLOOKUP(MIN(ABS($AY$6:$AY$22 - MEDIAN(-2, 2, J30))), ABS($AY$6:$AY$22 - MEDIAN(-2, 2, J30)), $AZ$6:$AZ$22, "Error", 0)</f>
        <v>-10</v>
      </c>
      <c r="K59" s="30" cm="1">
        <f t="array" ref="K59">_xlfn.XLOOKUP(MIN(ABS($AY$6:$AY$22 - MEDIAN(-2, 2, K30))), ABS($AY$6:$AY$22 - MEDIAN(-2, 2, K30)), $AZ$6:$AZ$22, "Error", 0)</f>
        <v>0</v>
      </c>
      <c r="L59" s="30" t="str" cm="1">
        <f t="array" ref="L59">_xlfn.XLOOKUP(MIN(ABS($AY$6:$AY$22 - MEDIAN(-2, 2, L30))), ABS($AY$6:$AY$22 - MEDIAN(-2, 2, L30)), $AZ$6:$AZ$22, "Error", 0)</f>
        <v>8</v>
      </c>
      <c r="M59" s="30" t="str" cm="1">
        <f t="array" ref="M59">_xlfn.XLOOKUP(MIN(ABS($AY$6:$AY$22 - MEDIAN(-2, 2, M30))), ABS($AY$6:$AY$22 - MEDIAN(-2, 2, M30)), $AZ$6:$AZ$22, "Error", 0)</f>
        <v>8</v>
      </c>
      <c r="N59" s="30" cm="1">
        <f t="array" ref="N59">_xlfn.XLOOKUP(MIN(ABS($AY$6:$AY$22 - MEDIAN(-2, 2, N30))), ABS($AY$6:$AY$22 - MEDIAN(-2, 2, N30)), $AZ$6:$AZ$22, "Error", 0)</f>
        <v>0</v>
      </c>
      <c r="O59" s="30" t="str" cm="1">
        <f t="array" ref="O59">_xlfn.XLOOKUP(MIN(ABS($AY$6:$AY$22 - MEDIAN(-2, 2, O30))), ABS($AY$6:$AY$22 - MEDIAN(-2, 2, O30)), $AZ$6:$AZ$22, "Error", 0)</f>
        <v>6</v>
      </c>
      <c r="P59" s="30" t="str" cm="1">
        <f t="array" ref="P59">_xlfn.XLOOKUP(MIN(ABS($AY$6:$AY$22 - MEDIAN(-2, 2, P30))), ABS($AY$6:$AY$22 - MEDIAN(-2, 2, P30)), $AZ$6:$AZ$22, "Error", 0)</f>
        <v>8</v>
      </c>
      <c r="Q59" s="30" t="str" cm="1">
        <f t="array" ref="Q59">_xlfn.XLOOKUP(MIN(ABS($AY$6:$AY$22 - MEDIAN(-2, 2, Q30))), ABS($AY$6:$AY$22 - MEDIAN(-2, 2, Q30)), $AZ$6:$AZ$22, "Error", 0)</f>
        <v>10</v>
      </c>
      <c r="R59" s="30" t="str" cm="1">
        <f t="array" ref="R59">_xlfn.XLOOKUP(MIN(ABS($AY$6:$AY$22 - MEDIAN(-2, 2, R30))), ABS($AY$6:$AY$22 - MEDIAN(-2, 2, R30)), $AZ$6:$AZ$22, "Error", 0)</f>
        <v>6</v>
      </c>
      <c r="S59" s="30" t="str" cm="1">
        <f t="array" ref="S59">_xlfn.XLOOKUP(MIN(ABS($AY$6:$AY$22 - MEDIAN(-2, 2, S30))), ABS($AY$6:$AY$22 - MEDIAN(-2, 2, S30)), $AZ$6:$AZ$22, "Error", 0)</f>
        <v>6</v>
      </c>
      <c r="T59" s="30" cm="1">
        <f t="array" ref="T59">_xlfn.XLOOKUP(MIN(ABS($AY$6:$AY$22 - MEDIAN(-2, 2, T30))), ABS($AY$6:$AY$22 - MEDIAN(-2, 2, T30)), $AZ$6:$AZ$22, "Error", 0)</f>
        <v>0</v>
      </c>
      <c r="U59" s="30" cm="1">
        <f t="array" ref="U59">_xlfn.XLOOKUP(MIN(ABS($AY$6:$AY$22 - MEDIAN(-2, 2, U30))), ABS($AY$6:$AY$22 - MEDIAN(-2, 2, U30)), $AZ$6:$AZ$22, "Error", 0)</f>
        <v>0</v>
      </c>
      <c r="V59" s="30" t="str" cm="1">
        <f t="array" ref="V59">_xlfn.XLOOKUP(MIN(ABS($AY$6:$AY$22 - MEDIAN(-2, 2, V30))), ABS($AY$6:$AY$22 - MEDIAN(-2, 2, V30)), $AZ$6:$AZ$22, "Error", 0)</f>
        <v>6</v>
      </c>
      <c r="W59" s="30" cm="1">
        <f t="array" ref="W59">_xlfn.XLOOKUP(MIN(ABS($AY$6:$AY$22 - MEDIAN(-2, 2, W30))), ABS($AY$6:$AY$22 - MEDIAN(-2, 2, W30)), $AZ$6:$AZ$22, "Error", 0)</f>
        <v>0</v>
      </c>
      <c r="X59" s="30" t="str" cm="1">
        <f t="array" ref="X59">_xlfn.XLOOKUP(MIN(ABS($AY$6:$AY$22 - MEDIAN(-2, 2, X30))), ABS($AY$6:$AY$22 - MEDIAN(-2, 2, X30)), $AZ$6:$AZ$22, "Error", 0)</f>
        <v>-6</v>
      </c>
      <c r="Y59" s="30" t="str" cm="1">
        <f t="array" ref="Y59">_xlfn.XLOOKUP(MIN(ABS($AY$6:$AY$22 - MEDIAN(-2, 2, Y30))), ABS($AY$6:$AY$22 - MEDIAN(-2, 2, Y30)), $AZ$6:$AZ$22, "Error", 0)</f>
        <v>-4</v>
      </c>
      <c r="Z59" s="30" t="str" cm="1">
        <f t="array" ref="Z59">_xlfn.XLOOKUP(MIN(ABS($AY$6:$AY$22 - MEDIAN(-2, 2, Z30))), ABS($AY$6:$AY$22 - MEDIAN(-2, 2, Z30)), $AZ$6:$AZ$22, "Error", 0)</f>
        <v>-6</v>
      </c>
      <c r="AA59" s="30" t="str" cm="1">
        <f t="array" ref="AA59">_xlfn.XLOOKUP(MIN(ABS($AY$6:$AY$22 - MEDIAN(-2, 2, AA30))), ABS($AY$6:$AY$22 - MEDIAN(-2, 2, AA30)), $AZ$6:$AZ$22, "Error", 0)</f>
        <v>-4</v>
      </c>
      <c r="AB59" s="30" cm="1">
        <f t="array" ref="AB59">_xlfn.XLOOKUP(MIN(ABS($AY$6:$AY$22 - MEDIAN(-2, 2, AB30))), ABS($AY$6:$AY$22 - MEDIAN(-2, 2, AB30)), $AZ$6:$AZ$22, "Error", 0)</f>
        <v>0</v>
      </c>
      <c r="AC59" s="30" t="str" cm="1">
        <f t="array" ref="AC59">_xlfn.XLOOKUP(MIN(ABS($AY$6:$AY$22 - MEDIAN(-2, 2, AC30))), ABS($AY$6:$AY$22 - MEDIAN(-2, 2, AC30)), $AZ$6:$AZ$22, "Error", 0)</f>
        <v>-8</v>
      </c>
      <c r="AD59" s="30" t="str" cm="1">
        <f t="array" ref="AD59">_xlfn.XLOOKUP(MIN(ABS($AY$6:$AY$22 - MEDIAN(-2, 2, AD30))), ABS($AY$6:$AY$22 - MEDIAN(-2, 2, AD30)), $AZ$6:$AZ$22, "Error", 0)</f>
        <v>-8</v>
      </c>
      <c r="AE59" s="30" t="str" cm="1">
        <f t="array" ref="AE59">_xlfn.XLOOKUP(MIN(ABS($AY$6:$AY$22 - MEDIAN(-2, 2, AE30))), ABS($AY$6:$AY$22 - MEDIAN(-2, 2, AE30)), $AZ$6:$AZ$22, "Error", 0)</f>
        <v>-10</v>
      </c>
      <c r="AF59" s="30" t="str" cm="1">
        <f t="array" ref="AF59">_xlfn.XLOOKUP(MIN(ABS($AY$6:$AY$22 - MEDIAN(-2, 2, AF30))), ABS($AY$6:$AY$22 - MEDIAN(-2, 2, AF30)), $AZ$6:$AZ$22, "Error", 0)</f>
        <v>-8</v>
      </c>
      <c r="AG59" s="30" t="str" cm="1">
        <f t="array" ref="AG59">_xlfn.XLOOKUP(MIN(ABS($AY$6:$AY$22 - MEDIAN(-2, 2, AG30))), ABS($AY$6:$AY$22 - MEDIAN(-2, 2, AG30)), $AZ$6:$AZ$22, "Error", 0)</f>
        <v>-8</v>
      </c>
      <c r="AH59" s="30" t="str" cm="1">
        <f t="array" ref="AH59">_xlfn.XLOOKUP(MIN(ABS($AY$6:$AY$22 - MEDIAN(-2, 2, AH30))), ABS($AY$6:$AY$22 - MEDIAN(-2, 2, AH30)), $AZ$6:$AZ$22, "Error", 0)</f>
        <v>-8</v>
      </c>
      <c r="AI59" s="30" t="str" cm="1">
        <f t="array" ref="AI59">_xlfn.XLOOKUP(MIN(ABS($AY$6:$AY$22 - MEDIAN(-2, 2, AI30))), ABS($AY$6:$AY$22 - MEDIAN(-2, 2, AI30)), $AZ$6:$AZ$22, "Error", 0)</f>
        <v>-6</v>
      </c>
      <c r="AJ59" s="30" cm="1">
        <f t="array" ref="AJ59">_xlfn.XLOOKUP(MIN(ABS($AY$6:$AY$22 - MEDIAN(-2, 2, AJ30))), ABS($AY$6:$AY$22 - MEDIAN(-2, 2, AJ30)), $AZ$6:$AZ$22, "Error", 0)</f>
        <v>0</v>
      </c>
      <c r="AK59" s="30" t="str" cm="1">
        <f t="array" ref="AK59">_xlfn.XLOOKUP(MIN(ABS($AY$6:$AY$22 - MEDIAN(-2, 2, AK30))), ABS($AY$6:$AY$22 - MEDIAN(-2, 2, AK30)), $AZ$6:$AZ$22, "Error", 0)</f>
        <v>-4</v>
      </c>
      <c r="AL59" s="30" cm="1">
        <f t="array" ref="AL59">_xlfn.XLOOKUP(MIN(ABS($AY$6:$AY$22 - MEDIAN(-2, 2, AL30))), ABS($AY$6:$AY$22 - MEDIAN(-2, 2, AL30)), $AZ$6:$AZ$22, "Error", 0)</f>
        <v>0</v>
      </c>
      <c r="AM59" s="30" cm="1">
        <f t="array" ref="AM59">_xlfn.XLOOKUP(MIN(ABS($AY$6:$AY$22 - MEDIAN(-2, 2, AM30))), ABS($AY$6:$AY$22 - MEDIAN(-2, 2, AM30)), $AZ$6:$AZ$22, "Error", 0)</f>
        <v>0</v>
      </c>
      <c r="AN59" s="30" t="str" cm="1">
        <f t="array" ref="AN59">_xlfn.XLOOKUP(MIN(ABS($AY$6:$AY$22 - MEDIAN(-2, 2, AN30))), ABS($AY$6:$AY$22 - MEDIAN(-2, 2, AN30)), $AZ$6:$AZ$22, "Error", 0)</f>
        <v>-4</v>
      </c>
      <c r="AO59" s="30" t="str" cm="1">
        <f t="array" ref="AO59">_xlfn.XLOOKUP(MIN(ABS($AY$6:$AY$22 - MEDIAN(-2, 2, AO30))), ABS($AY$6:$AY$22 - MEDIAN(-2, 2, AO30)), $AZ$6:$AZ$22, "Error", 0)</f>
        <v>6</v>
      </c>
      <c r="AP59" s="30" t="str" cm="1">
        <f t="array" ref="AP59">_xlfn.XLOOKUP(MIN(ABS($AY$6:$AY$22 - MEDIAN(-2, 2, AP30))), ABS($AY$6:$AY$22 - MEDIAN(-2, 2, AP30)), $AZ$6:$AZ$22, "Error", 0)</f>
        <v>6</v>
      </c>
      <c r="AQ59" s="30" t="str" cm="1">
        <f t="array" ref="AQ59">_xlfn.XLOOKUP(MIN(ABS($AY$6:$AY$22 - MEDIAN(-2, 2, AQ30))), ABS($AY$6:$AY$22 - MEDIAN(-2, 2, AQ30)), $AZ$6:$AZ$22, "Error", 0)</f>
        <v>4</v>
      </c>
      <c r="AR59" s="30" t="str" cm="1">
        <f t="array" ref="AR59">_xlfn.XLOOKUP(MIN(ABS($AY$6:$AY$22 - MEDIAN(-2, 2, AR30))), ABS($AY$6:$AY$22 - MEDIAN(-2, 2, AR30)), $AZ$6:$AZ$22, "Error", 0)</f>
        <v>8</v>
      </c>
      <c r="AS59" s="30" t="str" cm="1">
        <f t="array" ref="AS59">_xlfn.XLOOKUP(MIN(ABS($AY$6:$AY$22 - MEDIAN(-2, 2, AS30))), ABS($AY$6:$AY$22 - MEDIAN(-2, 2, AS30)), $AZ$6:$AZ$22, "Error", 0)</f>
        <v>8</v>
      </c>
      <c r="AT59" s="30" cm="1">
        <f t="array" ref="AT59">_xlfn.XLOOKUP(MIN(ABS($AY$6:$AY$22 - MEDIAN(-2, 2, AT30))), ABS($AY$6:$AY$22 - MEDIAN(-2, 2, AT30)), $AZ$6:$AZ$22, "Error", 0)</f>
        <v>0</v>
      </c>
      <c r="AU59" s="30" cm="1">
        <f t="array" ref="AU59">_xlfn.XLOOKUP(MIN(ABS($AY$6:$AY$22 - MEDIAN(-2, 2, AU30))), ABS($AY$6:$AY$22 - MEDIAN(-2, 2, AU30)), $AZ$6:$AZ$22, "Error", 0)</f>
        <v>0</v>
      </c>
      <c r="AV59" s="30" cm="1">
        <f t="array" ref="AV59">_xlfn.XLOOKUP(MIN(ABS($AY$6:$AY$22 - MEDIAN(-2, 2, AV30))), ABS($AY$6:$AY$22 - MEDIAN(-2, 2, AV30)), $AZ$6:$AZ$22, "Error", 0)</f>
        <v>0</v>
      </c>
      <c r="AW59" s="30" cm="1">
        <f t="array" ref="AW59">_xlfn.XLOOKUP(MIN(ABS($AY$6:$AY$22 - MEDIAN(-2, 2, AW30))), ABS($AY$6:$AY$22 - MEDIAN(-2, 2, AW30)), $AZ$6:$AZ$22, "Error", 0)</f>
        <v>0</v>
      </c>
    </row>
    <row r="60" spans="1:49" ht="25" customHeight="1">
      <c r="A60" s="49" t="s">
        <v>57</v>
      </c>
      <c r="B60" s="30" t="str" cm="1">
        <f t="array" ref="B60">_xlfn.XLOOKUP(MIN(ABS($AY$6:$AY$22 - MEDIAN(-2, 2, B31))), ABS($AY$6:$AY$22 - MEDIAN(-2, 2, B31)), $AZ$6:$AZ$22, "Error", 0)</f>
        <v>10</v>
      </c>
      <c r="C60" s="30" cm="1">
        <f t="array" ref="C60">_xlfn.XLOOKUP(MIN(ABS($AY$6:$AY$22 - MEDIAN(-2, 2, C31))), ABS($AY$6:$AY$22 - MEDIAN(-2, 2, C31)), $AZ$6:$AZ$22, "Error", 0)</f>
        <v>0</v>
      </c>
      <c r="D60" s="30" t="str" cm="1">
        <f t="array" ref="D60">_xlfn.XLOOKUP(MIN(ABS($AY$6:$AY$22 - MEDIAN(-2, 2, D31))), ABS($AY$6:$AY$22 - MEDIAN(-2, 2, D31)), $AZ$6:$AZ$22, "Error", 0)</f>
        <v>4</v>
      </c>
      <c r="E60" s="30" t="str" cm="1">
        <f t="array" ref="E60">_xlfn.XLOOKUP(MIN(ABS($AY$6:$AY$22 - MEDIAN(-2, 2, E31))), ABS($AY$6:$AY$22 - MEDIAN(-2, 2, E31)), $AZ$6:$AZ$22, "Error", 0)</f>
        <v>10</v>
      </c>
      <c r="F60" s="30" t="str" cm="1">
        <f t="array" ref="F60">_xlfn.XLOOKUP(MIN(ABS($AY$6:$AY$22 - MEDIAN(-2, 2, F31))), ABS($AY$6:$AY$22 - MEDIAN(-2, 2, F31)), $AZ$6:$AZ$22, "Error", 0)</f>
        <v>10</v>
      </c>
      <c r="G60" s="30" t="str" cm="1">
        <f t="array" ref="G60">_xlfn.XLOOKUP(MIN(ABS($AY$6:$AY$22 - MEDIAN(-2, 2, G31))), ABS($AY$6:$AY$22 - MEDIAN(-2, 2, G31)), $AZ$6:$AZ$22, "Error", 0)</f>
        <v>4</v>
      </c>
      <c r="H60" s="30" t="str" cm="1">
        <f t="array" ref="H60">_xlfn.XLOOKUP(MIN(ABS($AY$6:$AY$22 - MEDIAN(-2, 2, H31))), ABS($AY$6:$AY$22 - MEDIAN(-2, 2, H31)), $AZ$6:$AZ$22, "Error", 0)</f>
        <v>3</v>
      </c>
      <c r="I60" s="30" t="str" cm="1">
        <f t="array" ref="I60">_xlfn.XLOOKUP(MIN(ABS($AY$6:$AY$22 - MEDIAN(-2, 2, I31))), ABS($AY$6:$AY$22 - MEDIAN(-2, 2, I31)), $AZ$6:$AZ$22, "Error", 0)</f>
        <v>4</v>
      </c>
      <c r="J60" s="30" t="str" cm="1">
        <f t="array" ref="J60">_xlfn.XLOOKUP(MIN(ABS($AY$6:$AY$22 - MEDIAN(-2, 2, J31))), ABS($AY$6:$AY$22 - MEDIAN(-2, 2, J31)), $AZ$6:$AZ$22, "Error", 0)</f>
        <v>6</v>
      </c>
      <c r="K60" s="30" t="str" cm="1">
        <f t="array" ref="K60">_xlfn.XLOOKUP(MIN(ABS($AY$6:$AY$22 - MEDIAN(-2, 2, K31))), ABS($AY$6:$AY$22 - MEDIAN(-2, 2, K31)), $AZ$6:$AZ$22, "Error", 0)</f>
        <v>4</v>
      </c>
      <c r="L60" s="30" t="str" cm="1">
        <f t="array" ref="L60">_xlfn.XLOOKUP(MIN(ABS($AY$6:$AY$22 - MEDIAN(-2, 2, L31))), ABS($AY$6:$AY$22 - MEDIAN(-2, 2, L31)), $AZ$6:$AZ$22, "Error", 0)</f>
        <v>4</v>
      </c>
      <c r="M60" s="30" t="str" cm="1">
        <f t="array" ref="M60">_xlfn.XLOOKUP(MIN(ABS($AY$6:$AY$22 - MEDIAN(-2, 2, M31))), ABS($AY$6:$AY$22 - MEDIAN(-2, 2, M31)), $AZ$6:$AZ$22, "Error", 0)</f>
        <v>10</v>
      </c>
      <c r="N60" s="30" t="str" cm="1">
        <f t="array" ref="N60">_xlfn.XLOOKUP(MIN(ABS($AY$6:$AY$22 - MEDIAN(-2, 2, N31))), ABS($AY$6:$AY$22 - MEDIAN(-2, 2, N31)), $AZ$6:$AZ$22, "Error", 0)</f>
        <v>10</v>
      </c>
      <c r="O60" s="30" t="str" cm="1">
        <f t="array" ref="O60">_xlfn.XLOOKUP(MIN(ABS($AY$6:$AY$22 - MEDIAN(-2, 2, O31))), ABS($AY$6:$AY$22 - MEDIAN(-2, 2, O31)), $AZ$6:$AZ$22, "Error", 0)</f>
        <v>4</v>
      </c>
      <c r="P60" s="30" t="str" cm="1">
        <f t="array" ref="P60">_xlfn.XLOOKUP(MIN(ABS($AY$6:$AY$22 - MEDIAN(-2, 2, P31))), ABS($AY$6:$AY$22 - MEDIAN(-2, 2, P31)), $AZ$6:$AZ$22, "Error", 0)</f>
        <v>3</v>
      </c>
      <c r="Q60" s="30" t="str" cm="1">
        <f t="array" ref="Q60">_xlfn.XLOOKUP(MIN(ABS($AY$6:$AY$22 - MEDIAN(-2, 2, Q31))), ABS($AY$6:$AY$22 - MEDIAN(-2, 2, Q31)), $AZ$6:$AZ$22, "Error", 0)</f>
        <v>10</v>
      </c>
      <c r="R60" s="30" t="str" cm="1">
        <f t="array" ref="R60">_xlfn.XLOOKUP(MIN(ABS($AY$6:$AY$22 - MEDIAN(-2, 2, R31))), ABS($AY$6:$AY$22 - MEDIAN(-2, 2, R31)), $AZ$6:$AZ$22, "Error", 0)</f>
        <v>4</v>
      </c>
      <c r="S60" s="30" t="str" cm="1">
        <f t="array" ref="S60">_xlfn.XLOOKUP(MIN(ABS($AY$6:$AY$22 - MEDIAN(-2, 2, S31))), ABS($AY$6:$AY$22 - MEDIAN(-2, 2, S31)), $AZ$6:$AZ$22, "Error", 0)</f>
        <v>4</v>
      </c>
      <c r="T60" s="30" t="str" cm="1">
        <f t="array" ref="T60">_xlfn.XLOOKUP(MIN(ABS($AY$6:$AY$22 - MEDIAN(-2, 2, T31))), ABS($AY$6:$AY$22 - MEDIAN(-2, 2, T31)), $AZ$6:$AZ$22, "Error", 0)</f>
        <v>4</v>
      </c>
      <c r="U60" s="30" t="str" cm="1">
        <f t="array" ref="U60">_xlfn.XLOOKUP(MIN(ABS($AY$6:$AY$22 - MEDIAN(-2, 2, U31))), ABS($AY$6:$AY$22 - MEDIAN(-2, 2, U31)), $AZ$6:$AZ$22, "Error", 0)</f>
        <v>2</v>
      </c>
      <c r="V60" s="30" t="str" cm="1">
        <f t="array" ref="V60">_xlfn.XLOOKUP(MIN(ABS($AY$6:$AY$22 - MEDIAN(-2, 2, V31))), ABS($AY$6:$AY$22 - MEDIAN(-2, 2, V31)), $AZ$6:$AZ$22, "Error", 0)</f>
        <v>3</v>
      </c>
      <c r="W60" s="30" t="str" cm="1">
        <f t="array" ref="W60">_xlfn.XLOOKUP(MIN(ABS($AY$6:$AY$22 - MEDIAN(-2, 2, W31))), ABS($AY$6:$AY$22 - MEDIAN(-2, 2, W31)), $AZ$6:$AZ$22, "Error", 0)</f>
        <v>3</v>
      </c>
      <c r="X60" s="30" t="str" cm="1">
        <f t="array" ref="X60">_xlfn.XLOOKUP(MIN(ABS($AY$6:$AY$22 - MEDIAN(-2, 2, X31))), ABS($AY$6:$AY$22 - MEDIAN(-2, 2, X31)), $AZ$6:$AZ$22, "Error", 0)</f>
        <v>2</v>
      </c>
      <c r="Y60" s="30" t="str" cm="1">
        <f t="array" ref="Y60">_xlfn.XLOOKUP(MIN(ABS($AY$6:$AY$22 - MEDIAN(-2, 2, Y31))), ABS($AY$6:$AY$22 - MEDIAN(-2, 2, Y31)), $AZ$6:$AZ$22, "Error", 0)</f>
        <v>2</v>
      </c>
      <c r="Z60" s="30" t="str" cm="1">
        <f t="array" ref="Z60">_xlfn.XLOOKUP(MIN(ABS($AY$6:$AY$22 - MEDIAN(-2, 2, Z31))), ABS($AY$6:$AY$22 - MEDIAN(-2, 2, Z31)), $AZ$6:$AZ$22, "Error", 0)</f>
        <v>2</v>
      </c>
      <c r="AA60" s="30" t="str" cm="1">
        <f t="array" ref="AA60">_xlfn.XLOOKUP(MIN(ABS($AY$6:$AY$22 - MEDIAN(-2, 2, AA31))), ABS($AY$6:$AY$22 - MEDIAN(-2, 2, AA31)), $AZ$6:$AZ$22, "Error", 0)</f>
        <v>2</v>
      </c>
      <c r="AB60" s="30" t="str" cm="1">
        <f t="array" ref="AB60">_xlfn.XLOOKUP(MIN(ABS($AY$6:$AY$22 - MEDIAN(-2, 2, AB31))), ABS($AY$6:$AY$22 - MEDIAN(-2, 2, AB31)), $AZ$6:$AZ$22, "Error", 0)</f>
        <v>2</v>
      </c>
      <c r="AC60" s="30" t="str" cm="1">
        <f t="array" ref="AC60">_xlfn.XLOOKUP(MIN(ABS($AY$6:$AY$22 - MEDIAN(-2, 2, AC31))), ABS($AY$6:$AY$22 - MEDIAN(-2, 2, AC31)), $AZ$6:$AZ$22, "Error", 0)</f>
        <v>2</v>
      </c>
      <c r="AD60" s="30" t="str" cm="1">
        <f t="array" ref="AD60">_xlfn.XLOOKUP(MIN(ABS($AY$6:$AY$22 - MEDIAN(-2, 2, AD31))), ABS($AY$6:$AY$22 - MEDIAN(-2, 2, AD31)), $AZ$6:$AZ$22, "Error", 0)</f>
        <v>2</v>
      </c>
      <c r="AE60" s="30" t="str" cm="1">
        <f t="array" ref="AE60">_xlfn.XLOOKUP(MIN(ABS($AY$6:$AY$22 - MEDIAN(-2, 2, AE31))), ABS($AY$6:$AY$22 - MEDIAN(-2, 2, AE31)), $AZ$6:$AZ$22, "Error", 0)</f>
        <v>2</v>
      </c>
      <c r="AF60" s="30" t="str" cm="1">
        <f t="array" ref="AF60">_xlfn.XLOOKUP(MIN(ABS($AY$6:$AY$22 - MEDIAN(-2, 2, AF31))), ABS($AY$6:$AY$22 - MEDIAN(-2, 2, AF31)), $AZ$6:$AZ$22, "Error", 0)</f>
        <v>2</v>
      </c>
      <c r="AG60" s="30" t="str" cm="1">
        <f t="array" ref="AG60">_xlfn.XLOOKUP(MIN(ABS($AY$6:$AY$22 - MEDIAN(-2, 2, AG31))), ABS($AY$6:$AY$22 - MEDIAN(-2, 2, AG31)), $AZ$6:$AZ$22, "Error", 0)</f>
        <v>2</v>
      </c>
      <c r="AH60" s="30" t="str" cm="1">
        <f t="array" ref="AH60">_xlfn.XLOOKUP(MIN(ABS($AY$6:$AY$22 - MEDIAN(-2, 2, AH31))), ABS($AY$6:$AY$22 - MEDIAN(-2, 2, AH31)), $AZ$6:$AZ$22, "Error", 0)</f>
        <v>2</v>
      </c>
      <c r="AI60" s="30" t="str" cm="1">
        <f t="array" ref="AI60">_xlfn.XLOOKUP(MIN(ABS($AY$6:$AY$22 - MEDIAN(-2, 2, AI31))), ABS($AY$6:$AY$22 - MEDIAN(-2, 2, AI31)), $AZ$6:$AZ$22, "Error", 0)</f>
        <v>2</v>
      </c>
      <c r="AJ60" s="30" t="str" cm="1">
        <f t="array" ref="AJ60">_xlfn.XLOOKUP(MIN(ABS($AY$6:$AY$22 - MEDIAN(-2, 2, AJ31))), ABS($AY$6:$AY$22 - MEDIAN(-2, 2, AJ31)), $AZ$6:$AZ$22, "Error", 0)</f>
        <v>2</v>
      </c>
      <c r="AK60" s="30" t="str" cm="1">
        <f t="array" ref="AK60">_xlfn.XLOOKUP(MIN(ABS($AY$6:$AY$22 - MEDIAN(-2, 2, AK31))), ABS($AY$6:$AY$22 - MEDIAN(-2, 2, AK31)), $AZ$6:$AZ$22, "Error", 0)</f>
        <v>2</v>
      </c>
      <c r="AL60" s="30" t="str" cm="1">
        <f t="array" ref="AL60">_xlfn.XLOOKUP(MIN(ABS($AY$6:$AY$22 - MEDIAN(-2, 2, AL31))), ABS($AY$6:$AY$22 - MEDIAN(-2, 2, AL31)), $AZ$6:$AZ$22, "Error", 0)</f>
        <v>4</v>
      </c>
      <c r="AM60" s="30" t="str" cm="1">
        <f t="array" ref="AM60">_xlfn.XLOOKUP(MIN(ABS($AY$6:$AY$22 - MEDIAN(-2, 2, AM31))), ABS($AY$6:$AY$22 - MEDIAN(-2, 2, AM31)), $AZ$6:$AZ$22, "Error", 0)</f>
        <v>6</v>
      </c>
      <c r="AN60" s="30" t="str" cm="1">
        <f t="array" ref="AN60">_xlfn.XLOOKUP(MIN(ABS($AY$6:$AY$22 - MEDIAN(-2, 2, AN31))), ABS($AY$6:$AY$22 - MEDIAN(-2, 2, AN31)), $AZ$6:$AZ$22, "Error", 0)</f>
        <v>6</v>
      </c>
      <c r="AO60" s="30" t="str" cm="1">
        <f t="array" ref="AO60">_xlfn.XLOOKUP(MIN(ABS($AY$6:$AY$22 - MEDIAN(-2, 2, AO31))), ABS($AY$6:$AY$22 - MEDIAN(-2, 2, AO31)), $AZ$6:$AZ$22, "Error", 0)</f>
        <v>8</v>
      </c>
      <c r="AP60" s="30" t="str" cm="1">
        <f t="array" ref="AP60">_xlfn.XLOOKUP(MIN(ABS($AY$6:$AY$22 - MEDIAN(-2, 2, AP31))), ABS($AY$6:$AY$22 - MEDIAN(-2, 2, AP31)), $AZ$6:$AZ$22, "Error", 0)</f>
        <v>10</v>
      </c>
      <c r="AQ60" s="30" t="str" cm="1">
        <f t="array" ref="AQ60">_xlfn.XLOOKUP(MIN(ABS($AY$6:$AY$22 - MEDIAN(-2, 2, AQ31))), ABS($AY$6:$AY$22 - MEDIAN(-2, 2, AQ31)), $AZ$6:$AZ$22, "Error", 0)</f>
        <v>10</v>
      </c>
      <c r="AR60" s="30" t="str" cm="1">
        <f t="array" ref="AR60">_xlfn.XLOOKUP(MIN(ABS($AY$6:$AY$22 - MEDIAN(-2, 2, AR31))), ABS($AY$6:$AY$22 - MEDIAN(-2, 2, AR31)), $AZ$6:$AZ$22, "Error", 0)</f>
        <v>4</v>
      </c>
      <c r="AS60" s="30" t="str" cm="1">
        <f t="array" ref="AS60">_xlfn.XLOOKUP(MIN(ABS($AY$6:$AY$22 - MEDIAN(-2, 2, AS31))), ABS($AY$6:$AY$22 - MEDIAN(-2, 2, AS31)), $AZ$6:$AZ$22, "Error", 0)</f>
        <v>10</v>
      </c>
      <c r="AT60" s="30" t="str" cm="1">
        <f t="array" ref="AT60">_xlfn.XLOOKUP(MIN(ABS($AY$6:$AY$22 - MEDIAN(-2, 2, AT31))), ABS($AY$6:$AY$22 - MEDIAN(-2, 2, AT31)), $AZ$6:$AZ$22, "Error", 0)</f>
        <v>10</v>
      </c>
      <c r="AU60" s="30" t="str" cm="1">
        <f t="array" ref="AU60">_xlfn.XLOOKUP(MIN(ABS($AY$6:$AY$22 - MEDIAN(-2, 2, AU31))), ABS($AY$6:$AY$22 - MEDIAN(-2, 2, AU31)), $AZ$6:$AZ$22, "Error", 0)</f>
        <v>10</v>
      </c>
      <c r="AV60" s="30" cm="1">
        <f t="array" ref="AV60">_xlfn.XLOOKUP(MIN(ABS($AY$6:$AY$22 - MEDIAN(-2, 2, AV31))), ABS($AY$6:$AY$22 - MEDIAN(-2, 2, AV31)), $AZ$6:$AZ$22, "Error", 0)</f>
        <v>0</v>
      </c>
      <c r="AW60" s="30" cm="1">
        <f t="array" ref="AW60">_xlfn.XLOOKUP(MIN(ABS($AY$6:$AY$22 - MEDIAN(-2, 2, AW31))), ABS($AY$6:$AY$22 - MEDIAN(-2, 2, AW31)), $AZ$6:$AZ$22, "Error", 0)</f>
        <v>0</v>
      </c>
    </row>
    <row r="61" spans="1:49" ht="25" customHeight="1">
      <c r="A61" s="50" t="s">
        <v>10</v>
      </c>
      <c r="B61" s="30" t="str" cm="1">
        <f t="array" ref="B61">_xlfn.XLOOKUP(MIN(ABS($AY$6:$AY$22 - MEDIAN(-2, 2, B32))), ABS($AY$6:$AY$22 - MEDIAN(-2, 2, B32)), $AZ$6:$AZ$22, "Error", 0)</f>
        <v>-10</v>
      </c>
      <c r="C61" s="30" t="str" cm="1">
        <f t="array" ref="C61">_xlfn.XLOOKUP(MIN(ABS($AY$6:$AY$22 - MEDIAN(-2, 2, C32))), ABS($AY$6:$AY$22 - MEDIAN(-2, 2, C32)), $AZ$6:$AZ$22, "Error", 0)</f>
        <v>-8</v>
      </c>
      <c r="D61" s="30" t="str" cm="1">
        <f t="array" ref="D61">_xlfn.XLOOKUP(MIN(ABS($AY$6:$AY$22 - MEDIAN(-2, 2, D32))), ABS($AY$6:$AY$22 - MEDIAN(-2, 2, D32)), $AZ$6:$AZ$22, "Error", 0)</f>
        <v>6</v>
      </c>
      <c r="E61" s="30" t="str" cm="1">
        <f t="array" ref="E61">_xlfn.XLOOKUP(MIN(ABS($AY$6:$AY$22 - MEDIAN(-2, 2, E32))), ABS($AY$6:$AY$22 - MEDIAN(-2, 2, E32)), $AZ$6:$AZ$22, "Error", 0)</f>
        <v>9</v>
      </c>
      <c r="F61" s="30" t="str" cm="1">
        <f t="array" ref="F61">_xlfn.XLOOKUP(MIN(ABS($AY$6:$AY$22 - MEDIAN(-2, 2, F32))), ABS($AY$6:$AY$22 - MEDIAN(-2, 2, F32)), $AZ$6:$AZ$22, "Error", 0)</f>
        <v>8</v>
      </c>
      <c r="G61" s="30" t="str" cm="1">
        <f t="array" ref="G61">_xlfn.XLOOKUP(MIN(ABS($AY$6:$AY$22 - MEDIAN(-2, 2, G32))), ABS($AY$6:$AY$22 - MEDIAN(-2, 2, G32)), $AZ$6:$AZ$22, "Error", 0)</f>
        <v>10</v>
      </c>
      <c r="H61" s="30" t="str" cm="1">
        <f t="array" ref="H61">_xlfn.XLOOKUP(MIN(ABS($AY$6:$AY$22 - MEDIAN(-2, 2, H32))), ABS($AY$6:$AY$22 - MEDIAN(-2, 2, H32)), $AZ$6:$AZ$22, "Error", 0)</f>
        <v>9</v>
      </c>
      <c r="I61" s="30" t="str" cm="1">
        <f t="array" ref="I61">_xlfn.XLOOKUP(MIN(ABS($AY$6:$AY$22 - MEDIAN(-2, 2, I32))), ABS($AY$6:$AY$22 - MEDIAN(-2, 2, I32)), $AZ$6:$AZ$22, "Error", 0)</f>
        <v>8</v>
      </c>
      <c r="J61" s="30" t="str" cm="1">
        <f t="array" ref="J61">_xlfn.XLOOKUP(MIN(ABS($AY$6:$AY$22 - MEDIAN(-2, 2, J32))), ABS($AY$6:$AY$22 - MEDIAN(-2, 2, J32)), $AZ$6:$AZ$22, "Error", 0)</f>
        <v>10</v>
      </c>
      <c r="K61" s="30" t="str" cm="1">
        <f t="array" ref="K61">_xlfn.XLOOKUP(MIN(ABS($AY$6:$AY$22 - MEDIAN(-2, 2, K32))), ABS($AY$6:$AY$22 - MEDIAN(-2, 2, K32)), $AZ$6:$AZ$22, "Error", 0)</f>
        <v>9</v>
      </c>
      <c r="L61" s="30" t="str" cm="1">
        <f t="array" ref="L61">_xlfn.XLOOKUP(MIN(ABS($AY$6:$AY$22 - MEDIAN(-2, 2, L32))), ABS($AY$6:$AY$22 - MEDIAN(-2, 2, L32)), $AZ$6:$AZ$22, "Error", 0)</f>
        <v>6</v>
      </c>
      <c r="M61" s="30" cm="1">
        <f t="array" ref="M61">_xlfn.XLOOKUP(MIN(ABS($AY$6:$AY$22 - MEDIAN(-2, 2, M32))), ABS($AY$6:$AY$22 - MEDIAN(-2, 2, M32)), $AZ$6:$AZ$22, "Error", 0)</f>
        <v>0</v>
      </c>
      <c r="N61" s="30" t="str" cm="1">
        <f t="array" ref="N61">_xlfn.XLOOKUP(MIN(ABS($AY$6:$AY$22 - MEDIAN(-2, 2, N32))), ABS($AY$6:$AY$22 - MEDIAN(-2, 2, N32)), $AZ$6:$AZ$22, "Error", 0)</f>
        <v>-4</v>
      </c>
      <c r="O61" s="30" t="str" cm="1">
        <f t="array" ref="O61">_xlfn.XLOOKUP(MIN(ABS($AY$6:$AY$22 - MEDIAN(-2, 2, O32))), ABS($AY$6:$AY$22 - MEDIAN(-2, 2, O32)), $AZ$6:$AZ$22, "Error", 0)</f>
        <v>-4</v>
      </c>
      <c r="P61" s="30" cm="1">
        <f t="array" ref="P61">_xlfn.XLOOKUP(MIN(ABS($AY$6:$AY$22 - MEDIAN(-2, 2, P32))), ABS($AY$6:$AY$22 - MEDIAN(-2, 2, P32)), $AZ$6:$AZ$22, "Error", 0)</f>
        <v>0</v>
      </c>
      <c r="Q61" s="30" t="str" cm="1">
        <f t="array" ref="Q61">_xlfn.XLOOKUP(MIN(ABS($AY$6:$AY$22 - MEDIAN(-2, 2, Q32))), ABS($AY$6:$AY$22 - MEDIAN(-2, 2, Q32)), $AZ$6:$AZ$22, "Error", 0)</f>
        <v>-4</v>
      </c>
      <c r="R61" s="30" t="str" cm="1">
        <f t="array" ref="R61">_xlfn.XLOOKUP(MIN(ABS($AY$6:$AY$22 - MEDIAN(-2, 2, R32))), ABS($AY$6:$AY$22 - MEDIAN(-2, 2, R32)), $AZ$6:$AZ$22, "Error", 0)</f>
        <v>-8</v>
      </c>
      <c r="S61" s="30" t="str" cm="1">
        <f t="array" ref="S61">_xlfn.XLOOKUP(MIN(ABS($AY$6:$AY$22 - MEDIAN(-2, 2, S32))), ABS($AY$6:$AY$22 - MEDIAN(-2, 2, S32)), $AZ$6:$AZ$22, "Error", 0)</f>
        <v>-8</v>
      </c>
      <c r="T61" s="30" t="str" cm="1">
        <f t="array" ref="T61">_xlfn.XLOOKUP(MIN(ABS($AY$6:$AY$22 - MEDIAN(-2, 2, T32))), ABS($AY$6:$AY$22 - MEDIAN(-2, 2, T32)), $AZ$6:$AZ$22, "Error", 0)</f>
        <v>-6</v>
      </c>
      <c r="U61" s="30" t="str" cm="1">
        <f t="array" ref="U61">_xlfn.XLOOKUP(MIN(ABS($AY$6:$AY$22 - MEDIAN(-2, 2, U32))), ABS($AY$6:$AY$22 - MEDIAN(-2, 2, U32)), $AZ$6:$AZ$22, "Error", 0)</f>
        <v>-4</v>
      </c>
      <c r="V61" s="30" t="str" cm="1">
        <f t="array" ref="V61">_xlfn.XLOOKUP(MIN(ABS($AY$6:$AY$22 - MEDIAN(-2, 2, V32))), ABS($AY$6:$AY$22 - MEDIAN(-2, 2, V32)), $AZ$6:$AZ$22, "Error", 0)</f>
        <v>4</v>
      </c>
      <c r="W61" s="30" t="str" cm="1">
        <f t="array" ref="W61">_xlfn.XLOOKUP(MIN(ABS($AY$6:$AY$22 - MEDIAN(-2, 2, W32))), ABS($AY$6:$AY$22 - MEDIAN(-2, 2, W32)), $AZ$6:$AZ$22, "Error", 0)</f>
        <v>6</v>
      </c>
      <c r="X61" s="30" t="str" cm="1">
        <f t="array" ref="X61">_xlfn.XLOOKUP(MIN(ABS($AY$6:$AY$22 - MEDIAN(-2, 2, X32))), ABS($AY$6:$AY$22 - MEDIAN(-2, 2, X32)), $AZ$6:$AZ$22, "Error", 0)</f>
        <v>4</v>
      </c>
      <c r="Y61" s="30" t="str" cm="1">
        <f t="array" ref="Y61">_xlfn.XLOOKUP(MIN(ABS($AY$6:$AY$22 - MEDIAN(-2, 2, Y32))), ABS($AY$6:$AY$22 - MEDIAN(-2, 2, Y32)), $AZ$6:$AZ$22, "Error", 0)</f>
        <v>6</v>
      </c>
      <c r="Z61" s="30" t="str" cm="1">
        <f t="array" ref="Z61">_xlfn.XLOOKUP(MIN(ABS($AY$6:$AY$22 - MEDIAN(-2, 2, Z32))), ABS($AY$6:$AY$22 - MEDIAN(-2, 2, Z32)), $AZ$6:$AZ$22, "Error", 0)</f>
        <v>6</v>
      </c>
      <c r="AA61" s="30" t="str" cm="1">
        <f t="array" ref="AA61">_xlfn.XLOOKUP(MIN(ABS($AY$6:$AY$22 - MEDIAN(-2, 2, AA32))), ABS($AY$6:$AY$22 - MEDIAN(-2, 2, AA32)), $AZ$6:$AZ$22, "Error", 0)</f>
        <v>6</v>
      </c>
      <c r="AB61" s="30" cm="1">
        <f t="array" ref="AB61">_xlfn.XLOOKUP(MIN(ABS($AY$6:$AY$22 - MEDIAN(-2, 2, AB32))), ABS($AY$6:$AY$22 - MEDIAN(-2, 2, AB32)), $AZ$6:$AZ$22, "Error", 0)</f>
        <v>0</v>
      </c>
      <c r="AC61" s="30" cm="1">
        <f t="array" ref="AC61">_xlfn.XLOOKUP(MIN(ABS($AY$6:$AY$22 - MEDIAN(-2, 2, AC32))), ABS($AY$6:$AY$22 - MEDIAN(-2, 2, AC32)), $AZ$6:$AZ$22, "Error", 0)</f>
        <v>0</v>
      </c>
      <c r="AD61" s="30" t="str" cm="1">
        <f t="array" ref="AD61">_xlfn.XLOOKUP(MIN(ABS($AY$6:$AY$22 - MEDIAN(-2, 2, AD32))), ABS($AY$6:$AY$22 - MEDIAN(-2, 2, AD32)), $AZ$6:$AZ$22, "Error", 0)</f>
        <v>4</v>
      </c>
      <c r="AE61" s="30" t="str" cm="1">
        <f t="array" ref="AE61">_xlfn.XLOOKUP(MIN(ABS($AY$6:$AY$22 - MEDIAN(-2, 2, AE32))), ABS($AY$6:$AY$22 - MEDIAN(-2, 2, AE32)), $AZ$6:$AZ$22, "Error", 0)</f>
        <v>8</v>
      </c>
      <c r="AF61" s="30" t="str" cm="1">
        <f t="array" ref="AF61">_xlfn.XLOOKUP(MIN(ABS($AY$6:$AY$22 - MEDIAN(-2, 2, AF32))), ABS($AY$6:$AY$22 - MEDIAN(-2, 2, AF32)), $AZ$6:$AZ$22, "Error", 0)</f>
        <v>-4</v>
      </c>
      <c r="AG61" s="30" t="str" cm="1">
        <f t="array" ref="AG61">_xlfn.XLOOKUP(MIN(ABS($AY$6:$AY$22 - MEDIAN(-2, 2, AG32))), ABS($AY$6:$AY$22 - MEDIAN(-2, 2, AG32)), $AZ$6:$AZ$22, "Error", 0)</f>
        <v>-4</v>
      </c>
      <c r="AH61" s="30" t="str" cm="1">
        <f t="array" ref="AH61">_xlfn.XLOOKUP(MIN(ABS($AY$6:$AY$22 - MEDIAN(-2, 2, AH32))), ABS($AY$6:$AY$22 - MEDIAN(-2, 2, AH32)), $AZ$6:$AZ$22, "Error", 0)</f>
        <v>-6</v>
      </c>
      <c r="AI61" s="30" t="str" cm="1">
        <f t="array" ref="AI61">_xlfn.XLOOKUP(MIN(ABS($AY$6:$AY$22 - MEDIAN(-2, 2, AI32))), ABS($AY$6:$AY$22 - MEDIAN(-2, 2, AI32)), $AZ$6:$AZ$22, "Error", 0)</f>
        <v>-10</v>
      </c>
      <c r="AJ61" s="30" t="str" cm="1">
        <f t="array" ref="AJ61">_xlfn.XLOOKUP(MIN(ABS($AY$6:$AY$22 - MEDIAN(-2, 2, AJ32))), ABS($AY$6:$AY$22 - MEDIAN(-2, 2, AJ32)), $AZ$6:$AZ$22, "Error", 0)</f>
        <v>-8</v>
      </c>
      <c r="AK61" s="30" t="str" cm="1">
        <f t="array" ref="AK61">_xlfn.XLOOKUP(MIN(ABS($AY$6:$AY$22 - MEDIAN(-2, 2, AK32))), ABS($AY$6:$AY$22 - MEDIAN(-2, 2, AK32)), $AZ$6:$AZ$22, "Error", 0)</f>
        <v>-10</v>
      </c>
      <c r="AL61" s="30" t="str" cm="1">
        <f t="array" ref="AL61">_xlfn.XLOOKUP(MIN(ABS($AY$6:$AY$22 - MEDIAN(-2, 2, AL32))), ABS($AY$6:$AY$22 - MEDIAN(-2, 2, AL32)), $AZ$6:$AZ$22, "Error", 0)</f>
        <v>8</v>
      </c>
      <c r="AM61" s="30" t="str" cm="1">
        <f t="array" ref="AM61">_xlfn.XLOOKUP(MIN(ABS($AY$6:$AY$22 - MEDIAN(-2, 2, AM32))), ABS($AY$6:$AY$22 - MEDIAN(-2, 2, AM32)), $AZ$6:$AZ$22, "Error", 0)</f>
        <v>6</v>
      </c>
      <c r="AN61" s="30" t="str" cm="1">
        <f t="array" ref="AN61">_xlfn.XLOOKUP(MIN(ABS($AY$6:$AY$22 - MEDIAN(-2, 2, AN32))), ABS($AY$6:$AY$22 - MEDIAN(-2, 2, AN32)), $AZ$6:$AZ$22, "Error", 0)</f>
        <v>6</v>
      </c>
      <c r="AO61" s="30" t="str" cm="1">
        <f t="array" ref="AO61">_xlfn.XLOOKUP(MIN(ABS($AY$6:$AY$22 - MEDIAN(-2, 2, AO32))), ABS($AY$6:$AY$22 - MEDIAN(-2, 2, AO32)), $AZ$6:$AZ$22, "Error", 0)</f>
        <v>-6</v>
      </c>
      <c r="AP61" s="30" t="str" cm="1">
        <f t="array" ref="AP61">_xlfn.XLOOKUP(MIN(ABS($AY$6:$AY$22 - MEDIAN(-2, 2, AP32))), ABS($AY$6:$AY$22 - MEDIAN(-2, 2, AP32)), $AZ$6:$AZ$22, "Error", 0)</f>
        <v>4</v>
      </c>
      <c r="AQ61" s="30" t="str" cm="1">
        <f t="array" ref="AQ61">_xlfn.XLOOKUP(MIN(ABS($AY$6:$AY$22 - MEDIAN(-2, 2, AQ32))), ABS($AY$6:$AY$22 - MEDIAN(-2, 2, AQ32)), $AZ$6:$AZ$22, "Error", 0)</f>
        <v>-4</v>
      </c>
      <c r="AR61" s="30" cm="1">
        <f t="array" ref="AR61">_xlfn.XLOOKUP(MIN(ABS($AY$6:$AY$22 - MEDIAN(-2, 2, AR32))), ABS($AY$6:$AY$22 - MEDIAN(-2, 2, AR32)), $AZ$6:$AZ$22, "Error", 0)</f>
        <v>0</v>
      </c>
      <c r="AS61" s="30" t="str" cm="1">
        <f t="array" ref="AS61">_xlfn.XLOOKUP(MIN(ABS($AY$6:$AY$22 - MEDIAN(-2, 2, AS32))), ABS($AY$6:$AY$22 - MEDIAN(-2, 2, AS32)), $AZ$6:$AZ$22, "Error", 0)</f>
        <v>-4</v>
      </c>
      <c r="AT61" s="30" t="str" cm="1">
        <f t="array" ref="AT61">_xlfn.XLOOKUP(MIN(ABS($AY$6:$AY$22 - MEDIAN(-2, 2, AT32))), ABS($AY$6:$AY$22 - MEDIAN(-2, 2, AT32)), $AZ$6:$AZ$22, "Error", 0)</f>
        <v>-6</v>
      </c>
      <c r="AU61" s="30" t="str" cm="1">
        <f t="array" ref="AU61">_xlfn.XLOOKUP(MIN(ABS($AY$6:$AY$22 - MEDIAN(-2, 2, AU32))), ABS($AY$6:$AY$22 - MEDIAN(-2, 2, AU32)), $AZ$6:$AZ$22, "Error", 0)</f>
        <v>-8</v>
      </c>
      <c r="AV61" s="30" cm="1">
        <f t="array" ref="AV61">_xlfn.XLOOKUP(MIN(ABS($AY$6:$AY$22 - MEDIAN(-2, 2, AV32))), ABS($AY$6:$AY$22 - MEDIAN(-2, 2, AV32)), $AZ$6:$AZ$22, "Error", 0)</f>
        <v>0</v>
      </c>
      <c r="AW61" s="30" cm="1">
        <f t="array" ref="AW61">_xlfn.XLOOKUP(MIN(ABS($AY$6:$AY$22 - MEDIAN(-2, 2, AW32))), ABS($AY$6:$AY$22 - MEDIAN(-2, 2, AW32)), $AZ$6:$AZ$22, "Error", 0)</f>
        <v>0</v>
      </c>
    </row>
    <row r="62" spans="1:49" ht="25" customHeight="1">
      <c r="A62" s="50" t="s">
        <v>58</v>
      </c>
      <c r="B62" s="30" t="str" cm="1">
        <f t="array" ref="B62">_xlfn.XLOOKUP(MIN(ABS($AY$6:$AY$22 - MEDIAN(-2, 2, B33))), ABS($AY$6:$AY$22 - MEDIAN(-2, 2, B33)), $AZ$6:$AZ$22, "Error", 0)</f>
        <v>10</v>
      </c>
      <c r="C62" s="30" t="str" cm="1">
        <f t="array" ref="C62">_xlfn.XLOOKUP(MIN(ABS($AY$6:$AY$22 - MEDIAN(-2, 2, C33))), ABS($AY$6:$AY$22 - MEDIAN(-2, 2, C33)), $AZ$6:$AZ$22, "Error", 0)</f>
        <v>10</v>
      </c>
      <c r="D62" s="30" t="str" cm="1">
        <f t="array" ref="D62">_xlfn.XLOOKUP(MIN(ABS($AY$6:$AY$22 - MEDIAN(-2, 2, D33))), ABS($AY$6:$AY$22 - MEDIAN(-2, 2, D33)), $AZ$6:$AZ$22, "Error", 0)</f>
        <v>10</v>
      </c>
      <c r="E62" s="30" t="str" cm="1">
        <f t="array" ref="E62">_xlfn.XLOOKUP(MIN(ABS($AY$6:$AY$22 - MEDIAN(-2, 2, E33))), ABS($AY$6:$AY$22 - MEDIAN(-2, 2, E33)), $AZ$6:$AZ$22, "Error", 0)</f>
        <v>10</v>
      </c>
      <c r="F62" s="30" t="str" cm="1">
        <f t="array" ref="F62">_xlfn.XLOOKUP(MIN(ABS($AY$6:$AY$22 - MEDIAN(-2, 2, F33))), ABS($AY$6:$AY$22 - MEDIAN(-2, 2, F33)), $AZ$6:$AZ$22, "Error", 0)</f>
        <v>10</v>
      </c>
      <c r="G62" s="30" t="str" cm="1">
        <f t="array" ref="G62">_xlfn.XLOOKUP(MIN(ABS($AY$6:$AY$22 - MEDIAN(-2, 2, G33))), ABS($AY$6:$AY$22 - MEDIAN(-2, 2, G33)), $AZ$6:$AZ$22, "Error", 0)</f>
        <v>10</v>
      </c>
      <c r="H62" s="30" t="str" cm="1">
        <f t="array" ref="H62">_xlfn.XLOOKUP(MIN(ABS($AY$6:$AY$22 - MEDIAN(-2, 2, H33))), ABS($AY$6:$AY$22 - MEDIAN(-2, 2, H33)), $AZ$6:$AZ$22, "Error", 0)</f>
        <v>10</v>
      </c>
      <c r="I62" s="30" t="str" cm="1">
        <f t="array" ref="I62">_xlfn.XLOOKUP(MIN(ABS($AY$6:$AY$22 - MEDIAN(-2, 2, I33))), ABS($AY$6:$AY$22 - MEDIAN(-2, 2, I33)), $AZ$6:$AZ$22, "Error", 0)</f>
        <v>10</v>
      </c>
      <c r="J62" s="30" t="str" cm="1">
        <f t="array" ref="J62">_xlfn.XLOOKUP(MIN(ABS($AY$6:$AY$22 - MEDIAN(-2, 2, J33))), ABS($AY$6:$AY$22 - MEDIAN(-2, 2, J33)), $AZ$6:$AZ$22, "Error", 0)</f>
        <v>10</v>
      </c>
      <c r="K62" s="30" t="str" cm="1">
        <f t="array" ref="K62">_xlfn.XLOOKUP(MIN(ABS($AY$6:$AY$22 - MEDIAN(-2, 2, K33))), ABS($AY$6:$AY$22 - MEDIAN(-2, 2, K33)), $AZ$6:$AZ$22, "Error", 0)</f>
        <v>10</v>
      </c>
      <c r="L62" s="30" t="str" cm="1">
        <f t="array" ref="L62">_xlfn.XLOOKUP(MIN(ABS($AY$6:$AY$22 - MEDIAN(-2, 2, L33))), ABS($AY$6:$AY$22 - MEDIAN(-2, 2, L33)), $AZ$6:$AZ$22, "Error", 0)</f>
        <v>10</v>
      </c>
      <c r="M62" s="30" t="str" cm="1">
        <f t="array" ref="M62">_xlfn.XLOOKUP(MIN(ABS($AY$6:$AY$22 - MEDIAN(-2, 2, M33))), ABS($AY$6:$AY$22 - MEDIAN(-2, 2, M33)), $AZ$6:$AZ$22, "Error", 0)</f>
        <v>9</v>
      </c>
      <c r="N62" s="30" t="str" cm="1">
        <f t="array" ref="N62">_xlfn.XLOOKUP(MIN(ABS($AY$6:$AY$22 - MEDIAN(-2, 2, N33))), ABS($AY$6:$AY$22 - MEDIAN(-2, 2, N33)), $AZ$6:$AZ$22, "Error", 0)</f>
        <v>10</v>
      </c>
      <c r="O62" s="30" t="str" cm="1">
        <f t="array" ref="O62">_xlfn.XLOOKUP(MIN(ABS($AY$6:$AY$22 - MEDIAN(-2, 2, O33))), ABS($AY$6:$AY$22 - MEDIAN(-2, 2, O33)), $AZ$6:$AZ$22, "Error", 0)</f>
        <v>10</v>
      </c>
      <c r="P62" s="30" t="str" cm="1">
        <f t="array" ref="P62">_xlfn.XLOOKUP(MIN(ABS($AY$6:$AY$22 - MEDIAN(-2, 2, P33))), ABS($AY$6:$AY$22 - MEDIAN(-2, 2, P33)), $AZ$6:$AZ$22, "Error", 0)</f>
        <v>10</v>
      </c>
      <c r="Q62" s="30" t="str" cm="1">
        <f t="array" ref="Q62">_xlfn.XLOOKUP(MIN(ABS($AY$6:$AY$22 - MEDIAN(-2, 2, Q33))), ABS($AY$6:$AY$22 - MEDIAN(-2, 2, Q33)), $AZ$6:$AZ$22, "Error", 0)</f>
        <v>10</v>
      </c>
      <c r="R62" s="30" t="str" cm="1">
        <f t="array" ref="R62">_xlfn.XLOOKUP(MIN(ABS($AY$6:$AY$22 - MEDIAN(-2, 2, R33))), ABS($AY$6:$AY$22 - MEDIAN(-2, 2, R33)), $AZ$6:$AZ$22, "Error", 0)</f>
        <v>10</v>
      </c>
      <c r="S62" s="30" t="str" cm="1">
        <f t="array" ref="S62">_xlfn.XLOOKUP(MIN(ABS($AY$6:$AY$22 - MEDIAN(-2, 2, S33))), ABS($AY$6:$AY$22 - MEDIAN(-2, 2, S33)), $AZ$6:$AZ$22, "Error", 0)</f>
        <v>10</v>
      </c>
      <c r="T62" s="30" t="str" cm="1">
        <f t="array" ref="T62">_xlfn.XLOOKUP(MIN(ABS($AY$6:$AY$22 - MEDIAN(-2, 2, T33))), ABS($AY$6:$AY$22 - MEDIAN(-2, 2, T33)), $AZ$6:$AZ$22, "Error", 0)</f>
        <v>10</v>
      </c>
      <c r="U62" s="30" t="str" cm="1">
        <f t="array" ref="U62">_xlfn.XLOOKUP(MIN(ABS($AY$6:$AY$22 - MEDIAN(-2, 2, U33))), ABS($AY$6:$AY$22 - MEDIAN(-2, 2, U33)), $AZ$6:$AZ$22, "Error", 0)</f>
        <v>8</v>
      </c>
      <c r="V62" s="30" t="str" cm="1">
        <f t="array" ref="V62">_xlfn.XLOOKUP(MIN(ABS($AY$6:$AY$22 - MEDIAN(-2, 2, V33))), ABS($AY$6:$AY$22 - MEDIAN(-2, 2, V33)), $AZ$6:$AZ$22, "Error", 0)</f>
        <v>6</v>
      </c>
      <c r="W62" s="30" t="str" cm="1">
        <f t="array" ref="W62">_xlfn.XLOOKUP(MIN(ABS($AY$6:$AY$22 - MEDIAN(-2, 2, W33))), ABS($AY$6:$AY$22 - MEDIAN(-2, 2, W33)), $AZ$6:$AZ$22, "Error", 0)</f>
        <v>8</v>
      </c>
      <c r="X62" s="30" t="str" cm="1">
        <f t="array" ref="X62">_xlfn.XLOOKUP(MIN(ABS($AY$6:$AY$22 - MEDIAN(-2, 2, X33))), ABS($AY$6:$AY$22 - MEDIAN(-2, 2, X33)), $AZ$6:$AZ$22, "Error", 0)</f>
        <v>9</v>
      </c>
      <c r="Y62" s="30" t="str" cm="1">
        <f t="array" ref="Y62">_xlfn.XLOOKUP(MIN(ABS($AY$6:$AY$22 - MEDIAN(-2, 2, Y33))), ABS($AY$6:$AY$22 - MEDIAN(-2, 2, Y33)), $AZ$6:$AZ$22, "Error", 0)</f>
        <v>9</v>
      </c>
      <c r="Z62" s="30" t="str" cm="1">
        <f t="array" ref="Z62">_xlfn.XLOOKUP(MIN(ABS($AY$6:$AY$22 - MEDIAN(-2, 2, Z33))), ABS($AY$6:$AY$22 - MEDIAN(-2, 2, Z33)), $AZ$6:$AZ$22, "Error", 0)</f>
        <v>10</v>
      </c>
      <c r="AA62" s="30" t="str" cm="1">
        <f t="array" ref="AA62">_xlfn.XLOOKUP(MIN(ABS($AY$6:$AY$22 - MEDIAN(-2, 2, AA33))), ABS($AY$6:$AY$22 - MEDIAN(-2, 2, AA33)), $AZ$6:$AZ$22, "Error", 0)</f>
        <v>10</v>
      </c>
      <c r="AB62" s="30" t="str" cm="1">
        <f t="array" ref="AB62">_xlfn.XLOOKUP(MIN(ABS($AY$6:$AY$22 - MEDIAN(-2, 2, AB33))), ABS($AY$6:$AY$22 - MEDIAN(-2, 2, AB33)), $AZ$6:$AZ$22, "Error", 0)</f>
        <v>10</v>
      </c>
      <c r="AC62" s="30" t="str" cm="1">
        <f t="array" ref="AC62">_xlfn.XLOOKUP(MIN(ABS($AY$6:$AY$22 - MEDIAN(-2, 2, AC33))), ABS($AY$6:$AY$22 - MEDIAN(-2, 2, AC33)), $AZ$6:$AZ$22, "Error", 0)</f>
        <v>10</v>
      </c>
      <c r="AD62" s="30" t="str" cm="1">
        <f t="array" ref="AD62">_xlfn.XLOOKUP(MIN(ABS($AY$6:$AY$22 - MEDIAN(-2, 2, AD33))), ABS($AY$6:$AY$22 - MEDIAN(-2, 2, AD33)), $AZ$6:$AZ$22, "Error", 0)</f>
        <v>10</v>
      </c>
      <c r="AE62" s="30" t="str" cm="1">
        <f t="array" ref="AE62">_xlfn.XLOOKUP(MIN(ABS($AY$6:$AY$22 - MEDIAN(-2, 2, AE33))), ABS($AY$6:$AY$22 - MEDIAN(-2, 2, AE33)), $AZ$6:$AZ$22, "Error", 0)</f>
        <v>9</v>
      </c>
      <c r="AF62" s="30" t="str" cm="1">
        <f t="array" ref="AF62">_xlfn.XLOOKUP(MIN(ABS($AY$6:$AY$22 - MEDIAN(-2, 2, AF33))), ABS($AY$6:$AY$22 - MEDIAN(-2, 2, AF33)), $AZ$6:$AZ$22, "Error", 0)</f>
        <v>10</v>
      </c>
      <c r="AG62" s="30" t="str" cm="1">
        <f t="array" ref="AG62">_xlfn.XLOOKUP(MIN(ABS($AY$6:$AY$22 - MEDIAN(-2, 2, AG33))), ABS($AY$6:$AY$22 - MEDIAN(-2, 2, AG33)), $AZ$6:$AZ$22, "Error", 0)</f>
        <v>10</v>
      </c>
      <c r="AH62" s="30" t="str" cm="1">
        <f t="array" ref="AH62">_xlfn.XLOOKUP(MIN(ABS($AY$6:$AY$22 - MEDIAN(-2, 2, AH33))), ABS($AY$6:$AY$22 - MEDIAN(-2, 2, AH33)), $AZ$6:$AZ$22, "Error", 0)</f>
        <v>10</v>
      </c>
      <c r="AI62" s="30" t="str" cm="1">
        <f t="array" ref="AI62">_xlfn.XLOOKUP(MIN(ABS($AY$6:$AY$22 - MEDIAN(-2, 2, AI33))), ABS($AY$6:$AY$22 - MEDIAN(-2, 2, AI33)), $AZ$6:$AZ$22, "Error", 0)</f>
        <v>10</v>
      </c>
      <c r="AJ62" s="30" t="str" cm="1">
        <f t="array" ref="AJ62">_xlfn.XLOOKUP(MIN(ABS($AY$6:$AY$22 - MEDIAN(-2, 2, AJ33))), ABS($AY$6:$AY$22 - MEDIAN(-2, 2, AJ33)), $AZ$6:$AZ$22, "Error", 0)</f>
        <v>10</v>
      </c>
      <c r="AK62" s="30" t="str" cm="1">
        <f t="array" ref="AK62">_xlfn.XLOOKUP(MIN(ABS($AY$6:$AY$22 - MEDIAN(-2, 2, AK33))), ABS($AY$6:$AY$22 - MEDIAN(-2, 2, AK33)), $AZ$6:$AZ$22, "Error", 0)</f>
        <v>10</v>
      </c>
      <c r="AL62" s="30" t="str" cm="1">
        <f t="array" ref="AL62">_xlfn.XLOOKUP(MIN(ABS($AY$6:$AY$22 - MEDIAN(-2, 2, AL33))), ABS($AY$6:$AY$22 - MEDIAN(-2, 2, AL33)), $AZ$6:$AZ$22, "Error", 0)</f>
        <v>10</v>
      </c>
      <c r="AM62" s="30" t="str" cm="1">
        <f t="array" ref="AM62">_xlfn.XLOOKUP(MIN(ABS($AY$6:$AY$22 - MEDIAN(-2, 2, AM33))), ABS($AY$6:$AY$22 - MEDIAN(-2, 2, AM33)), $AZ$6:$AZ$22, "Error", 0)</f>
        <v>10</v>
      </c>
      <c r="AN62" s="30" t="str" cm="1">
        <f t="array" ref="AN62">_xlfn.XLOOKUP(MIN(ABS($AY$6:$AY$22 - MEDIAN(-2, 2, AN33))), ABS($AY$6:$AY$22 - MEDIAN(-2, 2, AN33)), $AZ$6:$AZ$22, "Error", 0)</f>
        <v>10</v>
      </c>
      <c r="AO62" s="30" t="str" cm="1">
        <f t="array" ref="AO62">_xlfn.XLOOKUP(MIN(ABS($AY$6:$AY$22 - MEDIAN(-2, 2, AO33))), ABS($AY$6:$AY$22 - MEDIAN(-2, 2, AO33)), $AZ$6:$AZ$22, "Error", 0)</f>
        <v>10</v>
      </c>
      <c r="AP62" s="30" t="str" cm="1">
        <f t="array" ref="AP62">_xlfn.XLOOKUP(MIN(ABS($AY$6:$AY$22 - MEDIAN(-2, 2, AP33))), ABS($AY$6:$AY$22 - MEDIAN(-2, 2, AP33)), $AZ$6:$AZ$22, "Error", 0)</f>
        <v>10</v>
      </c>
      <c r="AQ62" s="30" t="str" cm="1">
        <f t="array" ref="AQ62">_xlfn.XLOOKUP(MIN(ABS($AY$6:$AY$22 - MEDIAN(-2, 2, AQ33))), ABS($AY$6:$AY$22 - MEDIAN(-2, 2, AQ33)), $AZ$6:$AZ$22, "Error", 0)</f>
        <v>10</v>
      </c>
      <c r="AR62" s="30" t="str" cm="1">
        <f t="array" ref="AR62">_xlfn.XLOOKUP(MIN(ABS($AY$6:$AY$22 - MEDIAN(-2, 2, AR33))), ABS($AY$6:$AY$22 - MEDIAN(-2, 2, AR33)), $AZ$6:$AZ$22, "Error", 0)</f>
        <v>10</v>
      </c>
      <c r="AS62" s="30" t="str" cm="1">
        <f t="array" ref="AS62">_xlfn.XLOOKUP(MIN(ABS($AY$6:$AY$22 - MEDIAN(-2, 2, AS33))), ABS($AY$6:$AY$22 - MEDIAN(-2, 2, AS33)), $AZ$6:$AZ$22, "Error", 0)</f>
        <v>10</v>
      </c>
      <c r="AT62" s="30" t="str" cm="1">
        <f t="array" ref="AT62">_xlfn.XLOOKUP(MIN(ABS($AY$6:$AY$22 - MEDIAN(-2, 2, AT33))), ABS($AY$6:$AY$22 - MEDIAN(-2, 2, AT33)), $AZ$6:$AZ$22, "Error", 0)</f>
        <v>10</v>
      </c>
      <c r="AU62" s="30" t="str" cm="1">
        <f t="array" ref="AU62">_xlfn.XLOOKUP(MIN(ABS($AY$6:$AY$22 - MEDIAN(-2, 2, AU33))), ABS($AY$6:$AY$22 - MEDIAN(-2, 2, AU33)), $AZ$6:$AZ$22, "Error", 0)</f>
        <v>10</v>
      </c>
      <c r="AV62" s="30" cm="1">
        <f t="array" ref="AV62">_xlfn.XLOOKUP(MIN(ABS($AY$6:$AY$22 - MEDIAN(-2, 2, AV33))), ABS($AY$6:$AY$22 - MEDIAN(-2, 2, AV33)), $AZ$6:$AZ$22, "Error", 0)</f>
        <v>0</v>
      </c>
      <c r="AW62" s="30" cm="1">
        <f t="array" ref="AW62">_xlfn.XLOOKUP(MIN(ABS($AY$6:$AY$22 - MEDIAN(-2, 2, AW33))), ABS($AY$6:$AY$22 - MEDIAN(-2, 2, AW33)), $AZ$6:$AZ$22, "Error", 0)</f>
        <v>0</v>
      </c>
    </row>
    <row r="63" spans="1:49" ht="25" customHeight="1">
      <c r="A63" s="50" t="s">
        <v>18</v>
      </c>
      <c r="B63" s="30" t="str" cm="1">
        <f t="array" ref="B63">_xlfn.XLOOKUP(MIN(ABS($AY$6:$AY$22 - MEDIAN(-2, 2, B34))), ABS($AY$6:$AY$22 - MEDIAN(-2, 2, B34)), $AZ$6:$AZ$22, "Error", 0)</f>
        <v>10</v>
      </c>
      <c r="C63" s="30" t="str" cm="1">
        <f t="array" ref="C63">_xlfn.XLOOKUP(MIN(ABS($AY$6:$AY$22 - MEDIAN(-2, 2, C34))), ABS($AY$6:$AY$22 - MEDIAN(-2, 2, C34)), $AZ$6:$AZ$22, "Error", 0)</f>
        <v>10</v>
      </c>
      <c r="D63" s="30" t="str" cm="1">
        <f t="array" ref="D63">_xlfn.XLOOKUP(MIN(ABS($AY$6:$AY$22 - MEDIAN(-2, 2, D34))), ABS($AY$6:$AY$22 - MEDIAN(-2, 2, D34)), $AZ$6:$AZ$22, "Error", 0)</f>
        <v>10</v>
      </c>
      <c r="E63" s="30" t="str" cm="1">
        <f t="array" ref="E63">_xlfn.XLOOKUP(MIN(ABS($AY$6:$AY$22 - MEDIAN(-2, 2, E34))), ABS($AY$6:$AY$22 - MEDIAN(-2, 2, E34)), $AZ$6:$AZ$22, "Error", 0)</f>
        <v>10</v>
      </c>
      <c r="F63" s="30" t="str" cm="1">
        <f t="array" ref="F63">_xlfn.XLOOKUP(MIN(ABS($AY$6:$AY$22 - MEDIAN(-2, 2, F34))), ABS($AY$6:$AY$22 - MEDIAN(-2, 2, F34)), $AZ$6:$AZ$22, "Error", 0)</f>
        <v>10</v>
      </c>
      <c r="G63" s="30" t="str" cm="1">
        <f t="array" ref="G63">_xlfn.XLOOKUP(MIN(ABS($AY$6:$AY$22 - MEDIAN(-2, 2, G34))), ABS($AY$6:$AY$22 - MEDIAN(-2, 2, G34)), $AZ$6:$AZ$22, "Error", 0)</f>
        <v>10</v>
      </c>
      <c r="H63" s="30" t="str" cm="1">
        <f t="array" ref="H63">_xlfn.XLOOKUP(MIN(ABS($AY$6:$AY$22 - MEDIAN(-2, 2, H34))), ABS($AY$6:$AY$22 - MEDIAN(-2, 2, H34)), $AZ$6:$AZ$22, "Error", 0)</f>
        <v>8</v>
      </c>
      <c r="I63" s="30" t="str" cm="1">
        <f t="array" ref="I63">_xlfn.XLOOKUP(MIN(ABS($AY$6:$AY$22 - MEDIAN(-2, 2, I34))), ABS($AY$6:$AY$22 - MEDIAN(-2, 2, I34)), $AZ$6:$AZ$22, "Error", 0)</f>
        <v>10</v>
      </c>
      <c r="J63" s="30" t="str" cm="1">
        <f t="array" ref="J63">_xlfn.XLOOKUP(MIN(ABS($AY$6:$AY$22 - MEDIAN(-2, 2, J34))), ABS($AY$6:$AY$22 - MEDIAN(-2, 2, J34)), $AZ$6:$AZ$22, "Error", 0)</f>
        <v>10</v>
      </c>
      <c r="K63" s="30" t="str" cm="1">
        <f t="array" ref="K63">_xlfn.XLOOKUP(MIN(ABS($AY$6:$AY$22 - MEDIAN(-2, 2, K34))), ABS($AY$6:$AY$22 - MEDIAN(-2, 2, K34)), $AZ$6:$AZ$22, "Error", 0)</f>
        <v>8</v>
      </c>
      <c r="L63" s="30" t="str" cm="1">
        <f t="array" ref="L63">_xlfn.XLOOKUP(MIN(ABS($AY$6:$AY$22 - MEDIAN(-2, 2, L34))), ABS($AY$6:$AY$22 - MEDIAN(-2, 2, L34)), $AZ$6:$AZ$22, "Error", 0)</f>
        <v>8</v>
      </c>
      <c r="M63" s="30" t="str" cm="1">
        <f t="array" ref="M63">_xlfn.XLOOKUP(MIN(ABS($AY$6:$AY$22 - MEDIAN(-2, 2, M34))), ABS($AY$6:$AY$22 - MEDIAN(-2, 2, M34)), $AZ$6:$AZ$22, "Error", 0)</f>
        <v>-8</v>
      </c>
      <c r="N63" s="30" t="str" cm="1">
        <f t="array" ref="N63">_xlfn.XLOOKUP(MIN(ABS($AY$6:$AY$22 - MEDIAN(-2, 2, N34))), ABS($AY$6:$AY$22 - MEDIAN(-2, 2, N34)), $AZ$6:$AZ$22, "Error", 0)</f>
        <v>6</v>
      </c>
      <c r="O63" s="30" t="str" cm="1">
        <f t="array" ref="O63">_xlfn.XLOOKUP(MIN(ABS($AY$6:$AY$22 - MEDIAN(-2, 2, O34))), ABS($AY$6:$AY$22 - MEDIAN(-2, 2, O34)), $AZ$6:$AZ$22, "Error", 0)</f>
        <v>-6</v>
      </c>
      <c r="P63" s="30" t="str" cm="1">
        <f t="array" ref="P63">_xlfn.XLOOKUP(MIN(ABS($AY$6:$AY$22 - MEDIAN(-2, 2, P34))), ABS($AY$6:$AY$22 - MEDIAN(-2, 2, P34)), $AZ$6:$AZ$22, "Error", 0)</f>
        <v>-8</v>
      </c>
      <c r="Q63" s="30" t="str" cm="1">
        <f t="array" ref="Q63">_xlfn.XLOOKUP(MIN(ABS($AY$6:$AY$22 - MEDIAN(-2, 2, Q34))), ABS($AY$6:$AY$22 - MEDIAN(-2, 2, Q34)), $AZ$6:$AZ$22, "Error", 0)</f>
        <v>-10</v>
      </c>
      <c r="R63" s="30" t="str" cm="1">
        <f t="array" ref="R63">_xlfn.XLOOKUP(MIN(ABS($AY$6:$AY$22 - MEDIAN(-2, 2, R34))), ABS($AY$6:$AY$22 - MEDIAN(-2, 2, R34)), $AZ$6:$AZ$22, "Error", 0)</f>
        <v>6</v>
      </c>
      <c r="S63" s="30" t="str" cm="1">
        <f t="array" ref="S63">_xlfn.XLOOKUP(MIN(ABS($AY$6:$AY$22 - MEDIAN(-2, 2, S34))), ABS($AY$6:$AY$22 - MEDIAN(-2, 2, S34)), $AZ$6:$AZ$22, "Error", 0)</f>
        <v>-10</v>
      </c>
      <c r="T63" s="30" t="str" cm="1">
        <f t="array" ref="T63">_xlfn.XLOOKUP(MIN(ABS($AY$6:$AY$22 - MEDIAN(-2, 2, T34))), ABS($AY$6:$AY$22 - MEDIAN(-2, 2, T34)), $AZ$6:$AZ$22, "Error", 0)</f>
        <v>-8</v>
      </c>
      <c r="U63" s="30" t="str" cm="1">
        <f t="array" ref="U63">_xlfn.XLOOKUP(MIN(ABS($AY$6:$AY$22 - MEDIAN(-2, 2, U34))), ABS($AY$6:$AY$22 - MEDIAN(-2, 2, U34)), $AZ$6:$AZ$22, "Error", 0)</f>
        <v>4</v>
      </c>
      <c r="V63" s="30" t="str" cm="1">
        <f t="array" ref="V63">_xlfn.XLOOKUP(MIN(ABS($AY$6:$AY$22 - MEDIAN(-2, 2, V34))), ABS($AY$6:$AY$22 - MEDIAN(-2, 2, V34)), $AZ$6:$AZ$22, "Error", 0)</f>
        <v>6</v>
      </c>
      <c r="W63" s="30" t="str" cm="1">
        <f t="array" ref="W63">_xlfn.XLOOKUP(MIN(ABS($AY$6:$AY$22 - MEDIAN(-2, 2, W34))), ABS($AY$6:$AY$22 - MEDIAN(-2, 2, W34)), $AZ$6:$AZ$22, "Error", 0)</f>
        <v>4</v>
      </c>
      <c r="X63" s="30" t="str" cm="1">
        <f t="array" ref="X63">_xlfn.XLOOKUP(MIN(ABS($AY$6:$AY$22 - MEDIAN(-2, 2, X34))), ABS($AY$6:$AY$22 - MEDIAN(-2, 2, X34)), $AZ$6:$AZ$22, "Error", 0)</f>
        <v>6</v>
      </c>
      <c r="Y63" s="30" t="str" cm="1">
        <f t="array" ref="Y63">_xlfn.XLOOKUP(MIN(ABS($AY$6:$AY$22 - MEDIAN(-2, 2, Y34))), ABS($AY$6:$AY$22 - MEDIAN(-2, 2, Y34)), $AZ$6:$AZ$22, "Error", 0)</f>
        <v>6</v>
      </c>
      <c r="Z63" s="30" t="str" cm="1">
        <f t="array" ref="Z63">_xlfn.XLOOKUP(MIN(ABS($AY$6:$AY$22 - MEDIAN(-2, 2, Z34))), ABS($AY$6:$AY$22 - MEDIAN(-2, 2, Z34)), $AZ$6:$AZ$22, "Error", 0)</f>
        <v>4</v>
      </c>
      <c r="AA63" s="30" t="str" cm="1">
        <f t="array" ref="AA63">_xlfn.XLOOKUP(MIN(ABS($AY$6:$AY$22 - MEDIAN(-2, 2, AA34))), ABS($AY$6:$AY$22 - MEDIAN(-2, 2, AA34)), $AZ$6:$AZ$22, "Error", 0)</f>
        <v>6</v>
      </c>
      <c r="AB63" s="30" t="str" cm="1">
        <f t="array" ref="AB63">_xlfn.XLOOKUP(MIN(ABS($AY$6:$AY$22 - MEDIAN(-2, 2, AB34))), ABS($AY$6:$AY$22 - MEDIAN(-2, 2, AB34)), $AZ$6:$AZ$22, "Error", 0)</f>
        <v>6</v>
      </c>
      <c r="AC63" s="30" t="str" cm="1">
        <f t="array" ref="AC63">_xlfn.XLOOKUP(MIN(ABS($AY$6:$AY$22 - MEDIAN(-2, 2, AC34))), ABS($AY$6:$AY$22 - MEDIAN(-2, 2, AC34)), $AZ$6:$AZ$22, "Error", 0)</f>
        <v>6</v>
      </c>
      <c r="AD63" s="30" t="str" cm="1">
        <f t="array" ref="AD63">_xlfn.XLOOKUP(MIN(ABS($AY$6:$AY$22 - MEDIAN(-2, 2, AD34))), ABS($AY$6:$AY$22 - MEDIAN(-2, 2, AD34)), $AZ$6:$AZ$22, "Error", 0)</f>
        <v>4</v>
      </c>
      <c r="AE63" s="30" t="str" cm="1">
        <f t="array" ref="AE63">_xlfn.XLOOKUP(MIN(ABS($AY$6:$AY$22 - MEDIAN(-2, 2, AE34))), ABS($AY$6:$AY$22 - MEDIAN(-2, 2, AE34)), $AZ$6:$AZ$22, "Error", 0)</f>
        <v>4</v>
      </c>
      <c r="AF63" s="30" cm="1">
        <f t="array" ref="AF63">_xlfn.XLOOKUP(MIN(ABS($AY$6:$AY$22 - MEDIAN(-2, 2, AF34))), ABS($AY$6:$AY$22 - MEDIAN(-2, 2, AF34)), $AZ$6:$AZ$22, "Error", 0)</f>
        <v>0</v>
      </c>
      <c r="AG63" s="30" t="str" cm="1">
        <f t="array" ref="AG63">_xlfn.XLOOKUP(MIN(ABS($AY$6:$AY$22 - MEDIAN(-2, 2, AG34))), ABS($AY$6:$AY$22 - MEDIAN(-2, 2, AG34)), $AZ$6:$AZ$22, "Error", 0)</f>
        <v>-6</v>
      </c>
      <c r="AH63" s="30" t="str" cm="1">
        <f t="array" ref="AH63">_xlfn.XLOOKUP(MIN(ABS($AY$6:$AY$22 - MEDIAN(-2, 2, AH34))), ABS($AY$6:$AY$22 - MEDIAN(-2, 2, AH34)), $AZ$6:$AZ$22, "Error", 0)</f>
        <v>-8</v>
      </c>
      <c r="AI63" s="30" t="str" cm="1">
        <f t="array" ref="AI63">_xlfn.XLOOKUP(MIN(ABS($AY$6:$AY$22 - MEDIAN(-2, 2, AI34))), ABS($AY$6:$AY$22 - MEDIAN(-2, 2, AI34)), $AZ$6:$AZ$22, "Error", 0)</f>
        <v>-8</v>
      </c>
      <c r="AJ63" s="30" t="str" cm="1">
        <f t="array" ref="AJ63">_xlfn.XLOOKUP(MIN(ABS($AY$6:$AY$22 - MEDIAN(-2, 2, AJ34))), ABS($AY$6:$AY$22 - MEDIAN(-2, 2, AJ34)), $AZ$6:$AZ$22, "Error", 0)</f>
        <v>-6</v>
      </c>
      <c r="AK63" s="30" t="str" cm="1">
        <f t="array" ref="AK63">_xlfn.XLOOKUP(MIN(ABS($AY$6:$AY$22 - MEDIAN(-2, 2, AK34))), ABS($AY$6:$AY$22 - MEDIAN(-2, 2, AK34)), $AZ$6:$AZ$22, "Error", 0)</f>
        <v>9</v>
      </c>
      <c r="AL63" s="30" t="str" cm="1">
        <f t="array" ref="AL63">_xlfn.XLOOKUP(MIN(ABS($AY$6:$AY$22 - MEDIAN(-2, 2, AL34))), ABS($AY$6:$AY$22 - MEDIAN(-2, 2, AL34)), $AZ$6:$AZ$22, "Error", 0)</f>
        <v>10</v>
      </c>
      <c r="AM63" s="30" t="str" cm="1">
        <f t="array" ref="AM63">_xlfn.XLOOKUP(MIN(ABS($AY$6:$AY$22 - MEDIAN(-2, 2, AM34))), ABS($AY$6:$AY$22 - MEDIAN(-2, 2, AM34)), $AZ$6:$AZ$22, "Error", 0)</f>
        <v>10</v>
      </c>
      <c r="AN63" s="30" t="str" cm="1">
        <f t="array" ref="AN63">_xlfn.XLOOKUP(MIN(ABS($AY$6:$AY$22 - MEDIAN(-2, 2, AN34))), ABS($AY$6:$AY$22 - MEDIAN(-2, 2, AN34)), $AZ$6:$AZ$22, "Error", 0)</f>
        <v>10</v>
      </c>
      <c r="AO63" s="30" t="str" cm="1">
        <f t="array" ref="AO63">_xlfn.XLOOKUP(MIN(ABS($AY$6:$AY$22 - MEDIAN(-2, 2, AO34))), ABS($AY$6:$AY$22 - MEDIAN(-2, 2, AO34)), $AZ$6:$AZ$22, "Error", 0)</f>
        <v>10</v>
      </c>
      <c r="AP63" s="30" t="str" cm="1">
        <f t="array" ref="AP63">_xlfn.XLOOKUP(MIN(ABS($AY$6:$AY$22 - MEDIAN(-2, 2, AP34))), ABS($AY$6:$AY$22 - MEDIAN(-2, 2, AP34)), $AZ$6:$AZ$22, "Error", 0)</f>
        <v>10</v>
      </c>
      <c r="AQ63" s="30" t="str" cm="1">
        <f t="array" ref="AQ63">_xlfn.XLOOKUP(MIN(ABS($AY$6:$AY$22 - MEDIAN(-2, 2, AQ34))), ABS($AY$6:$AY$22 - MEDIAN(-2, 2, AQ34)), $AZ$6:$AZ$22, "Error", 0)</f>
        <v>10</v>
      </c>
      <c r="AR63" s="30" t="str" cm="1">
        <f t="array" ref="AR63">_xlfn.XLOOKUP(MIN(ABS($AY$6:$AY$22 - MEDIAN(-2, 2, AR34))), ABS($AY$6:$AY$22 - MEDIAN(-2, 2, AR34)), $AZ$6:$AZ$22, "Error", 0)</f>
        <v>8</v>
      </c>
      <c r="AS63" s="30" t="str" cm="1">
        <f t="array" ref="AS63">_xlfn.XLOOKUP(MIN(ABS($AY$6:$AY$22 - MEDIAN(-2, 2, AS34))), ABS($AY$6:$AY$22 - MEDIAN(-2, 2, AS34)), $AZ$6:$AZ$22, "Error", 0)</f>
        <v>10</v>
      </c>
      <c r="AT63" s="30" t="str" cm="1">
        <f t="array" ref="AT63">_xlfn.XLOOKUP(MIN(ABS($AY$6:$AY$22 - MEDIAN(-2, 2, AT34))), ABS($AY$6:$AY$22 - MEDIAN(-2, 2, AT34)), $AZ$6:$AZ$22, "Error", 0)</f>
        <v>10</v>
      </c>
      <c r="AU63" s="30" t="str" cm="1">
        <f t="array" ref="AU63">_xlfn.XLOOKUP(MIN(ABS($AY$6:$AY$22 - MEDIAN(-2, 2, AU34))), ABS($AY$6:$AY$22 - MEDIAN(-2, 2, AU34)), $AZ$6:$AZ$22, "Error", 0)</f>
        <v>10</v>
      </c>
      <c r="AV63" s="30" cm="1">
        <f t="array" ref="AV63">_xlfn.XLOOKUP(MIN(ABS($AY$6:$AY$22 - MEDIAN(-2, 2, AV34))), ABS($AY$6:$AY$22 - MEDIAN(-2, 2, AV34)), $AZ$6:$AZ$22, "Error", 0)</f>
        <v>0</v>
      </c>
      <c r="AW63" s="30" cm="1">
        <f t="array" ref="AW63">_xlfn.XLOOKUP(MIN(ABS($AY$6:$AY$22 - MEDIAN(-2, 2, AW34))), ABS($AY$6:$AY$22 - MEDIAN(-2, 2, AW34)), $AZ$6:$AZ$22, "Error", 0)</f>
        <v>0</v>
      </c>
    </row>
    <row r="64" spans="1:49" ht="25" customHeight="1">
      <c r="A64" s="50" t="s">
        <v>59</v>
      </c>
      <c r="B64" s="30" t="str" cm="1">
        <f t="array" ref="B64">_xlfn.XLOOKUP(MIN(ABS($AY$6:$AY$22 - MEDIAN(-2, 2, B35))), ABS($AY$6:$AY$22 - MEDIAN(-2, 2, B35)), $AZ$6:$AZ$22, "Error", 0)</f>
        <v>-8</v>
      </c>
      <c r="C64" s="30" cm="1">
        <f t="array" ref="C64">_xlfn.XLOOKUP(MIN(ABS($AY$6:$AY$22 - MEDIAN(-2, 2, C35))), ABS($AY$6:$AY$22 - MEDIAN(-2, 2, C35)), $AZ$6:$AZ$22, "Error", 0)</f>
        <v>0</v>
      </c>
      <c r="D64" s="30" t="str" cm="1">
        <f t="array" ref="D64">_xlfn.XLOOKUP(MIN(ABS($AY$6:$AY$22 - MEDIAN(-2, 2, D35))), ABS($AY$6:$AY$22 - MEDIAN(-2, 2, D35)), $AZ$6:$AZ$22, "Error", 0)</f>
        <v>6</v>
      </c>
      <c r="E64" s="30" t="str" cm="1">
        <f t="array" ref="E64">_xlfn.XLOOKUP(MIN(ABS($AY$6:$AY$22 - MEDIAN(-2, 2, E35))), ABS($AY$6:$AY$22 - MEDIAN(-2, 2, E35)), $AZ$6:$AZ$22, "Error", 0)</f>
        <v>-8</v>
      </c>
      <c r="F64" s="30" t="str" cm="1">
        <f t="array" ref="F64">_xlfn.XLOOKUP(MIN(ABS($AY$6:$AY$22 - MEDIAN(-2, 2, F35))), ABS($AY$6:$AY$22 - MEDIAN(-2, 2, F35)), $AZ$6:$AZ$22, "Error", 0)</f>
        <v>6</v>
      </c>
      <c r="G64" s="30" t="str" cm="1">
        <f t="array" ref="G64">_xlfn.XLOOKUP(MIN(ABS($AY$6:$AY$22 - MEDIAN(-2, 2, G35))), ABS($AY$6:$AY$22 - MEDIAN(-2, 2, G35)), $AZ$6:$AZ$22, "Error", 0)</f>
        <v>6</v>
      </c>
      <c r="H64" s="30" t="str" cm="1">
        <f t="array" ref="H64">_xlfn.XLOOKUP(MIN(ABS($AY$6:$AY$22 - MEDIAN(-2, 2, H35))), ABS($AY$6:$AY$22 - MEDIAN(-2, 2, H35)), $AZ$6:$AZ$22, "Error", 0)</f>
        <v>8</v>
      </c>
      <c r="I64" s="30" t="str" cm="1">
        <f t="array" ref="I64">_xlfn.XLOOKUP(MIN(ABS($AY$6:$AY$22 - MEDIAN(-2, 2, I35))), ABS($AY$6:$AY$22 - MEDIAN(-2, 2, I35)), $AZ$6:$AZ$22, "Error", 0)</f>
        <v>6</v>
      </c>
      <c r="J64" s="30" cm="1">
        <f t="array" ref="J64">_xlfn.XLOOKUP(MIN(ABS($AY$6:$AY$22 - MEDIAN(-2, 2, J35))), ABS($AY$6:$AY$22 - MEDIAN(-2, 2, J35)), $AZ$6:$AZ$22, "Error", 0)</f>
        <v>0</v>
      </c>
      <c r="K64" s="30" t="str" cm="1">
        <f t="array" ref="K64">_xlfn.XLOOKUP(MIN(ABS($AY$6:$AY$22 - MEDIAN(-2, 2, K35))), ABS($AY$6:$AY$22 - MEDIAN(-2, 2, K35)), $AZ$6:$AZ$22, "Error", 0)</f>
        <v>-4</v>
      </c>
      <c r="L64" s="30" t="str" cm="1">
        <f t="array" ref="L64">_xlfn.XLOOKUP(MIN(ABS($AY$6:$AY$22 - MEDIAN(-2, 2, L35))), ABS($AY$6:$AY$22 - MEDIAN(-2, 2, L35)), $AZ$6:$AZ$22, "Error", 0)</f>
        <v>6</v>
      </c>
      <c r="M64" s="30" t="str" cm="1">
        <f t="array" ref="M64">_xlfn.XLOOKUP(MIN(ABS($AY$6:$AY$22 - MEDIAN(-2, 2, M35))), ABS($AY$6:$AY$22 - MEDIAN(-2, 2, M35)), $AZ$6:$AZ$22, "Error", 0)</f>
        <v>6</v>
      </c>
      <c r="N64" s="30" t="str" cm="1">
        <f t="array" ref="N64">_xlfn.XLOOKUP(MIN(ABS($AY$6:$AY$22 - MEDIAN(-2, 2, N35))), ABS($AY$6:$AY$22 - MEDIAN(-2, 2, N35)), $AZ$6:$AZ$22, "Error", 0)</f>
        <v>6</v>
      </c>
      <c r="O64" s="30" t="str" cm="1">
        <f t="array" ref="O64">_xlfn.XLOOKUP(MIN(ABS($AY$6:$AY$22 - MEDIAN(-2, 2, O35))), ABS($AY$6:$AY$22 - MEDIAN(-2, 2, O35)), $AZ$6:$AZ$22, "Error", 0)</f>
        <v>6</v>
      </c>
      <c r="P64" s="30" t="str" cm="1">
        <f t="array" ref="P64">_xlfn.XLOOKUP(MIN(ABS($AY$6:$AY$22 - MEDIAN(-2, 2, P35))), ABS($AY$6:$AY$22 - MEDIAN(-2, 2, P35)), $AZ$6:$AZ$22, "Error", 0)</f>
        <v>6</v>
      </c>
      <c r="Q64" s="30" t="str" cm="1">
        <f t="array" ref="Q64">_xlfn.XLOOKUP(MIN(ABS($AY$6:$AY$22 - MEDIAN(-2, 2, Q35))), ABS($AY$6:$AY$22 - MEDIAN(-2, 2, Q35)), $AZ$6:$AZ$22, "Error", 0)</f>
        <v>-4</v>
      </c>
      <c r="R64" s="30" t="str" cm="1">
        <f t="array" ref="R64">_xlfn.XLOOKUP(MIN(ABS($AY$6:$AY$22 - MEDIAN(-2, 2, R35))), ABS($AY$6:$AY$22 - MEDIAN(-2, 2, R35)), $AZ$6:$AZ$22, "Error", 0)</f>
        <v>-8</v>
      </c>
      <c r="S64" s="30" t="str" cm="1">
        <f t="array" ref="S64">_xlfn.XLOOKUP(MIN(ABS($AY$6:$AY$22 - MEDIAN(-2, 2, S35))), ABS($AY$6:$AY$22 - MEDIAN(-2, 2, S35)), $AZ$6:$AZ$22, "Error", 0)</f>
        <v>-6</v>
      </c>
      <c r="T64" s="30" t="str" cm="1">
        <f t="array" ref="T64">_xlfn.XLOOKUP(MIN(ABS($AY$6:$AY$22 - MEDIAN(-2, 2, T35))), ABS($AY$6:$AY$22 - MEDIAN(-2, 2, T35)), $AZ$6:$AZ$22, "Error", 0)</f>
        <v>6</v>
      </c>
      <c r="U64" s="30" t="str" cm="1">
        <f t="array" ref="U64">_xlfn.XLOOKUP(MIN(ABS($AY$6:$AY$22 - MEDIAN(-2, 2, U35))), ABS($AY$6:$AY$22 - MEDIAN(-2, 2, U35)), $AZ$6:$AZ$22, "Error", 0)</f>
        <v>-6</v>
      </c>
      <c r="V64" s="30" cm="1">
        <f t="array" ref="V64">_xlfn.XLOOKUP(MIN(ABS($AY$6:$AY$22 - MEDIAN(-2, 2, V35))), ABS($AY$6:$AY$22 - MEDIAN(-2, 2, V35)), $AZ$6:$AZ$22, "Error", 0)</f>
        <v>0</v>
      </c>
      <c r="W64" s="30" cm="1">
        <f t="array" ref="W64">_xlfn.XLOOKUP(MIN(ABS($AY$6:$AY$22 - MEDIAN(-2, 2, W35))), ABS($AY$6:$AY$22 - MEDIAN(-2, 2, W35)), $AZ$6:$AZ$22, "Error", 0)</f>
        <v>0</v>
      </c>
      <c r="X64" s="30" t="str" cm="1">
        <f t="array" ref="X64">_xlfn.XLOOKUP(MIN(ABS($AY$6:$AY$22 - MEDIAN(-2, 2, X35))), ABS($AY$6:$AY$22 - MEDIAN(-2, 2, X35)), $AZ$6:$AZ$22, "Error", 0)</f>
        <v>-4</v>
      </c>
      <c r="Y64" s="30" t="str" cm="1">
        <f t="array" ref="Y64">_xlfn.XLOOKUP(MIN(ABS($AY$6:$AY$22 - MEDIAN(-2, 2, Y35))), ABS($AY$6:$AY$22 - MEDIAN(-2, 2, Y35)), $AZ$6:$AZ$22, "Error", 0)</f>
        <v>-4</v>
      </c>
      <c r="Z64" s="30" cm="1">
        <f t="array" ref="Z64">_xlfn.XLOOKUP(MIN(ABS($AY$6:$AY$22 - MEDIAN(-2, 2, Z35))), ABS($AY$6:$AY$22 - MEDIAN(-2, 2, Z35)), $AZ$6:$AZ$22, "Error", 0)</f>
        <v>0</v>
      </c>
      <c r="AA64" s="30" cm="1">
        <f t="array" ref="AA64">_xlfn.XLOOKUP(MIN(ABS($AY$6:$AY$22 - MEDIAN(-2, 2, AA35))), ABS($AY$6:$AY$22 - MEDIAN(-2, 2, AA35)), $AZ$6:$AZ$22, "Error", 0)</f>
        <v>0</v>
      </c>
      <c r="AB64" s="30" cm="1">
        <f t="array" ref="AB64">_xlfn.XLOOKUP(MIN(ABS($AY$6:$AY$22 - MEDIAN(-2, 2, AB35))), ABS($AY$6:$AY$22 - MEDIAN(-2, 2, AB35)), $AZ$6:$AZ$22, "Error", 0)</f>
        <v>0</v>
      </c>
      <c r="AC64" s="30" t="str" cm="1">
        <f t="array" ref="AC64">_xlfn.XLOOKUP(MIN(ABS($AY$6:$AY$22 - MEDIAN(-2, 2, AC35))), ABS($AY$6:$AY$22 - MEDIAN(-2, 2, AC35)), $AZ$6:$AZ$22, "Error", 0)</f>
        <v>4</v>
      </c>
      <c r="AD64" s="30" t="str" cm="1">
        <f t="array" ref="AD64">_xlfn.XLOOKUP(MIN(ABS($AY$6:$AY$22 - MEDIAN(-2, 2, AD35))), ABS($AY$6:$AY$22 - MEDIAN(-2, 2, AD35)), $AZ$6:$AZ$22, "Error", 0)</f>
        <v>6</v>
      </c>
      <c r="AE64" s="30" t="str" cm="1">
        <f t="array" ref="AE64">_xlfn.XLOOKUP(MIN(ABS($AY$6:$AY$22 - MEDIAN(-2, 2, AE35))), ABS($AY$6:$AY$22 - MEDIAN(-2, 2, AE35)), $AZ$6:$AZ$22, "Error", 0)</f>
        <v>8</v>
      </c>
      <c r="AF64" s="30" cm="1">
        <f t="array" ref="AF64">_xlfn.XLOOKUP(MIN(ABS($AY$6:$AY$22 - MEDIAN(-2, 2, AF35))), ABS($AY$6:$AY$22 - MEDIAN(-2, 2, AF35)), $AZ$6:$AZ$22, "Error", 0)</f>
        <v>0</v>
      </c>
      <c r="AG64" s="30" t="str" cm="1">
        <f t="array" ref="AG64">_xlfn.XLOOKUP(MIN(ABS($AY$6:$AY$22 - MEDIAN(-2, 2, AG35))), ABS($AY$6:$AY$22 - MEDIAN(-2, 2, AG35)), $AZ$6:$AZ$22, "Error", 0)</f>
        <v>-4</v>
      </c>
      <c r="AH64" s="30" t="str" cm="1">
        <f t="array" ref="AH64">_xlfn.XLOOKUP(MIN(ABS($AY$6:$AY$22 - MEDIAN(-2, 2, AH35))), ABS($AY$6:$AY$22 - MEDIAN(-2, 2, AH35)), $AZ$6:$AZ$22, "Error", 0)</f>
        <v>-6</v>
      </c>
      <c r="AI64" s="30" t="str" cm="1">
        <f t="array" ref="AI64">_xlfn.XLOOKUP(MIN(ABS($AY$6:$AY$22 - MEDIAN(-2, 2, AI35))), ABS($AY$6:$AY$22 - MEDIAN(-2, 2, AI35)), $AZ$6:$AZ$22, "Error", 0)</f>
        <v>-8</v>
      </c>
      <c r="AJ64" s="30" t="str" cm="1">
        <f t="array" ref="AJ64">_xlfn.XLOOKUP(MIN(ABS($AY$6:$AY$22 - MEDIAN(-2, 2, AJ35))), ABS($AY$6:$AY$22 - MEDIAN(-2, 2, AJ35)), $AZ$6:$AZ$22, "Error", 0)</f>
        <v>-4</v>
      </c>
      <c r="AK64" s="30" t="str" cm="1">
        <f t="array" ref="AK64">_xlfn.XLOOKUP(MIN(ABS($AY$6:$AY$22 - MEDIAN(-2, 2, AK35))), ABS($AY$6:$AY$22 - MEDIAN(-2, 2, AK35)), $AZ$6:$AZ$22, "Error", 0)</f>
        <v>-8</v>
      </c>
      <c r="AL64" s="30" t="str" cm="1">
        <f t="array" ref="AL64">_xlfn.XLOOKUP(MIN(ABS($AY$6:$AY$22 - MEDIAN(-2, 2, AL35))), ABS($AY$6:$AY$22 - MEDIAN(-2, 2, AL35)), $AZ$6:$AZ$22, "Error", 0)</f>
        <v>-8</v>
      </c>
      <c r="AM64" s="30" t="str" cm="1">
        <f t="array" ref="AM64">_xlfn.XLOOKUP(MIN(ABS($AY$6:$AY$22 - MEDIAN(-2, 2, AM35))), ABS($AY$6:$AY$22 - MEDIAN(-2, 2, AM35)), $AZ$6:$AZ$22, "Error", 0)</f>
        <v>-6</v>
      </c>
      <c r="AN64" s="30" t="str" cm="1">
        <f t="array" ref="AN64">_xlfn.XLOOKUP(MIN(ABS($AY$6:$AY$22 - MEDIAN(-2, 2, AN35))), ABS($AY$6:$AY$22 - MEDIAN(-2, 2, AN35)), $AZ$6:$AZ$22, "Error", 0)</f>
        <v>8</v>
      </c>
      <c r="AO64" s="30" cm="1">
        <f t="array" ref="AO64">_xlfn.XLOOKUP(MIN(ABS($AY$6:$AY$22 - MEDIAN(-2, 2, AO35))), ABS($AY$6:$AY$22 - MEDIAN(-2, 2, AO35)), $AZ$6:$AZ$22, "Error", 0)</f>
        <v>0</v>
      </c>
      <c r="AP64" s="30" cm="1">
        <f t="array" ref="AP64">_xlfn.XLOOKUP(MIN(ABS($AY$6:$AY$22 - MEDIAN(-2, 2, AP35))), ABS($AY$6:$AY$22 - MEDIAN(-2, 2, AP35)), $AZ$6:$AZ$22, "Error", 0)</f>
        <v>0</v>
      </c>
      <c r="AQ64" s="30" t="str" cm="1">
        <f t="array" ref="AQ64">_xlfn.XLOOKUP(MIN(ABS($AY$6:$AY$22 - MEDIAN(-2, 2, AQ35))), ABS($AY$6:$AY$22 - MEDIAN(-2, 2, AQ35)), $AZ$6:$AZ$22, "Error", 0)</f>
        <v>4</v>
      </c>
      <c r="AR64" s="30" t="str" cm="1">
        <f t="array" ref="AR64">_xlfn.XLOOKUP(MIN(ABS($AY$6:$AY$22 - MEDIAN(-2, 2, AR35))), ABS($AY$6:$AY$22 - MEDIAN(-2, 2, AR35)), $AZ$6:$AZ$22, "Error", 0)</f>
        <v>4</v>
      </c>
      <c r="AS64" s="30" t="str" cm="1">
        <f t="array" ref="AS64">_xlfn.XLOOKUP(MIN(ABS($AY$6:$AY$22 - MEDIAN(-2, 2, AS35))), ABS($AY$6:$AY$22 - MEDIAN(-2, 2, AS35)), $AZ$6:$AZ$22, "Error", 0)</f>
        <v>-4</v>
      </c>
      <c r="AT64" s="30" t="str" cm="1">
        <f t="array" ref="AT64">_xlfn.XLOOKUP(MIN(ABS($AY$6:$AY$22 - MEDIAN(-2, 2, AT35))), ABS($AY$6:$AY$22 - MEDIAN(-2, 2, AT35)), $AZ$6:$AZ$22, "Error", 0)</f>
        <v>-6</v>
      </c>
      <c r="AU64" s="30" t="str" cm="1">
        <f t="array" ref="AU64">_xlfn.XLOOKUP(MIN(ABS($AY$6:$AY$22 - MEDIAN(-2, 2, AU35))), ABS($AY$6:$AY$22 - MEDIAN(-2, 2, AU35)), $AZ$6:$AZ$22, "Error", 0)</f>
        <v>-8</v>
      </c>
      <c r="AV64" s="30" cm="1">
        <f t="array" ref="AV64">_xlfn.XLOOKUP(MIN(ABS($AY$6:$AY$22 - MEDIAN(-2, 2, AV35))), ABS($AY$6:$AY$22 - MEDIAN(-2, 2, AV35)), $AZ$6:$AZ$22, "Error", 0)</f>
        <v>0</v>
      </c>
      <c r="AW64" s="30" cm="1">
        <f t="array" ref="AW64">_xlfn.XLOOKUP(MIN(ABS($AY$6:$AY$22 - MEDIAN(-2, 2, AW35))), ABS($AY$6:$AY$22 - MEDIAN(-2, 2, AW35)), $AZ$6:$AZ$22, "Error", 0)</f>
        <v>0</v>
      </c>
    </row>
    <row r="65" spans="1:49" ht="25" customHeight="1">
      <c r="A65" s="50" t="s">
        <v>20</v>
      </c>
      <c r="B65" s="30" t="str" cm="1">
        <f t="array" ref="B65">_xlfn.XLOOKUP(MIN(ABS($AY$6:$AY$22 - MEDIAN(-2, 2, B36))), ABS($AY$6:$AY$22 - MEDIAN(-2, 2, B36)), $AZ$6:$AZ$22, "Error", 0)</f>
        <v>8</v>
      </c>
      <c r="C65" s="30" t="str" cm="1">
        <f t="array" ref="C65">_xlfn.XLOOKUP(MIN(ABS($AY$6:$AY$22 - MEDIAN(-2, 2, C36))), ABS($AY$6:$AY$22 - MEDIAN(-2, 2, C36)), $AZ$6:$AZ$22, "Error", 0)</f>
        <v>8</v>
      </c>
      <c r="D65" s="30" t="str" cm="1">
        <f t="array" ref="D65">_xlfn.XLOOKUP(MIN(ABS($AY$6:$AY$22 - MEDIAN(-2, 2, D36))), ABS($AY$6:$AY$22 - MEDIAN(-2, 2, D36)), $AZ$6:$AZ$22, "Error", 0)</f>
        <v>10</v>
      </c>
      <c r="E65" s="30" t="str" cm="1">
        <f t="array" ref="E65">_xlfn.XLOOKUP(MIN(ABS($AY$6:$AY$22 - MEDIAN(-2, 2, E36))), ABS($AY$6:$AY$22 - MEDIAN(-2, 2, E36)), $AZ$6:$AZ$22, "Error", 0)</f>
        <v>10</v>
      </c>
      <c r="F65" s="30" t="str" cm="1">
        <f t="array" ref="F65">_xlfn.XLOOKUP(MIN(ABS($AY$6:$AY$22 - MEDIAN(-2, 2, F36))), ABS($AY$6:$AY$22 - MEDIAN(-2, 2, F36)), $AZ$6:$AZ$22, "Error", 0)</f>
        <v>10</v>
      </c>
      <c r="G65" s="30" t="str" cm="1">
        <f t="array" ref="G65">_xlfn.XLOOKUP(MIN(ABS($AY$6:$AY$22 - MEDIAN(-2, 2, G36))), ABS($AY$6:$AY$22 - MEDIAN(-2, 2, G36)), $AZ$6:$AZ$22, "Error", 0)</f>
        <v>10</v>
      </c>
      <c r="H65" s="30" t="str" cm="1">
        <f t="array" ref="H65">_xlfn.XLOOKUP(MIN(ABS($AY$6:$AY$22 - MEDIAN(-2, 2, H36))), ABS($AY$6:$AY$22 - MEDIAN(-2, 2, H36)), $AZ$6:$AZ$22, "Error", 0)</f>
        <v>8</v>
      </c>
      <c r="I65" s="30" t="str" cm="1">
        <f t="array" ref="I65">_xlfn.XLOOKUP(MIN(ABS($AY$6:$AY$22 - MEDIAN(-2, 2, I36))), ABS($AY$6:$AY$22 - MEDIAN(-2, 2, I36)), $AZ$6:$AZ$22, "Error", 0)</f>
        <v>6</v>
      </c>
      <c r="J65" s="30" t="str" cm="1">
        <f t="array" ref="J65">_xlfn.XLOOKUP(MIN(ABS($AY$6:$AY$22 - MEDIAN(-2, 2, J36))), ABS($AY$6:$AY$22 - MEDIAN(-2, 2, J36)), $AZ$6:$AZ$22, "Error", 0)</f>
        <v>9</v>
      </c>
      <c r="K65" s="30" t="str" cm="1">
        <f t="array" ref="K65">_xlfn.XLOOKUP(MIN(ABS($AY$6:$AY$22 - MEDIAN(-2, 2, K36))), ABS($AY$6:$AY$22 - MEDIAN(-2, 2, K36)), $AZ$6:$AZ$22, "Error", 0)</f>
        <v>9</v>
      </c>
      <c r="L65" s="30" t="str" cm="1">
        <f t="array" ref="L65">_xlfn.XLOOKUP(MIN(ABS($AY$6:$AY$22 - MEDIAN(-2, 2, L36))), ABS($AY$6:$AY$22 - MEDIAN(-2, 2, L36)), $AZ$6:$AZ$22, "Error", 0)</f>
        <v>6</v>
      </c>
      <c r="M65" s="30" cm="1">
        <f t="array" ref="M65">_xlfn.XLOOKUP(MIN(ABS($AY$6:$AY$22 - MEDIAN(-2, 2, M36))), ABS($AY$6:$AY$22 - MEDIAN(-2, 2, M36)), $AZ$6:$AZ$22, "Error", 0)</f>
        <v>0</v>
      </c>
      <c r="N65" s="30" t="str" cm="1">
        <f t="array" ref="N65">_xlfn.XLOOKUP(MIN(ABS($AY$6:$AY$22 - MEDIAN(-2, 2, N36))), ABS($AY$6:$AY$22 - MEDIAN(-2, 2, N36)), $AZ$6:$AZ$22, "Error", 0)</f>
        <v>-6</v>
      </c>
      <c r="O65" s="30" t="str" cm="1">
        <f t="array" ref="O65">_xlfn.XLOOKUP(MIN(ABS($AY$6:$AY$22 - MEDIAN(-2, 2, O36))), ABS($AY$6:$AY$22 - MEDIAN(-2, 2, O36)), $AZ$6:$AZ$22, "Error", 0)</f>
        <v>-6</v>
      </c>
      <c r="P65" s="30" t="str" cm="1">
        <f t="array" ref="P65">_xlfn.XLOOKUP(MIN(ABS($AY$6:$AY$22 - MEDIAN(-2, 2, P36))), ABS($AY$6:$AY$22 - MEDIAN(-2, 2, P36)), $AZ$6:$AZ$22, "Error", 0)</f>
        <v>-6</v>
      </c>
      <c r="Q65" s="30" t="str" cm="1">
        <f t="array" ref="Q65">_xlfn.XLOOKUP(MIN(ABS($AY$6:$AY$22 - MEDIAN(-2, 2, Q36))), ABS($AY$6:$AY$22 - MEDIAN(-2, 2, Q36)), $AZ$6:$AZ$22, "Error", 0)</f>
        <v>-10</v>
      </c>
      <c r="R65" s="30" t="str" cm="1">
        <f t="array" ref="R65">_xlfn.XLOOKUP(MIN(ABS($AY$6:$AY$22 - MEDIAN(-2, 2, R36))), ABS($AY$6:$AY$22 - MEDIAN(-2, 2, R36)), $AZ$6:$AZ$22, "Error", 0)</f>
        <v>-10</v>
      </c>
      <c r="S65" s="30" t="str" cm="1">
        <f t="array" ref="S65">_xlfn.XLOOKUP(MIN(ABS($AY$6:$AY$22 - MEDIAN(-2, 2, S36))), ABS($AY$6:$AY$22 - MEDIAN(-2, 2, S36)), $AZ$6:$AZ$22, "Error", 0)</f>
        <v>-10</v>
      </c>
      <c r="T65" s="30" t="str" cm="1">
        <f t="array" ref="T65">_xlfn.XLOOKUP(MIN(ABS($AY$6:$AY$22 - MEDIAN(-2, 2, T36))), ABS($AY$6:$AY$22 - MEDIAN(-2, 2, T36)), $AZ$6:$AZ$22, "Error", 0)</f>
        <v>-10</v>
      </c>
      <c r="U65" s="30" t="str" cm="1">
        <f t="array" ref="U65">_xlfn.XLOOKUP(MIN(ABS($AY$6:$AY$22 - MEDIAN(-2, 2, U36))), ABS($AY$6:$AY$22 - MEDIAN(-2, 2, U36)), $AZ$6:$AZ$22, "Error", 0)</f>
        <v>-8</v>
      </c>
      <c r="V65" s="30" t="str" cm="1">
        <f t="array" ref="V65">_xlfn.XLOOKUP(MIN(ABS($AY$6:$AY$22 - MEDIAN(-2, 2, V36))), ABS($AY$6:$AY$22 - MEDIAN(-2, 2, V36)), $AZ$6:$AZ$22, "Error", 0)</f>
        <v>-6</v>
      </c>
      <c r="W65" s="30" cm="1">
        <f t="array" ref="W65">_xlfn.XLOOKUP(MIN(ABS($AY$6:$AY$22 - MEDIAN(-2, 2, W36))), ABS($AY$6:$AY$22 - MEDIAN(-2, 2, W36)), $AZ$6:$AZ$22, "Error", 0)</f>
        <v>0</v>
      </c>
      <c r="X65" s="30" t="str" cm="1">
        <f t="array" ref="X65">_xlfn.XLOOKUP(MIN(ABS($AY$6:$AY$22 - MEDIAN(-2, 2, X36))), ABS($AY$6:$AY$22 - MEDIAN(-2, 2, X36)), $AZ$6:$AZ$22, "Error", 0)</f>
        <v>-6</v>
      </c>
      <c r="Y65" s="30" t="str" cm="1">
        <f t="array" ref="Y65">_xlfn.XLOOKUP(MIN(ABS($AY$6:$AY$22 - MEDIAN(-2, 2, Y36))), ABS($AY$6:$AY$22 - MEDIAN(-2, 2, Y36)), $AZ$6:$AZ$22, "Error", 0)</f>
        <v>-6</v>
      </c>
      <c r="Z65" s="30" t="str" cm="1">
        <f t="array" ref="Z65">_xlfn.XLOOKUP(MIN(ABS($AY$6:$AY$22 - MEDIAN(-2, 2, Z36))), ABS($AY$6:$AY$22 - MEDIAN(-2, 2, Z36)), $AZ$6:$AZ$22, "Error", 0)</f>
        <v>-6</v>
      </c>
      <c r="AA65" s="30" t="str" cm="1">
        <f t="array" ref="AA65">_xlfn.XLOOKUP(MIN(ABS($AY$6:$AY$22 - MEDIAN(-2, 2, AA36))), ABS($AY$6:$AY$22 - MEDIAN(-2, 2, AA36)), $AZ$6:$AZ$22, "Error", 0)</f>
        <v>4</v>
      </c>
      <c r="AB65" s="30" cm="1">
        <f t="array" ref="AB65">_xlfn.XLOOKUP(MIN(ABS($AY$6:$AY$22 - MEDIAN(-2, 2, AB36))), ABS($AY$6:$AY$22 - MEDIAN(-2, 2, AB36)), $AZ$6:$AZ$22, "Error", 0)</f>
        <v>0</v>
      </c>
      <c r="AC65" s="30" t="str" cm="1">
        <f t="array" ref="AC65">_xlfn.XLOOKUP(MIN(ABS($AY$6:$AY$22 - MEDIAN(-2, 2, AC36))), ABS($AY$6:$AY$22 - MEDIAN(-2, 2, AC36)), $AZ$6:$AZ$22, "Error", 0)</f>
        <v>-8</v>
      </c>
      <c r="AD65" s="30" t="str" cm="1">
        <f t="array" ref="AD65">_xlfn.XLOOKUP(MIN(ABS($AY$6:$AY$22 - MEDIAN(-2, 2, AD36))), ABS($AY$6:$AY$22 - MEDIAN(-2, 2, AD36)), $AZ$6:$AZ$22, "Error", 0)</f>
        <v>-6</v>
      </c>
      <c r="AE65" s="30" cm="1">
        <f t="array" ref="AE65">_xlfn.XLOOKUP(MIN(ABS($AY$6:$AY$22 - MEDIAN(-2, 2, AE36))), ABS($AY$6:$AY$22 - MEDIAN(-2, 2, AE36)), $AZ$6:$AZ$22, "Error", 0)</f>
        <v>0</v>
      </c>
      <c r="AF65" s="30" t="str" cm="1">
        <f t="array" ref="AF65">_xlfn.XLOOKUP(MIN(ABS($AY$6:$AY$22 - MEDIAN(-2, 2, AF36))), ABS($AY$6:$AY$22 - MEDIAN(-2, 2, AF36)), $AZ$6:$AZ$22, "Error", 0)</f>
        <v>6</v>
      </c>
      <c r="AG65" s="30" t="str" cm="1">
        <f t="array" ref="AG65">_xlfn.XLOOKUP(MIN(ABS($AY$6:$AY$22 - MEDIAN(-2, 2, AG36))), ABS($AY$6:$AY$22 - MEDIAN(-2, 2, AG36)), $AZ$6:$AZ$22, "Error", 0)</f>
        <v>6</v>
      </c>
      <c r="AH65" s="30" t="str" cm="1">
        <f t="array" ref="AH65">_xlfn.XLOOKUP(MIN(ABS($AY$6:$AY$22 - MEDIAN(-2, 2, AH36))), ABS($AY$6:$AY$22 - MEDIAN(-2, 2, AH36)), $AZ$6:$AZ$22, "Error", 0)</f>
        <v>6</v>
      </c>
      <c r="AI65" s="30" t="str" cm="1">
        <f t="array" ref="AI65">_xlfn.XLOOKUP(MIN(ABS($AY$6:$AY$22 - MEDIAN(-2, 2, AI36))), ABS($AY$6:$AY$22 - MEDIAN(-2, 2, AI36)), $AZ$6:$AZ$22, "Error", 0)</f>
        <v>8</v>
      </c>
      <c r="AJ65" s="30" t="str" cm="1">
        <f t="array" ref="AJ65">_xlfn.XLOOKUP(MIN(ABS($AY$6:$AY$22 - MEDIAN(-2, 2, AJ36))), ABS($AY$6:$AY$22 - MEDIAN(-2, 2, AJ36)), $AZ$6:$AZ$22, "Error", 0)</f>
        <v>6</v>
      </c>
      <c r="AK65" s="30" t="str" cm="1">
        <f t="array" ref="AK65">_xlfn.XLOOKUP(MIN(ABS($AY$6:$AY$22 - MEDIAN(-2, 2, AK36))), ABS($AY$6:$AY$22 - MEDIAN(-2, 2, AK36)), $AZ$6:$AZ$22, "Error", 0)</f>
        <v>8</v>
      </c>
      <c r="AL65" s="30" t="str" cm="1">
        <f t="array" ref="AL65">_xlfn.XLOOKUP(MIN(ABS($AY$6:$AY$22 - MEDIAN(-2, 2, AL36))), ABS($AY$6:$AY$22 - MEDIAN(-2, 2, AL36)), $AZ$6:$AZ$22, "Error", 0)</f>
        <v>8</v>
      </c>
      <c r="AM65" s="30" t="str" cm="1">
        <f t="array" ref="AM65">_xlfn.XLOOKUP(MIN(ABS($AY$6:$AY$22 - MEDIAN(-2, 2, AM36))), ABS($AY$6:$AY$22 - MEDIAN(-2, 2, AM36)), $AZ$6:$AZ$22, "Error", 0)</f>
        <v>10</v>
      </c>
      <c r="AN65" s="30" t="str" cm="1">
        <f t="array" ref="AN65">_xlfn.XLOOKUP(MIN(ABS($AY$6:$AY$22 - MEDIAN(-2, 2, AN36))), ABS($AY$6:$AY$22 - MEDIAN(-2, 2, AN36)), $AZ$6:$AZ$22, "Error", 0)</f>
        <v>10</v>
      </c>
      <c r="AO65" s="30" t="str" cm="1">
        <f t="array" ref="AO65">_xlfn.XLOOKUP(MIN(ABS($AY$6:$AY$22 - MEDIAN(-2, 2, AO36))), ABS($AY$6:$AY$22 - MEDIAN(-2, 2, AO36)), $AZ$6:$AZ$22, "Error", 0)</f>
        <v>8</v>
      </c>
      <c r="AP65" s="30" t="str" cm="1">
        <f t="array" ref="AP65">_xlfn.XLOOKUP(MIN(ABS($AY$6:$AY$22 - MEDIAN(-2, 2, AP36))), ABS($AY$6:$AY$22 - MEDIAN(-2, 2, AP36)), $AZ$6:$AZ$22, "Error", 0)</f>
        <v>-8</v>
      </c>
      <c r="AQ65" s="30" t="str" cm="1">
        <f t="array" ref="AQ65">_xlfn.XLOOKUP(MIN(ABS($AY$6:$AY$22 - MEDIAN(-2, 2, AQ36))), ABS($AY$6:$AY$22 - MEDIAN(-2, 2, AQ36)), $AZ$6:$AZ$22, "Error", 0)</f>
        <v>-10</v>
      </c>
      <c r="AR65" s="30" t="str" cm="1">
        <f t="array" ref="AR65">_xlfn.XLOOKUP(MIN(ABS($AY$6:$AY$22 - MEDIAN(-2, 2, AR36))), ABS($AY$6:$AY$22 - MEDIAN(-2, 2, AR36)), $AZ$6:$AZ$22, "Error", 0)</f>
        <v>-6</v>
      </c>
      <c r="AS65" s="30" t="str" cm="1">
        <f t="array" ref="AS65">_xlfn.XLOOKUP(MIN(ABS($AY$6:$AY$22 - MEDIAN(-2, 2, AS36))), ABS($AY$6:$AY$22 - MEDIAN(-2, 2, AS36)), $AZ$6:$AZ$22, "Error", 0)</f>
        <v>-10</v>
      </c>
      <c r="AT65" s="30" t="str" cm="1">
        <f t="array" ref="AT65">_xlfn.XLOOKUP(MIN(ABS($AY$6:$AY$22 - MEDIAN(-2, 2, AT36))), ABS($AY$6:$AY$22 - MEDIAN(-2, 2, AT36)), $AZ$6:$AZ$22, "Error", 0)</f>
        <v>6</v>
      </c>
      <c r="AU65" s="30" t="str" cm="1">
        <f t="array" ref="AU65">_xlfn.XLOOKUP(MIN(ABS($AY$6:$AY$22 - MEDIAN(-2, 2, AU36))), ABS($AY$6:$AY$22 - MEDIAN(-2, 2, AU36)), $AZ$6:$AZ$22, "Error", 0)</f>
        <v>8</v>
      </c>
      <c r="AV65" s="30" cm="1">
        <f t="array" ref="AV65">_xlfn.XLOOKUP(MIN(ABS($AY$6:$AY$22 - MEDIAN(-2, 2, AV36))), ABS($AY$6:$AY$22 - MEDIAN(-2, 2, AV36)), $AZ$6:$AZ$22, "Error", 0)</f>
        <v>0</v>
      </c>
      <c r="AW65" s="30" cm="1">
        <f t="array" ref="AW65">_xlfn.XLOOKUP(MIN(ABS($AY$6:$AY$22 - MEDIAN(-2, 2, AW36))), ABS($AY$6:$AY$22 - MEDIAN(-2, 2, AW36)), $AZ$6:$AZ$22, "Error", 0)</f>
        <v>0</v>
      </c>
    </row>
    <row r="66" spans="1:49" ht="25" customHeight="1">
      <c r="A66" s="51" t="s">
        <v>19</v>
      </c>
      <c r="B66" s="30" t="str" cm="1">
        <f t="array" ref="B66">_xlfn.XLOOKUP(MIN(ABS($AY$6:$AY$22 - MEDIAN(-2, 2, B37))), ABS($AY$6:$AY$22 - MEDIAN(-2, 2, B37)), $AZ$6:$AZ$22, "Error", 0)</f>
        <v>8</v>
      </c>
      <c r="C66" s="30" t="str" cm="1">
        <f t="array" ref="C66">_xlfn.XLOOKUP(MIN(ABS($AY$6:$AY$22 - MEDIAN(-2, 2, C37))), ABS($AY$6:$AY$22 - MEDIAN(-2, 2, C37)), $AZ$6:$AZ$22, "Error", 0)</f>
        <v>10</v>
      </c>
      <c r="D66" s="30" t="str" cm="1">
        <f t="array" ref="D66">_xlfn.XLOOKUP(MIN(ABS($AY$6:$AY$22 - MEDIAN(-2, 2, D37))), ABS($AY$6:$AY$22 - MEDIAN(-2, 2, D37)), $AZ$6:$AZ$22, "Error", 0)</f>
        <v>-10</v>
      </c>
      <c r="E66" s="30" t="str" cm="1">
        <f t="array" ref="E66">_xlfn.XLOOKUP(MIN(ABS($AY$6:$AY$22 - MEDIAN(-2, 2, E37))), ABS($AY$6:$AY$22 - MEDIAN(-2, 2, E37)), $AZ$6:$AZ$22, "Error", 0)</f>
        <v>-10</v>
      </c>
      <c r="F66" s="30" t="str" cm="1">
        <f t="array" ref="F66">_xlfn.XLOOKUP(MIN(ABS($AY$6:$AY$22 - MEDIAN(-2, 2, F37))), ABS($AY$6:$AY$22 - MEDIAN(-2, 2, F37)), $AZ$6:$AZ$22, "Error", 0)</f>
        <v>-4</v>
      </c>
      <c r="G66" s="30" t="str" cm="1">
        <f t="array" ref="G66">_xlfn.XLOOKUP(MIN(ABS($AY$6:$AY$22 - MEDIAN(-2, 2, G37))), ABS($AY$6:$AY$22 - MEDIAN(-2, 2, G37)), $AZ$6:$AZ$22, "Error", 0)</f>
        <v>6</v>
      </c>
      <c r="H66" s="30" cm="1">
        <f t="array" ref="H66">_xlfn.XLOOKUP(MIN(ABS($AY$6:$AY$22 - MEDIAN(-2, 2, H37))), ABS($AY$6:$AY$22 - MEDIAN(-2, 2, H37)), $AZ$6:$AZ$22, "Error", 0)</f>
        <v>0</v>
      </c>
      <c r="I66" s="30" t="str" cm="1">
        <f t="array" ref="I66">_xlfn.XLOOKUP(MIN(ABS($AY$6:$AY$22 - MEDIAN(-2, 2, I37))), ABS($AY$6:$AY$22 - MEDIAN(-2, 2, I37)), $AZ$6:$AZ$22, "Error", 0)</f>
        <v>-8</v>
      </c>
      <c r="J66" s="30" t="str" cm="1">
        <f t="array" ref="J66">_xlfn.XLOOKUP(MIN(ABS($AY$6:$AY$22 - MEDIAN(-2, 2, J37))), ABS($AY$6:$AY$22 - MEDIAN(-2, 2, J37)), $AZ$6:$AZ$22, "Error", 0)</f>
        <v>-8</v>
      </c>
      <c r="K66" s="30" t="str" cm="1">
        <f t="array" ref="K66">_xlfn.XLOOKUP(MIN(ABS($AY$6:$AY$22 - MEDIAN(-2, 2, K37))), ABS($AY$6:$AY$22 - MEDIAN(-2, 2, K37)), $AZ$6:$AZ$22, "Error", 0)</f>
        <v>4</v>
      </c>
      <c r="L66" s="30" t="str" cm="1">
        <f t="array" ref="L66">_xlfn.XLOOKUP(MIN(ABS($AY$6:$AY$22 - MEDIAN(-2, 2, L37))), ABS($AY$6:$AY$22 - MEDIAN(-2, 2, L37)), $AZ$6:$AZ$22, "Error", 0)</f>
        <v>-4</v>
      </c>
      <c r="M66" s="30" t="str" cm="1">
        <f t="array" ref="M66">_xlfn.XLOOKUP(MIN(ABS($AY$6:$AY$22 - MEDIAN(-2, 2, M37))), ABS($AY$6:$AY$22 - MEDIAN(-2, 2, M37)), $AZ$6:$AZ$22, "Error", 0)</f>
        <v>-8</v>
      </c>
      <c r="N66" s="30" t="str" cm="1">
        <f t="array" ref="N66">_xlfn.XLOOKUP(MIN(ABS($AY$6:$AY$22 - MEDIAN(-2, 2, N37))), ABS($AY$6:$AY$22 - MEDIAN(-2, 2, N37)), $AZ$6:$AZ$22, "Error", 0)</f>
        <v>-8</v>
      </c>
      <c r="O66" s="30" cm="1">
        <f t="array" ref="O66">_xlfn.XLOOKUP(MIN(ABS($AY$6:$AY$22 - MEDIAN(-2, 2, O37))), ABS($AY$6:$AY$22 - MEDIAN(-2, 2, O37)), $AZ$6:$AZ$22, "Error", 0)</f>
        <v>0</v>
      </c>
      <c r="P66" s="30" t="str" cm="1">
        <f t="array" ref="P66">_xlfn.XLOOKUP(MIN(ABS($AY$6:$AY$22 - MEDIAN(-2, 2, P37))), ABS($AY$6:$AY$22 - MEDIAN(-2, 2, P37)), $AZ$6:$AZ$22, "Error", 0)</f>
        <v>-4</v>
      </c>
      <c r="Q66" s="30" t="str" cm="1">
        <f t="array" ref="Q66">_xlfn.XLOOKUP(MIN(ABS($AY$6:$AY$22 - MEDIAN(-2, 2, Q37))), ABS($AY$6:$AY$22 - MEDIAN(-2, 2, Q37)), $AZ$6:$AZ$22, "Error", 0)</f>
        <v>-4</v>
      </c>
      <c r="R66" s="30" cm="1">
        <f t="array" ref="R66">_xlfn.XLOOKUP(MIN(ABS($AY$6:$AY$22 - MEDIAN(-2, 2, R37))), ABS($AY$6:$AY$22 - MEDIAN(-2, 2, R37)), $AZ$6:$AZ$22, "Error", 0)</f>
        <v>0</v>
      </c>
      <c r="S66" s="30" cm="1">
        <f t="array" ref="S66">_xlfn.XLOOKUP(MIN(ABS($AY$6:$AY$22 - MEDIAN(-2, 2, S37))), ABS($AY$6:$AY$22 - MEDIAN(-2, 2, S37)), $AZ$6:$AZ$22, "Error", 0)</f>
        <v>0</v>
      </c>
      <c r="T66" s="30" t="str" cm="1">
        <f t="array" ref="T66">_xlfn.XLOOKUP(MIN(ABS($AY$6:$AY$22 - MEDIAN(-2, 2, T37))), ABS($AY$6:$AY$22 - MEDIAN(-2, 2, T37)), $AZ$6:$AZ$22, "Error", 0)</f>
        <v>4</v>
      </c>
      <c r="U66" s="30" t="str" cm="1">
        <f t="array" ref="U66">_xlfn.XLOOKUP(MIN(ABS($AY$6:$AY$22 - MEDIAN(-2, 2, U37))), ABS($AY$6:$AY$22 - MEDIAN(-2, 2, U37)), $AZ$6:$AZ$22, "Error", 0)</f>
        <v>10</v>
      </c>
      <c r="V66" s="30" t="str" cm="1">
        <f t="array" ref="V66">_xlfn.XLOOKUP(MIN(ABS($AY$6:$AY$22 - MEDIAN(-2, 2, V37))), ABS($AY$6:$AY$22 - MEDIAN(-2, 2, V37)), $AZ$6:$AZ$22, "Error", 0)</f>
        <v>10</v>
      </c>
      <c r="W66" s="30" t="str" cm="1">
        <f t="array" ref="W66">_xlfn.XLOOKUP(MIN(ABS($AY$6:$AY$22 - MEDIAN(-2, 2, W37))), ABS($AY$6:$AY$22 - MEDIAN(-2, 2, W37)), $AZ$6:$AZ$22, "Error", 0)</f>
        <v>4</v>
      </c>
      <c r="X66" s="30" t="str" cm="1">
        <f t="array" ref="X66">_xlfn.XLOOKUP(MIN(ABS($AY$6:$AY$22 - MEDIAN(-2, 2, X37))), ABS($AY$6:$AY$22 - MEDIAN(-2, 2, X37)), $AZ$6:$AZ$22, "Error", 0)</f>
        <v>10</v>
      </c>
      <c r="Y66" s="30" t="str" cm="1">
        <f t="array" ref="Y66">_xlfn.XLOOKUP(MIN(ABS($AY$6:$AY$22 - MEDIAN(-2, 2, Y37))), ABS($AY$6:$AY$22 - MEDIAN(-2, 2, Y37)), $AZ$6:$AZ$22, "Error", 0)</f>
        <v>3</v>
      </c>
      <c r="Z66" s="30" t="str" cm="1">
        <f t="array" ref="Z66">_xlfn.XLOOKUP(MIN(ABS($AY$6:$AY$22 - MEDIAN(-2, 2, Z37))), ABS($AY$6:$AY$22 - MEDIAN(-2, 2, Z37)), $AZ$6:$AZ$22, "Error", 0)</f>
        <v>2</v>
      </c>
      <c r="AA66" s="30" t="str" cm="1">
        <f t="array" ref="AA66">_xlfn.XLOOKUP(MIN(ABS($AY$6:$AY$22 - MEDIAN(-2, 2, AA37))), ABS($AY$6:$AY$22 - MEDIAN(-2, 2, AA37)), $AZ$6:$AZ$22, "Error", 0)</f>
        <v>10</v>
      </c>
      <c r="AB66" s="30" t="str" cm="1">
        <f t="array" ref="AB66">_xlfn.XLOOKUP(MIN(ABS($AY$6:$AY$22 - MEDIAN(-2, 2, AB37))), ABS($AY$6:$AY$22 - MEDIAN(-2, 2, AB37)), $AZ$6:$AZ$22, "Error", 0)</f>
        <v>6</v>
      </c>
      <c r="AC66" s="30" t="str" cm="1">
        <f t="array" ref="AC66">_xlfn.XLOOKUP(MIN(ABS($AY$6:$AY$22 - MEDIAN(-2, 2, AC37))), ABS($AY$6:$AY$22 - MEDIAN(-2, 2, AC37)), $AZ$6:$AZ$22, "Error", 0)</f>
        <v>2</v>
      </c>
      <c r="AD66" s="30" t="str" cm="1">
        <f t="array" ref="AD66">_xlfn.XLOOKUP(MIN(ABS($AY$6:$AY$22 - MEDIAN(-2, 2, AD37))), ABS($AY$6:$AY$22 - MEDIAN(-2, 2, AD37)), $AZ$6:$AZ$22, "Error", 0)</f>
        <v>3</v>
      </c>
      <c r="AE66" s="30" t="str" cm="1">
        <f t="array" ref="AE66">_xlfn.XLOOKUP(MIN(ABS($AY$6:$AY$22 - MEDIAN(-2, 2, AE37))), ABS($AY$6:$AY$22 - MEDIAN(-2, 2, AE37)), $AZ$6:$AZ$22, "Error", 0)</f>
        <v>4</v>
      </c>
      <c r="AF66" s="30" t="str" cm="1">
        <f t="array" ref="AF66">_xlfn.XLOOKUP(MIN(ABS($AY$6:$AY$22 - MEDIAN(-2, 2, AF37))), ABS($AY$6:$AY$22 - MEDIAN(-2, 2, AF37)), $AZ$6:$AZ$22, "Error", 0)</f>
        <v>4</v>
      </c>
      <c r="AG66" s="30" t="str" cm="1">
        <f t="array" ref="AG66">_xlfn.XLOOKUP(MIN(ABS($AY$6:$AY$22 - MEDIAN(-2, 2, AG37))), ABS($AY$6:$AY$22 - MEDIAN(-2, 2, AG37)), $AZ$6:$AZ$22, "Error", 0)</f>
        <v>8</v>
      </c>
      <c r="AH66" s="30" t="str" cm="1">
        <f t="array" ref="AH66">_xlfn.XLOOKUP(MIN(ABS($AY$6:$AY$22 - MEDIAN(-2, 2, AH37))), ABS($AY$6:$AY$22 - MEDIAN(-2, 2, AH37)), $AZ$6:$AZ$22, "Error", 0)</f>
        <v>6</v>
      </c>
      <c r="AI66" s="30" t="str" cm="1">
        <f t="array" ref="AI66">_xlfn.XLOOKUP(MIN(ABS($AY$6:$AY$22 - MEDIAN(-2, 2, AI37))), ABS($AY$6:$AY$22 - MEDIAN(-2, 2, AI37)), $AZ$6:$AZ$22, "Error", 0)</f>
        <v>8</v>
      </c>
      <c r="AJ66" s="30" t="str" cm="1">
        <f t="array" ref="AJ66">_xlfn.XLOOKUP(MIN(ABS($AY$6:$AY$22 - MEDIAN(-2, 2, AJ37))), ABS($AY$6:$AY$22 - MEDIAN(-2, 2, AJ37)), $AZ$6:$AZ$22, "Error", 0)</f>
        <v>8</v>
      </c>
      <c r="AK66" s="30" t="str" cm="1">
        <f t="array" ref="AK66">_xlfn.XLOOKUP(MIN(ABS($AY$6:$AY$22 - MEDIAN(-2, 2, AK37))), ABS($AY$6:$AY$22 - MEDIAN(-2, 2, AK37)), $AZ$6:$AZ$22, "Error", 0)</f>
        <v>-4</v>
      </c>
      <c r="AL66" s="30" t="str" cm="1">
        <f t="array" ref="AL66">_xlfn.XLOOKUP(MIN(ABS($AY$6:$AY$22 - MEDIAN(-2, 2, AL37))), ABS($AY$6:$AY$22 - MEDIAN(-2, 2, AL37)), $AZ$6:$AZ$22, "Error", 0)</f>
        <v>-8</v>
      </c>
      <c r="AM66" s="30" t="str" cm="1">
        <f t="array" ref="AM66">_xlfn.XLOOKUP(MIN(ABS($AY$6:$AY$22 - MEDIAN(-2, 2, AM37))), ABS($AY$6:$AY$22 - MEDIAN(-2, 2, AM37)), $AZ$6:$AZ$22, "Error", 0)</f>
        <v>-6</v>
      </c>
      <c r="AN66" s="30" t="str" cm="1">
        <f t="array" ref="AN66">_xlfn.XLOOKUP(MIN(ABS($AY$6:$AY$22 - MEDIAN(-2, 2, AN37))), ABS($AY$6:$AY$22 - MEDIAN(-2, 2, AN37)), $AZ$6:$AZ$22, "Error", 0)</f>
        <v>-10</v>
      </c>
      <c r="AO66" s="30" t="str" cm="1">
        <f t="array" ref="AO66">_xlfn.XLOOKUP(MIN(ABS($AY$6:$AY$22 - MEDIAN(-2, 2, AO37))), ABS($AY$6:$AY$22 - MEDIAN(-2, 2, AO37)), $AZ$6:$AZ$22, "Error", 0)</f>
        <v>8</v>
      </c>
      <c r="AP66" s="30" t="str" cm="1">
        <f t="array" ref="AP66">_xlfn.XLOOKUP(MIN(ABS($AY$6:$AY$22 - MEDIAN(-2, 2, AP37))), ABS($AY$6:$AY$22 - MEDIAN(-2, 2, AP37)), $AZ$6:$AZ$22, "Error", 0)</f>
        <v>9</v>
      </c>
      <c r="AQ66" s="30" t="str" cm="1">
        <f t="array" ref="AQ66">_xlfn.XLOOKUP(MIN(ABS($AY$6:$AY$22 - MEDIAN(-2, 2, AQ37))), ABS($AY$6:$AY$22 - MEDIAN(-2, 2, AQ37)), $AZ$6:$AZ$22, "Error", 0)</f>
        <v>6</v>
      </c>
      <c r="AR66" s="30" t="str" cm="1">
        <f t="array" ref="AR66">_xlfn.XLOOKUP(MIN(ABS($AY$6:$AY$22 - MEDIAN(-2, 2, AR37))), ABS($AY$6:$AY$22 - MEDIAN(-2, 2, AR37)), $AZ$6:$AZ$22, "Error", 0)</f>
        <v>-10</v>
      </c>
      <c r="AS66" s="30" t="str" cm="1">
        <f t="array" ref="AS66">_xlfn.XLOOKUP(MIN(ABS($AY$6:$AY$22 - MEDIAN(-2, 2, AS37))), ABS($AY$6:$AY$22 - MEDIAN(-2, 2, AS37)), $AZ$6:$AZ$22, "Error", 0)</f>
        <v>-10</v>
      </c>
      <c r="AT66" s="30" t="str" cm="1">
        <f t="array" ref="AT66">_xlfn.XLOOKUP(MIN(ABS($AY$6:$AY$22 - MEDIAN(-2, 2, AT37))), ABS($AY$6:$AY$22 - MEDIAN(-2, 2, AT37)), $AZ$6:$AZ$22, "Error", 0)</f>
        <v>-10</v>
      </c>
      <c r="AU66" s="30" t="str" cm="1">
        <f t="array" ref="AU66">_xlfn.XLOOKUP(MIN(ABS($AY$6:$AY$22 - MEDIAN(-2, 2, AU37))), ABS($AY$6:$AY$22 - MEDIAN(-2, 2, AU37)), $AZ$6:$AZ$22, "Error", 0)</f>
        <v>-8</v>
      </c>
      <c r="AV66" s="30" cm="1">
        <f t="array" ref="AV66">_xlfn.XLOOKUP(MIN(ABS($AY$6:$AY$22 - MEDIAN(-2, 2, AV37))), ABS($AY$6:$AY$22 - MEDIAN(-2, 2, AV37)), $AZ$6:$AZ$22, "Error", 0)</f>
        <v>0</v>
      </c>
      <c r="AW66" s="30" cm="1">
        <f t="array" ref="AW66">_xlfn.XLOOKUP(MIN(ABS($AY$6:$AY$22 - MEDIAN(-2, 2, AW37))), ABS($AY$6:$AY$22 - MEDIAN(-2, 2, AW37)), $AZ$6:$AZ$22, "Error", 0)</f>
        <v>0</v>
      </c>
    </row>
    <row r="69" spans="1:49" ht="25" customHeight="1" thickBot="1">
      <c r="B69" s="118">
        <v>-2</v>
      </c>
      <c r="C69" s="119" t="s">
        <v>26</v>
      </c>
      <c r="F69" s="122">
        <v>0.25</v>
      </c>
      <c r="G69" s="128" t="s">
        <v>32</v>
      </c>
    </row>
    <row r="70" spans="1:49" ht="25" customHeight="1" thickBot="1">
      <c r="B70" s="122">
        <v>-1.75</v>
      </c>
      <c r="C70" s="119" t="s">
        <v>27</v>
      </c>
      <c r="F70" s="118">
        <v>0.5</v>
      </c>
      <c r="G70" s="128" t="s">
        <v>33</v>
      </c>
    </row>
    <row r="71" spans="1:49" ht="25" customHeight="1" thickBot="1">
      <c r="B71" s="118">
        <v>-1.5</v>
      </c>
      <c r="C71" s="119" t="s">
        <v>28</v>
      </c>
      <c r="F71" s="122">
        <v>0.75</v>
      </c>
      <c r="G71" s="128" t="s">
        <v>34</v>
      </c>
    </row>
    <row r="72" spans="1:49" ht="25" customHeight="1" thickBot="1">
      <c r="B72" s="122">
        <v>-1.25</v>
      </c>
      <c r="C72" s="119" t="s">
        <v>29</v>
      </c>
      <c r="F72" s="118">
        <v>1</v>
      </c>
      <c r="G72" s="128" t="s">
        <v>35</v>
      </c>
    </row>
    <row r="73" spans="1:49" ht="25" customHeight="1" thickBot="1">
      <c r="B73" s="118">
        <v>-1</v>
      </c>
      <c r="C73" s="119" t="s">
        <v>30</v>
      </c>
      <c r="D73" s="118">
        <v>0</v>
      </c>
      <c r="E73" s="126">
        <v>0</v>
      </c>
      <c r="F73" s="122">
        <v>1.25</v>
      </c>
      <c r="G73" s="119" t="s">
        <v>29</v>
      </c>
    </row>
    <row r="74" spans="1:49" ht="25" customHeight="1" thickBot="1">
      <c r="B74" s="122">
        <v>-0.75</v>
      </c>
      <c r="C74" s="119" t="s">
        <v>31</v>
      </c>
      <c r="F74" s="118">
        <v>1.5</v>
      </c>
      <c r="G74" s="119" t="s">
        <v>31</v>
      </c>
    </row>
    <row r="75" spans="1:49" ht="25" customHeight="1" thickBot="1">
      <c r="B75" s="118">
        <v>-0.5</v>
      </c>
      <c r="C75" s="119" t="s">
        <v>29</v>
      </c>
      <c r="F75" s="122">
        <v>1.75</v>
      </c>
      <c r="G75" s="119" t="s">
        <v>36</v>
      </c>
    </row>
    <row r="76" spans="1:49" ht="25" customHeight="1" thickBot="1">
      <c r="B76" s="122">
        <v>-0.25</v>
      </c>
      <c r="C76" s="119" t="s">
        <v>28</v>
      </c>
      <c r="F76" s="118">
        <v>2</v>
      </c>
      <c r="G76" s="119" t="s">
        <v>30</v>
      </c>
    </row>
    <row r="77" spans="1:49" ht="25" customHeight="1"/>
    <row r="78" spans="1:49" ht="25" customHeight="1"/>
    <row r="79" spans="1:49" ht="25" customHeight="1"/>
    <row r="80" spans="1:49" ht="25" customHeight="1"/>
    <row r="81" ht="25" customHeight="1"/>
    <row r="82" ht="25" customHeight="1"/>
    <row r="83" ht="25" customHeight="1"/>
    <row r="84" ht="25" customHeight="1"/>
    <row r="85" ht="25" customHeight="1"/>
  </sheetData>
  <hyperlinks>
    <hyperlink ref="A2" r:id="rId1" display="source : IMF" xr:uid="{9E63401F-5C54-A947-9D70-EFFE135D6149}"/>
    <hyperlink ref="A10" r:id="rId2" xr:uid="{6D0D3226-7FBF-6D4C-8B65-A7DEEF6F83BE}"/>
  </hyperlinks>
  <pageMargins left="1.18" right="0.79" top="0.79" bottom="0.79" header="0" footer="0"/>
  <pageSetup paperSize="9" fitToWidth="0" fitToHeight="0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B9C0-BDC8-0A4F-861E-55A05FC52C96}">
  <dimension ref="A1:BM88"/>
  <sheetViews>
    <sheetView zoomScale="134" zoomScaleNormal="60" workbookViewId="0">
      <pane xSplit="1" ySplit="2" topLeftCell="BA3" activePane="bottomRight" state="frozen"/>
      <selection pane="topRight" activeCell="B1" sqref="B1"/>
      <selection pane="bottomLeft" activeCell="A3" sqref="A3"/>
      <selection pane="bottomRight" activeCell="BG8" sqref="BG8"/>
    </sheetView>
  </sheetViews>
  <sheetFormatPr baseColWidth="10" defaultColWidth="12" defaultRowHeight="15" customHeight="1"/>
  <cols>
    <col min="1" max="1" width="22" style="12" customWidth="1"/>
    <col min="2" max="50" width="18.83203125" style="12" customWidth="1"/>
    <col min="51" max="51" width="15.5" style="12" customWidth="1"/>
    <col min="52" max="53" width="14.5" style="12" customWidth="1"/>
    <col min="54" max="54" width="15.83203125" style="12" customWidth="1"/>
    <col min="55" max="55" width="14.5" style="12" customWidth="1"/>
    <col min="56" max="56" width="15.83203125" style="12" customWidth="1"/>
    <col min="57" max="57" width="20.5" style="12" customWidth="1"/>
    <col min="58" max="58" width="16.33203125" style="12" customWidth="1"/>
    <col min="59" max="59" width="14.33203125" style="12" customWidth="1"/>
    <col min="60" max="60" width="12.6640625" style="12" bestFit="1" customWidth="1"/>
    <col min="61" max="61" width="12.83203125" style="12" bestFit="1" customWidth="1"/>
    <col min="62" max="62" width="13.6640625" style="12" customWidth="1"/>
    <col min="63" max="63" width="15.33203125" style="12" customWidth="1"/>
    <col min="64" max="64" width="19.1640625" style="12" customWidth="1"/>
    <col min="65" max="65" width="31.1640625" style="12" customWidth="1"/>
    <col min="66" max="16384" width="12" style="12"/>
  </cols>
  <sheetData>
    <row r="1" spans="1:65" s="13" customFormat="1" ht="15" customHeight="1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65" s="13" customFormat="1" ht="20" customHeight="1" thickBot="1">
      <c r="A2" s="14" t="s">
        <v>37</v>
      </c>
      <c r="B2" s="15">
        <v>44562</v>
      </c>
      <c r="C2" s="15">
        <v>44593</v>
      </c>
      <c r="D2" s="15">
        <v>44621</v>
      </c>
      <c r="E2" s="15">
        <v>44652</v>
      </c>
      <c r="F2" s="15">
        <v>44682</v>
      </c>
      <c r="G2" s="15">
        <v>44713</v>
      </c>
      <c r="H2" s="15">
        <v>44743</v>
      </c>
      <c r="I2" s="15">
        <v>44774</v>
      </c>
      <c r="J2" s="15">
        <v>44805</v>
      </c>
      <c r="K2" s="15">
        <v>44835</v>
      </c>
      <c r="L2" s="15">
        <v>44866</v>
      </c>
      <c r="M2" s="15">
        <v>44896</v>
      </c>
      <c r="N2" s="15">
        <v>44927</v>
      </c>
      <c r="O2" s="15">
        <v>44958</v>
      </c>
      <c r="P2" s="15">
        <v>44986</v>
      </c>
      <c r="Q2" s="15">
        <v>45017</v>
      </c>
      <c r="R2" s="15">
        <v>45047</v>
      </c>
      <c r="S2" s="15">
        <v>45078</v>
      </c>
      <c r="T2" s="15">
        <v>45108</v>
      </c>
      <c r="U2" s="15">
        <v>45139</v>
      </c>
      <c r="V2" s="15">
        <v>45170</v>
      </c>
      <c r="W2" s="15">
        <v>45200</v>
      </c>
      <c r="X2" s="15">
        <v>45231</v>
      </c>
      <c r="Y2" s="15">
        <v>45261</v>
      </c>
      <c r="Z2" s="15">
        <v>45292</v>
      </c>
      <c r="AA2" s="15">
        <v>45323</v>
      </c>
      <c r="AB2" s="15">
        <v>45352</v>
      </c>
      <c r="AC2" s="15">
        <v>45383</v>
      </c>
      <c r="AD2" s="15">
        <v>45413</v>
      </c>
      <c r="AE2" s="15">
        <v>45444</v>
      </c>
      <c r="AF2" s="15">
        <v>45474</v>
      </c>
      <c r="AG2" s="15">
        <v>45505</v>
      </c>
      <c r="AH2" s="15">
        <v>45536</v>
      </c>
      <c r="AI2" s="15">
        <v>45566</v>
      </c>
      <c r="AJ2" s="15">
        <v>45597</v>
      </c>
      <c r="AK2" s="15">
        <v>45627</v>
      </c>
      <c r="AL2" s="15">
        <v>45658</v>
      </c>
      <c r="AM2" s="15">
        <v>45689</v>
      </c>
      <c r="AN2" s="15">
        <v>45717</v>
      </c>
      <c r="AO2" s="15">
        <v>45748</v>
      </c>
      <c r="AP2" s="15">
        <v>45778</v>
      </c>
      <c r="AQ2" s="15">
        <v>45809</v>
      </c>
      <c r="AR2" s="15">
        <v>45839</v>
      </c>
      <c r="AS2" s="15">
        <v>45870</v>
      </c>
      <c r="AT2" s="15">
        <v>45901</v>
      </c>
      <c r="AU2" s="15">
        <v>45931</v>
      </c>
      <c r="AV2" s="15">
        <v>45962</v>
      </c>
      <c r="AW2" s="15">
        <v>45992</v>
      </c>
      <c r="AX2" s="15">
        <v>46023</v>
      </c>
      <c r="AY2" s="15">
        <v>46054</v>
      </c>
      <c r="AZ2" s="15">
        <v>46082</v>
      </c>
      <c r="BA2" s="15">
        <v>46113</v>
      </c>
      <c r="BB2" s="15">
        <v>46143</v>
      </c>
      <c r="BC2" s="15">
        <v>46174</v>
      </c>
      <c r="BD2" s="15">
        <v>46204</v>
      </c>
      <c r="BE2" s="15">
        <v>46235</v>
      </c>
      <c r="BF2" s="15">
        <v>46266</v>
      </c>
      <c r="BG2" s="15">
        <v>46296</v>
      </c>
      <c r="BH2" s="15">
        <v>46327</v>
      </c>
      <c r="BI2" s="15">
        <v>46357</v>
      </c>
    </row>
    <row r="3" spans="1:65" ht="25" customHeight="1">
      <c r="A3" s="52" t="s">
        <v>38</v>
      </c>
      <c r="B3" s="197">
        <v>35902</v>
      </c>
      <c r="C3" s="197">
        <v>36120</v>
      </c>
      <c r="D3" s="197">
        <v>36276</v>
      </c>
      <c r="E3" s="197">
        <v>34607</v>
      </c>
      <c r="F3" s="197">
        <v>35095</v>
      </c>
      <c r="G3" s="197">
        <v>34447</v>
      </c>
      <c r="H3" s="197">
        <v>35634</v>
      </c>
      <c r="I3" s="197">
        <v>35922</v>
      </c>
      <c r="J3" s="197">
        <v>35037</v>
      </c>
      <c r="K3" s="197">
        <v>36113</v>
      </c>
      <c r="L3" s="197">
        <v>39040</v>
      </c>
      <c r="M3" s="197">
        <v>38480</v>
      </c>
      <c r="N3" s="197">
        <v>38149</v>
      </c>
      <c r="O3" s="197">
        <v>35320</v>
      </c>
      <c r="P3" s="197">
        <v>36375</v>
      </c>
      <c r="Q3" s="197">
        <v>38679</v>
      </c>
      <c r="R3" s="197">
        <v>36115</v>
      </c>
      <c r="S3" s="197">
        <v>36911</v>
      </c>
      <c r="T3" s="197">
        <v>38215</v>
      </c>
      <c r="U3" s="197">
        <v>38434</v>
      </c>
      <c r="V3" s="197">
        <v>35744</v>
      </c>
      <c r="W3" s="197">
        <v>35888</v>
      </c>
      <c r="X3" s="197">
        <v>38009</v>
      </c>
      <c r="Y3" s="197">
        <v>40897</v>
      </c>
      <c r="Z3" s="197">
        <v>35026</v>
      </c>
      <c r="AA3" s="197">
        <v>35126</v>
      </c>
      <c r="AB3" s="197">
        <v>34212</v>
      </c>
      <c r="AC3" s="197">
        <v>33803</v>
      </c>
      <c r="AD3" s="197">
        <v>35618</v>
      </c>
      <c r="AE3" s="197">
        <v>37644</v>
      </c>
      <c r="AF3" s="197">
        <v>36729</v>
      </c>
      <c r="AG3" s="197">
        <v>40610</v>
      </c>
      <c r="AH3" s="197">
        <v>39957</v>
      </c>
      <c r="AI3" s="197">
        <v>39030</v>
      </c>
      <c r="AJ3" s="197">
        <v>39287</v>
      </c>
      <c r="AK3" s="197">
        <v>39576</v>
      </c>
      <c r="AL3" s="197">
        <v>40770</v>
      </c>
      <c r="AM3" s="197">
        <v>41970</v>
      </c>
      <c r="AN3" s="197">
        <v>41098</v>
      </c>
      <c r="AO3" s="197">
        <v>39891</v>
      </c>
      <c r="AP3" s="197">
        <v>41757</v>
      </c>
      <c r="AQ3" s="197">
        <v>39970</v>
      </c>
      <c r="AR3" s="197">
        <v>39476</v>
      </c>
      <c r="AS3" s="197">
        <v>40717</v>
      </c>
      <c r="AT3" s="197">
        <v>42175</v>
      </c>
      <c r="AU3" s="197">
        <v>41482</v>
      </c>
      <c r="AV3" s="197">
        <v>42782</v>
      </c>
      <c r="AW3" s="197">
        <v>44962</v>
      </c>
      <c r="AX3" s="197">
        <v>40964</v>
      </c>
      <c r="AY3" s="198">
        <v>42106</v>
      </c>
      <c r="AZ3" s="198">
        <v>41982</v>
      </c>
      <c r="BA3" s="198">
        <v>41544</v>
      </c>
      <c r="BB3" s="198">
        <v>40705</v>
      </c>
      <c r="BC3" s="198">
        <v>41187</v>
      </c>
      <c r="BD3" s="198">
        <v>46150</v>
      </c>
      <c r="BE3" s="198">
        <v>46150</v>
      </c>
      <c r="BF3" s="198">
        <v>46150</v>
      </c>
      <c r="BG3" s="199"/>
      <c r="BH3" s="199"/>
      <c r="BI3" s="199"/>
      <c r="BK3" s="54">
        <v>-2000</v>
      </c>
      <c r="BL3" s="55">
        <v>10</v>
      </c>
    </row>
    <row r="4" spans="1:65" ht="25" customHeight="1">
      <c r="A4" s="56" t="s">
        <v>39</v>
      </c>
      <c r="B4" s="197">
        <v>76095</v>
      </c>
      <c r="C4" s="197">
        <v>74519</v>
      </c>
      <c r="D4" s="197">
        <v>75387</v>
      </c>
      <c r="E4" s="197">
        <v>78056</v>
      </c>
      <c r="F4" s="197">
        <v>80218</v>
      </c>
      <c r="G4" s="197">
        <v>79017</v>
      </c>
      <c r="H4" s="197">
        <v>79458</v>
      </c>
      <c r="I4" s="197">
        <v>80964</v>
      </c>
      <c r="J4" s="197">
        <v>76411</v>
      </c>
      <c r="K4" s="197">
        <v>77353</v>
      </c>
      <c r="L4" s="197">
        <v>79282</v>
      </c>
      <c r="M4" s="197">
        <v>79729</v>
      </c>
      <c r="N4" s="197">
        <v>82059</v>
      </c>
      <c r="O4" s="197">
        <v>80984</v>
      </c>
      <c r="P4" s="197">
        <v>81835</v>
      </c>
      <c r="Q4" s="197">
        <v>86299</v>
      </c>
      <c r="R4" s="197">
        <v>86006</v>
      </c>
      <c r="S4" s="197">
        <v>86474</v>
      </c>
      <c r="T4" s="197">
        <v>86488</v>
      </c>
      <c r="U4" s="197">
        <v>86550</v>
      </c>
      <c r="V4" s="197">
        <v>84626</v>
      </c>
      <c r="W4" s="197">
        <v>85070</v>
      </c>
      <c r="X4" s="197">
        <v>87525</v>
      </c>
      <c r="Y4" s="197">
        <v>89914</v>
      </c>
      <c r="Z4" s="197">
        <v>88305</v>
      </c>
      <c r="AA4" s="197">
        <v>88288</v>
      </c>
      <c r="AB4" s="197">
        <v>89875</v>
      </c>
      <c r="AC4" s="197">
        <v>93627</v>
      </c>
      <c r="AD4" s="197">
        <v>95171</v>
      </c>
      <c r="AE4" s="197">
        <v>94963</v>
      </c>
      <c r="AF4" s="197">
        <v>95929</v>
      </c>
      <c r="AG4" s="197">
        <v>97153</v>
      </c>
      <c r="AH4" s="197">
        <v>99088</v>
      </c>
      <c r="AI4" s="197">
        <v>94663</v>
      </c>
      <c r="AJ4" s="197">
        <v>94505</v>
      </c>
      <c r="AK4" s="197">
        <v>93879</v>
      </c>
      <c r="AL4" s="197">
        <v>90209</v>
      </c>
      <c r="AM4" s="197">
        <v>91801</v>
      </c>
      <c r="AN4" s="197">
        <v>97780</v>
      </c>
      <c r="AO4" s="197">
        <v>95814</v>
      </c>
      <c r="AP4" s="197">
        <v>96089</v>
      </c>
      <c r="AQ4" s="197">
        <v>98529</v>
      </c>
      <c r="AR4" s="197">
        <v>97607</v>
      </c>
      <c r="AS4" s="197">
        <v>98412</v>
      </c>
      <c r="AT4" s="197">
        <v>97141</v>
      </c>
      <c r="AU4" s="197">
        <v>99676</v>
      </c>
      <c r="AV4" s="197">
        <v>98608</v>
      </c>
      <c r="AW4" s="197">
        <v>98396</v>
      </c>
      <c r="AX4" s="197">
        <v>98880</v>
      </c>
      <c r="AY4" s="198">
        <v>98087</v>
      </c>
      <c r="AZ4" s="198">
        <v>97132</v>
      </c>
      <c r="BA4" s="198">
        <v>96496</v>
      </c>
      <c r="BB4" s="198">
        <v>96721</v>
      </c>
      <c r="BC4" s="198">
        <v>96543</v>
      </c>
      <c r="BD4" s="198">
        <v>96979</v>
      </c>
      <c r="BE4" s="199">
        <v>97000</v>
      </c>
      <c r="BF4" s="199">
        <v>97000</v>
      </c>
      <c r="BG4" s="199"/>
      <c r="BH4" s="199"/>
      <c r="BI4" s="199"/>
      <c r="BK4" s="54">
        <v>-1800</v>
      </c>
      <c r="BL4" s="57">
        <v>9</v>
      </c>
    </row>
    <row r="5" spans="1:65" ht="25" customHeight="1">
      <c r="A5" s="56" t="s">
        <v>40</v>
      </c>
      <c r="B5" s="197">
        <v>1264244</v>
      </c>
      <c r="C5" s="197">
        <v>1259159</v>
      </c>
      <c r="D5" s="197">
        <v>1230520</v>
      </c>
      <c r="E5" s="197">
        <v>1199561</v>
      </c>
      <c r="F5" s="197">
        <v>1208699</v>
      </c>
      <c r="G5" s="197">
        <v>1192911</v>
      </c>
      <c r="H5" s="197">
        <v>1206630</v>
      </c>
      <c r="I5" s="197">
        <v>1176896</v>
      </c>
      <c r="J5" s="197">
        <v>1125304</v>
      </c>
      <c r="K5" s="197">
        <v>1082452</v>
      </c>
      <c r="L5" s="197">
        <v>1109364</v>
      </c>
      <c r="M5" s="197">
        <v>1108189</v>
      </c>
      <c r="N5" s="197">
        <v>1126868</v>
      </c>
      <c r="O5" s="197">
        <v>1106343</v>
      </c>
      <c r="P5" s="197">
        <v>1134005</v>
      </c>
      <c r="Q5" s="197">
        <v>1142230</v>
      </c>
      <c r="R5" s="197">
        <v>1132162</v>
      </c>
      <c r="S5" s="197">
        <v>1126104</v>
      </c>
      <c r="T5" s="197">
        <v>1130301</v>
      </c>
      <c r="U5" s="197">
        <v>1132621</v>
      </c>
      <c r="V5" s="197">
        <v>1120048</v>
      </c>
      <c r="W5" s="197">
        <v>1117193</v>
      </c>
      <c r="X5" s="197">
        <v>1146719</v>
      </c>
      <c r="Y5" s="197">
        <v>1170437</v>
      </c>
      <c r="Z5" s="197">
        <v>1169506</v>
      </c>
      <c r="AA5" s="197">
        <v>1158491</v>
      </c>
      <c r="AB5" s="197">
        <v>1163521</v>
      </c>
      <c r="AC5" s="197">
        <v>1149316</v>
      </c>
      <c r="AD5" s="197">
        <v>1100113</v>
      </c>
      <c r="AE5" s="197">
        <v>1100691</v>
      </c>
      <c r="AF5" s="197">
        <v>1084573</v>
      </c>
      <c r="AG5" s="197">
        <v>1097528</v>
      </c>
      <c r="AH5" s="197">
        <v>1112931</v>
      </c>
      <c r="AI5" s="197">
        <v>1095601</v>
      </c>
      <c r="AJ5" s="197">
        <v>1099052</v>
      </c>
      <c r="AK5" s="197">
        <v>1092306</v>
      </c>
      <c r="AL5" s="197">
        <v>1096788</v>
      </c>
      <c r="AM5" s="197">
        <v>1108410</v>
      </c>
      <c r="AN5" s="197">
        <v>1118981</v>
      </c>
      <c r="AO5" s="197">
        <v>1136746</v>
      </c>
      <c r="AP5" s="197">
        <v>1137098</v>
      </c>
      <c r="AQ5" s="197">
        <v>1151692</v>
      </c>
      <c r="AR5" s="197">
        <v>1143537</v>
      </c>
      <c r="AS5" s="197">
        <v>1158765</v>
      </c>
      <c r="AT5" s="197">
        <v>1165059</v>
      </c>
      <c r="AU5" s="197">
        <v>1166724</v>
      </c>
      <c r="AV5" s="197">
        <v>1173675</v>
      </c>
      <c r="AW5" s="197">
        <v>1180501</v>
      </c>
      <c r="AX5" s="197">
        <v>1186456</v>
      </c>
      <c r="AY5" s="198">
        <v>1196112</v>
      </c>
      <c r="AZ5" s="198">
        <v>1177804</v>
      </c>
      <c r="BA5" s="198">
        <v>1185242</v>
      </c>
      <c r="BB5" s="198">
        <v>1109822</v>
      </c>
      <c r="BC5" s="198">
        <v>1106270</v>
      </c>
      <c r="BD5" s="198">
        <v>1105474</v>
      </c>
      <c r="BE5" s="198">
        <v>1105474</v>
      </c>
      <c r="BF5" s="198">
        <v>1105474</v>
      </c>
      <c r="BG5" s="199"/>
      <c r="BH5" s="199"/>
      <c r="BI5" s="199"/>
      <c r="BK5" s="54">
        <v>-1600</v>
      </c>
      <c r="BL5" s="57">
        <v>8</v>
      </c>
    </row>
    <row r="6" spans="1:65" ht="25" customHeight="1">
      <c r="A6" s="56" t="s">
        <v>41</v>
      </c>
      <c r="B6" s="197">
        <v>1017415.33276926</v>
      </c>
      <c r="C6" s="197">
        <v>1021205.08981894</v>
      </c>
      <c r="D6" s="197">
        <v>985078.611082925</v>
      </c>
      <c r="E6" s="197">
        <v>953465.07025382202</v>
      </c>
      <c r="F6" s="197">
        <v>964651.06098022102</v>
      </c>
      <c r="G6" s="197">
        <v>887448.48377898301</v>
      </c>
      <c r="H6" s="197">
        <v>887071.82518893003</v>
      </c>
      <c r="I6" s="197">
        <v>877562.25007178995</v>
      </c>
      <c r="J6" s="197">
        <v>822339.50118287001</v>
      </c>
      <c r="K6" s="197">
        <v>814555.69139651</v>
      </c>
      <c r="L6" s="197">
        <v>832856.41553394997</v>
      </c>
      <c r="M6" s="197">
        <v>848509.64472457999</v>
      </c>
      <c r="N6" s="197">
        <v>850924.62583743001</v>
      </c>
      <c r="O6" s="197">
        <v>822856.40727114002</v>
      </c>
      <c r="P6" s="197">
        <v>813080.98825078004</v>
      </c>
      <c r="Q6" s="197">
        <v>819722.54879051005</v>
      </c>
      <c r="R6" s="197">
        <v>805716.70373984997</v>
      </c>
      <c r="S6" s="197">
        <v>808190.38761075004</v>
      </c>
      <c r="T6" s="197">
        <v>803228.89738292003</v>
      </c>
      <c r="U6" s="197">
        <v>785734.46951539</v>
      </c>
      <c r="V6" s="197">
        <v>741365.63271349994</v>
      </c>
      <c r="W6" s="197">
        <v>724518.22715332999</v>
      </c>
      <c r="X6" s="197">
        <v>733629.27230166004</v>
      </c>
      <c r="Y6" s="197">
        <v>779970.86670073005</v>
      </c>
      <c r="Z6" s="197">
        <v>773682.26139491005</v>
      </c>
      <c r="AA6" s="197">
        <v>771212.30633077002</v>
      </c>
      <c r="AB6" s="197">
        <v>793167.83247262996</v>
      </c>
      <c r="AC6" s="197">
        <v>787294.66155710001</v>
      </c>
      <c r="AD6" s="197">
        <v>795406.01408371003</v>
      </c>
      <c r="AE6" s="197">
        <v>791623.07601919002</v>
      </c>
      <c r="AF6" s="197">
        <v>801978.46505593997</v>
      </c>
      <c r="AG6" s="197">
        <v>816745.32936813997</v>
      </c>
      <c r="AH6" s="197">
        <v>847502.50217124994</v>
      </c>
      <c r="AI6" s="197">
        <v>831453.67649541004</v>
      </c>
      <c r="AJ6" s="197">
        <v>822005.26087149</v>
      </c>
      <c r="AK6" s="197">
        <v>808024.55032190005</v>
      </c>
      <c r="AL6" s="197">
        <v>809259.31285310001</v>
      </c>
      <c r="AM6" s="197">
        <v>814973.05806839</v>
      </c>
      <c r="AN6" s="197">
        <v>822339.50372844003</v>
      </c>
      <c r="AO6" s="197">
        <v>854313.95996820997</v>
      </c>
      <c r="AP6" s="197">
        <v>854058.96599178005</v>
      </c>
      <c r="AQ6" s="197">
        <v>894234.59991367999</v>
      </c>
      <c r="AR6" s="197">
        <v>880000.59402575996</v>
      </c>
      <c r="AS6" s="197">
        <v>892783.54883409</v>
      </c>
      <c r="AT6" s="197">
        <v>911657.16152793996</v>
      </c>
      <c r="AU6" s="197">
        <v>902110.07125754002</v>
      </c>
      <c r="AV6" s="197">
        <v>903578.54878602002</v>
      </c>
      <c r="AW6" s="198">
        <v>914657.72</v>
      </c>
      <c r="AX6" s="198">
        <v>926074.95</v>
      </c>
      <c r="AY6" s="198">
        <v>923641.88</v>
      </c>
      <c r="AZ6" s="198">
        <v>901037.53</v>
      </c>
      <c r="BA6" s="198">
        <v>912992.02</v>
      </c>
      <c r="BB6" s="198">
        <v>909891</v>
      </c>
      <c r="BC6" s="198">
        <v>938060</v>
      </c>
      <c r="BD6" s="199">
        <v>921227</v>
      </c>
      <c r="BE6" s="199">
        <v>921227</v>
      </c>
      <c r="BF6" s="199">
        <v>921227</v>
      </c>
      <c r="BG6" s="199"/>
      <c r="BH6" s="199"/>
      <c r="BI6" s="199"/>
      <c r="BK6" s="54">
        <v>-1400</v>
      </c>
      <c r="BL6" s="57">
        <v>7</v>
      </c>
    </row>
    <row r="7" spans="1:65" ht="25" customHeight="1">
      <c r="A7" s="56" t="s">
        <v>42</v>
      </c>
      <c r="B7" s="197">
        <v>11132</v>
      </c>
      <c r="C7" s="197">
        <v>11012</v>
      </c>
      <c r="D7" s="197">
        <v>12794</v>
      </c>
      <c r="E7" s="197">
        <v>8547</v>
      </c>
      <c r="F7" s="197">
        <v>11076</v>
      </c>
      <c r="G7" s="197">
        <v>9127</v>
      </c>
      <c r="H7" s="197">
        <v>10034</v>
      </c>
      <c r="I7" s="197">
        <v>8685</v>
      </c>
      <c r="J7" s="197">
        <v>8231</v>
      </c>
      <c r="K7" s="197">
        <v>6716</v>
      </c>
      <c r="L7" s="197">
        <v>11377</v>
      </c>
      <c r="M7" s="197">
        <v>11061</v>
      </c>
      <c r="N7" s="197">
        <v>11419</v>
      </c>
      <c r="O7" s="197">
        <v>13462</v>
      </c>
      <c r="P7" s="197">
        <v>11364</v>
      </c>
      <c r="Q7" s="197">
        <v>12534</v>
      </c>
      <c r="R7" s="197">
        <v>12544</v>
      </c>
      <c r="S7" s="197">
        <v>9934</v>
      </c>
      <c r="T7" s="197">
        <v>13615</v>
      </c>
      <c r="U7" s="197">
        <v>12940</v>
      </c>
      <c r="V7" s="197">
        <v>13708</v>
      </c>
      <c r="W7" s="197">
        <v>12577</v>
      </c>
      <c r="X7" s="197">
        <v>15987</v>
      </c>
      <c r="Y7" s="197">
        <v>12113</v>
      </c>
      <c r="Z7" s="197">
        <v>14893</v>
      </c>
      <c r="AA7" s="197">
        <v>15975</v>
      </c>
      <c r="AB7" s="197">
        <v>12891</v>
      </c>
      <c r="AC7" s="197">
        <v>15712</v>
      </c>
      <c r="AD7" s="197">
        <v>14660</v>
      </c>
      <c r="AE7" s="197">
        <v>14485</v>
      </c>
      <c r="AF7" s="197">
        <v>17689</v>
      </c>
      <c r="AG7" s="197">
        <v>17055</v>
      </c>
      <c r="AH7" s="197">
        <v>17316</v>
      </c>
      <c r="AI7" s="197">
        <v>20275</v>
      </c>
      <c r="AJ7" s="197">
        <v>19174</v>
      </c>
      <c r="AK7" s="197">
        <v>18836</v>
      </c>
      <c r="AL7" s="197">
        <v>23379</v>
      </c>
      <c r="AM7" s="197">
        <v>24951</v>
      </c>
      <c r="AN7" s="197">
        <v>22603</v>
      </c>
      <c r="AO7" s="197">
        <v>23387</v>
      </c>
      <c r="AP7" s="197">
        <v>24600</v>
      </c>
      <c r="AQ7" s="197">
        <v>24320</v>
      </c>
      <c r="AR7" s="197">
        <v>25170</v>
      </c>
      <c r="AS7" s="197">
        <v>24884</v>
      </c>
      <c r="AT7" s="197">
        <v>24006</v>
      </c>
      <c r="AU7" s="197">
        <v>24202</v>
      </c>
      <c r="AV7" s="197">
        <v>28622</v>
      </c>
      <c r="AW7" s="197">
        <v>24781</v>
      </c>
      <c r="AX7" s="197">
        <v>27581</v>
      </c>
      <c r="AY7" s="198">
        <v>25799</v>
      </c>
      <c r="AZ7" s="198">
        <v>31400</v>
      </c>
      <c r="BA7" s="198">
        <v>27963</v>
      </c>
      <c r="BB7" s="198">
        <v>29365</v>
      </c>
      <c r="BC7" s="198">
        <v>26165</v>
      </c>
      <c r="BD7" s="199">
        <v>30563</v>
      </c>
      <c r="BE7" s="199">
        <v>30563</v>
      </c>
      <c r="BF7" s="199">
        <v>30563</v>
      </c>
      <c r="BG7" s="199"/>
      <c r="BH7" s="199"/>
      <c r="BI7" s="199"/>
      <c r="BK7" s="54">
        <v>-1200</v>
      </c>
      <c r="BL7" s="57">
        <v>6</v>
      </c>
    </row>
    <row r="8" spans="1:65" ht="25" customHeight="1">
      <c r="A8" s="56" t="s">
        <v>43</v>
      </c>
      <c r="B8" s="197">
        <v>120411.92262000999</v>
      </c>
      <c r="C8" s="197">
        <v>120532.745884465</v>
      </c>
      <c r="D8" s="197">
        <v>123104.96485587</v>
      </c>
      <c r="E8" s="197">
        <v>115053.03136725799</v>
      </c>
      <c r="F8" s="197">
        <v>112608.822387683</v>
      </c>
      <c r="G8" s="197">
        <v>110336.99497176</v>
      </c>
      <c r="H8" s="197">
        <v>108203.648903558</v>
      </c>
      <c r="I8" s="197">
        <v>107780.618727312</v>
      </c>
      <c r="J8" s="197">
        <v>97646.818620677703</v>
      </c>
      <c r="K8" s="197">
        <v>101927.446299615</v>
      </c>
      <c r="L8" s="197">
        <v>108268.346954487</v>
      </c>
      <c r="M8" s="197">
        <v>110285.51168202399</v>
      </c>
      <c r="N8" s="197">
        <v>108424.77866112201</v>
      </c>
      <c r="O8" s="197">
        <v>102781.80006860899</v>
      </c>
      <c r="P8" s="197">
        <v>105046.472206281</v>
      </c>
      <c r="Q8" s="197">
        <v>107719.014916935</v>
      </c>
      <c r="R8" s="197">
        <v>104068.46402270001</v>
      </c>
      <c r="S8" s="197">
        <v>106042.772411314</v>
      </c>
      <c r="T8" s="197">
        <v>110108.84819273</v>
      </c>
      <c r="U8" s="197">
        <v>109175.590055629</v>
      </c>
      <c r="V8" s="197">
        <v>103971.129100449</v>
      </c>
      <c r="W8" s="197">
        <v>103736.911974876</v>
      </c>
      <c r="X8" s="197">
        <v>106107.64323906301</v>
      </c>
      <c r="Y8" s="197">
        <v>108765.242850072</v>
      </c>
      <c r="Z8" s="197">
        <v>105698.518328947</v>
      </c>
      <c r="AA8" s="197">
        <v>104694.575643369</v>
      </c>
      <c r="AB8" s="197">
        <v>105493.851711945</v>
      </c>
      <c r="AC8" s="197">
        <v>100104.927353725</v>
      </c>
      <c r="AD8" s="197">
        <v>103539.628914513</v>
      </c>
      <c r="AE8" s="197">
        <v>102150.42557152201</v>
      </c>
      <c r="AF8" s="197">
        <v>106238.071485917</v>
      </c>
      <c r="AG8" s="197">
        <v>107970.45119140101</v>
      </c>
      <c r="AH8" s="197">
        <v>106798.851022666</v>
      </c>
      <c r="AI8" s="197">
        <v>104268.475611637</v>
      </c>
      <c r="AJ8" s="197">
        <v>104730.555425379</v>
      </c>
      <c r="AK8" s="197">
        <v>102683.200655475</v>
      </c>
      <c r="AL8" s="197">
        <v>102719.519566709</v>
      </c>
      <c r="AM8" s="197">
        <v>104175.922981411</v>
      </c>
      <c r="AN8" s="197">
        <v>106345.15008879</v>
      </c>
      <c r="AO8" s="197">
        <v>111229.12912809799</v>
      </c>
      <c r="AP8" s="197">
        <v>112666.823387442</v>
      </c>
      <c r="AQ8" s="197">
        <v>116903.285018874</v>
      </c>
      <c r="AR8" s="197">
        <v>115962.86317898</v>
      </c>
      <c r="AS8" s="197">
        <v>118608.229280846</v>
      </c>
      <c r="AT8" s="197">
        <v>122086.558864244</v>
      </c>
      <c r="AU8" s="197">
        <v>121043.617735855</v>
      </c>
      <c r="AV8" s="197">
        <v>123015.11077936301</v>
      </c>
      <c r="AW8" s="197">
        <v>123790.23025429199</v>
      </c>
      <c r="AX8" s="197">
        <v>123927.95261473001</v>
      </c>
      <c r="AY8" s="198">
        <v>126625.3</v>
      </c>
      <c r="AZ8" s="198">
        <v>126449.82</v>
      </c>
      <c r="BA8" s="198">
        <v>122681.06</v>
      </c>
      <c r="BB8" s="199">
        <v>125316</v>
      </c>
      <c r="BC8" s="199">
        <v>125035</v>
      </c>
      <c r="BD8" s="199">
        <v>124927</v>
      </c>
      <c r="BE8" s="199">
        <v>124927</v>
      </c>
      <c r="BF8" s="199">
        <v>124927</v>
      </c>
      <c r="BG8" s="199"/>
      <c r="BH8" s="199"/>
      <c r="BI8" s="199"/>
      <c r="BK8" s="54">
        <v>-1000</v>
      </c>
      <c r="BL8" s="57">
        <v>5</v>
      </c>
    </row>
    <row r="9" spans="1:65" ht="25" customHeight="1">
      <c r="A9" s="58" t="s">
        <v>44</v>
      </c>
      <c r="B9" s="197">
        <v>40353.170634299997</v>
      </c>
      <c r="C9" s="197">
        <v>40387.912338230002</v>
      </c>
      <c r="D9" s="197">
        <v>39252.166932009997</v>
      </c>
      <c r="E9" s="197">
        <v>37053.644965500003</v>
      </c>
      <c r="F9" s="197">
        <v>37610.209968980002</v>
      </c>
      <c r="G9" s="197">
        <v>36273.389466619999</v>
      </c>
      <c r="H9" s="197">
        <v>35946.73222559</v>
      </c>
      <c r="I9" s="197">
        <v>35098.677035649998</v>
      </c>
      <c r="J9" s="197">
        <v>33935.23095782</v>
      </c>
      <c r="K9" s="197">
        <v>33821.295939249998</v>
      </c>
      <c r="L9" s="197">
        <v>35619.668835889999</v>
      </c>
      <c r="M9" s="197">
        <v>37208.745764419997</v>
      </c>
      <c r="N9" s="197">
        <v>37755.473934369998</v>
      </c>
      <c r="O9" s="197">
        <v>36604.927859759999</v>
      </c>
      <c r="P9" s="197">
        <v>37565.901310959998</v>
      </c>
      <c r="Q9" s="197">
        <v>37627.610255020001</v>
      </c>
      <c r="R9" s="197">
        <v>36459.007783460002</v>
      </c>
      <c r="S9" s="197">
        <v>36643.742202310001</v>
      </c>
      <c r="T9" s="197">
        <v>37113.846727429998</v>
      </c>
      <c r="U9" s="197">
        <v>36448.630406060001</v>
      </c>
      <c r="V9" s="197">
        <v>35613.440491909998</v>
      </c>
      <c r="W9" s="197">
        <v>35213.518511560003</v>
      </c>
      <c r="X9" s="197">
        <v>36302.629209060004</v>
      </c>
      <c r="Y9" s="197">
        <v>37316.475107159997</v>
      </c>
      <c r="Z9" s="197">
        <v>36438.875073820003</v>
      </c>
      <c r="AA9" s="197">
        <v>36076.820776690001</v>
      </c>
      <c r="AB9" s="197">
        <v>35990.219972020001</v>
      </c>
      <c r="AC9" s="197">
        <v>35315.932785750003</v>
      </c>
      <c r="AD9" s="197">
        <v>35757.623269219999</v>
      </c>
      <c r="AE9" s="197">
        <v>35242.830337450003</v>
      </c>
      <c r="AF9" s="197">
        <v>36357.415214909997</v>
      </c>
      <c r="AG9" s="197">
        <v>37318.044689390001</v>
      </c>
      <c r="AH9" s="197">
        <v>37804.751760610001</v>
      </c>
      <c r="AI9" s="197">
        <v>36337.083623129998</v>
      </c>
      <c r="AJ9" s="197">
        <v>35805.154249309999</v>
      </c>
      <c r="AK9" s="197">
        <v>34865.010501140001</v>
      </c>
      <c r="AL9" s="197">
        <v>35207.947735330003</v>
      </c>
      <c r="AM9" s="197">
        <v>35597.682377199999</v>
      </c>
      <c r="AN9" s="197">
        <v>36586.62591363</v>
      </c>
      <c r="AO9" s="197">
        <v>38564.764109340002</v>
      </c>
      <c r="AP9" s="197">
        <v>38470.276149040001</v>
      </c>
      <c r="AQ9" s="197">
        <v>39471.180617129998</v>
      </c>
      <c r="AR9" s="197">
        <v>38203.046276050001</v>
      </c>
      <c r="AS9" s="197">
        <v>39161.137163929998</v>
      </c>
      <c r="AT9" s="197">
        <v>39204.553506559998</v>
      </c>
      <c r="AU9" s="197">
        <v>38314.056280769997</v>
      </c>
      <c r="AV9" s="197">
        <v>38330</v>
      </c>
      <c r="AW9" s="197">
        <v>38641</v>
      </c>
      <c r="AX9" s="197">
        <v>39222.228900000002</v>
      </c>
      <c r="AY9" s="198">
        <v>38992.339999999997</v>
      </c>
      <c r="AZ9" s="198">
        <v>38121</v>
      </c>
      <c r="BA9" s="198">
        <v>38121</v>
      </c>
      <c r="BB9" s="199">
        <v>39000</v>
      </c>
      <c r="BC9" s="199">
        <v>38591</v>
      </c>
      <c r="BD9" s="199">
        <v>38992</v>
      </c>
      <c r="BE9" s="199">
        <v>38992</v>
      </c>
      <c r="BF9" s="199">
        <v>38992</v>
      </c>
      <c r="BG9" s="199"/>
      <c r="BH9" s="199"/>
      <c r="BI9" s="199"/>
      <c r="BK9" s="54">
        <v>-800</v>
      </c>
      <c r="BL9" s="57">
        <v>4</v>
      </c>
    </row>
    <row r="10" spans="1:65" ht="25" customHeight="1">
      <c r="A10" s="59" t="s">
        <v>13</v>
      </c>
      <c r="B10" s="197">
        <v>312546</v>
      </c>
      <c r="C10" s="197">
        <v>313471</v>
      </c>
      <c r="D10" s="197">
        <v>309506</v>
      </c>
      <c r="E10" s="197">
        <v>305206</v>
      </c>
      <c r="F10" s="197">
        <v>307840</v>
      </c>
      <c r="G10" s="197">
        <v>305918</v>
      </c>
      <c r="H10" s="197">
        <v>308938</v>
      </c>
      <c r="I10" s="197">
        <v>306005</v>
      </c>
      <c r="J10" s="197">
        <v>303179</v>
      </c>
      <c r="K10" s="197">
        <v>304221</v>
      </c>
      <c r="L10" s="197">
        <v>309061</v>
      </c>
      <c r="M10" s="197">
        <v>315345</v>
      </c>
      <c r="N10" s="197">
        <v>310949</v>
      </c>
      <c r="O10" s="197">
        <v>293900</v>
      </c>
      <c r="P10" s="197">
        <v>297950</v>
      </c>
      <c r="Q10" s="197">
        <v>295116</v>
      </c>
      <c r="R10" s="197">
        <v>292792</v>
      </c>
      <c r="S10" s="197">
        <v>293016</v>
      </c>
      <c r="T10" s="197">
        <v>294678</v>
      </c>
      <c r="U10" s="197">
        <v>292405</v>
      </c>
      <c r="V10" s="197">
        <v>285245</v>
      </c>
      <c r="W10" s="197">
        <v>287457</v>
      </c>
      <c r="X10" s="197">
        <v>295267</v>
      </c>
      <c r="Y10" s="197">
        <v>301470</v>
      </c>
      <c r="Z10" s="197">
        <v>299104</v>
      </c>
      <c r="AA10" s="197">
        <v>298787</v>
      </c>
      <c r="AB10" s="197">
        <v>298344</v>
      </c>
      <c r="AC10" s="197">
        <v>295492</v>
      </c>
      <c r="AD10" s="197">
        <v>298861</v>
      </c>
      <c r="AE10" s="197">
        <v>301235</v>
      </c>
      <c r="AF10" s="197">
        <v>301245</v>
      </c>
      <c r="AG10" s="197">
        <v>300873</v>
      </c>
      <c r="AH10" s="197">
        <v>303818</v>
      </c>
      <c r="AI10" s="197">
        <v>299382</v>
      </c>
      <c r="AJ10" s="197">
        <v>300478</v>
      </c>
      <c r="AK10" s="197">
        <v>300657</v>
      </c>
      <c r="AL10" s="197">
        <v>298104</v>
      </c>
      <c r="AM10" s="197">
        <v>302136</v>
      </c>
      <c r="AN10" s="197">
        <v>304980</v>
      </c>
      <c r="AO10" s="197">
        <v>310594</v>
      </c>
      <c r="AP10" s="197">
        <v>312792</v>
      </c>
      <c r="AQ10" s="197">
        <v>316343</v>
      </c>
      <c r="AR10" s="197">
        <v>314415</v>
      </c>
      <c r="AS10" s="197">
        <v>316890</v>
      </c>
      <c r="AT10" s="197">
        <v>322760</v>
      </c>
      <c r="AU10" s="197">
        <v>322351</v>
      </c>
      <c r="AV10" s="197">
        <v>325548</v>
      </c>
      <c r="AW10" s="197">
        <v>334436</v>
      </c>
      <c r="AX10" s="197">
        <v>343000</v>
      </c>
      <c r="AY10" s="199">
        <v>343000</v>
      </c>
      <c r="AZ10" s="199">
        <v>348000</v>
      </c>
      <c r="BA10" s="199">
        <v>359000</v>
      </c>
      <c r="BB10" s="199">
        <v>352000</v>
      </c>
      <c r="BC10" s="199">
        <v>340574</v>
      </c>
      <c r="BD10" s="199">
        <v>342550</v>
      </c>
      <c r="BE10" s="199">
        <v>342550</v>
      </c>
      <c r="BF10" s="199">
        <v>342550</v>
      </c>
      <c r="BG10" s="199"/>
      <c r="BH10" s="199"/>
      <c r="BI10" s="199"/>
      <c r="BK10" s="54">
        <v>-600</v>
      </c>
      <c r="BL10" s="57">
        <v>3</v>
      </c>
    </row>
    <row r="11" spans="1:65" ht="25" customHeight="1">
      <c r="A11" s="60"/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2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K11" s="54">
        <v>-400</v>
      </c>
      <c r="BL11" s="57">
        <v>2</v>
      </c>
    </row>
    <row r="12" spans="1:65" ht="25" customHeight="1">
      <c r="A12" s="279" t="s">
        <v>60</v>
      </c>
      <c r="B12" s="279"/>
      <c r="C12" s="279"/>
      <c r="D12" s="279"/>
      <c r="E12" s="279"/>
      <c r="F12" s="279"/>
      <c r="G12" s="279"/>
      <c r="H12" s="279"/>
      <c r="I12" s="279"/>
      <c r="J12" s="279"/>
      <c r="K12" s="279"/>
      <c r="L12" s="279"/>
      <c r="M12" s="279"/>
      <c r="N12" s="279"/>
      <c r="O12" s="279"/>
      <c r="P12" s="279"/>
      <c r="Q12" s="279"/>
      <c r="R12" s="279"/>
      <c r="S12" s="279"/>
      <c r="T12" s="279"/>
      <c r="U12" s="279"/>
      <c r="V12" s="279"/>
      <c r="W12" s="279"/>
      <c r="X12" s="279"/>
      <c r="Y12" s="279"/>
      <c r="Z12" s="279"/>
      <c r="AA12" s="279"/>
      <c r="AB12" s="279"/>
      <c r="AC12" s="279"/>
      <c r="AD12" s="279"/>
      <c r="AE12" s="279"/>
      <c r="AF12" s="279"/>
      <c r="AG12" s="279"/>
      <c r="AH12" s="279"/>
      <c r="AI12" s="279"/>
      <c r="AJ12" s="279"/>
      <c r="AK12" s="279"/>
      <c r="AL12" s="279"/>
      <c r="AM12" s="279"/>
      <c r="AN12" s="279"/>
      <c r="AO12" s="279"/>
      <c r="AP12" s="279"/>
      <c r="AQ12" s="279"/>
      <c r="AR12" s="279"/>
      <c r="AS12" s="279"/>
      <c r="AT12" s="279"/>
      <c r="AU12" s="279"/>
      <c r="AV12" s="279"/>
      <c r="AW12" s="279"/>
      <c r="AX12" s="279"/>
      <c r="AY12" s="279"/>
      <c r="AZ12" s="279"/>
      <c r="BA12" s="279"/>
      <c r="BB12" s="279"/>
      <c r="BC12" s="279"/>
      <c r="BD12" s="279"/>
      <c r="BE12" s="279"/>
      <c r="BF12" s="279"/>
      <c r="BG12" s="279"/>
      <c r="BH12" s="279"/>
      <c r="BI12" s="279"/>
      <c r="BK12" s="54">
        <v>-200</v>
      </c>
      <c r="BL12" s="57">
        <v>1</v>
      </c>
    </row>
    <row r="13" spans="1:65" ht="25" customHeight="1">
      <c r="A13" s="14" t="s">
        <v>37</v>
      </c>
      <c r="B13" s="15">
        <v>44562</v>
      </c>
      <c r="C13" s="15">
        <v>44593</v>
      </c>
      <c r="D13" s="15">
        <v>44621</v>
      </c>
      <c r="E13" s="15">
        <v>44652</v>
      </c>
      <c r="F13" s="15">
        <v>44682</v>
      </c>
      <c r="G13" s="15">
        <v>44713</v>
      </c>
      <c r="H13" s="15">
        <v>44743</v>
      </c>
      <c r="I13" s="15">
        <v>44774</v>
      </c>
      <c r="J13" s="15">
        <v>44805</v>
      </c>
      <c r="K13" s="15">
        <v>44835</v>
      </c>
      <c r="L13" s="15">
        <v>44866</v>
      </c>
      <c r="M13" s="15">
        <v>44896</v>
      </c>
      <c r="N13" s="15">
        <v>44927</v>
      </c>
      <c r="O13" s="15">
        <v>44958</v>
      </c>
      <c r="P13" s="15">
        <v>44986</v>
      </c>
      <c r="Q13" s="15">
        <v>45017</v>
      </c>
      <c r="R13" s="15">
        <v>45047</v>
      </c>
      <c r="S13" s="15">
        <v>45078</v>
      </c>
      <c r="T13" s="15">
        <v>45108</v>
      </c>
      <c r="U13" s="15">
        <v>45139</v>
      </c>
      <c r="V13" s="15">
        <v>45170</v>
      </c>
      <c r="W13" s="15">
        <v>45200</v>
      </c>
      <c r="X13" s="15">
        <v>45231</v>
      </c>
      <c r="Y13" s="15">
        <v>45261</v>
      </c>
      <c r="Z13" s="15">
        <v>45292</v>
      </c>
      <c r="AA13" s="15">
        <v>45323</v>
      </c>
      <c r="AB13" s="15">
        <v>45352</v>
      </c>
      <c r="AC13" s="15">
        <v>45383</v>
      </c>
      <c r="AD13" s="15">
        <v>45413</v>
      </c>
      <c r="AE13" s="15">
        <v>45444</v>
      </c>
      <c r="AF13" s="15">
        <v>45474</v>
      </c>
      <c r="AG13" s="15">
        <v>45505</v>
      </c>
      <c r="AH13" s="15">
        <v>45536</v>
      </c>
      <c r="AI13" s="15">
        <v>45566</v>
      </c>
      <c r="AJ13" s="15">
        <v>45597</v>
      </c>
      <c r="AK13" s="15">
        <v>45627</v>
      </c>
      <c r="AL13" s="15">
        <v>45658</v>
      </c>
      <c r="AM13" s="15">
        <v>45689</v>
      </c>
      <c r="AN13" s="15">
        <v>45717</v>
      </c>
      <c r="AO13" s="15">
        <v>45748</v>
      </c>
      <c r="AP13" s="15">
        <v>45778</v>
      </c>
      <c r="AQ13" s="15">
        <v>45809</v>
      </c>
      <c r="AR13" s="15">
        <v>45839</v>
      </c>
      <c r="AS13" s="15">
        <v>45870</v>
      </c>
      <c r="AT13" s="15">
        <v>45901</v>
      </c>
      <c r="AU13" s="15">
        <v>45931</v>
      </c>
      <c r="AV13" s="15">
        <v>45962</v>
      </c>
      <c r="AW13" s="15">
        <v>45992</v>
      </c>
      <c r="AX13" s="15">
        <v>46023</v>
      </c>
      <c r="AY13" s="15">
        <v>46054</v>
      </c>
      <c r="AZ13" s="15">
        <v>46082</v>
      </c>
      <c r="BA13" s="15">
        <v>46113</v>
      </c>
      <c r="BB13" s="15">
        <v>46143</v>
      </c>
      <c r="BC13" s="15">
        <v>46174</v>
      </c>
      <c r="BD13" s="15">
        <v>46204</v>
      </c>
      <c r="BE13" s="15">
        <v>46235</v>
      </c>
      <c r="BF13" s="15">
        <v>46266</v>
      </c>
      <c r="BG13" s="15">
        <v>46296</v>
      </c>
      <c r="BH13" s="15">
        <v>46327</v>
      </c>
      <c r="BI13" s="15">
        <v>46357</v>
      </c>
      <c r="BK13" s="64">
        <v>0</v>
      </c>
      <c r="BL13" s="64">
        <v>0</v>
      </c>
    </row>
    <row r="14" spans="1:65" ht="25" customHeight="1">
      <c r="A14" s="52" t="s">
        <v>38</v>
      </c>
      <c r="B14" s="65"/>
      <c r="C14" s="66">
        <f t="shared" ref="C14:AH14" si="0">C3-B3</f>
        <v>218</v>
      </c>
      <c r="D14" s="66">
        <f t="shared" si="0"/>
        <v>156</v>
      </c>
      <c r="E14" s="66">
        <f t="shared" si="0"/>
        <v>-1669</v>
      </c>
      <c r="F14" s="66">
        <f t="shared" si="0"/>
        <v>488</v>
      </c>
      <c r="G14" s="66">
        <f t="shared" si="0"/>
        <v>-648</v>
      </c>
      <c r="H14" s="66">
        <f t="shared" si="0"/>
        <v>1187</v>
      </c>
      <c r="I14" s="66">
        <f t="shared" si="0"/>
        <v>288</v>
      </c>
      <c r="J14" s="66">
        <f t="shared" si="0"/>
        <v>-885</v>
      </c>
      <c r="K14" s="66">
        <f t="shared" si="0"/>
        <v>1076</v>
      </c>
      <c r="L14" s="66">
        <f t="shared" si="0"/>
        <v>2927</v>
      </c>
      <c r="M14" s="66">
        <f t="shared" si="0"/>
        <v>-560</v>
      </c>
      <c r="N14" s="66">
        <f t="shared" si="0"/>
        <v>-331</v>
      </c>
      <c r="O14" s="66">
        <f t="shared" si="0"/>
        <v>-2829</v>
      </c>
      <c r="P14" s="66">
        <f t="shared" si="0"/>
        <v>1055</v>
      </c>
      <c r="Q14" s="66">
        <f t="shared" si="0"/>
        <v>2304</v>
      </c>
      <c r="R14" s="66">
        <f t="shared" si="0"/>
        <v>-2564</v>
      </c>
      <c r="S14" s="66">
        <f t="shared" si="0"/>
        <v>796</v>
      </c>
      <c r="T14" s="66">
        <f t="shared" si="0"/>
        <v>1304</v>
      </c>
      <c r="U14" s="66">
        <f t="shared" si="0"/>
        <v>219</v>
      </c>
      <c r="V14" s="66">
        <f t="shared" si="0"/>
        <v>-2690</v>
      </c>
      <c r="W14" s="66">
        <f t="shared" si="0"/>
        <v>144</v>
      </c>
      <c r="X14" s="66">
        <f t="shared" si="0"/>
        <v>2121</v>
      </c>
      <c r="Y14" s="66">
        <f t="shared" si="0"/>
        <v>2888</v>
      </c>
      <c r="Z14" s="66">
        <f t="shared" si="0"/>
        <v>-5871</v>
      </c>
      <c r="AA14" s="66">
        <f t="shared" si="0"/>
        <v>100</v>
      </c>
      <c r="AB14" s="66">
        <f t="shared" si="0"/>
        <v>-914</v>
      </c>
      <c r="AC14" s="66">
        <f t="shared" si="0"/>
        <v>-409</v>
      </c>
      <c r="AD14" s="66">
        <f t="shared" si="0"/>
        <v>1815</v>
      </c>
      <c r="AE14" s="66">
        <f t="shared" si="0"/>
        <v>2026</v>
      </c>
      <c r="AF14" s="66">
        <f t="shared" si="0"/>
        <v>-915</v>
      </c>
      <c r="AG14" s="66">
        <f t="shared" si="0"/>
        <v>3881</v>
      </c>
      <c r="AH14" s="66">
        <f t="shared" si="0"/>
        <v>-653</v>
      </c>
      <c r="AI14" s="66">
        <f t="shared" ref="AI14:BI14" si="1">AI3-AH3</f>
        <v>-927</v>
      </c>
      <c r="AJ14" s="66">
        <f t="shared" si="1"/>
        <v>257</v>
      </c>
      <c r="AK14" s="66">
        <f t="shared" si="1"/>
        <v>289</v>
      </c>
      <c r="AL14" s="66">
        <f t="shared" si="1"/>
        <v>1194</v>
      </c>
      <c r="AM14" s="66">
        <f t="shared" si="1"/>
        <v>1200</v>
      </c>
      <c r="AN14" s="66">
        <f t="shared" si="1"/>
        <v>-872</v>
      </c>
      <c r="AO14" s="66">
        <f t="shared" si="1"/>
        <v>-1207</v>
      </c>
      <c r="AP14" s="66">
        <f t="shared" si="1"/>
        <v>1866</v>
      </c>
      <c r="AQ14" s="66">
        <f t="shared" si="1"/>
        <v>-1787</v>
      </c>
      <c r="AR14" s="66">
        <f t="shared" si="1"/>
        <v>-494</v>
      </c>
      <c r="AS14" s="66">
        <f t="shared" si="1"/>
        <v>1241</v>
      </c>
      <c r="AT14" s="66">
        <f t="shared" si="1"/>
        <v>1458</v>
      </c>
      <c r="AU14" s="66">
        <f t="shared" si="1"/>
        <v>-693</v>
      </c>
      <c r="AV14" s="66">
        <f t="shared" si="1"/>
        <v>1300</v>
      </c>
      <c r="AW14" s="66">
        <f t="shared" si="1"/>
        <v>2180</v>
      </c>
      <c r="AX14" s="66">
        <f t="shared" si="1"/>
        <v>-3998</v>
      </c>
      <c r="AY14" s="66">
        <f t="shared" si="1"/>
        <v>1142</v>
      </c>
      <c r="AZ14" s="66">
        <f t="shared" si="1"/>
        <v>-124</v>
      </c>
      <c r="BA14" s="66">
        <f t="shared" si="1"/>
        <v>-438</v>
      </c>
      <c r="BB14" s="66">
        <f t="shared" si="1"/>
        <v>-839</v>
      </c>
      <c r="BC14" s="66">
        <f t="shared" si="1"/>
        <v>482</v>
      </c>
      <c r="BD14" s="66">
        <f t="shared" si="1"/>
        <v>4963</v>
      </c>
      <c r="BE14" s="66">
        <f t="shared" si="1"/>
        <v>0</v>
      </c>
      <c r="BF14" s="66">
        <f t="shared" si="1"/>
        <v>0</v>
      </c>
      <c r="BG14" s="66">
        <f t="shared" si="1"/>
        <v>-46150</v>
      </c>
      <c r="BH14" s="66">
        <f t="shared" si="1"/>
        <v>0</v>
      </c>
      <c r="BI14" s="66">
        <f t="shared" si="1"/>
        <v>0</v>
      </c>
      <c r="BJ14" s="257">
        <f>MAX(C14:BA14)</f>
        <v>3881</v>
      </c>
      <c r="BK14" s="54">
        <v>200</v>
      </c>
      <c r="BL14" s="67">
        <v>-1</v>
      </c>
      <c r="BM14" s="257">
        <f>MIN(C14:BA14)</f>
        <v>-5871</v>
      </c>
    </row>
    <row r="15" spans="1:65" ht="25" customHeight="1">
      <c r="A15" s="56" t="s">
        <v>39</v>
      </c>
      <c r="B15" s="68"/>
      <c r="C15" s="66">
        <f t="shared" ref="C15:AX20" si="2">C4-B4</f>
        <v>-1576</v>
      </c>
      <c r="D15" s="66">
        <f t="shared" si="2"/>
        <v>868</v>
      </c>
      <c r="E15" s="66">
        <f t="shared" si="2"/>
        <v>2669</v>
      </c>
      <c r="F15" s="66">
        <f t="shared" si="2"/>
        <v>2162</v>
      </c>
      <c r="G15" s="66">
        <f t="shared" si="2"/>
        <v>-1201</v>
      </c>
      <c r="H15" s="66">
        <f t="shared" si="2"/>
        <v>441</v>
      </c>
      <c r="I15" s="66">
        <f t="shared" si="2"/>
        <v>1506</v>
      </c>
      <c r="J15" s="66">
        <f t="shared" si="2"/>
        <v>-4553</v>
      </c>
      <c r="K15" s="66">
        <f t="shared" si="2"/>
        <v>942</v>
      </c>
      <c r="L15" s="66">
        <f t="shared" si="2"/>
        <v>1929</v>
      </c>
      <c r="M15" s="66">
        <f t="shared" si="2"/>
        <v>447</v>
      </c>
      <c r="N15" s="66">
        <f t="shared" si="2"/>
        <v>2330</v>
      </c>
      <c r="O15" s="66">
        <f t="shared" si="2"/>
        <v>-1075</v>
      </c>
      <c r="P15" s="66">
        <f t="shared" si="2"/>
        <v>851</v>
      </c>
      <c r="Q15" s="66">
        <f t="shared" si="2"/>
        <v>4464</v>
      </c>
      <c r="R15" s="66">
        <f t="shared" si="2"/>
        <v>-293</v>
      </c>
      <c r="S15" s="66">
        <f t="shared" si="2"/>
        <v>468</v>
      </c>
      <c r="T15" s="66">
        <f t="shared" si="2"/>
        <v>14</v>
      </c>
      <c r="U15" s="66">
        <f t="shared" si="2"/>
        <v>62</v>
      </c>
      <c r="V15" s="66">
        <f t="shared" si="2"/>
        <v>-1924</v>
      </c>
      <c r="W15" s="66">
        <f t="shared" si="2"/>
        <v>444</v>
      </c>
      <c r="X15" s="66">
        <f t="shared" si="2"/>
        <v>2455</v>
      </c>
      <c r="Y15" s="66">
        <f t="shared" si="2"/>
        <v>2389</v>
      </c>
      <c r="Z15" s="66">
        <f t="shared" si="2"/>
        <v>-1609</v>
      </c>
      <c r="AA15" s="66">
        <f t="shared" si="2"/>
        <v>-17</v>
      </c>
      <c r="AB15" s="66">
        <f t="shared" si="2"/>
        <v>1587</v>
      </c>
      <c r="AC15" s="66">
        <f t="shared" si="2"/>
        <v>3752</v>
      </c>
      <c r="AD15" s="66">
        <f t="shared" si="2"/>
        <v>1544</v>
      </c>
      <c r="AE15" s="66">
        <f t="shared" si="2"/>
        <v>-208</v>
      </c>
      <c r="AF15" s="66">
        <f t="shared" si="2"/>
        <v>966</v>
      </c>
      <c r="AG15" s="66">
        <f t="shared" si="2"/>
        <v>1224</v>
      </c>
      <c r="AH15" s="66">
        <f t="shared" si="2"/>
        <v>1935</v>
      </c>
      <c r="AI15" s="66">
        <f t="shared" si="2"/>
        <v>-4425</v>
      </c>
      <c r="AJ15" s="66">
        <f t="shared" si="2"/>
        <v>-158</v>
      </c>
      <c r="AK15" s="66">
        <f t="shared" si="2"/>
        <v>-626</v>
      </c>
      <c r="AL15" s="66">
        <f t="shared" si="2"/>
        <v>-3670</v>
      </c>
      <c r="AM15" s="66">
        <f t="shared" si="2"/>
        <v>1592</v>
      </c>
      <c r="AN15" s="66">
        <f t="shared" si="2"/>
        <v>5979</v>
      </c>
      <c r="AO15" s="66">
        <f t="shared" si="2"/>
        <v>-1966</v>
      </c>
      <c r="AP15" s="66">
        <f t="shared" si="2"/>
        <v>275</v>
      </c>
      <c r="AQ15" s="66">
        <f t="shared" si="2"/>
        <v>2440</v>
      </c>
      <c r="AR15" s="66">
        <f t="shared" si="2"/>
        <v>-922</v>
      </c>
      <c r="AS15" s="66">
        <f t="shared" si="2"/>
        <v>805</v>
      </c>
      <c r="AT15" s="66">
        <f t="shared" si="2"/>
        <v>-1271</v>
      </c>
      <c r="AU15" s="66">
        <f t="shared" si="2"/>
        <v>2535</v>
      </c>
      <c r="AV15" s="66">
        <f t="shared" si="2"/>
        <v>-1068</v>
      </c>
      <c r="AW15" s="66">
        <f t="shared" si="2"/>
        <v>-212</v>
      </c>
      <c r="AX15" s="66">
        <f t="shared" si="2"/>
        <v>484</v>
      </c>
      <c r="AY15" s="66">
        <f t="shared" ref="AY15:BI16" si="3">AY4-AX4</f>
        <v>-793</v>
      </c>
      <c r="AZ15" s="66">
        <f t="shared" si="3"/>
        <v>-955</v>
      </c>
      <c r="BA15" s="66">
        <f t="shared" si="3"/>
        <v>-636</v>
      </c>
      <c r="BB15" s="66">
        <f t="shared" si="3"/>
        <v>225</v>
      </c>
      <c r="BC15" s="66">
        <f t="shared" si="3"/>
        <v>-178</v>
      </c>
      <c r="BD15" s="66">
        <f t="shared" si="3"/>
        <v>436</v>
      </c>
      <c r="BE15" s="66">
        <f t="shared" si="3"/>
        <v>21</v>
      </c>
      <c r="BF15" s="66">
        <f t="shared" si="3"/>
        <v>0</v>
      </c>
      <c r="BG15" s="66">
        <f t="shared" si="3"/>
        <v>-97000</v>
      </c>
      <c r="BH15" s="66">
        <f t="shared" si="3"/>
        <v>0</v>
      </c>
      <c r="BI15" s="66">
        <f t="shared" si="3"/>
        <v>0</v>
      </c>
      <c r="BJ15" s="257">
        <f t="shared" ref="BJ15:BJ21" si="4">MAX(C15:BA15)</f>
        <v>5979</v>
      </c>
      <c r="BK15" s="54">
        <v>400</v>
      </c>
      <c r="BL15" s="67">
        <v>-2</v>
      </c>
      <c r="BM15" s="257">
        <f t="shared" ref="BM15:BM21" si="5">MIN(C15:BA15)</f>
        <v>-4553</v>
      </c>
    </row>
    <row r="16" spans="1:65" ht="25" customHeight="1">
      <c r="A16" s="56" t="s">
        <v>40</v>
      </c>
      <c r="B16" s="68"/>
      <c r="C16" s="66">
        <f t="shared" si="2"/>
        <v>-5085</v>
      </c>
      <c r="D16" s="66">
        <f t="shared" si="2"/>
        <v>-28639</v>
      </c>
      <c r="E16" s="66">
        <f t="shared" si="2"/>
        <v>-30959</v>
      </c>
      <c r="F16" s="66">
        <f t="shared" si="2"/>
        <v>9138</v>
      </c>
      <c r="G16" s="66">
        <f t="shared" si="2"/>
        <v>-15788</v>
      </c>
      <c r="H16" s="66">
        <f t="shared" si="2"/>
        <v>13719</v>
      </c>
      <c r="I16" s="66">
        <f t="shared" si="2"/>
        <v>-29734</v>
      </c>
      <c r="J16" s="66">
        <f t="shared" si="2"/>
        <v>-51592</v>
      </c>
      <c r="K16" s="66">
        <f t="shared" si="2"/>
        <v>-42852</v>
      </c>
      <c r="L16" s="66">
        <f t="shared" si="2"/>
        <v>26912</v>
      </c>
      <c r="M16" s="66">
        <f t="shared" si="2"/>
        <v>-1175</v>
      </c>
      <c r="N16" s="66">
        <f t="shared" si="2"/>
        <v>18679</v>
      </c>
      <c r="O16" s="66">
        <f t="shared" si="2"/>
        <v>-20525</v>
      </c>
      <c r="P16" s="66">
        <f t="shared" si="2"/>
        <v>27662</v>
      </c>
      <c r="Q16" s="66">
        <f t="shared" si="2"/>
        <v>8225</v>
      </c>
      <c r="R16" s="66">
        <f t="shared" si="2"/>
        <v>-10068</v>
      </c>
      <c r="S16" s="66">
        <f t="shared" si="2"/>
        <v>-6058</v>
      </c>
      <c r="T16" s="66">
        <f t="shared" si="2"/>
        <v>4197</v>
      </c>
      <c r="U16" s="66">
        <f t="shared" si="2"/>
        <v>2320</v>
      </c>
      <c r="V16" s="66">
        <f t="shared" si="2"/>
        <v>-12573</v>
      </c>
      <c r="W16" s="66">
        <f t="shared" si="2"/>
        <v>-2855</v>
      </c>
      <c r="X16" s="66">
        <f t="shared" si="2"/>
        <v>29526</v>
      </c>
      <c r="Y16" s="66">
        <f t="shared" si="2"/>
        <v>23718</v>
      </c>
      <c r="Z16" s="66">
        <f t="shared" si="2"/>
        <v>-931</v>
      </c>
      <c r="AA16" s="66">
        <f t="shared" si="2"/>
        <v>-11015</v>
      </c>
      <c r="AB16" s="66">
        <f t="shared" si="2"/>
        <v>5030</v>
      </c>
      <c r="AC16" s="66">
        <f t="shared" si="2"/>
        <v>-14205</v>
      </c>
      <c r="AD16" s="66">
        <f t="shared" si="2"/>
        <v>-49203</v>
      </c>
      <c r="AE16" s="66">
        <f t="shared" si="2"/>
        <v>578</v>
      </c>
      <c r="AF16" s="66">
        <f t="shared" si="2"/>
        <v>-16118</v>
      </c>
      <c r="AG16" s="66">
        <f t="shared" si="2"/>
        <v>12955</v>
      </c>
      <c r="AH16" s="66">
        <f t="shared" si="2"/>
        <v>15403</v>
      </c>
      <c r="AI16" s="66">
        <f t="shared" si="2"/>
        <v>-17330</v>
      </c>
      <c r="AJ16" s="66">
        <f t="shared" si="2"/>
        <v>3451</v>
      </c>
      <c r="AK16" s="66">
        <f t="shared" si="2"/>
        <v>-6746</v>
      </c>
      <c r="AL16" s="66">
        <f t="shared" si="2"/>
        <v>4482</v>
      </c>
      <c r="AM16" s="66">
        <f t="shared" si="2"/>
        <v>11622</v>
      </c>
      <c r="AN16" s="66">
        <f t="shared" si="2"/>
        <v>10571</v>
      </c>
      <c r="AO16" s="66">
        <f t="shared" si="2"/>
        <v>17765</v>
      </c>
      <c r="AP16" s="66">
        <f t="shared" si="2"/>
        <v>352</v>
      </c>
      <c r="AQ16" s="66">
        <f t="shared" si="2"/>
        <v>14594</v>
      </c>
      <c r="AR16" s="66">
        <f t="shared" si="2"/>
        <v>-8155</v>
      </c>
      <c r="AS16" s="66">
        <f t="shared" si="2"/>
        <v>15228</v>
      </c>
      <c r="AT16" s="66">
        <f t="shared" si="2"/>
        <v>6294</v>
      </c>
      <c r="AU16" s="66">
        <f t="shared" si="2"/>
        <v>1665</v>
      </c>
      <c r="AV16" s="66">
        <f t="shared" si="2"/>
        <v>6951</v>
      </c>
      <c r="AW16" s="66">
        <f t="shared" si="2"/>
        <v>6826</v>
      </c>
      <c r="AX16" s="66">
        <f t="shared" si="2"/>
        <v>5955</v>
      </c>
      <c r="AY16" s="66">
        <f t="shared" ref="AY16:BI16" si="6">AY5-AX5</f>
        <v>9656</v>
      </c>
      <c r="AZ16" s="66">
        <f t="shared" si="6"/>
        <v>-18308</v>
      </c>
      <c r="BA16" s="66">
        <f t="shared" si="6"/>
        <v>7438</v>
      </c>
      <c r="BB16" s="66">
        <f t="shared" si="6"/>
        <v>-75420</v>
      </c>
      <c r="BC16" s="66">
        <f t="shared" si="6"/>
        <v>-3552</v>
      </c>
      <c r="BD16" s="66">
        <f t="shared" si="3"/>
        <v>-796</v>
      </c>
      <c r="BE16" s="66">
        <f t="shared" si="3"/>
        <v>0</v>
      </c>
      <c r="BF16" s="66">
        <f t="shared" si="6"/>
        <v>0</v>
      </c>
      <c r="BG16" s="66">
        <f t="shared" si="6"/>
        <v>-1105474</v>
      </c>
      <c r="BH16" s="66">
        <f t="shared" si="6"/>
        <v>0</v>
      </c>
      <c r="BI16" s="66">
        <f t="shared" si="6"/>
        <v>0</v>
      </c>
      <c r="BJ16" s="257">
        <f t="shared" si="4"/>
        <v>29526</v>
      </c>
      <c r="BK16" s="54">
        <v>600</v>
      </c>
      <c r="BL16" s="67">
        <v>-3</v>
      </c>
      <c r="BM16" s="257">
        <f t="shared" si="5"/>
        <v>-51592</v>
      </c>
    </row>
    <row r="17" spans="1:65" ht="25" customHeight="1">
      <c r="A17" s="56" t="s">
        <v>41</v>
      </c>
      <c r="B17" s="68"/>
      <c r="C17" s="66">
        <f t="shared" si="2"/>
        <v>3789.757049679989</v>
      </c>
      <c r="D17" s="66">
        <f t="shared" si="2"/>
        <v>-36126.478736015037</v>
      </c>
      <c r="E17" s="66">
        <f t="shared" si="2"/>
        <v>-31613.540829102974</v>
      </c>
      <c r="F17" s="66">
        <f t="shared" si="2"/>
        <v>11185.990726399003</v>
      </c>
      <c r="G17" s="66">
        <f t="shared" si="2"/>
        <v>-77202.577201238018</v>
      </c>
      <c r="H17" s="66">
        <f t="shared" si="2"/>
        <v>-376.65859005297534</v>
      </c>
      <c r="I17" s="66">
        <f t="shared" si="2"/>
        <v>-9509.5751171400771</v>
      </c>
      <c r="J17" s="66">
        <f t="shared" si="2"/>
        <v>-55222.748888919945</v>
      </c>
      <c r="K17" s="66">
        <f t="shared" si="2"/>
        <v>-7783.8097863600124</v>
      </c>
      <c r="L17" s="66">
        <f t="shared" si="2"/>
        <v>18300.724137439975</v>
      </c>
      <c r="M17" s="66">
        <f t="shared" si="2"/>
        <v>15653.229190630023</v>
      </c>
      <c r="N17" s="66">
        <f t="shared" si="2"/>
        <v>2414.9811128500151</v>
      </c>
      <c r="O17" s="66">
        <f t="shared" si="2"/>
        <v>-28068.218566289986</v>
      </c>
      <c r="P17" s="66">
        <f t="shared" si="2"/>
        <v>-9775.4190203599865</v>
      </c>
      <c r="Q17" s="66">
        <f t="shared" si="2"/>
        <v>6641.5605397300096</v>
      </c>
      <c r="R17" s="66">
        <f t="shared" si="2"/>
        <v>-14005.845050660078</v>
      </c>
      <c r="S17" s="66">
        <f t="shared" si="2"/>
        <v>2473.6838709000731</v>
      </c>
      <c r="T17" s="66">
        <f t="shared" si="2"/>
        <v>-4961.4902278300142</v>
      </c>
      <c r="U17" s="66">
        <f t="shared" si="2"/>
        <v>-17494.42786753003</v>
      </c>
      <c r="V17" s="66">
        <f t="shared" si="2"/>
        <v>-44368.836801890051</v>
      </c>
      <c r="W17" s="66">
        <f t="shared" si="2"/>
        <v>-16847.405560169951</v>
      </c>
      <c r="X17" s="66">
        <f t="shared" si="2"/>
        <v>9111.0451483300421</v>
      </c>
      <c r="Y17" s="66">
        <f t="shared" si="2"/>
        <v>46341.594399070018</v>
      </c>
      <c r="Z17" s="66">
        <f t="shared" si="2"/>
        <v>-6288.605305820005</v>
      </c>
      <c r="AA17" s="66">
        <f t="shared" si="2"/>
        <v>-2469.9550641400274</v>
      </c>
      <c r="AB17" s="66">
        <f t="shared" si="2"/>
        <v>21955.52614185994</v>
      </c>
      <c r="AC17" s="66">
        <f t="shared" si="2"/>
        <v>-5873.1709155299468</v>
      </c>
      <c r="AD17" s="66">
        <f t="shared" si="2"/>
        <v>8111.3525266100187</v>
      </c>
      <c r="AE17" s="66">
        <f t="shared" si="2"/>
        <v>-3782.9380645200144</v>
      </c>
      <c r="AF17" s="66">
        <f t="shared" si="2"/>
        <v>10355.389036749955</v>
      </c>
      <c r="AG17" s="66">
        <f t="shared" si="2"/>
        <v>14766.864312199992</v>
      </c>
      <c r="AH17" s="66">
        <f t="shared" si="2"/>
        <v>30757.172803109977</v>
      </c>
      <c r="AI17" s="66">
        <f t="shared" si="2"/>
        <v>-16048.825675839907</v>
      </c>
      <c r="AJ17" s="66">
        <f t="shared" si="2"/>
        <v>-9448.4156239200383</v>
      </c>
      <c r="AK17" s="66">
        <f t="shared" si="2"/>
        <v>-13980.710549589945</v>
      </c>
      <c r="AL17" s="66">
        <f t="shared" si="2"/>
        <v>1234.7625311999582</v>
      </c>
      <c r="AM17" s="66">
        <f t="shared" si="2"/>
        <v>5713.7452152899932</v>
      </c>
      <c r="AN17" s="66">
        <f t="shared" si="2"/>
        <v>7366.4456600500271</v>
      </c>
      <c r="AO17" s="66">
        <f t="shared" si="2"/>
        <v>31974.456239769934</v>
      </c>
      <c r="AP17" s="66">
        <f t="shared" si="2"/>
        <v>-254.99397642991971</v>
      </c>
      <c r="AQ17" s="66">
        <f t="shared" si="2"/>
        <v>40175.633921899949</v>
      </c>
      <c r="AR17" s="66">
        <f t="shared" si="2"/>
        <v>-14234.005887920037</v>
      </c>
      <c r="AS17" s="66">
        <f t="shared" si="2"/>
        <v>12782.954808330047</v>
      </c>
      <c r="AT17" s="66">
        <f t="shared" si="2"/>
        <v>18873.612693849951</v>
      </c>
      <c r="AU17" s="66">
        <f t="shared" si="2"/>
        <v>-9547.0902703999309</v>
      </c>
      <c r="AV17" s="66">
        <f t="shared" si="2"/>
        <v>1468.477528479998</v>
      </c>
      <c r="AW17" s="66">
        <f t="shared" si="2"/>
        <v>11079.171213979949</v>
      </c>
      <c r="AX17" s="69">
        <v>11079.170220889966</v>
      </c>
      <c r="AY17" s="69">
        <v>11080.170220890001</v>
      </c>
      <c r="AZ17" s="69">
        <v>11081.170220890001</v>
      </c>
      <c r="BA17" s="69">
        <v>11082.170220890101</v>
      </c>
      <c r="BB17" s="69">
        <v>11083.170220890101</v>
      </c>
      <c r="BC17" s="69">
        <v>11084.170220890101</v>
      </c>
      <c r="BD17" s="69">
        <v>11085.170220890201</v>
      </c>
      <c r="BE17" s="69">
        <v>11086.170220890201</v>
      </c>
      <c r="BF17" s="69">
        <v>11087.170220890201</v>
      </c>
      <c r="BG17" s="69">
        <v>11088.170220890301</v>
      </c>
      <c r="BH17" s="69">
        <v>11089.170220890301</v>
      </c>
      <c r="BI17" s="69">
        <v>11090.170220890301</v>
      </c>
      <c r="BJ17" s="257">
        <f t="shared" si="4"/>
        <v>46341.594399070018</v>
      </c>
      <c r="BK17" s="54">
        <v>800</v>
      </c>
      <c r="BL17" s="67">
        <v>-4</v>
      </c>
      <c r="BM17" s="257">
        <f t="shared" si="5"/>
        <v>-77202.577201238018</v>
      </c>
    </row>
    <row r="18" spans="1:65" ht="25" customHeight="1">
      <c r="A18" s="56" t="s">
        <v>42</v>
      </c>
      <c r="B18" s="68"/>
      <c r="C18" s="66">
        <f t="shared" si="2"/>
        <v>-120</v>
      </c>
      <c r="D18" s="66">
        <f t="shared" si="2"/>
        <v>1782</v>
      </c>
      <c r="E18" s="66">
        <f t="shared" si="2"/>
        <v>-4247</v>
      </c>
      <c r="F18" s="66">
        <f t="shared" si="2"/>
        <v>2529</v>
      </c>
      <c r="G18" s="66">
        <f t="shared" si="2"/>
        <v>-1949</v>
      </c>
      <c r="H18" s="66">
        <f t="shared" si="2"/>
        <v>907</v>
      </c>
      <c r="I18" s="66">
        <f t="shared" si="2"/>
        <v>-1349</v>
      </c>
      <c r="J18" s="66">
        <f t="shared" si="2"/>
        <v>-454</v>
      </c>
      <c r="K18" s="66">
        <f t="shared" si="2"/>
        <v>-1515</v>
      </c>
      <c r="L18" s="66">
        <f t="shared" si="2"/>
        <v>4661</v>
      </c>
      <c r="M18" s="66">
        <f t="shared" si="2"/>
        <v>-316</v>
      </c>
      <c r="N18" s="66">
        <f t="shared" si="2"/>
        <v>358</v>
      </c>
      <c r="O18" s="66">
        <f t="shared" si="2"/>
        <v>2043</v>
      </c>
      <c r="P18" s="66">
        <f t="shared" si="2"/>
        <v>-2098</v>
      </c>
      <c r="Q18" s="66">
        <f t="shared" si="2"/>
        <v>1170</v>
      </c>
      <c r="R18" s="66">
        <f t="shared" si="2"/>
        <v>10</v>
      </c>
      <c r="S18" s="66">
        <f t="shared" si="2"/>
        <v>-2610</v>
      </c>
      <c r="T18" s="66">
        <f t="shared" si="2"/>
        <v>3681</v>
      </c>
      <c r="U18" s="66">
        <f t="shared" si="2"/>
        <v>-675</v>
      </c>
      <c r="V18" s="66">
        <f t="shared" si="2"/>
        <v>768</v>
      </c>
      <c r="W18" s="66">
        <f t="shared" si="2"/>
        <v>-1131</v>
      </c>
      <c r="X18" s="66">
        <f t="shared" si="2"/>
        <v>3410</v>
      </c>
      <c r="Y18" s="66">
        <f t="shared" si="2"/>
        <v>-3874</v>
      </c>
      <c r="Z18" s="66">
        <f t="shared" si="2"/>
        <v>2780</v>
      </c>
      <c r="AA18" s="66">
        <f t="shared" si="2"/>
        <v>1082</v>
      </c>
      <c r="AB18" s="66">
        <f t="shared" si="2"/>
        <v>-3084</v>
      </c>
      <c r="AC18" s="66">
        <f t="shared" si="2"/>
        <v>2821</v>
      </c>
      <c r="AD18" s="66">
        <f t="shared" si="2"/>
        <v>-1052</v>
      </c>
      <c r="AE18" s="66">
        <f t="shared" si="2"/>
        <v>-175</v>
      </c>
      <c r="AF18" s="66">
        <f t="shared" si="2"/>
        <v>3204</v>
      </c>
      <c r="AG18" s="66">
        <f t="shared" si="2"/>
        <v>-634</v>
      </c>
      <c r="AH18" s="66">
        <f t="shared" si="2"/>
        <v>261</v>
      </c>
      <c r="AI18" s="66">
        <f t="shared" si="2"/>
        <v>2959</v>
      </c>
      <c r="AJ18" s="66">
        <f t="shared" si="2"/>
        <v>-1101</v>
      </c>
      <c r="AK18" s="66">
        <f t="shared" si="2"/>
        <v>-338</v>
      </c>
      <c r="AL18" s="66">
        <f t="shared" si="2"/>
        <v>4543</v>
      </c>
      <c r="AM18" s="66">
        <f t="shared" si="2"/>
        <v>1572</v>
      </c>
      <c r="AN18" s="66">
        <f t="shared" si="2"/>
        <v>-2348</v>
      </c>
      <c r="AO18" s="66">
        <f t="shared" si="2"/>
        <v>784</v>
      </c>
      <c r="AP18" s="66">
        <f t="shared" si="2"/>
        <v>1213</v>
      </c>
      <c r="AQ18" s="66">
        <f t="shared" si="2"/>
        <v>-280</v>
      </c>
      <c r="AR18" s="66">
        <f t="shared" si="2"/>
        <v>850</v>
      </c>
      <c r="AS18" s="66">
        <f t="shared" si="2"/>
        <v>-286</v>
      </c>
      <c r="AT18" s="66">
        <f t="shared" si="2"/>
        <v>-878</v>
      </c>
      <c r="AU18" s="66">
        <f t="shared" si="2"/>
        <v>196</v>
      </c>
      <c r="AV18" s="66">
        <f t="shared" si="2"/>
        <v>4420</v>
      </c>
      <c r="AW18" s="66">
        <f t="shared" si="2"/>
        <v>-3841</v>
      </c>
      <c r="AX18" s="66">
        <f t="shared" si="2"/>
        <v>2800</v>
      </c>
      <c r="AY18" s="66">
        <f t="shared" ref="AY18:BI18" si="7">AY7-AX7</f>
        <v>-1782</v>
      </c>
      <c r="AZ18" s="66">
        <f t="shared" si="7"/>
        <v>5601</v>
      </c>
      <c r="BA18" s="66">
        <f t="shared" si="7"/>
        <v>-3437</v>
      </c>
      <c r="BB18" s="66">
        <f t="shared" si="7"/>
        <v>1402</v>
      </c>
      <c r="BC18" s="66">
        <f t="shared" si="7"/>
        <v>-3200</v>
      </c>
      <c r="BD18" s="66">
        <f t="shared" si="7"/>
        <v>4398</v>
      </c>
      <c r="BE18" s="66">
        <f t="shared" si="7"/>
        <v>0</v>
      </c>
      <c r="BF18" s="66">
        <f t="shared" si="7"/>
        <v>0</v>
      </c>
      <c r="BG18" s="66">
        <f t="shared" si="7"/>
        <v>-30563</v>
      </c>
      <c r="BH18" s="66">
        <f t="shared" si="7"/>
        <v>0</v>
      </c>
      <c r="BI18" s="66">
        <f t="shared" si="7"/>
        <v>0</v>
      </c>
      <c r="BJ18" s="257">
        <f t="shared" si="4"/>
        <v>5601</v>
      </c>
      <c r="BK18" s="54">
        <v>1000</v>
      </c>
      <c r="BL18" s="67">
        <v>-5</v>
      </c>
      <c r="BM18" s="257">
        <f t="shared" si="5"/>
        <v>-4247</v>
      </c>
    </row>
    <row r="19" spans="1:65" ht="25" customHeight="1">
      <c r="A19" s="56" t="s">
        <v>43</v>
      </c>
      <c r="B19" s="68"/>
      <c r="C19" s="66">
        <f t="shared" si="2"/>
        <v>120.82326445500075</v>
      </c>
      <c r="D19" s="66">
        <f t="shared" si="2"/>
        <v>2572.2189714050037</v>
      </c>
      <c r="E19" s="66">
        <f t="shared" si="2"/>
        <v>-8051.933488612005</v>
      </c>
      <c r="F19" s="66">
        <f t="shared" si="2"/>
        <v>-2444.2089795749926</v>
      </c>
      <c r="G19" s="66">
        <f t="shared" si="2"/>
        <v>-2271.8274159230059</v>
      </c>
      <c r="H19" s="66">
        <f t="shared" si="2"/>
        <v>-2133.3460682019941</v>
      </c>
      <c r="I19" s="66">
        <f t="shared" si="2"/>
        <v>-423.03017624600034</v>
      </c>
      <c r="J19" s="66">
        <f t="shared" si="2"/>
        <v>-10133.800106634299</v>
      </c>
      <c r="K19" s="66">
        <f t="shared" si="2"/>
        <v>4280.6276789372932</v>
      </c>
      <c r="L19" s="66">
        <f t="shared" si="2"/>
        <v>6340.9006548720063</v>
      </c>
      <c r="M19" s="66">
        <f t="shared" si="2"/>
        <v>2017.1647275369905</v>
      </c>
      <c r="N19" s="66">
        <f t="shared" si="2"/>
        <v>-1860.7330209019856</v>
      </c>
      <c r="O19" s="66">
        <f t="shared" si="2"/>
        <v>-5642.9785925130127</v>
      </c>
      <c r="P19" s="66">
        <f t="shared" si="2"/>
        <v>2264.6721376720088</v>
      </c>
      <c r="Q19" s="66">
        <f t="shared" si="2"/>
        <v>2672.542710654001</v>
      </c>
      <c r="R19" s="66">
        <f t="shared" si="2"/>
        <v>-3650.5508942349989</v>
      </c>
      <c r="S19" s="66">
        <f t="shared" si="2"/>
        <v>1974.3083886139939</v>
      </c>
      <c r="T19" s="66">
        <f t="shared" si="2"/>
        <v>4066.0757814160024</v>
      </c>
      <c r="U19" s="66">
        <f t="shared" si="2"/>
        <v>-933.25813710100192</v>
      </c>
      <c r="V19" s="66">
        <f t="shared" si="2"/>
        <v>-5204.4609551799949</v>
      </c>
      <c r="W19" s="66">
        <f t="shared" si="2"/>
        <v>-234.21712557300634</v>
      </c>
      <c r="X19" s="66">
        <f t="shared" si="2"/>
        <v>2370.7312641870085</v>
      </c>
      <c r="Y19" s="66">
        <f t="shared" si="2"/>
        <v>2657.5996110089909</v>
      </c>
      <c r="Z19" s="66">
        <f t="shared" si="2"/>
        <v>-3066.7245211249974</v>
      </c>
      <c r="AA19" s="66">
        <f t="shared" si="2"/>
        <v>-1003.9426855780039</v>
      </c>
      <c r="AB19" s="66">
        <f t="shared" si="2"/>
        <v>799.2760685760004</v>
      </c>
      <c r="AC19" s="66">
        <f t="shared" si="2"/>
        <v>-5388.9243582199997</v>
      </c>
      <c r="AD19" s="66">
        <f t="shared" si="2"/>
        <v>3434.7015607880021</v>
      </c>
      <c r="AE19" s="66">
        <f t="shared" si="2"/>
        <v>-1389.2033429909934</v>
      </c>
      <c r="AF19" s="66">
        <f t="shared" si="2"/>
        <v>4087.6459143949905</v>
      </c>
      <c r="AG19" s="66">
        <f t="shared" si="2"/>
        <v>1732.3797054840106</v>
      </c>
      <c r="AH19" s="66">
        <f t="shared" si="2"/>
        <v>-1171.6001687350072</v>
      </c>
      <c r="AI19" s="66">
        <f t="shared" si="2"/>
        <v>-2530.3754110290029</v>
      </c>
      <c r="AJ19" s="66">
        <f t="shared" si="2"/>
        <v>462.07981374200608</v>
      </c>
      <c r="AK19" s="66">
        <f t="shared" si="2"/>
        <v>-2047.3547699040064</v>
      </c>
      <c r="AL19" s="66">
        <f t="shared" si="2"/>
        <v>36.31891123400419</v>
      </c>
      <c r="AM19" s="66">
        <f t="shared" si="2"/>
        <v>1456.4034147019993</v>
      </c>
      <c r="AN19" s="66">
        <f t="shared" si="2"/>
        <v>2169.2271073790034</v>
      </c>
      <c r="AO19" s="66">
        <f t="shared" si="2"/>
        <v>4883.9790393079893</v>
      </c>
      <c r="AP19" s="66">
        <f t="shared" si="2"/>
        <v>1437.6942593440035</v>
      </c>
      <c r="AQ19" s="66">
        <f t="shared" si="2"/>
        <v>4236.461631432001</v>
      </c>
      <c r="AR19" s="66">
        <f t="shared" si="2"/>
        <v>-940.42183989399928</v>
      </c>
      <c r="AS19" s="66">
        <f t="shared" si="2"/>
        <v>2645.3661018660059</v>
      </c>
      <c r="AT19" s="66">
        <f t="shared" si="2"/>
        <v>3478.3295833979937</v>
      </c>
      <c r="AU19" s="66">
        <f t="shared" si="2"/>
        <v>-1042.9411283889931</v>
      </c>
      <c r="AV19" s="66">
        <f t="shared" si="2"/>
        <v>1971.4930435080023</v>
      </c>
      <c r="AW19" s="66">
        <f t="shared" si="2"/>
        <v>775.11947492898616</v>
      </c>
      <c r="AX19" s="66">
        <f t="shared" si="2"/>
        <v>137.7223604380124</v>
      </c>
      <c r="AY19" s="66">
        <f t="shared" ref="AY19:BI19" si="8">AY8-AX8</f>
        <v>2697.3473852699972</v>
      </c>
      <c r="AZ19" s="66">
        <f t="shared" si="8"/>
        <v>-175.47999999999593</v>
      </c>
      <c r="BA19" s="66">
        <f t="shared" si="8"/>
        <v>-3768.7600000000093</v>
      </c>
      <c r="BB19" s="66">
        <f t="shared" si="8"/>
        <v>2634.9400000000023</v>
      </c>
      <c r="BC19" s="66">
        <f t="shared" si="8"/>
        <v>-281</v>
      </c>
      <c r="BD19" s="66">
        <f t="shared" si="8"/>
        <v>-108</v>
      </c>
      <c r="BE19" s="66">
        <f t="shared" si="8"/>
        <v>0</v>
      </c>
      <c r="BF19" s="66">
        <f t="shared" si="8"/>
        <v>0</v>
      </c>
      <c r="BG19" s="66">
        <f t="shared" si="8"/>
        <v>-124927</v>
      </c>
      <c r="BH19" s="66">
        <f t="shared" si="8"/>
        <v>0</v>
      </c>
      <c r="BI19" s="66">
        <f t="shared" si="8"/>
        <v>0</v>
      </c>
      <c r="BJ19" s="257">
        <f t="shared" si="4"/>
        <v>6340.9006548720063</v>
      </c>
      <c r="BK19" s="54">
        <v>1200</v>
      </c>
      <c r="BL19" s="67">
        <v>-6</v>
      </c>
      <c r="BM19" s="257">
        <f t="shared" si="5"/>
        <v>-10133.800106634299</v>
      </c>
    </row>
    <row r="20" spans="1:65" ht="25" customHeight="1">
      <c r="A20" s="58" t="s">
        <v>44</v>
      </c>
      <c r="B20" s="70"/>
      <c r="C20" s="66">
        <f t="shared" si="2"/>
        <v>34.741703930005315</v>
      </c>
      <c r="D20" s="66">
        <f t="shared" si="2"/>
        <v>-1135.745406220005</v>
      </c>
      <c r="E20" s="66">
        <f t="shared" si="2"/>
        <v>-2198.5219665099939</v>
      </c>
      <c r="F20" s="66">
        <f t="shared" si="2"/>
        <v>556.56500347999827</v>
      </c>
      <c r="G20" s="66">
        <f t="shared" si="2"/>
        <v>-1336.8205023600021</v>
      </c>
      <c r="H20" s="66">
        <f t="shared" si="2"/>
        <v>-326.65724102999957</v>
      </c>
      <c r="I20" s="66">
        <f t="shared" si="2"/>
        <v>-848.05518994000158</v>
      </c>
      <c r="J20" s="66">
        <f t="shared" si="2"/>
        <v>-1163.4460778299981</v>
      </c>
      <c r="K20" s="66">
        <f t="shared" si="2"/>
        <v>-113.93501857000228</v>
      </c>
      <c r="L20" s="66">
        <f t="shared" si="2"/>
        <v>1798.3728966400013</v>
      </c>
      <c r="M20" s="66">
        <f t="shared" si="2"/>
        <v>1589.0769285299975</v>
      </c>
      <c r="N20" s="66">
        <f t="shared" si="2"/>
        <v>546.72816995000176</v>
      </c>
      <c r="O20" s="66">
        <f t="shared" si="2"/>
        <v>-1150.5460746099998</v>
      </c>
      <c r="P20" s="66">
        <f t="shared" si="2"/>
        <v>960.97345119999954</v>
      </c>
      <c r="Q20" s="66">
        <f t="shared" si="2"/>
        <v>61.708944060002977</v>
      </c>
      <c r="R20" s="66">
        <f t="shared" si="2"/>
        <v>-1168.6024715599997</v>
      </c>
      <c r="S20" s="66">
        <f t="shared" ref="S20:BA20" si="9">S9-R9</f>
        <v>184.7344188499992</v>
      </c>
      <c r="T20" s="66">
        <f t="shared" si="9"/>
        <v>470.10452511999756</v>
      </c>
      <c r="U20" s="66">
        <f t="shared" si="9"/>
        <v>-665.21632136999688</v>
      </c>
      <c r="V20" s="66">
        <f t="shared" si="9"/>
        <v>-835.18991415000346</v>
      </c>
      <c r="W20" s="66">
        <f t="shared" si="9"/>
        <v>-399.92198034999456</v>
      </c>
      <c r="X20" s="66">
        <f t="shared" si="9"/>
        <v>1089.1106975000002</v>
      </c>
      <c r="Y20" s="66">
        <f t="shared" si="9"/>
        <v>1013.8458980999931</v>
      </c>
      <c r="Z20" s="66">
        <f t="shared" si="9"/>
        <v>-877.60003333999339</v>
      </c>
      <c r="AA20" s="66">
        <f t="shared" si="9"/>
        <v>-362.05429713000194</v>
      </c>
      <c r="AB20" s="66">
        <f t="shared" si="9"/>
        <v>-86.600804670000798</v>
      </c>
      <c r="AC20" s="66">
        <f t="shared" si="9"/>
        <v>-674.28718626999762</v>
      </c>
      <c r="AD20" s="66">
        <f t="shared" si="9"/>
        <v>441.69048346999625</v>
      </c>
      <c r="AE20" s="66">
        <f t="shared" si="9"/>
        <v>-514.79293176999636</v>
      </c>
      <c r="AF20" s="66">
        <f t="shared" si="9"/>
        <v>1114.5848774599945</v>
      </c>
      <c r="AG20" s="66">
        <f t="shared" si="9"/>
        <v>960.62947448000341</v>
      </c>
      <c r="AH20" s="66">
        <f t="shared" si="9"/>
        <v>486.70707122000022</v>
      </c>
      <c r="AI20" s="66">
        <f t="shared" si="9"/>
        <v>-1467.6681374800028</v>
      </c>
      <c r="AJ20" s="66">
        <f t="shared" si="9"/>
        <v>-531.92937381999946</v>
      </c>
      <c r="AK20" s="66">
        <f t="shared" si="9"/>
        <v>-940.14374816999771</v>
      </c>
      <c r="AL20" s="66">
        <f t="shared" si="9"/>
        <v>342.93723419000162</v>
      </c>
      <c r="AM20" s="66">
        <f t="shared" si="9"/>
        <v>389.73464186999627</v>
      </c>
      <c r="AN20" s="66">
        <f t="shared" si="9"/>
        <v>988.94353643000068</v>
      </c>
      <c r="AO20" s="66">
        <f t="shared" si="9"/>
        <v>1978.138195710002</v>
      </c>
      <c r="AP20" s="66">
        <f t="shared" si="9"/>
        <v>-94.48796030000085</v>
      </c>
      <c r="AQ20" s="66">
        <f t="shared" si="9"/>
        <v>1000.904468089997</v>
      </c>
      <c r="AR20" s="66">
        <f t="shared" si="9"/>
        <v>-1268.1343410799964</v>
      </c>
      <c r="AS20" s="66">
        <f t="shared" si="9"/>
        <v>958.09088787999644</v>
      </c>
      <c r="AT20" s="66">
        <f t="shared" si="9"/>
        <v>43.416342630000145</v>
      </c>
      <c r="AU20" s="66">
        <f t="shared" si="9"/>
        <v>-890.49722579000081</v>
      </c>
      <c r="AV20" s="66">
        <f t="shared" si="9"/>
        <v>15.943719230002898</v>
      </c>
      <c r="AW20" s="66">
        <f t="shared" si="9"/>
        <v>311</v>
      </c>
      <c r="AX20" s="66">
        <f t="shared" si="9"/>
        <v>581.22890000000189</v>
      </c>
      <c r="AY20" s="66">
        <f t="shared" si="9"/>
        <v>-229.88890000000538</v>
      </c>
      <c r="AZ20" s="66">
        <f t="shared" si="9"/>
        <v>-871.33999999999651</v>
      </c>
      <c r="BA20" s="66">
        <f t="shared" si="9"/>
        <v>0</v>
      </c>
      <c r="BB20" s="66">
        <f t="shared" ref="BB20:BI21" si="10">BB9-BA9</f>
        <v>879</v>
      </c>
      <c r="BC20" s="66">
        <f t="shared" si="10"/>
        <v>-409</v>
      </c>
      <c r="BD20" s="66">
        <f t="shared" si="10"/>
        <v>401</v>
      </c>
      <c r="BE20" s="66">
        <f t="shared" si="10"/>
        <v>0</v>
      </c>
      <c r="BF20" s="66">
        <f t="shared" si="10"/>
        <v>0</v>
      </c>
      <c r="BG20" s="66">
        <f t="shared" si="10"/>
        <v>-38992</v>
      </c>
      <c r="BH20" s="66">
        <f t="shared" si="10"/>
        <v>0</v>
      </c>
      <c r="BI20" s="66">
        <f t="shared" si="10"/>
        <v>0</v>
      </c>
      <c r="BJ20" s="257">
        <f t="shared" si="4"/>
        <v>1978.138195710002</v>
      </c>
      <c r="BK20" s="54">
        <v>1400</v>
      </c>
      <c r="BL20" s="67">
        <v>-7</v>
      </c>
      <c r="BM20" s="257">
        <f t="shared" si="5"/>
        <v>-2198.5219665099939</v>
      </c>
    </row>
    <row r="21" spans="1:65" ht="25" customHeight="1">
      <c r="A21" s="59" t="s">
        <v>13</v>
      </c>
      <c r="B21" s="71"/>
      <c r="C21" s="66">
        <f t="shared" ref="C21:BA21" si="11">C10-B10</f>
        <v>925</v>
      </c>
      <c r="D21" s="66">
        <f t="shared" si="11"/>
        <v>-3965</v>
      </c>
      <c r="E21" s="66">
        <f t="shared" si="11"/>
        <v>-4300</v>
      </c>
      <c r="F21" s="66">
        <f t="shared" si="11"/>
        <v>2634</v>
      </c>
      <c r="G21" s="66">
        <f t="shared" si="11"/>
        <v>-1922</v>
      </c>
      <c r="H21" s="66">
        <f t="shared" si="11"/>
        <v>3020</v>
      </c>
      <c r="I21" s="66">
        <f t="shared" si="11"/>
        <v>-2933</v>
      </c>
      <c r="J21" s="66">
        <f t="shared" si="11"/>
        <v>-2826</v>
      </c>
      <c r="K21" s="66">
        <f t="shared" si="11"/>
        <v>1042</v>
      </c>
      <c r="L21" s="66">
        <f t="shared" si="11"/>
        <v>4840</v>
      </c>
      <c r="M21" s="66">
        <f t="shared" si="11"/>
        <v>6284</v>
      </c>
      <c r="N21" s="66">
        <f t="shared" si="11"/>
        <v>-4396</v>
      </c>
      <c r="O21" s="66">
        <f t="shared" si="11"/>
        <v>-17049</v>
      </c>
      <c r="P21" s="66">
        <f t="shared" si="11"/>
        <v>4050</v>
      </c>
      <c r="Q21" s="66">
        <f t="shared" si="11"/>
        <v>-2834</v>
      </c>
      <c r="R21" s="66">
        <f t="shared" si="11"/>
        <v>-2324</v>
      </c>
      <c r="S21" s="66">
        <f t="shared" si="11"/>
        <v>224</v>
      </c>
      <c r="T21" s="66">
        <f t="shared" si="11"/>
        <v>1662</v>
      </c>
      <c r="U21" s="66">
        <f t="shared" si="11"/>
        <v>-2273</v>
      </c>
      <c r="V21" s="66">
        <f t="shared" si="11"/>
        <v>-7160</v>
      </c>
      <c r="W21" s="66">
        <f t="shared" si="11"/>
        <v>2212</v>
      </c>
      <c r="X21" s="66">
        <f t="shared" si="11"/>
        <v>7810</v>
      </c>
      <c r="Y21" s="66">
        <f t="shared" si="11"/>
        <v>6203</v>
      </c>
      <c r="Z21" s="66">
        <f t="shared" si="11"/>
        <v>-2366</v>
      </c>
      <c r="AA21" s="66">
        <f t="shared" si="11"/>
        <v>-317</v>
      </c>
      <c r="AB21" s="66">
        <f t="shared" si="11"/>
        <v>-443</v>
      </c>
      <c r="AC21" s="66">
        <f t="shared" si="11"/>
        <v>-2852</v>
      </c>
      <c r="AD21" s="66">
        <f t="shared" si="11"/>
        <v>3369</v>
      </c>
      <c r="AE21" s="66">
        <f t="shared" si="11"/>
        <v>2374</v>
      </c>
      <c r="AF21" s="66">
        <f t="shared" si="11"/>
        <v>10</v>
      </c>
      <c r="AG21" s="66">
        <f t="shared" si="11"/>
        <v>-372</v>
      </c>
      <c r="AH21" s="66">
        <f t="shared" si="11"/>
        <v>2945</v>
      </c>
      <c r="AI21" s="66">
        <f t="shared" si="11"/>
        <v>-4436</v>
      </c>
      <c r="AJ21" s="66">
        <f t="shared" si="11"/>
        <v>1096</v>
      </c>
      <c r="AK21" s="66">
        <f t="shared" si="11"/>
        <v>179</v>
      </c>
      <c r="AL21" s="66">
        <f t="shared" si="11"/>
        <v>-2553</v>
      </c>
      <c r="AM21" s="66">
        <f t="shared" si="11"/>
        <v>4032</v>
      </c>
      <c r="AN21" s="66">
        <f t="shared" si="11"/>
        <v>2844</v>
      </c>
      <c r="AO21" s="66">
        <f t="shared" si="11"/>
        <v>5614</v>
      </c>
      <c r="AP21" s="66">
        <f t="shared" si="11"/>
        <v>2198</v>
      </c>
      <c r="AQ21" s="66">
        <f t="shared" si="11"/>
        <v>3551</v>
      </c>
      <c r="AR21" s="66">
        <f t="shared" si="11"/>
        <v>-1928</v>
      </c>
      <c r="AS21" s="66">
        <f t="shared" si="11"/>
        <v>2475</v>
      </c>
      <c r="AT21" s="66">
        <f t="shared" si="11"/>
        <v>5870</v>
      </c>
      <c r="AU21" s="66">
        <f t="shared" si="11"/>
        <v>-409</v>
      </c>
      <c r="AV21" s="66">
        <f t="shared" si="11"/>
        <v>3197</v>
      </c>
      <c r="AW21" s="66">
        <f t="shared" si="11"/>
        <v>8888</v>
      </c>
      <c r="AX21" s="66">
        <f t="shared" si="11"/>
        <v>8564</v>
      </c>
      <c r="AY21" s="66">
        <f t="shared" si="11"/>
        <v>0</v>
      </c>
      <c r="AZ21" s="66">
        <f t="shared" si="11"/>
        <v>5000</v>
      </c>
      <c r="BA21" s="66">
        <f t="shared" si="11"/>
        <v>11000</v>
      </c>
      <c r="BB21" s="66">
        <f t="shared" si="10"/>
        <v>-7000</v>
      </c>
      <c r="BC21" s="66">
        <f t="shared" si="10"/>
        <v>-11426</v>
      </c>
      <c r="BD21" s="66">
        <f t="shared" si="10"/>
        <v>1976</v>
      </c>
      <c r="BE21" s="66">
        <f t="shared" si="10"/>
        <v>0</v>
      </c>
      <c r="BF21" s="66">
        <f t="shared" si="10"/>
        <v>0</v>
      </c>
      <c r="BG21" s="66">
        <f t="shared" si="10"/>
        <v>-342550</v>
      </c>
      <c r="BH21" s="66">
        <f t="shared" si="10"/>
        <v>0</v>
      </c>
      <c r="BI21" s="66">
        <f t="shared" si="10"/>
        <v>0</v>
      </c>
      <c r="BJ21" s="257">
        <f t="shared" si="4"/>
        <v>11000</v>
      </c>
      <c r="BK21" s="54">
        <v>1600</v>
      </c>
      <c r="BL21" s="67">
        <v>-8</v>
      </c>
      <c r="BM21" s="257">
        <f t="shared" si="5"/>
        <v>-17049</v>
      </c>
    </row>
    <row r="22" spans="1:65" ht="25" customHeight="1"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K22" s="54">
        <v>1800</v>
      </c>
      <c r="BL22" s="67">
        <v>-9</v>
      </c>
    </row>
    <row r="23" spans="1:65" ht="25" customHeight="1" thickBot="1">
      <c r="A23" s="279" t="s">
        <v>61</v>
      </c>
      <c r="B23" s="279"/>
      <c r="C23" s="279"/>
      <c r="D23" s="279"/>
      <c r="E23" s="279"/>
      <c r="F23" s="279"/>
      <c r="G23" s="279"/>
      <c r="H23" s="279"/>
      <c r="I23" s="279"/>
      <c r="J23" s="279"/>
      <c r="K23" s="279"/>
      <c r="L23" s="279"/>
      <c r="M23" s="279"/>
      <c r="N23" s="279"/>
      <c r="O23" s="279"/>
      <c r="P23" s="279"/>
      <c r="Q23" s="279"/>
      <c r="R23" s="279"/>
      <c r="S23" s="279"/>
      <c r="T23" s="279"/>
      <c r="U23" s="279"/>
      <c r="V23" s="279"/>
      <c r="W23" s="279"/>
      <c r="X23" s="279"/>
      <c r="Y23" s="279"/>
      <c r="Z23" s="279"/>
      <c r="AA23" s="279"/>
      <c r="AB23" s="279"/>
      <c r="AC23" s="279"/>
      <c r="AD23" s="279"/>
      <c r="AE23" s="279"/>
      <c r="AF23" s="279"/>
      <c r="AG23" s="279"/>
      <c r="AH23" s="279"/>
      <c r="AI23" s="279"/>
      <c r="AJ23" s="279"/>
      <c r="AK23" s="279"/>
      <c r="AL23" s="279"/>
      <c r="AM23" s="279"/>
      <c r="AN23" s="279"/>
      <c r="AO23" s="279"/>
      <c r="AP23" s="279"/>
      <c r="AQ23" s="279"/>
      <c r="AR23" s="279"/>
      <c r="AS23" s="279"/>
      <c r="AT23" s="279"/>
      <c r="AU23" s="279"/>
      <c r="AV23" s="279"/>
      <c r="AW23" s="279"/>
      <c r="AX23" s="279"/>
      <c r="AY23" s="279"/>
      <c r="AZ23" s="279"/>
      <c r="BA23" s="279"/>
      <c r="BB23" s="279"/>
      <c r="BC23" s="279"/>
      <c r="BD23" s="279"/>
      <c r="BE23" s="279"/>
      <c r="BF23" s="279"/>
      <c r="BG23" s="279"/>
      <c r="BH23" s="279"/>
      <c r="BI23" s="279"/>
      <c r="BK23" s="54">
        <v>2000</v>
      </c>
      <c r="BL23" s="72">
        <v>-10</v>
      </c>
    </row>
    <row r="24" spans="1:65" ht="25" customHeight="1">
      <c r="A24" s="14" t="s">
        <v>37</v>
      </c>
      <c r="B24" s="15">
        <v>44562</v>
      </c>
      <c r="C24" s="15">
        <v>44593</v>
      </c>
      <c r="D24" s="15">
        <v>44621</v>
      </c>
      <c r="E24" s="15">
        <v>44652</v>
      </c>
      <c r="F24" s="15">
        <v>44682</v>
      </c>
      <c r="G24" s="15">
        <v>44713</v>
      </c>
      <c r="H24" s="15">
        <v>44743</v>
      </c>
      <c r="I24" s="15">
        <v>44774</v>
      </c>
      <c r="J24" s="15">
        <v>44805</v>
      </c>
      <c r="K24" s="15">
        <v>44835</v>
      </c>
      <c r="L24" s="15">
        <v>44866</v>
      </c>
      <c r="M24" s="15">
        <v>44896</v>
      </c>
      <c r="N24" s="15">
        <v>44927</v>
      </c>
      <c r="O24" s="15">
        <v>44958</v>
      </c>
      <c r="P24" s="15">
        <v>44986</v>
      </c>
      <c r="Q24" s="15">
        <v>45017</v>
      </c>
      <c r="R24" s="15">
        <v>45047</v>
      </c>
      <c r="S24" s="15">
        <v>45078</v>
      </c>
      <c r="T24" s="15">
        <v>45108</v>
      </c>
      <c r="U24" s="15">
        <v>45139</v>
      </c>
      <c r="V24" s="15">
        <v>45170</v>
      </c>
      <c r="W24" s="15">
        <v>45200</v>
      </c>
      <c r="X24" s="15">
        <v>45231</v>
      </c>
      <c r="Y24" s="15">
        <v>45261</v>
      </c>
      <c r="Z24" s="15">
        <v>45292</v>
      </c>
      <c r="AA24" s="15">
        <v>45323</v>
      </c>
      <c r="AB24" s="15">
        <v>45352</v>
      </c>
      <c r="AC24" s="15">
        <v>45383</v>
      </c>
      <c r="AD24" s="15">
        <v>45413</v>
      </c>
      <c r="AE24" s="15">
        <v>45444</v>
      </c>
      <c r="AF24" s="15">
        <v>45474</v>
      </c>
      <c r="AG24" s="15">
        <v>45505</v>
      </c>
      <c r="AH24" s="15">
        <v>45536</v>
      </c>
      <c r="AI24" s="15">
        <v>45566</v>
      </c>
      <c r="AJ24" s="15">
        <v>45597</v>
      </c>
      <c r="AK24" s="15">
        <v>45627</v>
      </c>
      <c r="AL24" s="15">
        <v>45658</v>
      </c>
      <c r="AM24" s="15">
        <v>45689</v>
      </c>
      <c r="AN24" s="15">
        <v>45717</v>
      </c>
      <c r="AO24" s="15">
        <v>45748</v>
      </c>
      <c r="AP24" s="15">
        <v>45778</v>
      </c>
      <c r="AQ24" s="15">
        <v>45809</v>
      </c>
      <c r="AR24" s="15">
        <v>45839</v>
      </c>
      <c r="AS24" s="15">
        <v>45870</v>
      </c>
      <c r="AT24" s="15">
        <v>45901</v>
      </c>
      <c r="AU24" s="15">
        <v>45931</v>
      </c>
      <c r="AV24" s="15">
        <v>45962</v>
      </c>
      <c r="AW24" s="15">
        <v>45992</v>
      </c>
      <c r="AX24" s="15">
        <v>46023</v>
      </c>
      <c r="AY24" s="15">
        <v>46054</v>
      </c>
      <c r="AZ24" s="15">
        <v>46082</v>
      </c>
      <c r="BA24" s="15">
        <v>46113</v>
      </c>
      <c r="BB24" s="15">
        <v>46143</v>
      </c>
      <c r="BC24" s="15">
        <v>46174</v>
      </c>
      <c r="BD24" s="15">
        <v>46204</v>
      </c>
      <c r="BE24" s="15">
        <v>46235</v>
      </c>
      <c r="BF24" s="15">
        <v>46266</v>
      </c>
      <c r="BG24" s="15">
        <v>46296</v>
      </c>
      <c r="BH24" s="15">
        <v>46327</v>
      </c>
      <c r="BI24" s="15">
        <v>46357</v>
      </c>
    </row>
    <row r="25" spans="1:65" ht="25" customHeight="1">
      <c r="A25" s="52" t="s">
        <v>38</v>
      </c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17">
        <f>+AVERAGEA(C14:N14)</f>
        <v>187.25</v>
      </c>
      <c r="O25" s="17">
        <f t="shared" ref="O25:AX32" si="12">+AVERAGEA(D14:O14)</f>
        <v>-66.666666666666671</v>
      </c>
      <c r="P25" s="17">
        <f t="shared" si="12"/>
        <v>8.25</v>
      </c>
      <c r="Q25" s="17">
        <f t="shared" si="12"/>
        <v>339.33333333333331</v>
      </c>
      <c r="R25" s="17">
        <f t="shared" si="12"/>
        <v>85</v>
      </c>
      <c r="S25" s="17">
        <f t="shared" si="12"/>
        <v>205.33333333333334</v>
      </c>
      <c r="T25" s="17">
        <f t="shared" si="12"/>
        <v>215.08333333333334</v>
      </c>
      <c r="U25" s="17">
        <f t="shared" si="12"/>
        <v>209.33333333333334</v>
      </c>
      <c r="V25" s="17">
        <f t="shared" si="12"/>
        <v>58.916666666666664</v>
      </c>
      <c r="W25" s="17">
        <f t="shared" si="12"/>
        <v>-18.75</v>
      </c>
      <c r="X25" s="17">
        <f t="shared" si="12"/>
        <v>-85.916666666666671</v>
      </c>
      <c r="Y25" s="17">
        <f t="shared" si="12"/>
        <v>201.41666666666666</v>
      </c>
      <c r="Z25" s="17">
        <f t="shared" si="12"/>
        <v>-260.25</v>
      </c>
      <c r="AA25" s="17">
        <f t="shared" si="12"/>
        <v>-16.166666666666668</v>
      </c>
      <c r="AB25" s="17">
        <f t="shared" si="12"/>
        <v>-180.25</v>
      </c>
      <c r="AC25" s="17">
        <f t="shared" si="12"/>
        <v>-406.33333333333331</v>
      </c>
      <c r="AD25" s="17">
        <f t="shared" si="12"/>
        <v>-41.416666666666664</v>
      </c>
      <c r="AE25" s="17">
        <f t="shared" si="12"/>
        <v>61.083333333333336</v>
      </c>
      <c r="AF25" s="17">
        <f t="shared" si="12"/>
        <v>-123.83333333333333</v>
      </c>
      <c r="AG25" s="17">
        <f t="shared" si="12"/>
        <v>181.33333333333334</v>
      </c>
      <c r="AH25" s="17">
        <f t="shared" si="12"/>
        <v>351.08333333333331</v>
      </c>
      <c r="AI25" s="17">
        <f t="shared" si="12"/>
        <v>261.83333333333331</v>
      </c>
      <c r="AJ25" s="17">
        <f t="shared" si="12"/>
        <v>106.5</v>
      </c>
      <c r="AK25" s="17">
        <f t="shared" si="12"/>
        <v>-110.08333333333333</v>
      </c>
      <c r="AL25" s="17">
        <f t="shared" si="12"/>
        <v>478.66666666666669</v>
      </c>
      <c r="AM25" s="17">
        <f t="shared" si="12"/>
        <v>570.33333333333337</v>
      </c>
      <c r="AN25" s="17">
        <f t="shared" si="12"/>
        <v>573.83333333333337</v>
      </c>
      <c r="AO25" s="17">
        <f t="shared" si="12"/>
        <v>507.33333333333331</v>
      </c>
      <c r="AP25" s="17">
        <f t="shared" si="12"/>
        <v>511.58333333333331</v>
      </c>
      <c r="AQ25" s="17">
        <f t="shared" si="12"/>
        <v>193.83333333333334</v>
      </c>
      <c r="AR25" s="17">
        <f t="shared" si="12"/>
        <v>228.91666666666666</v>
      </c>
      <c r="AS25" s="17">
        <f t="shared" si="12"/>
        <v>8.9166666666666661</v>
      </c>
      <c r="AT25" s="17">
        <f t="shared" si="12"/>
        <v>184.83333333333334</v>
      </c>
      <c r="AU25" s="17">
        <f t="shared" si="12"/>
        <v>204.33333333333334</v>
      </c>
      <c r="AV25" s="17">
        <f t="shared" si="12"/>
        <v>291.25</v>
      </c>
      <c r="AW25" s="17">
        <f t="shared" si="12"/>
        <v>448.83333333333331</v>
      </c>
      <c r="AX25" s="17">
        <f t="shared" si="12"/>
        <v>16.166666666666668</v>
      </c>
      <c r="AY25" s="17">
        <f t="shared" ref="AY25:AZ31" si="13">+AVERAGEA(AN14:AY14)</f>
        <v>11.333333333333334</v>
      </c>
      <c r="AZ25" s="17">
        <f t="shared" si="13"/>
        <v>73.666666666666671</v>
      </c>
      <c r="BA25" s="17">
        <f t="shared" ref="BA25:BA32" si="14">+AVERAGEA(AP14:BA14)</f>
        <v>137.75</v>
      </c>
      <c r="BB25" s="17">
        <f t="shared" ref="BB25:BB32" si="15">+AVERAGEA(AQ14:BB14)</f>
        <v>-87.666666666666671</v>
      </c>
      <c r="BC25" s="17">
        <f t="shared" ref="BC25:BC32" si="16">+AVERAGEA(AR14:BC14)</f>
        <v>101.41666666666667</v>
      </c>
      <c r="BD25" s="17">
        <f t="shared" ref="BD25:BD32" si="17">+AVERAGEA(AS14:BD14)</f>
        <v>556.16666666666663</v>
      </c>
      <c r="BE25" s="17">
        <f t="shared" ref="BE25:BE32" si="18">+AVERAGEA(AT14:BE14)</f>
        <v>452.75</v>
      </c>
      <c r="BF25" s="17">
        <f t="shared" ref="BF25:BF32" si="19">+AVERAGEA(AU14:BF14)</f>
        <v>331.25</v>
      </c>
      <c r="BG25" s="17">
        <f t="shared" ref="BG25:BG32" si="20">+AVERAGEA(AV14:BG14)</f>
        <v>-3456.8333333333335</v>
      </c>
      <c r="BH25" s="17">
        <f t="shared" ref="BH25:BH32" si="21">+AVERAGEA(AW14:BH14)</f>
        <v>-3565.1666666666665</v>
      </c>
      <c r="BI25" s="17">
        <f t="shared" ref="BI25:BI32" si="22">+AVERAGEA(AX14:BI14)</f>
        <v>-3746.8333333333335</v>
      </c>
    </row>
    <row r="26" spans="1:65" ht="25" customHeight="1">
      <c r="A26" s="56" t="s">
        <v>39</v>
      </c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17">
        <f t="shared" ref="N26:N32" si="23">+AVERAGEA(C15:N15)</f>
        <v>497</v>
      </c>
      <c r="O26" s="17">
        <f t="shared" si="12"/>
        <v>538.75</v>
      </c>
      <c r="P26" s="17">
        <f t="shared" si="12"/>
        <v>537.33333333333337</v>
      </c>
      <c r="Q26" s="17">
        <f t="shared" si="12"/>
        <v>686.91666666666663</v>
      </c>
      <c r="R26" s="17">
        <f t="shared" si="12"/>
        <v>482.33333333333331</v>
      </c>
      <c r="S26" s="17">
        <f t="shared" si="12"/>
        <v>621.41666666666663</v>
      </c>
      <c r="T26" s="17">
        <f t="shared" si="12"/>
        <v>585.83333333333337</v>
      </c>
      <c r="U26" s="17">
        <f t="shared" si="12"/>
        <v>465.5</v>
      </c>
      <c r="V26" s="17">
        <f t="shared" si="12"/>
        <v>684.58333333333337</v>
      </c>
      <c r="W26" s="17">
        <f t="shared" si="12"/>
        <v>643.08333333333337</v>
      </c>
      <c r="X26" s="17">
        <f t="shared" si="12"/>
        <v>686.91666666666663</v>
      </c>
      <c r="Y26" s="17">
        <f t="shared" si="12"/>
        <v>848.75</v>
      </c>
      <c r="Z26" s="17">
        <f t="shared" si="12"/>
        <v>520.5</v>
      </c>
      <c r="AA26" s="17">
        <f t="shared" si="12"/>
        <v>608.66666666666663</v>
      </c>
      <c r="AB26" s="17">
        <f t="shared" si="12"/>
        <v>670</v>
      </c>
      <c r="AC26" s="17">
        <f t="shared" si="12"/>
        <v>610.66666666666663</v>
      </c>
      <c r="AD26" s="17">
        <f t="shared" si="12"/>
        <v>763.75</v>
      </c>
      <c r="AE26" s="17">
        <f t="shared" si="12"/>
        <v>707.41666666666663</v>
      </c>
      <c r="AF26" s="17">
        <f t="shared" si="12"/>
        <v>786.75</v>
      </c>
      <c r="AG26" s="17">
        <f t="shared" si="12"/>
        <v>883.58333333333337</v>
      </c>
      <c r="AH26" s="17">
        <f t="shared" si="12"/>
        <v>1205.1666666666667</v>
      </c>
      <c r="AI26" s="17">
        <f t="shared" si="12"/>
        <v>799.41666666666663</v>
      </c>
      <c r="AJ26" s="17">
        <f t="shared" si="12"/>
        <v>581.66666666666663</v>
      </c>
      <c r="AK26" s="17">
        <f t="shared" si="12"/>
        <v>330.41666666666669</v>
      </c>
      <c r="AL26" s="17">
        <f t="shared" si="12"/>
        <v>158.66666666666666</v>
      </c>
      <c r="AM26" s="17">
        <f t="shared" si="12"/>
        <v>292.75</v>
      </c>
      <c r="AN26" s="17">
        <f t="shared" si="12"/>
        <v>658.75</v>
      </c>
      <c r="AO26" s="17">
        <f t="shared" si="12"/>
        <v>182.25</v>
      </c>
      <c r="AP26" s="17">
        <f t="shared" si="12"/>
        <v>76.5</v>
      </c>
      <c r="AQ26" s="17">
        <f t="shared" si="12"/>
        <v>297.16666666666669</v>
      </c>
      <c r="AR26" s="17">
        <f t="shared" si="12"/>
        <v>139.83333333333334</v>
      </c>
      <c r="AS26" s="17">
        <f t="shared" si="12"/>
        <v>104.91666666666667</v>
      </c>
      <c r="AT26" s="17">
        <f t="shared" si="12"/>
        <v>-162.25</v>
      </c>
      <c r="AU26" s="17">
        <f t="shared" si="12"/>
        <v>417.75</v>
      </c>
      <c r="AV26" s="17">
        <f t="shared" si="12"/>
        <v>341.91666666666669</v>
      </c>
      <c r="AW26" s="17">
        <f t="shared" si="12"/>
        <v>376.41666666666669</v>
      </c>
      <c r="AX26" s="17">
        <f t="shared" si="12"/>
        <v>722.58333333333337</v>
      </c>
      <c r="AY26" s="17">
        <f t="shared" si="13"/>
        <v>523.83333333333337</v>
      </c>
      <c r="AZ26" s="17">
        <f t="shared" si="13"/>
        <v>-54</v>
      </c>
      <c r="BA26" s="17">
        <f t="shared" si="14"/>
        <v>56.833333333333336</v>
      </c>
      <c r="BB26" s="17">
        <f t="shared" si="15"/>
        <v>52.666666666666664</v>
      </c>
      <c r="BC26" s="17">
        <f t="shared" si="16"/>
        <v>-165.5</v>
      </c>
      <c r="BD26" s="17">
        <f t="shared" si="17"/>
        <v>-52.333333333333336</v>
      </c>
      <c r="BE26" s="17">
        <f t="shared" si="18"/>
        <v>-117.66666666666667</v>
      </c>
      <c r="BF26" s="17">
        <f t="shared" si="19"/>
        <v>-11.75</v>
      </c>
      <c r="BG26" s="17">
        <f t="shared" si="20"/>
        <v>-8306.3333333333339</v>
      </c>
      <c r="BH26" s="17">
        <f t="shared" si="21"/>
        <v>-8217.3333333333339</v>
      </c>
      <c r="BI26" s="17">
        <f t="shared" si="22"/>
        <v>-8199.6666666666661</v>
      </c>
    </row>
    <row r="27" spans="1:65" ht="25" customHeight="1">
      <c r="A27" s="56" t="s">
        <v>40</v>
      </c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17">
        <f t="shared" si="23"/>
        <v>-11448</v>
      </c>
      <c r="O27" s="17">
        <f t="shared" si="12"/>
        <v>-12734.666666666666</v>
      </c>
      <c r="P27" s="17">
        <f t="shared" si="12"/>
        <v>-8042.916666666667</v>
      </c>
      <c r="Q27" s="17">
        <f t="shared" si="12"/>
        <v>-4777.583333333333</v>
      </c>
      <c r="R27" s="17">
        <f t="shared" si="12"/>
        <v>-6378.083333333333</v>
      </c>
      <c r="S27" s="17">
        <f t="shared" si="12"/>
        <v>-5567.25</v>
      </c>
      <c r="T27" s="17">
        <f t="shared" si="12"/>
        <v>-6360.75</v>
      </c>
      <c r="U27" s="17">
        <f t="shared" si="12"/>
        <v>-3689.5833333333335</v>
      </c>
      <c r="V27" s="17">
        <f t="shared" si="12"/>
        <v>-438</v>
      </c>
      <c r="W27" s="17">
        <f t="shared" si="12"/>
        <v>2895.0833333333335</v>
      </c>
      <c r="X27" s="17">
        <f t="shared" si="12"/>
        <v>3112.9166666666665</v>
      </c>
      <c r="Y27" s="17">
        <f t="shared" si="12"/>
        <v>5187.333333333333</v>
      </c>
      <c r="Z27" s="17">
        <f t="shared" si="12"/>
        <v>3553.1666666666665</v>
      </c>
      <c r="AA27" s="17">
        <f t="shared" si="12"/>
        <v>4345.666666666667</v>
      </c>
      <c r="AB27" s="17">
        <f t="shared" si="12"/>
        <v>2459.6666666666665</v>
      </c>
      <c r="AC27" s="17">
        <f t="shared" si="12"/>
        <v>590.5</v>
      </c>
      <c r="AD27" s="17">
        <f t="shared" si="12"/>
        <v>-2670.75</v>
      </c>
      <c r="AE27" s="17">
        <f t="shared" si="12"/>
        <v>-2117.75</v>
      </c>
      <c r="AF27" s="17">
        <f t="shared" si="12"/>
        <v>-3810.6666666666665</v>
      </c>
      <c r="AG27" s="17">
        <f t="shared" si="12"/>
        <v>-2924.4166666666665</v>
      </c>
      <c r="AH27" s="17">
        <f t="shared" si="12"/>
        <v>-593.08333333333337</v>
      </c>
      <c r="AI27" s="17">
        <f t="shared" si="12"/>
        <v>-1799.3333333333333</v>
      </c>
      <c r="AJ27" s="17">
        <f t="shared" si="12"/>
        <v>-3972.25</v>
      </c>
      <c r="AK27" s="17">
        <f t="shared" si="12"/>
        <v>-6510.916666666667</v>
      </c>
      <c r="AL27" s="17">
        <f t="shared" si="12"/>
        <v>-6059.833333333333</v>
      </c>
      <c r="AM27" s="17">
        <f t="shared" si="12"/>
        <v>-4173.416666666667</v>
      </c>
      <c r="AN27" s="17">
        <f t="shared" si="12"/>
        <v>-3711.6666666666665</v>
      </c>
      <c r="AO27" s="17">
        <f t="shared" si="12"/>
        <v>-1047.5</v>
      </c>
      <c r="AP27" s="17">
        <f t="shared" si="12"/>
        <v>3082.0833333333335</v>
      </c>
      <c r="AQ27" s="17">
        <f t="shared" si="12"/>
        <v>4250.083333333333</v>
      </c>
      <c r="AR27" s="17">
        <f t="shared" si="12"/>
        <v>4913.666666666667</v>
      </c>
      <c r="AS27" s="17">
        <f t="shared" si="12"/>
        <v>5103.083333333333</v>
      </c>
      <c r="AT27" s="17">
        <f t="shared" si="12"/>
        <v>4344</v>
      </c>
      <c r="AU27" s="17">
        <f t="shared" si="12"/>
        <v>5926.916666666667</v>
      </c>
      <c r="AV27" s="17">
        <f t="shared" si="12"/>
        <v>6218.583333333333</v>
      </c>
      <c r="AW27" s="17">
        <f t="shared" si="12"/>
        <v>7349.583333333333</v>
      </c>
      <c r="AX27" s="17">
        <f t="shared" si="12"/>
        <v>7472.333333333333</v>
      </c>
      <c r="AY27" s="17">
        <f t="shared" si="13"/>
        <v>7308.5</v>
      </c>
      <c r="AZ27" s="17">
        <f t="shared" si="13"/>
        <v>4901.916666666667</v>
      </c>
      <c r="BA27" s="17">
        <f t="shared" si="14"/>
        <v>4041.3333333333335</v>
      </c>
      <c r="BB27" s="17">
        <f t="shared" si="15"/>
        <v>-2273</v>
      </c>
      <c r="BC27" s="17">
        <f t="shared" si="16"/>
        <v>-3785.1666666666665</v>
      </c>
      <c r="BD27" s="17">
        <f t="shared" si="17"/>
        <v>-3171.9166666666665</v>
      </c>
      <c r="BE27" s="17">
        <f t="shared" si="18"/>
        <v>-4440.916666666667</v>
      </c>
      <c r="BF27" s="17">
        <f t="shared" si="19"/>
        <v>-4965.416666666667</v>
      </c>
      <c r="BG27" s="17">
        <f t="shared" si="20"/>
        <v>-97227</v>
      </c>
      <c r="BH27" s="17">
        <f t="shared" si="21"/>
        <v>-97806.25</v>
      </c>
      <c r="BI27" s="17">
        <f t="shared" si="22"/>
        <v>-98375.083333333328</v>
      </c>
    </row>
    <row r="28" spans="1:65" ht="25" customHeight="1">
      <c r="A28" s="56" t="s">
        <v>41</v>
      </c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17">
        <f t="shared" si="23"/>
        <v>-13874.225577652503</v>
      </c>
      <c r="O28" s="17">
        <f t="shared" si="12"/>
        <v>-16529.056878983334</v>
      </c>
      <c r="P28" s="17">
        <f t="shared" si="12"/>
        <v>-14333.13523601208</v>
      </c>
      <c r="Q28" s="17">
        <f t="shared" si="12"/>
        <v>-11145.210121942664</v>
      </c>
      <c r="R28" s="17">
        <f t="shared" si="12"/>
        <v>-13244.529770030922</v>
      </c>
      <c r="S28" s="17">
        <f t="shared" si="12"/>
        <v>-6604.8413473527471</v>
      </c>
      <c r="T28" s="17">
        <f t="shared" si="12"/>
        <v>-6986.910650500834</v>
      </c>
      <c r="U28" s="17">
        <f t="shared" si="12"/>
        <v>-7652.3150463666634</v>
      </c>
      <c r="V28" s="17">
        <f t="shared" si="12"/>
        <v>-6747.8223724475056</v>
      </c>
      <c r="W28" s="17">
        <f t="shared" si="12"/>
        <v>-7503.1220202650002</v>
      </c>
      <c r="X28" s="17">
        <f t="shared" si="12"/>
        <v>-8268.9286026908285</v>
      </c>
      <c r="Y28" s="17">
        <f t="shared" si="12"/>
        <v>-5711.564835320828</v>
      </c>
      <c r="Z28" s="17">
        <f t="shared" si="12"/>
        <v>-6436.8637035433303</v>
      </c>
      <c r="AA28" s="17">
        <f t="shared" si="12"/>
        <v>-4303.6750783641664</v>
      </c>
      <c r="AB28" s="17">
        <f t="shared" si="12"/>
        <v>-1659.4296481791728</v>
      </c>
      <c r="AC28" s="17">
        <f t="shared" si="12"/>
        <v>-2702.3239361175024</v>
      </c>
      <c r="AD28" s="17">
        <f t="shared" si="12"/>
        <v>-859.22413801166113</v>
      </c>
      <c r="AE28" s="17">
        <f t="shared" si="12"/>
        <v>-1380.6092992966685</v>
      </c>
      <c r="AF28" s="17">
        <f t="shared" si="12"/>
        <v>-104.2026939150043</v>
      </c>
      <c r="AG28" s="17">
        <f t="shared" si="12"/>
        <v>2584.2383210624976</v>
      </c>
      <c r="AH28" s="17">
        <f t="shared" si="12"/>
        <v>8844.739121479166</v>
      </c>
      <c r="AI28" s="17">
        <f t="shared" si="12"/>
        <v>8911.2874451733369</v>
      </c>
      <c r="AJ28" s="17">
        <f t="shared" si="12"/>
        <v>7364.6657141524965</v>
      </c>
      <c r="AK28" s="17">
        <f t="shared" si="12"/>
        <v>2337.8069684308334</v>
      </c>
      <c r="AL28" s="17">
        <f t="shared" si="12"/>
        <v>2964.754288182497</v>
      </c>
      <c r="AM28" s="17">
        <f t="shared" si="12"/>
        <v>3646.7293114683321</v>
      </c>
      <c r="AN28" s="17">
        <f t="shared" si="12"/>
        <v>2430.972604650839</v>
      </c>
      <c r="AO28" s="17">
        <f t="shared" si="12"/>
        <v>5584.9415342591628</v>
      </c>
      <c r="AP28" s="17">
        <f t="shared" si="12"/>
        <v>4887.745992339168</v>
      </c>
      <c r="AQ28" s="17">
        <f t="shared" si="12"/>
        <v>8550.9603245408307</v>
      </c>
      <c r="AR28" s="17">
        <f t="shared" si="12"/>
        <v>6501.8440808183323</v>
      </c>
      <c r="AS28" s="17">
        <f t="shared" si="12"/>
        <v>6336.5182888291702</v>
      </c>
      <c r="AT28" s="17">
        <f t="shared" si="12"/>
        <v>5346.2216130575007</v>
      </c>
      <c r="AU28" s="17">
        <f t="shared" si="12"/>
        <v>5888.0328968441654</v>
      </c>
      <c r="AV28" s="17">
        <f t="shared" si="12"/>
        <v>6797.7739928775018</v>
      </c>
      <c r="AW28" s="17">
        <f t="shared" si="12"/>
        <v>8886.0974731749939</v>
      </c>
      <c r="AX28" s="17">
        <f t="shared" si="12"/>
        <v>9706.4647806491612</v>
      </c>
      <c r="AY28" s="17">
        <f t="shared" si="13"/>
        <v>10153.66686444916</v>
      </c>
      <c r="AZ28" s="17">
        <f t="shared" si="13"/>
        <v>10463.227244519157</v>
      </c>
      <c r="BA28" s="17">
        <f t="shared" si="14"/>
        <v>8722.2034096125044</v>
      </c>
      <c r="BB28" s="17">
        <f t="shared" si="15"/>
        <v>9667.0504260558391</v>
      </c>
      <c r="BC28" s="17">
        <f t="shared" si="16"/>
        <v>7242.7617843050202</v>
      </c>
      <c r="BD28" s="17">
        <f t="shared" si="17"/>
        <v>9352.6931267058735</v>
      </c>
      <c r="BE28" s="17">
        <f t="shared" si="18"/>
        <v>9211.2944110858862</v>
      </c>
      <c r="BF28" s="17">
        <f t="shared" si="19"/>
        <v>8562.4242050059056</v>
      </c>
      <c r="BG28" s="17">
        <f t="shared" si="20"/>
        <v>10282.029245946758</v>
      </c>
      <c r="BH28" s="17">
        <f t="shared" si="21"/>
        <v>11083.753636980951</v>
      </c>
      <c r="BI28" s="17">
        <f t="shared" si="22"/>
        <v>11084.670220890146</v>
      </c>
    </row>
    <row r="29" spans="1:65" ht="25" customHeight="1">
      <c r="A29" s="56" t="s">
        <v>42</v>
      </c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17">
        <f t="shared" si="23"/>
        <v>23.916666666666668</v>
      </c>
      <c r="O29" s="17">
        <f t="shared" si="12"/>
        <v>204.16666666666666</v>
      </c>
      <c r="P29" s="17">
        <f t="shared" si="12"/>
        <v>-119.16666666666667</v>
      </c>
      <c r="Q29" s="17">
        <f t="shared" si="12"/>
        <v>332.25</v>
      </c>
      <c r="R29" s="17">
        <f t="shared" si="12"/>
        <v>122.33333333333333</v>
      </c>
      <c r="S29" s="17">
        <f t="shared" si="12"/>
        <v>67.25</v>
      </c>
      <c r="T29" s="17">
        <f t="shared" si="12"/>
        <v>298.41666666666669</v>
      </c>
      <c r="U29" s="17">
        <f t="shared" si="12"/>
        <v>354.58333333333331</v>
      </c>
      <c r="V29" s="17">
        <f t="shared" si="12"/>
        <v>456.41666666666669</v>
      </c>
      <c r="W29" s="17">
        <f t="shared" si="12"/>
        <v>488.41666666666669</v>
      </c>
      <c r="X29" s="17">
        <f t="shared" si="12"/>
        <v>384.16666666666669</v>
      </c>
      <c r="Y29" s="17">
        <f t="shared" si="12"/>
        <v>87.666666666666671</v>
      </c>
      <c r="Z29" s="17">
        <f t="shared" si="12"/>
        <v>289.5</v>
      </c>
      <c r="AA29" s="17">
        <f t="shared" si="12"/>
        <v>209.41666666666666</v>
      </c>
      <c r="AB29" s="17">
        <f t="shared" si="12"/>
        <v>127.25</v>
      </c>
      <c r="AC29" s="17">
        <f t="shared" si="12"/>
        <v>264.83333333333331</v>
      </c>
      <c r="AD29" s="17">
        <f t="shared" si="12"/>
        <v>176.33333333333334</v>
      </c>
      <c r="AE29" s="17">
        <f t="shared" si="12"/>
        <v>379.25</v>
      </c>
      <c r="AF29" s="17">
        <f t="shared" si="12"/>
        <v>339.5</v>
      </c>
      <c r="AG29" s="17">
        <f t="shared" si="12"/>
        <v>342.91666666666669</v>
      </c>
      <c r="AH29" s="17">
        <f t="shared" si="12"/>
        <v>300.66666666666669</v>
      </c>
      <c r="AI29" s="17">
        <f t="shared" si="12"/>
        <v>641.5</v>
      </c>
      <c r="AJ29" s="17">
        <f t="shared" si="12"/>
        <v>265.58333333333331</v>
      </c>
      <c r="AK29" s="17">
        <f t="shared" si="12"/>
        <v>560.25</v>
      </c>
      <c r="AL29" s="17">
        <f t="shared" si="12"/>
        <v>707.16666666666663</v>
      </c>
      <c r="AM29" s="17">
        <f t="shared" si="12"/>
        <v>748</v>
      </c>
      <c r="AN29" s="17">
        <f t="shared" si="12"/>
        <v>809.33333333333337</v>
      </c>
      <c r="AO29" s="17">
        <f t="shared" si="12"/>
        <v>639.58333333333337</v>
      </c>
      <c r="AP29" s="17">
        <f t="shared" si="12"/>
        <v>828.33333333333337</v>
      </c>
      <c r="AQ29" s="17">
        <f t="shared" si="12"/>
        <v>819.58333333333337</v>
      </c>
      <c r="AR29" s="17">
        <f t="shared" si="12"/>
        <v>623.41666666666663</v>
      </c>
      <c r="AS29" s="17">
        <f t="shared" si="12"/>
        <v>652.41666666666663</v>
      </c>
      <c r="AT29" s="17">
        <f t="shared" si="12"/>
        <v>557.5</v>
      </c>
      <c r="AU29" s="17">
        <f t="shared" si="12"/>
        <v>327.25</v>
      </c>
      <c r="AV29" s="17">
        <f t="shared" si="12"/>
        <v>787.33333333333337</v>
      </c>
      <c r="AW29" s="17">
        <f t="shared" si="12"/>
        <v>495.41666666666669</v>
      </c>
      <c r="AX29" s="17">
        <f t="shared" si="12"/>
        <v>350.16666666666669</v>
      </c>
      <c r="AY29" s="17">
        <f t="shared" si="13"/>
        <v>70.666666666666671</v>
      </c>
      <c r="AZ29" s="17">
        <f t="shared" si="13"/>
        <v>733.08333333333337</v>
      </c>
      <c r="BA29" s="17">
        <f t="shared" si="14"/>
        <v>381.33333333333331</v>
      </c>
      <c r="BB29" s="17">
        <f t="shared" si="15"/>
        <v>397.08333333333331</v>
      </c>
      <c r="BC29" s="17">
        <f t="shared" si="16"/>
        <v>153.75</v>
      </c>
      <c r="BD29" s="17">
        <f t="shared" si="17"/>
        <v>449.41666666666669</v>
      </c>
      <c r="BE29" s="17">
        <f t="shared" si="18"/>
        <v>473.25</v>
      </c>
      <c r="BF29" s="17">
        <f t="shared" si="19"/>
        <v>546.41666666666663</v>
      </c>
      <c r="BG29" s="17">
        <f t="shared" si="20"/>
        <v>-2016.8333333333333</v>
      </c>
      <c r="BH29" s="17">
        <f t="shared" si="21"/>
        <v>-2385.1666666666665</v>
      </c>
      <c r="BI29" s="17">
        <f t="shared" si="22"/>
        <v>-2065.0833333333335</v>
      </c>
    </row>
    <row r="30" spans="1:65" ht="25" customHeight="1">
      <c r="A30" s="56" t="s">
        <v>43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17">
        <f t="shared" si="23"/>
        <v>-998.92866324066563</v>
      </c>
      <c r="O30" s="17">
        <f t="shared" si="12"/>
        <v>-1479.2454846546668</v>
      </c>
      <c r="P30" s="17">
        <f t="shared" si="12"/>
        <v>-1504.8743874657496</v>
      </c>
      <c r="Q30" s="17">
        <f t="shared" si="12"/>
        <v>-611.16803752691578</v>
      </c>
      <c r="R30" s="17">
        <f t="shared" si="12"/>
        <v>-711.69653041524964</v>
      </c>
      <c r="S30" s="17">
        <f t="shared" si="12"/>
        <v>-357.85188003716638</v>
      </c>
      <c r="T30" s="17">
        <f t="shared" si="12"/>
        <v>158.76660743100001</v>
      </c>
      <c r="U30" s="17">
        <f t="shared" si="12"/>
        <v>116.24761069308322</v>
      </c>
      <c r="V30" s="17">
        <f t="shared" si="12"/>
        <v>527.02587331427515</v>
      </c>
      <c r="W30" s="17">
        <f t="shared" si="12"/>
        <v>150.78880627175022</v>
      </c>
      <c r="X30" s="17">
        <f t="shared" si="12"/>
        <v>-180.05864295199959</v>
      </c>
      <c r="Y30" s="17">
        <f t="shared" si="12"/>
        <v>-126.6890693293329</v>
      </c>
      <c r="Z30" s="17">
        <f t="shared" si="12"/>
        <v>-227.18836101458388</v>
      </c>
      <c r="AA30" s="17">
        <f t="shared" si="12"/>
        <v>159.39796456333352</v>
      </c>
      <c r="AB30" s="17">
        <f t="shared" si="12"/>
        <v>37.281625471999483</v>
      </c>
      <c r="AC30" s="17">
        <f t="shared" si="12"/>
        <v>-634.50729693416724</v>
      </c>
      <c r="AD30" s="17">
        <f t="shared" si="12"/>
        <v>-44.069592348917162</v>
      </c>
      <c r="AE30" s="17">
        <f t="shared" si="12"/>
        <v>-324.36223664933277</v>
      </c>
      <c r="AF30" s="17">
        <f t="shared" si="12"/>
        <v>-322.56472556775043</v>
      </c>
      <c r="AG30" s="17">
        <f t="shared" si="12"/>
        <v>-100.42823868566605</v>
      </c>
      <c r="AH30" s="17">
        <f t="shared" si="12"/>
        <v>235.64349351808292</v>
      </c>
      <c r="AI30" s="17">
        <f t="shared" si="12"/>
        <v>44.296969730083219</v>
      </c>
      <c r="AJ30" s="17">
        <f t="shared" si="12"/>
        <v>-114.75731780700032</v>
      </c>
      <c r="AK30" s="17">
        <f t="shared" si="12"/>
        <v>-506.83684954975007</v>
      </c>
      <c r="AL30" s="17">
        <f t="shared" si="12"/>
        <v>-248.24989685316663</v>
      </c>
      <c r="AM30" s="17">
        <f t="shared" si="12"/>
        <v>-43.221055163166362</v>
      </c>
      <c r="AN30" s="17">
        <f t="shared" si="12"/>
        <v>70.94153140375056</v>
      </c>
      <c r="AO30" s="17">
        <f t="shared" si="12"/>
        <v>927.01681453108301</v>
      </c>
      <c r="AP30" s="17">
        <f t="shared" si="12"/>
        <v>760.5995394107498</v>
      </c>
      <c r="AQ30" s="17">
        <f t="shared" si="12"/>
        <v>1229.4049539459993</v>
      </c>
      <c r="AR30" s="17">
        <f t="shared" si="12"/>
        <v>810.39930775525011</v>
      </c>
      <c r="AS30" s="17">
        <f t="shared" si="12"/>
        <v>886.48150745374971</v>
      </c>
      <c r="AT30" s="17">
        <f t="shared" si="12"/>
        <v>1273.9756534648332</v>
      </c>
      <c r="AU30" s="17">
        <f t="shared" si="12"/>
        <v>1397.9285103515006</v>
      </c>
      <c r="AV30" s="17">
        <f t="shared" si="12"/>
        <v>1523.7129461653337</v>
      </c>
      <c r="AW30" s="17">
        <f t="shared" si="12"/>
        <v>1758.9191332347498</v>
      </c>
      <c r="AX30" s="17">
        <f t="shared" si="12"/>
        <v>1767.369420668417</v>
      </c>
      <c r="AY30" s="17">
        <f t="shared" si="13"/>
        <v>1870.7814182157501</v>
      </c>
      <c r="AZ30" s="17">
        <f t="shared" si="13"/>
        <v>1675.3891592675002</v>
      </c>
      <c r="BA30" s="17">
        <f t="shared" si="14"/>
        <v>954.32757265850034</v>
      </c>
      <c r="BB30" s="17">
        <f t="shared" si="15"/>
        <v>1054.0980510465004</v>
      </c>
      <c r="BC30" s="17">
        <f t="shared" si="16"/>
        <v>677.64291509383349</v>
      </c>
      <c r="BD30" s="17">
        <f t="shared" si="17"/>
        <v>747.01140175166677</v>
      </c>
      <c r="BE30" s="17">
        <f t="shared" si="18"/>
        <v>526.56422659616635</v>
      </c>
      <c r="BF30" s="17">
        <f t="shared" si="19"/>
        <v>236.70342797966683</v>
      </c>
      <c r="BG30" s="17">
        <f t="shared" si="20"/>
        <v>-10086.968144654584</v>
      </c>
      <c r="BH30" s="17">
        <f t="shared" si="21"/>
        <v>-10251.259231613583</v>
      </c>
      <c r="BI30" s="17">
        <f t="shared" si="22"/>
        <v>-10315.852521191</v>
      </c>
    </row>
    <row r="31" spans="1:65" ht="25" customHeight="1">
      <c r="A31" s="58" t="s">
        <v>44</v>
      </c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17">
        <f t="shared" si="23"/>
        <v>-216.47472499416654</v>
      </c>
      <c r="O31" s="17">
        <f t="shared" si="12"/>
        <v>-315.24870653916696</v>
      </c>
      <c r="P31" s="17">
        <f t="shared" si="12"/>
        <v>-140.52213508749992</v>
      </c>
      <c r="Q31" s="17">
        <f t="shared" si="12"/>
        <v>47.83044079333316</v>
      </c>
      <c r="R31" s="17">
        <f t="shared" si="12"/>
        <v>-95.93351546000001</v>
      </c>
      <c r="S31" s="17">
        <f t="shared" si="12"/>
        <v>30.862727974166773</v>
      </c>
      <c r="T31" s="17">
        <f t="shared" si="12"/>
        <v>97.259541819999868</v>
      </c>
      <c r="U31" s="17">
        <f t="shared" si="12"/>
        <v>112.49611420083359</v>
      </c>
      <c r="V31" s="17">
        <f t="shared" si="12"/>
        <v>139.85079450749981</v>
      </c>
      <c r="W31" s="17">
        <f t="shared" si="12"/>
        <v>116.01854769250046</v>
      </c>
      <c r="X31" s="17">
        <f t="shared" si="12"/>
        <v>56.913364430833703</v>
      </c>
      <c r="Y31" s="17">
        <f t="shared" si="12"/>
        <v>8.9774452283333321</v>
      </c>
      <c r="Z31" s="17">
        <f t="shared" si="12"/>
        <v>-109.7165717124996</v>
      </c>
      <c r="AA31" s="17">
        <f t="shared" si="12"/>
        <v>-44.008923589166443</v>
      </c>
      <c r="AB31" s="17">
        <f t="shared" si="12"/>
        <v>-131.3067782449998</v>
      </c>
      <c r="AC31" s="17">
        <f t="shared" si="12"/>
        <v>-192.63978910583319</v>
      </c>
      <c r="AD31" s="17">
        <f t="shared" si="12"/>
        <v>-58.448709520000193</v>
      </c>
      <c r="AE31" s="17">
        <f t="shared" si="12"/>
        <v>-116.74265540499982</v>
      </c>
      <c r="AF31" s="17">
        <f t="shared" si="12"/>
        <v>-63.035959376666746</v>
      </c>
      <c r="AG31" s="17">
        <f t="shared" si="12"/>
        <v>72.451190277499947</v>
      </c>
      <c r="AH31" s="17">
        <f t="shared" si="12"/>
        <v>182.60927239166691</v>
      </c>
      <c r="AI31" s="17">
        <f t="shared" si="12"/>
        <v>93.630425964166236</v>
      </c>
      <c r="AJ31" s="17">
        <f t="shared" si="12"/>
        <v>-41.456246645833744</v>
      </c>
      <c r="AK31" s="17">
        <f t="shared" si="12"/>
        <v>-204.28871716833297</v>
      </c>
      <c r="AL31" s="17">
        <f t="shared" si="12"/>
        <v>-102.57727820750006</v>
      </c>
      <c r="AM31" s="17">
        <f t="shared" si="12"/>
        <v>-39.928199957500205</v>
      </c>
      <c r="AN31" s="17">
        <f t="shared" si="12"/>
        <v>49.70049513416658</v>
      </c>
      <c r="AO31" s="17">
        <f t="shared" si="12"/>
        <v>270.73594363249987</v>
      </c>
      <c r="AP31" s="17">
        <f t="shared" si="12"/>
        <v>226.0544066516668</v>
      </c>
      <c r="AQ31" s="17">
        <f t="shared" si="12"/>
        <v>352.36252330666622</v>
      </c>
      <c r="AR31" s="17">
        <f t="shared" si="12"/>
        <v>153.80258842833368</v>
      </c>
      <c r="AS31" s="17">
        <f t="shared" si="12"/>
        <v>153.59103954499975</v>
      </c>
      <c r="AT31" s="17">
        <f t="shared" si="12"/>
        <v>116.65014549583309</v>
      </c>
      <c r="AU31" s="17">
        <f t="shared" si="12"/>
        <v>164.7477214699999</v>
      </c>
      <c r="AV31" s="17">
        <f t="shared" si="12"/>
        <v>210.40381255750012</v>
      </c>
      <c r="AW31" s="17">
        <f t="shared" si="12"/>
        <v>314.6657915716666</v>
      </c>
      <c r="AX31" s="17">
        <f t="shared" si="12"/>
        <v>334.52343038916661</v>
      </c>
      <c r="AY31" s="17">
        <f t="shared" si="13"/>
        <v>282.88813523333312</v>
      </c>
      <c r="AZ31" s="17">
        <f t="shared" si="13"/>
        <v>127.86450719750003</v>
      </c>
      <c r="BA31" s="17">
        <f t="shared" si="14"/>
        <v>-36.980342445000133</v>
      </c>
      <c r="BB31" s="17">
        <f t="shared" si="15"/>
        <v>44.143654246666607</v>
      </c>
      <c r="BC31" s="17">
        <f t="shared" si="16"/>
        <v>-73.348384760833142</v>
      </c>
      <c r="BD31" s="17">
        <f t="shared" si="17"/>
        <v>65.74614366249989</v>
      </c>
      <c r="BE31" s="17">
        <f t="shared" si="18"/>
        <v>-14.094763660833147</v>
      </c>
      <c r="BF31" s="17">
        <f t="shared" si="19"/>
        <v>-17.712792213333159</v>
      </c>
      <c r="BG31" s="17">
        <f t="shared" si="20"/>
        <v>-3192.8380233974999</v>
      </c>
      <c r="BH31" s="17">
        <f t="shared" si="21"/>
        <v>-3194.1666666666665</v>
      </c>
      <c r="BI31" s="17">
        <f t="shared" si="22"/>
        <v>-3220.0833333333335</v>
      </c>
    </row>
    <row r="32" spans="1:65" ht="25" customHeight="1">
      <c r="A32" s="59" t="s">
        <v>13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17">
        <f t="shared" si="23"/>
        <v>-133.08333333333334</v>
      </c>
      <c r="O32" s="17">
        <f t="shared" si="12"/>
        <v>-1630.9166666666667</v>
      </c>
      <c r="P32" s="17">
        <f t="shared" si="12"/>
        <v>-963</v>
      </c>
      <c r="Q32" s="17">
        <f t="shared" si="12"/>
        <v>-840.83333333333337</v>
      </c>
      <c r="R32" s="17">
        <f t="shared" ref="R32:AZ32" si="24">+AVERAGEA(G21:R21)</f>
        <v>-1254</v>
      </c>
      <c r="S32" s="17">
        <f t="shared" si="24"/>
        <v>-1075.1666666666667</v>
      </c>
      <c r="T32" s="17">
        <f t="shared" si="24"/>
        <v>-1188.3333333333333</v>
      </c>
      <c r="U32" s="17">
        <f t="shared" si="24"/>
        <v>-1133.3333333333333</v>
      </c>
      <c r="V32" s="17">
        <f t="shared" si="24"/>
        <v>-1494.5</v>
      </c>
      <c r="W32" s="17">
        <f t="shared" si="24"/>
        <v>-1397</v>
      </c>
      <c r="X32" s="17">
        <f t="shared" si="24"/>
        <v>-1149.5</v>
      </c>
      <c r="Y32" s="17">
        <f t="shared" si="24"/>
        <v>-1156.25</v>
      </c>
      <c r="Z32" s="17">
        <f t="shared" si="24"/>
        <v>-987.08333333333337</v>
      </c>
      <c r="AA32" s="17">
        <f t="shared" si="24"/>
        <v>407.25</v>
      </c>
      <c r="AB32" s="17">
        <f t="shared" si="24"/>
        <v>32.833333333333336</v>
      </c>
      <c r="AC32" s="17">
        <f t="shared" si="24"/>
        <v>31.333333333333332</v>
      </c>
      <c r="AD32" s="17">
        <f t="shared" si="24"/>
        <v>505.75</v>
      </c>
      <c r="AE32" s="17">
        <f t="shared" si="24"/>
        <v>684.91666666666663</v>
      </c>
      <c r="AF32" s="17">
        <f t="shared" si="24"/>
        <v>547.25</v>
      </c>
      <c r="AG32" s="17">
        <f t="shared" si="24"/>
        <v>705.66666666666663</v>
      </c>
      <c r="AH32" s="17">
        <f t="shared" si="24"/>
        <v>1547.75</v>
      </c>
      <c r="AI32" s="17">
        <f t="shared" si="24"/>
        <v>993.75</v>
      </c>
      <c r="AJ32" s="17">
        <f t="shared" si="24"/>
        <v>434.25</v>
      </c>
      <c r="AK32" s="17">
        <f t="shared" si="24"/>
        <v>-67.75</v>
      </c>
      <c r="AL32" s="17">
        <f t="shared" si="24"/>
        <v>-83.333333333333329</v>
      </c>
      <c r="AM32" s="17">
        <f t="shared" si="24"/>
        <v>279.08333333333331</v>
      </c>
      <c r="AN32" s="17">
        <f t="shared" si="24"/>
        <v>553</v>
      </c>
      <c r="AO32" s="17">
        <f t="shared" si="24"/>
        <v>1258.5</v>
      </c>
      <c r="AP32" s="17">
        <f t="shared" si="24"/>
        <v>1160.9166666666667</v>
      </c>
      <c r="AQ32" s="17">
        <f t="shared" si="24"/>
        <v>1259</v>
      </c>
      <c r="AR32" s="17">
        <f t="shared" si="24"/>
        <v>1097.5</v>
      </c>
      <c r="AS32" s="17">
        <f t="shared" si="24"/>
        <v>1334.75</v>
      </c>
      <c r="AT32" s="17">
        <f t="shared" si="24"/>
        <v>1578.5</v>
      </c>
      <c r="AU32" s="17">
        <f t="shared" si="24"/>
        <v>1914.0833333333333</v>
      </c>
      <c r="AV32" s="17">
        <f t="shared" si="24"/>
        <v>2089.1666666666665</v>
      </c>
      <c r="AW32" s="17">
        <f t="shared" si="24"/>
        <v>2814.9166666666665</v>
      </c>
      <c r="AX32" s="17">
        <f t="shared" si="24"/>
        <v>3741.3333333333335</v>
      </c>
      <c r="AY32" s="17">
        <f t="shared" si="24"/>
        <v>3405.3333333333335</v>
      </c>
      <c r="AZ32" s="17">
        <f t="shared" si="24"/>
        <v>3585</v>
      </c>
      <c r="BA32" s="17">
        <f t="shared" si="14"/>
        <v>4033.8333333333335</v>
      </c>
      <c r="BB32" s="17">
        <f t="shared" si="15"/>
        <v>3267.3333333333335</v>
      </c>
      <c r="BC32" s="17">
        <f t="shared" si="16"/>
        <v>2019.25</v>
      </c>
      <c r="BD32" s="17">
        <f t="shared" si="17"/>
        <v>2344.5833333333335</v>
      </c>
      <c r="BE32" s="17">
        <f t="shared" si="18"/>
        <v>2138.3333333333335</v>
      </c>
      <c r="BF32" s="17">
        <f t="shared" si="19"/>
        <v>1649.1666666666667</v>
      </c>
      <c r="BG32" s="17">
        <f t="shared" si="20"/>
        <v>-26862.583333333332</v>
      </c>
      <c r="BH32" s="17">
        <f t="shared" si="21"/>
        <v>-27129</v>
      </c>
      <c r="BI32" s="17">
        <f t="shared" si="22"/>
        <v>-27869.666666666668</v>
      </c>
    </row>
    <row r="33" spans="1:61" ht="25" customHeight="1">
      <c r="BH33" s="63"/>
      <c r="BI33" s="63"/>
    </row>
    <row r="34" spans="1:61" ht="25" customHeight="1"/>
    <row r="35" spans="1:61" ht="25" customHeight="1">
      <c r="A35" s="279" t="s">
        <v>62</v>
      </c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  <c r="O35" s="279"/>
      <c r="P35" s="279"/>
      <c r="Q35" s="279"/>
      <c r="R35" s="279"/>
      <c r="S35" s="279"/>
      <c r="T35" s="279"/>
      <c r="U35" s="279"/>
      <c r="V35" s="279"/>
      <c r="W35" s="279"/>
      <c r="X35" s="279"/>
      <c r="Y35" s="279"/>
      <c r="Z35" s="279"/>
      <c r="AA35" s="279"/>
      <c r="AB35" s="279"/>
      <c r="AC35" s="279"/>
      <c r="AD35" s="279"/>
      <c r="AE35" s="279"/>
      <c r="AF35" s="279"/>
      <c r="AG35" s="279"/>
      <c r="AH35" s="279"/>
      <c r="AI35" s="279"/>
      <c r="AJ35" s="279"/>
      <c r="AK35" s="279"/>
      <c r="AL35" s="279"/>
      <c r="AM35" s="279"/>
      <c r="AN35" s="279"/>
      <c r="AO35" s="279"/>
      <c r="AP35" s="279"/>
      <c r="AQ35" s="279"/>
      <c r="AR35" s="279"/>
      <c r="AS35" s="279"/>
      <c r="AT35" s="279"/>
      <c r="AU35" s="279"/>
      <c r="AV35" s="279"/>
      <c r="AW35" s="279"/>
      <c r="AX35" s="279"/>
      <c r="AY35" s="279"/>
      <c r="AZ35" s="279"/>
      <c r="BA35" s="279"/>
      <c r="BB35" s="279"/>
      <c r="BC35" s="279"/>
      <c r="BD35" s="279"/>
      <c r="BE35" s="279"/>
      <c r="BF35" s="279"/>
      <c r="BG35" s="279"/>
      <c r="BH35" s="279"/>
      <c r="BI35" s="279"/>
    </row>
    <row r="36" spans="1:61" ht="25" customHeight="1">
      <c r="A36" s="28" t="s">
        <v>45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15">
        <v>44927</v>
      </c>
      <c r="O36" s="15">
        <v>44958</v>
      </c>
      <c r="P36" s="15">
        <v>44986</v>
      </c>
      <c r="Q36" s="15">
        <v>45017</v>
      </c>
      <c r="R36" s="15">
        <v>45047</v>
      </c>
      <c r="S36" s="15">
        <v>45078</v>
      </c>
      <c r="T36" s="15">
        <v>45108</v>
      </c>
      <c r="U36" s="15">
        <v>45139</v>
      </c>
      <c r="V36" s="15">
        <v>45170</v>
      </c>
      <c r="W36" s="15">
        <v>45200</v>
      </c>
      <c r="X36" s="15">
        <v>45231</v>
      </c>
      <c r="Y36" s="15">
        <v>45261</v>
      </c>
      <c r="Z36" s="15">
        <v>45292</v>
      </c>
      <c r="AA36" s="15">
        <v>45323</v>
      </c>
      <c r="AB36" s="15">
        <v>45352</v>
      </c>
      <c r="AC36" s="15">
        <v>45383</v>
      </c>
      <c r="AD36" s="15">
        <v>45413</v>
      </c>
      <c r="AE36" s="15">
        <v>45444</v>
      </c>
      <c r="AF36" s="15">
        <v>45474</v>
      </c>
      <c r="AG36" s="15">
        <v>45505</v>
      </c>
      <c r="AH36" s="15">
        <v>45536</v>
      </c>
      <c r="AI36" s="15">
        <v>45566</v>
      </c>
      <c r="AJ36" s="15">
        <v>45597</v>
      </c>
      <c r="AK36" s="15">
        <v>45627</v>
      </c>
      <c r="AL36" s="15">
        <v>45658</v>
      </c>
      <c r="AM36" s="15">
        <v>45689</v>
      </c>
      <c r="AN36" s="15">
        <v>45717</v>
      </c>
      <c r="AO36" s="15">
        <v>45748</v>
      </c>
      <c r="AP36" s="15">
        <v>45778</v>
      </c>
      <c r="AQ36" s="15">
        <v>45809</v>
      </c>
      <c r="AR36" s="15">
        <v>45839</v>
      </c>
      <c r="AS36" s="15">
        <v>45870</v>
      </c>
      <c r="AT36" s="15">
        <v>45901</v>
      </c>
      <c r="AU36" s="15">
        <v>45931</v>
      </c>
      <c r="AV36" s="15">
        <v>45962</v>
      </c>
      <c r="AW36" s="15">
        <v>45992</v>
      </c>
      <c r="AX36" s="15">
        <v>46023</v>
      </c>
      <c r="AY36" s="15">
        <v>46054</v>
      </c>
      <c r="AZ36" s="15">
        <v>46082</v>
      </c>
      <c r="BA36" s="15">
        <v>46113</v>
      </c>
      <c r="BB36" s="15">
        <v>46143</v>
      </c>
      <c r="BC36" s="15">
        <v>46174</v>
      </c>
      <c r="BD36" s="15">
        <v>46204</v>
      </c>
      <c r="BE36" s="15">
        <v>46235</v>
      </c>
      <c r="BF36" s="15">
        <v>46266</v>
      </c>
      <c r="BG36" s="15">
        <v>46296</v>
      </c>
      <c r="BH36" s="15">
        <v>46327</v>
      </c>
      <c r="BI36" s="15">
        <v>46357</v>
      </c>
    </row>
    <row r="37" spans="1:61" ht="25" customHeight="1">
      <c r="A37" s="29" t="s">
        <v>16</v>
      </c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30">
        <f>N31-N27</f>
        <v>11231.525275005833</v>
      </c>
      <c r="O37" s="30">
        <f t="shared" ref="O37:AX37" si="25">O31-O27</f>
        <v>12419.417960127499</v>
      </c>
      <c r="P37" s="30">
        <f t="shared" si="25"/>
        <v>7902.3945315791671</v>
      </c>
      <c r="Q37" s="30">
        <f t="shared" si="25"/>
        <v>4825.4137741266659</v>
      </c>
      <c r="R37" s="30">
        <f t="shared" si="25"/>
        <v>6282.1498178733327</v>
      </c>
      <c r="S37" s="30">
        <f t="shared" si="25"/>
        <v>5598.1127279741668</v>
      </c>
      <c r="T37" s="30">
        <f t="shared" si="25"/>
        <v>6458.0095418199999</v>
      </c>
      <c r="U37" s="30">
        <f t="shared" si="25"/>
        <v>3802.0794475341672</v>
      </c>
      <c r="V37" s="30">
        <f t="shared" si="25"/>
        <v>577.85079450749981</v>
      </c>
      <c r="W37" s="30">
        <f t="shared" si="25"/>
        <v>-2779.0647856408332</v>
      </c>
      <c r="X37" s="30">
        <f t="shared" si="25"/>
        <v>-3056.003302235833</v>
      </c>
      <c r="Y37" s="30">
        <f t="shared" si="25"/>
        <v>-5178.3558881049994</v>
      </c>
      <c r="Z37" s="30">
        <f t="shared" si="25"/>
        <v>-3662.883238379166</v>
      </c>
      <c r="AA37" s="30">
        <f t="shared" si="25"/>
        <v>-4389.6755902558334</v>
      </c>
      <c r="AB37" s="30">
        <f t="shared" si="25"/>
        <v>-2590.9734449116663</v>
      </c>
      <c r="AC37" s="30">
        <f t="shared" si="25"/>
        <v>-783.13978910583319</v>
      </c>
      <c r="AD37" s="30">
        <f t="shared" si="25"/>
        <v>2612.3012904799998</v>
      </c>
      <c r="AE37" s="30">
        <f t="shared" si="25"/>
        <v>2001.0073445950002</v>
      </c>
      <c r="AF37" s="30">
        <f t="shared" si="25"/>
        <v>3747.6307072899999</v>
      </c>
      <c r="AG37" s="30">
        <f t="shared" si="25"/>
        <v>2996.8678569441663</v>
      </c>
      <c r="AH37" s="30">
        <f t="shared" si="25"/>
        <v>775.69260572500025</v>
      </c>
      <c r="AI37" s="30">
        <f t="shared" si="25"/>
        <v>1892.9637592974996</v>
      </c>
      <c r="AJ37" s="30">
        <f t="shared" si="25"/>
        <v>3930.7937533541663</v>
      </c>
      <c r="AK37" s="30">
        <f t="shared" si="25"/>
        <v>6306.6279494983337</v>
      </c>
      <c r="AL37" s="30">
        <f t="shared" si="25"/>
        <v>5957.256055125833</v>
      </c>
      <c r="AM37" s="30">
        <f t="shared" si="25"/>
        <v>4133.4884667091665</v>
      </c>
      <c r="AN37" s="30">
        <f t="shared" si="25"/>
        <v>3761.3671618008329</v>
      </c>
      <c r="AO37" s="30">
        <f t="shared" si="25"/>
        <v>1318.2359436324998</v>
      </c>
      <c r="AP37" s="30">
        <f t="shared" si="25"/>
        <v>-2856.0289266816667</v>
      </c>
      <c r="AQ37" s="30">
        <f t="shared" si="25"/>
        <v>-3897.7208100266666</v>
      </c>
      <c r="AR37" s="30">
        <f t="shared" si="25"/>
        <v>-4759.8640782383336</v>
      </c>
      <c r="AS37" s="30">
        <f t="shared" si="25"/>
        <v>-4949.492293788333</v>
      </c>
      <c r="AT37" s="30">
        <f t="shared" si="25"/>
        <v>-4227.3498545041666</v>
      </c>
      <c r="AU37" s="30">
        <f t="shared" si="25"/>
        <v>-5762.1689451966668</v>
      </c>
      <c r="AV37" s="30">
        <f t="shared" si="25"/>
        <v>-6008.1795207758332</v>
      </c>
      <c r="AW37" s="30">
        <f t="shared" si="25"/>
        <v>-7034.9175417616661</v>
      </c>
      <c r="AX37" s="30">
        <f t="shared" si="25"/>
        <v>-7137.8099029441664</v>
      </c>
      <c r="AY37" s="30">
        <f>AY31-AY27</f>
        <v>-7025.6118647666672</v>
      </c>
      <c r="AZ37" s="30">
        <f>AZ31-AZ27</f>
        <v>-4774.0521594691672</v>
      </c>
      <c r="BA37" s="30">
        <f>BA31-BA27</f>
        <v>-4078.3136757783336</v>
      </c>
      <c r="BB37" s="30">
        <f t="shared" ref="BB37:BI37" si="26">BB31-BB27</f>
        <v>2317.1436542466668</v>
      </c>
      <c r="BC37" s="30">
        <f t="shared" si="26"/>
        <v>3711.8182819058334</v>
      </c>
      <c r="BD37" s="30">
        <f t="shared" si="26"/>
        <v>3237.6628103291664</v>
      </c>
      <c r="BE37" s="30">
        <f t="shared" si="26"/>
        <v>4426.8219030058335</v>
      </c>
      <c r="BF37" s="30">
        <f t="shared" si="26"/>
        <v>4947.7038744533338</v>
      </c>
      <c r="BG37" s="30">
        <f t="shared" si="26"/>
        <v>94034.161976602496</v>
      </c>
      <c r="BH37" s="30">
        <f t="shared" si="26"/>
        <v>94612.083333333328</v>
      </c>
      <c r="BI37" s="30">
        <f t="shared" si="26"/>
        <v>95155</v>
      </c>
    </row>
    <row r="38" spans="1:61" ht="25" customHeight="1">
      <c r="A38" s="31" t="s">
        <v>46</v>
      </c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30">
        <f t="shared" ref="N38:AX38" si="27">N31-N28</f>
        <v>13657.750852658337</v>
      </c>
      <c r="O38" s="30">
        <f t="shared" si="27"/>
        <v>16213.808172444167</v>
      </c>
      <c r="P38" s="30">
        <f t="shared" si="27"/>
        <v>14192.61310092458</v>
      </c>
      <c r="Q38" s="30">
        <f t="shared" si="27"/>
        <v>11193.040562735998</v>
      </c>
      <c r="R38" s="30">
        <f t="shared" si="27"/>
        <v>13148.596254570923</v>
      </c>
      <c r="S38" s="30">
        <f t="shared" si="27"/>
        <v>6635.7040753269139</v>
      </c>
      <c r="T38" s="30">
        <f t="shared" si="27"/>
        <v>7084.1701923208338</v>
      </c>
      <c r="U38" s="30">
        <f t="shared" si="27"/>
        <v>7764.8111605674967</v>
      </c>
      <c r="V38" s="30">
        <f t="shared" si="27"/>
        <v>6887.6731669550054</v>
      </c>
      <c r="W38" s="30">
        <f t="shared" si="27"/>
        <v>7619.1405679575009</v>
      </c>
      <c r="X38" s="30">
        <f t="shared" si="27"/>
        <v>8325.8419671216616</v>
      </c>
      <c r="Y38" s="30">
        <f t="shared" si="27"/>
        <v>5720.5422805491617</v>
      </c>
      <c r="Z38" s="30">
        <f t="shared" si="27"/>
        <v>6327.1471318308304</v>
      </c>
      <c r="AA38" s="30">
        <f t="shared" si="27"/>
        <v>4259.666154775</v>
      </c>
      <c r="AB38" s="30">
        <f t="shared" si="27"/>
        <v>1528.122869934173</v>
      </c>
      <c r="AC38" s="30">
        <f t="shared" si="27"/>
        <v>2509.6841470116692</v>
      </c>
      <c r="AD38" s="30">
        <f t="shared" si="27"/>
        <v>800.77542849166093</v>
      </c>
      <c r="AE38" s="30">
        <f t="shared" si="27"/>
        <v>1263.8666438916687</v>
      </c>
      <c r="AF38" s="30">
        <f t="shared" si="27"/>
        <v>41.166734538337558</v>
      </c>
      <c r="AG38" s="30">
        <f t="shared" si="27"/>
        <v>-2511.7871307849978</v>
      </c>
      <c r="AH38" s="30">
        <f t="shared" si="27"/>
        <v>-8662.1298490874997</v>
      </c>
      <c r="AI38" s="30">
        <f t="shared" si="27"/>
        <v>-8817.6570192091713</v>
      </c>
      <c r="AJ38" s="30">
        <f t="shared" si="27"/>
        <v>-7406.1219607983303</v>
      </c>
      <c r="AK38" s="30">
        <f t="shared" si="27"/>
        <v>-2542.0956855991662</v>
      </c>
      <c r="AL38" s="30">
        <f t="shared" si="27"/>
        <v>-3067.3315663899971</v>
      </c>
      <c r="AM38" s="30">
        <f t="shared" si="27"/>
        <v>-3686.6575114258321</v>
      </c>
      <c r="AN38" s="30">
        <f t="shared" si="27"/>
        <v>-2381.2721095166726</v>
      </c>
      <c r="AO38" s="30">
        <f t="shared" si="27"/>
        <v>-5314.2055906266633</v>
      </c>
      <c r="AP38" s="30">
        <f t="shared" si="27"/>
        <v>-4661.6915856875012</v>
      </c>
      <c r="AQ38" s="30">
        <f t="shared" si="27"/>
        <v>-8198.5978012341639</v>
      </c>
      <c r="AR38" s="30">
        <f t="shared" si="27"/>
        <v>-6348.0414923899989</v>
      </c>
      <c r="AS38" s="30">
        <f t="shared" si="27"/>
        <v>-6182.9272492841701</v>
      </c>
      <c r="AT38" s="30">
        <f t="shared" si="27"/>
        <v>-5229.5714675616673</v>
      </c>
      <c r="AU38" s="30">
        <f t="shared" si="27"/>
        <v>-5723.2851753741652</v>
      </c>
      <c r="AV38" s="30">
        <f t="shared" si="27"/>
        <v>-6587.370180320002</v>
      </c>
      <c r="AW38" s="30">
        <f t="shared" si="27"/>
        <v>-8571.4316816033279</v>
      </c>
      <c r="AX38" s="30">
        <f t="shared" si="27"/>
        <v>-9371.9413502599946</v>
      </c>
      <c r="AY38" s="30">
        <f>AY31-AY28</f>
        <v>-9870.7787292158264</v>
      </c>
      <c r="AZ38" s="30">
        <f>AZ31-AZ28</f>
        <v>-10335.362737321657</v>
      </c>
      <c r="BA38" s="30">
        <f>BA31-BA28</f>
        <v>-8759.1837520575045</v>
      </c>
      <c r="BB38" s="30">
        <f t="shared" ref="BB38:BI38" si="28">BB31-BB28</f>
        <v>-9622.9067718091719</v>
      </c>
      <c r="BC38" s="30">
        <f t="shared" si="28"/>
        <v>-7316.1101690658534</v>
      </c>
      <c r="BD38" s="30">
        <f t="shared" si="28"/>
        <v>-9286.9469830433736</v>
      </c>
      <c r="BE38" s="30">
        <f t="shared" si="28"/>
        <v>-9225.3891747467187</v>
      </c>
      <c r="BF38" s="30">
        <f t="shared" si="28"/>
        <v>-8580.1369972192388</v>
      </c>
      <c r="BG38" s="30">
        <f t="shared" si="28"/>
        <v>-13474.867269344259</v>
      </c>
      <c r="BH38" s="30">
        <f t="shared" si="28"/>
        <v>-14277.920303647617</v>
      </c>
      <c r="BI38" s="30">
        <f t="shared" si="28"/>
        <v>-14304.75355422348</v>
      </c>
    </row>
    <row r="39" spans="1:61" ht="25" customHeight="1">
      <c r="A39" s="31" t="s">
        <v>17</v>
      </c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30">
        <f>N31-N26</f>
        <v>-713.47472499416654</v>
      </c>
      <c r="O39" s="30">
        <f t="shared" ref="O39:AX39" si="29">O31-O26</f>
        <v>-853.99870653916696</v>
      </c>
      <c r="P39" s="30">
        <f t="shared" si="29"/>
        <v>-677.85546842083329</v>
      </c>
      <c r="Q39" s="30">
        <f t="shared" si="29"/>
        <v>-639.08622587333343</v>
      </c>
      <c r="R39" s="30">
        <f t="shared" si="29"/>
        <v>-578.26684879333334</v>
      </c>
      <c r="S39" s="30">
        <f t="shared" si="29"/>
        <v>-590.55393869249986</v>
      </c>
      <c r="T39" s="30">
        <f t="shared" si="29"/>
        <v>-488.5737915133335</v>
      </c>
      <c r="U39" s="30">
        <f t="shared" si="29"/>
        <v>-353.00388579916643</v>
      </c>
      <c r="V39" s="30">
        <f t="shared" si="29"/>
        <v>-544.73253882583356</v>
      </c>
      <c r="W39" s="30">
        <f t="shared" si="29"/>
        <v>-527.06478564083295</v>
      </c>
      <c r="X39" s="30">
        <f t="shared" si="29"/>
        <v>-630.00330223583296</v>
      </c>
      <c r="Y39" s="30">
        <f t="shared" si="29"/>
        <v>-839.77255477166671</v>
      </c>
      <c r="Z39" s="30">
        <f t="shared" si="29"/>
        <v>-630.21657171249956</v>
      </c>
      <c r="AA39" s="30">
        <f t="shared" si="29"/>
        <v>-652.67559025583307</v>
      </c>
      <c r="AB39" s="30">
        <f t="shared" si="29"/>
        <v>-801.3067782449998</v>
      </c>
      <c r="AC39" s="30">
        <f t="shared" si="29"/>
        <v>-803.30645577249982</v>
      </c>
      <c r="AD39" s="30">
        <f t="shared" si="29"/>
        <v>-822.19870952000019</v>
      </c>
      <c r="AE39" s="30">
        <f t="shared" si="29"/>
        <v>-824.15932207166645</v>
      </c>
      <c r="AF39" s="30">
        <f t="shared" si="29"/>
        <v>-849.78595937666671</v>
      </c>
      <c r="AG39" s="30">
        <f t="shared" si="29"/>
        <v>-811.13214305583347</v>
      </c>
      <c r="AH39" s="30">
        <f t="shared" si="29"/>
        <v>-1022.5573942749999</v>
      </c>
      <c r="AI39" s="30">
        <f t="shared" si="29"/>
        <v>-705.78624070250044</v>
      </c>
      <c r="AJ39" s="30">
        <f t="shared" si="29"/>
        <v>-623.12291331250037</v>
      </c>
      <c r="AK39" s="30">
        <f t="shared" si="29"/>
        <v>-534.70538383499968</v>
      </c>
      <c r="AL39" s="30">
        <f t="shared" si="29"/>
        <v>-261.24394487416669</v>
      </c>
      <c r="AM39" s="30">
        <f t="shared" si="29"/>
        <v>-332.67819995750023</v>
      </c>
      <c r="AN39" s="30">
        <f t="shared" si="29"/>
        <v>-609.04950486583346</v>
      </c>
      <c r="AO39" s="30">
        <f t="shared" si="29"/>
        <v>88.485943632499868</v>
      </c>
      <c r="AP39" s="30">
        <f t="shared" si="29"/>
        <v>149.5544066516668</v>
      </c>
      <c r="AQ39" s="30">
        <f t="shared" si="29"/>
        <v>55.195856639999533</v>
      </c>
      <c r="AR39" s="30">
        <f t="shared" si="29"/>
        <v>13.969255095000335</v>
      </c>
      <c r="AS39" s="30">
        <f t="shared" si="29"/>
        <v>48.674372878333074</v>
      </c>
      <c r="AT39" s="30">
        <f t="shared" si="29"/>
        <v>278.9001454958331</v>
      </c>
      <c r="AU39" s="30">
        <f t="shared" si="29"/>
        <v>-253.0022785300001</v>
      </c>
      <c r="AV39" s="30">
        <f t="shared" si="29"/>
        <v>-131.51285410916657</v>
      </c>
      <c r="AW39" s="30">
        <f t="shared" si="29"/>
        <v>-61.750875095000083</v>
      </c>
      <c r="AX39" s="30">
        <f t="shared" si="29"/>
        <v>-388.05990294416677</v>
      </c>
      <c r="AY39" s="30">
        <f>AY31-AY26</f>
        <v>-240.94519810000025</v>
      </c>
      <c r="AZ39" s="30">
        <f>AZ31-AZ26</f>
        <v>181.86450719750002</v>
      </c>
      <c r="BA39" s="30">
        <f>BA31-BA26</f>
        <v>-93.813675778333476</v>
      </c>
      <c r="BB39" s="30">
        <f t="shared" ref="BB39:BI39" si="30">BB31-BB26</f>
        <v>-8.5230124200000574</v>
      </c>
      <c r="BC39" s="30">
        <f t="shared" si="30"/>
        <v>92.151615239166858</v>
      </c>
      <c r="BD39" s="30">
        <f t="shared" si="30"/>
        <v>118.07947699583323</v>
      </c>
      <c r="BE39" s="30">
        <f t="shared" si="30"/>
        <v>103.57190300583352</v>
      </c>
      <c r="BF39" s="30">
        <f t="shared" si="30"/>
        <v>-5.9627922133331595</v>
      </c>
      <c r="BG39" s="30">
        <f t="shared" si="30"/>
        <v>5113.4953099358336</v>
      </c>
      <c r="BH39" s="30">
        <f t="shared" si="30"/>
        <v>5023.1666666666679</v>
      </c>
      <c r="BI39" s="30">
        <f t="shared" si="30"/>
        <v>4979.5833333333321</v>
      </c>
    </row>
    <row r="40" spans="1:61" ht="25" customHeight="1">
      <c r="A40" s="34" t="s">
        <v>47</v>
      </c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30">
        <f>N32-N31</f>
        <v>83.391391660833193</v>
      </c>
      <c r="O40" s="30">
        <f t="shared" ref="O40:AX40" si="31">O32-O31</f>
        <v>-1315.6679601274998</v>
      </c>
      <c r="P40" s="30">
        <f t="shared" si="31"/>
        <v>-822.47786491250008</v>
      </c>
      <c r="Q40" s="30">
        <f t="shared" si="31"/>
        <v>-888.66377412666657</v>
      </c>
      <c r="R40" s="30">
        <f t="shared" si="31"/>
        <v>-1158.0664845399999</v>
      </c>
      <c r="S40" s="30">
        <f t="shared" si="31"/>
        <v>-1106.0293946408335</v>
      </c>
      <c r="T40" s="30">
        <f t="shared" si="31"/>
        <v>-1285.5928751533331</v>
      </c>
      <c r="U40" s="30">
        <f t="shared" si="31"/>
        <v>-1245.8294475341668</v>
      </c>
      <c r="V40" s="30">
        <f t="shared" si="31"/>
        <v>-1634.3507945074998</v>
      </c>
      <c r="W40" s="30">
        <f t="shared" si="31"/>
        <v>-1513.0185476925005</v>
      </c>
      <c r="X40" s="30">
        <f t="shared" si="31"/>
        <v>-1206.4133644308338</v>
      </c>
      <c r="Y40" s="30">
        <f t="shared" si="31"/>
        <v>-1165.2274452283334</v>
      </c>
      <c r="Z40" s="30">
        <f t="shared" si="31"/>
        <v>-877.36676162083381</v>
      </c>
      <c r="AA40" s="30">
        <f t="shared" si="31"/>
        <v>451.25892358916644</v>
      </c>
      <c r="AB40" s="30">
        <f t="shared" si="31"/>
        <v>164.14011157833315</v>
      </c>
      <c r="AC40" s="30">
        <f t="shared" si="31"/>
        <v>223.97312243916653</v>
      </c>
      <c r="AD40" s="30">
        <f t="shared" si="31"/>
        <v>564.19870952000019</v>
      </c>
      <c r="AE40" s="30">
        <f t="shared" si="31"/>
        <v>801.65932207166645</v>
      </c>
      <c r="AF40" s="30">
        <f t="shared" si="31"/>
        <v>610.28595937666671</v>
      </c>
      <c r="AG40" s="30">
        <f t="shared" si="31"/>
        <v>633.21547638916672</v>
      </c>
      <c r="AH40" s="30">
        <f t="shared" si="31"/>
        <v>1365.140727608333</v>
      </c>
      <c r="AI40" s="30">
        <f t="shared" si="31"/>
        <v>900.11957403583381</v>
      </c>
      <c r="AJ40" s="30">
        <f t="shared" si="31"/>
        <v>475.70624664583374</v>
      </c>
      <c r="AK40" s="30">
        <f t="shared" si="31"/>
        <v>136.53871716833297</v>
      </c>
      <c r="AL40" s="30">
        <f t="shared" si="31"/>
        <v>19.243944874166729</v>
      </c>
      <c r="AM40" s="30">
        <f t="shared" si="31"/>
        <v>319.01153329083354</v>
      </c>
      <c r="AN40" s="30">
        <f t="shared" si="31"/>
        <v>503.2995048658334</v>
      </c>
      <c r="AO40" s="30">
        <f t="shared" si="31"/>
        <v>987.76405636750019</v>
      </c>
      <c r="AP40" s="30">
        <f t="shared" si="31"/>
        <v>934.86226001499995</v>
      </c>
      <c r="AQ40" s="30">
        <f t="shared" si="31"/>
        <v>906.63747669333384</v>
      </c>
      <c r="AR40" s="30">
        <f t="shared" si="31"/>
        <v>943.69741157166629</v>
      </c>
      <c r="AS40" s="30">
        <f t="shared" si="31"/>
        <v>1181.1589604550002</v>
      </c>
      <c r="AT40" s="30">
        <f t="shared" si="31"/>
        <v>1461.8498545041668</v>
      </c>
      <c r="AU40" s="30">
        <f t="shared" si="31"/>
        <v>1749.3356118633333</v>
      </c>
      <c r="AV40" s="30">
        <f t="shared" si="31"/>
        <v>1878.7628541091665</v>
      </c>
      <c r="AW40" s="30">
        <f t="shared" si="31"/>
        <v>2500.2508750950001</v>
      </c>
      <c r="AX40" s="30">
        <f t="shared" si="31"/>
        <v>3406.8099029441669</v>
      </c>
      <c r="AY40" s="30">
        <f>AY32-AY31</f>
        <v>3122.4451981000002</v>
      </c>
      <c r="AZ40" s="30">
        <f>AZ32-AZ31</f>
        <v>3457.1354928024998</v>
      </c>
      <c r="BA40" s="30">
        <f>BA32-BA31</f>
        <v>4070.8136757783336</v>
      </c>
      <c r="BB40" s="30">
        <f t="shared" ref="BB40:BI40" si="32">BB32-BB31</f>
        <v>3223.1896790866667</v>
      </c>
      <c r="BC40" s="30">
        <f t="shared" si="32"/>
        <v>2092.5983847608331</v>
      </c>
      <c r="BD40" s="30">
        <f t="shared" si="32"/>
        <v>2278.8371896708336</v>
      </c>
      <c r="BE40" s="30">
        <f t="shared" si="32"/>
        <v>2152.4280969941665</v>
      </c>
      <c r="BF40" s="30">
        <f t="shared" si="32"/>
        <v>1666.8794588799999</v>
      </c>
      <c r="BG40" s="30">
        <f t="shared" si="32"/>
        <v>-23669.745309935832</v>
      </c>
      <c r="BH40" s="30">
        <f t="shared" si="32"/>
        <v>-23934.833333333332</v>
      </c>
      <c r="BI40" s="30">
        <f t="shared" si="32"/>
        <v>-24649.583333333336</v>
      </c>
    </row>
    <row r="41" spans="1:61" ht="25" customHeight="1">
      <c r="A41" s="34" t="s">
        <v>14</v>
      </c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30">
        <f>N32-N27</f>
        <v>11314.916666666666</v>
      </c>
      <c r="O41" s="30">
        <f t="shared" ref="O41:AX41" si="33">O32-O27</f>
        <v>11103.75</v>
      </c>
      <c r="P41" s="30">
        <f t="shared" si="33"/>
        <v>7079.916666666667</v>
      </c>
      <c r="Q41" s="30">
        <f t="shared" si="33"/>
        <v>3936.7499999999995</v>
      </c>
      <c r="R41" s="30">
        <f t="shared" si="33"/>
        <v>5124.083333333333</v>
      </c>
      <c r="S41" s="30">
        <f t="shared" si="33"/>
        <v>4492.083333333333</v>
      </c>
      <c r="T41" s="30">
        <f t="shared" si="33"/>
        <v>5172.416666666667</v>
      </c>
      <c r="U41" s="30">
        <f t="shared" si="33"/>
        <v>2556.25</v>
      </c>
      <c r="V41" s="30">
        <f t="shared" si="33"/>
        <v>-1056.5</v>
      </c>
      <c r="W41" s="30">
        <f t="shared" si="33"/>
        <v>-4292.0833333333339</v>
      </c>
      <c r="X41" s="30">
        <f t="shared" si="33"/>
        <v>-4262.4166666666661</v>
      </c>
      <c r="Y41" s="30">
        <f t="shared" si="33"/>
        <v>-6343.583333333333</v>
      </c>
      <c r="Z41" s="30">
        <f t="shared" si="33"/>
        <v>-4540.25</v>
      </c>
      <c r="AA41" s="30">
        <f t="shared" si="33"/>
        <v>-3938.416666666667</v>
      </c>
      <c r="AB41" s="30">
        <f t="shared" si="33"/>
        <v>-2426.833333333333</v>
      </c>
      <c r="AC41" s="30">
        <f t="shared" si="33"/>
        <v>-559.16666666666663</v>
      </c>
      <c r="AD41" s="30">
        <f t="shared" si="33"/>
        <v>3176.5</v>
      </c>
      <c r="AE41" s="30">
        <f t="shared" si="33"/>
        <v>2802.6666666666665</v>
      </c>
      <c r="AF41" s="30">
        <f t="shared" si="33"/>
        <v>4357.9166666666661</v>
      </c>
      <c r="AG41" s="30">
        <f t="shared" si="33"/>
        <v>3630.083333333333</v>
      </c>
      <c r="AH41" s="30">
        <f t="shared" si="33"/>
        <v>2140.8333333333335</v>
      </c>
      <c r="AI41" s="30">
        <f t="shared" si="33"/>
        <v>2793.083333333333</v>
      </c>
      <c r="AJ41" s="30">
        <f t="shared" si="33"/>
        <v>4406.5</v>
      </c>
      <c r="AK41" s="30">
        <f t="shared" si="33"/>
        <v>6443.166666666667</v>
      </c>
      <c r="AL41" s="30">
        <f t="shared" si="33"/>
        <v>5976.5</v>
      </c>
      <c r="AM41" s="30">
        <f t="shared" si="33"/>
        <v>4452.5</v>
      </c>
      <c r="AN41" s="30">
        <f t="shared" si="33"/>
        <v>4264.6666666666661</v>
      </c>
      <c r="AO41" s="30">
        <f t="shared" si="33"/>
        <v>2306</v>
      </c>
      <c r="AP41" s="30">
        <f t="shared" si="33"/>
        <v>-1921.1666666666667</v>
      </c>
      <c r="AQ41" s="30">
        <f t="shared" si="33"/>
        <v>-2991.083333333333</v>
      </c>
      <c r="AR41" s="30">
        <f t="shared" si="33"/>
        <v>-3816.166666666667</v>
      </c>
      <c r="AS41" s="30">
        <f t="shared" si="33"/>
        <v>-3768.333333333333</v>
      </c>
      <c r="AT41" s="30">
        <f t="shared" si="33"/>
        <v>-2765.5</v>
      </c>
      <c r="AU41" s="30">
        <f t="shared" si="33"/>
        <v>-4012.8333333333339</v>
      </c>
      <c r="AV41" s="30">
        <f t="shared" si="33"/>
        <v>-4129.4166666666661</v>
      </c>
      <c r="AW41" s="30">
        <f t="shared" si="33"/>
        <v>-4534.6666666666661</v>
      </c>
      <c r="AX41" s="30">
        <f t="shared" si="33"/>
        <v>-3730.9999999999995</v>
      </c>
      <c r="AY41" s="30">
        <f>AY32-AY27</f>
        <v>-3903.1666666666665</v>
      </c>
      <c r="AZ41" s="30">
        <f>AZ32-AZ27</f>
        <v>-1316.916666666667</v>
      </c>
      <c r="BA41" s="30">
        <f>BA32-BA27</f>
        <v>-7.5</v>
      </c>
      <c r="BB41" s="30">
        <f t="shared" ref="BB41:BI41" si="34">BB32-BB27</f>
        <v>5540.3333333333339</v>
      </c>
      <c r="BC41" s="30">
        <f t="shared" si="34"/>
        <v>5804.4166666666661</v>
      </c>
      <c r="BD41" s="30">
        <f t="shared" si="34"/>
        <v>5516.5</v>
      </c>
      <c r="BE41" s="30">
        <f t="shared" si="34"/>
        <v>6579.25</v>
      </c>
      <c r="BF41" s="30">
        <f t="shared" si="34"/>
        <v>6614.5833333333339</v>
      </c>
      <c r="BG41" s="30">
        <f t="shared" si="34"/>
        <v>70364.416666666672</v>
      </c>
      <c r="BH41" s="30">
        <f t="shared" si="34"/>
        <v>70677.25</v>
      </c>
      <c r="BI41" s="30">
        <f t="shared" si="34"/>
        <v>70505.416666666657</v>
      </c>
    </row>
    <row r="42" spans="1:61" ht="25" customHeight="1">
      <c r="A42" s="34" t="s">
        <v>48</v>
      </c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30">
        <f t="shared" ref="N42:AX42" si="35">N32-N28</f>
        <v>13741.14224431917</v>
      </c>
      <c r="O42" s="30">
        <f t="shared" si="35"/>
        <v>14898.140212316668</v>
      </c>
      <c r="P42" s="30">
        <f t="shared" si="35"/>
        <v>13370.13523601208</v>
      </c>
      <c r="Q42" s="30">
        <f t="shared" si="35"/>
        <v>10304.37678860933</v>
      </c>
      <c r="R42" s="30">
        <f t="shared" si="35"/>
        <v>11990.529770030922</v>
      </c>
      <c r="S42" s="30">
        <f t="shared" si="35"/>
        <v>5529.6746806860801</v>
      </c>
      <c r="T42" s="30">
        <f t="shared" si="35"/>
        <v>5798.577317167501</v>
      </c>
      <c r="U42" s="30">
        <f t="shared" si="35"/>
        <v>6518.9817130333304</v>
      </c>
      <c r="V42" s="30">
        <f t="shared" si="35"/>
        <v>5253.3223724475056</v>
      </c>
      <c r="W42" s="30">
        <f t="shared" si="35"/>
        <v>6106.1220202650002</v>
      </c>
      <c r="X42" s="30">
        <f t="shared" si="35"/>
        <v>7119.4286026908285</v>
      </c>
      <c r="Y42" s="30">
        <f t="shared" si="35"/>
        <v>4555.314835320828</v>
      </c>
      <c r="Z42" s="30">
        <f t="shared" si="35"/>
        <v>5449.7803702099973</v>
      </c>
      <c r="AA42" s="30">
        <f t="shared" si="35"/>
        <v>4710.9250783641664</v>
      </c>
      <c r="AB42" s="30">
        <f t="shared" si="35"/>
        <v>1692.262981512506</v>
      </c>
      <c r="AC42" s="30">
        <f t="shared" si="35"/>
        <v>2733.6572694508359</v>
      </c>
      <c r="AD42" s="30">
        <f t="shared" si="35"/>
        <v>1364.9741380116611</v>
      </c>
      <c r="AE42" s="30">
        <f t="shared" si="35"/>
        <v>2065.5259659633352</v>
      </c>
      <c r="AF42" s="30">
        <f t="shared" si="35"/>
        <v>651.45269391500426</v>
      </c>
      <c r="AG42" s="30">
        <f t="shared" si="35"/>
        <v>-1878.571654395831</v>
      </c>
      <c r="AH42" s="30">
        <f t="shared" si="35"/>
        <v>-7296.989121479166</v>
      </c>
      <c r="AI42" s="30">
        <f t="shared" si="35"/>
        <v>-7917.5374451733369</v>
      </c>
      <c r="AJ42" s="30">
        <f t="shared" si="35"/>
        <v>-6930.4157141524965</v>
      </c>
      <c r="AK42" s="30">
        <f t="shared" si="35"/>
        <v>-2405.5569684308334</v>
      </c>
      <c r="AL42" s="30">
        <f t="shared" si="35"/>
        <v>-3048.0876215158305</v>
      </c>
      <c r="AM42" s="30">
        <f t="shared" si="35"/>
        <v>-3367.6459781349986</v>
      </c>
      <c r="AN42" s="30">
        <f t="shared" si="35"/>
        <v>-1877.972604650839</v>
      </c>
      <c r="AO42" s="30">
        <f t="shared" si="35"/>
        <v>-4326.4415342591628</v>
      </c>
      <c r="AP42" s="30">
        <f t="shared" si="35"/>
        <v>-3726.829325672501</v>
      </c>
      <c r="AQ42" s="30">
        <f t="shared" si="35"/>
        <v>-7291.9603245408307</v>
      </c>
      <c r="AR42" s="30">
        <f t="shared" si="35"/>
        <v>-5404.3440808183323</v>
      </c>
      <c r="AS42" s="30">
        <f t="shared" si="35"/>
        <v>-5001.7682888291702</v>
      </c>
      <c r="AT42" s="30">
        <f t="shared" si="35"/>
        <v>-3767.7216130575007</v>
      </c>
      <c r="AU42" s="30">
        <f t="shared" si="35"/>
        <v>-3973.9495635108324</v>
      </c>
      <c r="AV42" s="30">
        <f t="shared" si="35"/>
        <v>-4708.6073262108348</v>
      </c>
      <c r="AW42" s="30">
        <f t="shared" si="35"/>
        <v>-6071.1808065083278</v>
      </c>
      <c r="AX42" s="30">
        <f t="shared" si="35"/>
        <v>-5965.1314473158272</v>
      </c>
      <c r="AY42" s="30">
        <f>AY32-AY28</f>
        <v>-6748.3335311158262</v>
      </c>
      <c r="AZ42" s="30">
        <f>AZ32-AZ28</f>
        <v>-6878.2272445191575</v>
      </c>
      <c r="BA42" s="30">
        <f>BA32-BA28</f>
        <v>-4688.3700762791705</v>
      </c>
      <c r="BB42" s="30">
        <f t="shared" ref="BB42:BI42" si="36">BB32-BB28</f>
        <v>-6399.7170927225052</v>
      </c>
      <c r="BC42" s="30">
        <f t="shared" si="36"/>
        <v>-5223.5117843050202</v>
      </c>
      <c r="BD42" s="30">
        <f t="shared" si="36"/>
        <v>-7008.1097933725396</v>
      </c>
      <c r="BE42" s="30">
        <f t="shared" si="36"/>
        <v>-7072.9610777525522</v>
      </c>
      <c r="BF42" s="30">
        <f t="shared" si="36"/>
        <v>-6913.2575383392386</v>
      </c>
      <c r="BG42" s="30">
        <f t="shared" si="36"/>
        <v>-37144.612579280089</v>
      </c>
      <c r="BH42" s="30">
        <f t="shared" si="36"/>
        <v>-38212.753636980953</v>
      </c>
      <c r="BI42" s="30">
        <f t="shared" si="36"/>
        <v>-38954.336887556812</v>
      </c>
    </row>
    <row r="43" spans="1:61" ht="25" customHeight="1">
      <c r="A43" s="34" t="s">
        <v>49</v>
      </c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30">
        <f>N32-N30</f>
        <v>865.84532990733226</v>
      </c>
      <c r="O43" s="30">
        <f t="shared" ref="O43:AX43" si="37">O32-O30</f>
        <v>-151.67118201199992</v>
      </c>
      <c r="P43" s="30">
        <f t="shared" si="37"/>
        <v>541.87438746574958</v>
      </c>
      <c r="Q43" s="30">
        <f t="shared" si="37"/>
        <v>-229.66529580641759</v>
      </c>
      <c r="R43" s="30">
        <f t="shared" si="37"/>
        <v>-542.30346958475036</v>
      </c>
      <c r="S43" s="30">
        <f t="shared" si="37"/>
        <v>-717.3147866295003</v>
      </c>
      <c r="T43" s="30">
        <f t="shared" si="37"/>
        <v>-1347.0999407643333</v>
      </c>
      <c r="U43" s="30">
        <f t="shared" si="37"/>
        <v>-1249.5809440264165</v>
      </c>
      <c r="V43" s="30">
        <f t="shared" si="37"/>
        <v>-2021.525873314275</v>
      </c>
      <c r="W43" s="30">
        <f t="shared" si="37"/>
        <v>-1547.7888062717502</v>
      </c>
      <c r="X43" s="30">
        <f t="shared" si="37"/>
        <v>-969.44135704800044</v>
      </c>
      <c r="Y43" s="30">
        <f t="shared" si="37"/>
        <v>-1029.5609306706672</v>
      </c>
      <c r="Z43" s="30">
        <f t="shared" si="37"/>
        <v>-759.89497231874952</v>
      </c>
      <c r="AA43" s="30">
        <f t="shared" si="37"/>
        <v>247.85203543666648</v>
      </c>
      <c r="AB43" s="30">
        <f t="shared" si="37"/>
        <v>-4.4482921386661474</v>
      </c>
      <c r="AC43" s="30">
        <f t="shared" si="37"/>
        <v>665.84063026750061</v>
      </c>
      <c r="AD43" s="30">
        <f t="shared" si="37"/>
        <v>549.81959234891713</v>
      </c>
      <c r="AE43" s="30">
        <f t="shared" si="37"/>
        <v>1009.2789033159994</v>
      </c>
      <c r="AF43" s="30">
        <f t="shared" si="37"/>
        <v>869.81472556775043</v>
      </c>
      <c r="AG43" s="30">
        <f t="shared" si="37"/>
        <v>806.09490535233272</v>
      </c>
      <c r="AH43" s="30">
        <f t="shared" si="37"/>
        <v>1312.106506481917</v>
      </c>
      <c r="AI43" s="30">
        <f t="shared" si="37"/>
        <v>949.45303026991678</v>
      </c>
      <c r="AJ43" s="30">
        <f t="shared" si="37"/>
        <v>549.00731780700028</v>
      </c>
      <c r="AK43" s="30">
        <f t="shared" si="37"/>
        <v>439.08684954975007</v>
      </c>
      <c r="AL43" s="30">
        <f t="shared" si="37"/>
        <v>164.91656351983329</v>
      </c>
      <c r="AM43" s="30">
        <f t="shared" si="37"/>
        <v>322.30438849649966</v>
      </c>
      <c r="AN43" s="30">
        <f t="shared" si="37"/>
        <v>482.05846859624944</v>
      </c>
      <c r="AO43" s="30">
        <f t="shared" si="37"/>
        <v>331.48318546891699</v>
      </c>
      <c r="AP43" s="30">
        <f t="shared" si="37"/>
        <v>400.31712725591694</v>
      </c>
      <c r="AQ43" s="30">
        <f t="shared" si="37"/>
        <v>29.595046054000704</v>
      </c>
      <c r="AR43" s="30">
        <f t="shared" si="37"/>
        <v>287.10069224474989</v>
      </c>
      <c r="AS43" s="30">
        <f t="shared" si="37"/>
        <v>448.26849254625029</v>
      </c>
      <c r="AT43" s="30">
        <f t="shared" si="37"/>
        <v>304.52434653516684</v>
      </c>
      <c r="AU43" s="30">
        <f t="shared" si="37"/>
        <v>516.15482298183269</v>
      </c>
      <c r="AV43" s="30">
        <f t="shared" si="37"/>
        <v>565.45372050133278</v>
      </c>
      <c r="AW43" s="30">
        <f t="shared" si="37"/>
        <v>1055.9975334319167</v>
      </c>
      <c r="AX43" s="30">
        <f t="shared" si="37"/>
        <v>1973.9639126649165</v>
      </c>
      <c r="AY43" s="30">
        <f>AY32-AY30</f>
        <v>1534.5519151175833</v>
      </c>
      <c r="AZ43" s="30">
        <f>AZ32-AZ30</f>
        <v>1909.6108407324998</v>
      </c>
      <c r="BA43" s="30">
        <f>BA32-BA30</f>
        <v>3079.5057606748333</v>
      </c>
      <c r="BB43" s="30">
        <f t="shared" ref="BB43:BI43" si="38">BB32-BB30</f>
        <v>2213.2352822868334</v>
      </c>
      <c r="BC43" s="30">
        <f t="shared" si="38"/>
        <v>1341.6070849061666</v>
      </c>
      <c r="BD43" s="30">
        <f t="shared" si="38"/>
        <v>1597.5719315816668</v>
      </c>
      <c r="BE43" s="30">
        <f t="shared" si="38"/>
        <v>1611.769106737167</v>
      </c>
      <c r="BF43" s="30">
        <f t="shared" si="38"/>
        <v>1412.4632386869998</v>
      </c>
      <c r="BG43" s="30">
        <f t="shared" si="38"/>
        <v>-16775.615188678748</v>
      </c>
      <c r="BH43" s="30">
        <f t="shared" si="38"/>
        <v>-16877.740768386415</v>
      </c>
      <c r="BI43" s="30">
        <f t="shared" si="38"/>
        <v>-17553.81414547567</v>
      </c>
    </row>
    <row r="44" spans="1:61" ht="25" customHeight="1">
      <c r="A44" s="34" t="s">
        <v>15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30">
        <f>N32-N26</f>
        <v>-630.08333333333337</v>
      </c>
      <c r="O44" s="30">
        <f t="shared" ref="O44:AX44" si="39">O32-O26</f>
        <v>-2169.666666666667</v>
      </c>
      <c r="P44" s="30">
        <f t="shared" si="39"/>
        <v>-1500.3333333333335</v>
      </c>
      <c r="Q44" s="30">
        <f t="shared" si="39"/>
        <v>-1527.75</v>
      </c>
      <c r="R44" s="30">
        <f t="shared" si="39"/>
        <v>-1736.3333333333333</v>
      </c>
      <c r="S44" s="30">
        <f t="shared" si="39"/>
        <v>-1696.5833333333335</v>
      </c>
      <c r="T44" s="30">
        <f t="shared" si="39"/>
        <v>-1774.1666666666665</v>
      </c>
      <c r="U44" s="30">
        <f t="shared" si="39"/>
        <v>-1598.8333333333333</v>
      </c>
      <c r="V44" s="30">
        <f t="shared" si="39"/>
        <v>-2179.0833333333335</v>
      </c>
      <c r="W44" s="30">
        <f t="shared" si="39"/>
        <v>-2040.0833333333335</v>
      </c>
      <c r="X44" s="30">
        <f t="shared" si="39"/>
        <v>-1836.4166666666665</v>
      </c>
      <c r="Y44" s="30">
        <f t="shared" si="39"/>
        <v>-2005</v>
      </c>
      <c r="Z44" s="30">
        <f t="shared" si="39"/>
        <v>-1507.5833333333335</v>
      </c>
      <c r="AA44" s="30">
        <f t="shared" si="39"/>
        <v>-201.41666666666663</v>
      </c>
      <c r="AB44" s="30">
        <f t="shared" si="39"/>
        <v>-637.16666666666663</v>
      </c>
      <c r="AC44" s="30">
        <f t="shared" si="39"/>
        <v>-579.33333333333326</v>
      </c>
      <c r="AD44" s="30">
        <f t="shared" si="39"/>
        <v>-258</v>
      </c>
      <c r="AE44" s="30">
        <f t="shared" si="39"/>
        <v>-22.5</v>
      </c>
      <c r="AF44" s="30">
        <f t="shared" si="39"/>
        <v>-239.5</v>
      </c>
      <c r="AG44" s="30">
        <f t="shared" si="39"/>
        <v>-177.91666666666674</v>
      </c>
      <c r="AH44" s="30">
        <f t="shared" si="39"/>
        <v>342.58333333333326</v>
      </c>
      <c r="AI44" s="30">
        <f t="shared" si="39"/>
        <v>194.33333333333337</v>
      </c>
      <c r="AJ44" s="30">
        <f t="shared" si="39"/>
        <v>-147.41666666666663</v>
      </c>
      <c r="AK44" s="30">
        <f t="shared" si="39"/>
        <v>-398.16666666666669</v>
      </c>
      <c r="AL44" s="30">
        <f t="shared" si="39"/>
        <v>-242</v>
      </c>
      <c r="AM44" s="30">
        <f t="shared" si="39"/>
        <v>-13.666666666666686</v>
      </c>
      <c r="AN44" s="30">
        <f t="shared" si="39"/>
        <v>-105.75</v>
      </c>
      <c r="AO44" s="30">
        <f t="shared" si="39"/>
        <v>1076.25</v>
      </c>
      <c r="AP44" s="30">
        <f t="shared" si="39"/>
        <v>1084.4166666666667</v>
      </c>
      <c r="AQ44" s="30">
        <f t="shared" si="39"/>
        <v>961.83333333333326</v>
      </c>
      <c r="AR44" s="30">
        <f t="shared" si="39"/>
        <v>957.66666666666663</v>
      </c>
      <c r="AS44" s="30">
        <f t="shared" si="39"/>
        <v>1229.8333333333333</v>
      </c>
      <c r="AT44" s="30">
        <f t="shared" si="39"/>
        <v>1740.75</v>
      </c>
      <c r="AU44" s="30">
        <f t="shared" si="39"/>
        <v>1496.3333333333333</v>
      </c>
      <c r="AV44" s="30">
        <f t="shared" si="39"/>
        <v>1747.2499999999998</v>
      </c>
      <c r="AW44" s="30">
        <f t="shared" si="39"/>
        <v>2438.5</v>
      </c>
      <c r="AX44" s="30">
        <f t="shared" si="39"/>
        <v>3018.75</v>
      </c>
      <c r="AY44" s="30">
        <f>AY32-AY26</f>
        <v>2881.5</v>
      </c>
      <c r="AZ44" s="30">
        <f>AZ32-AZ26</f>
        <v>3639</v>
      </c>
      <c r="BA44" s="30">
        <f>BA32-BA26</f>
        <v>3977</v>
      </c>
      <c r="BB44" s="30">
        <f t="shared" ref="BB44:BI44" si="40">BB32-BB26</f>
        <v>3214.666666666667</v>
      </c>
      <c r="BC44" s="30">
        <f t="shared" si="40"/>
        <v>2184.75</v>
      </c>
      <c r="BD44" s="30">
        <f t="shared" si="40"/>
        <v>2396.916666666667</v>
      </c>
      <c r="BE44" s="30">
        <f t="shared" si="40"/>
        <v>2256</v>
      </c>
      <c r="BF44" s="30">
        <f t="shared" si="40"/>
        <v>1660.9166666666667</v>
      </c>
      <c r="BG44" s="30">
        <f t="shared" si="40"/>
        <v>-18556.25</v>
      </c>
      <c r="BH44" s="30">
        <f t="shared" si="40"/>
        <v>-18911.666666666664</v>
      </c>
      <c r="BI44" s="30">
        <f t="shared" si="40"/>
        <v>-19670</v>
      </c>
    </row>
    <row r="45" spans="1:61" ht="25" customHeight="1">
      <c r="A45" s="34" t="s">
        <v>12</v>
      </c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30">
        <v>0</v>
      </c>
      <c r="O45" s="30">
        <v>0</v>
      </c>
      <c r="P45" s="30">
        <v>0</v>
      </c>
      <c r="Q45" s="30">
        <v>0</v>
      </c>
      <c r="R45" s="30">
        <v>0</v>
      </c>
      <c r="S45" s="30">
        <v>0</v>
      </c>
      <c r="T45" s="30">
        <v>0</v>
      </c>
      <c r="U45" s="30">
        <v>0</v>
      </c>
      <c r="V45" s="30">
        <v>0</v>
      </c>
      <c r="W45" s="30">
        <v>0</v>
      </c>
      <c r="X45" s="30">
        <v>0</v>
      </c>
      <c r="Y45" s="30">
        <v>0</v>
      </c>
      <c r="Z45" s="30">
        <v>0</v>
      </c>
      <c r="AA45" s="30">
        <v>0</v>
      </c>
      <c r="AB45" s="30">
        <v>0</v>
      </c>
      <c r="AC45" s="30">
        <v>0</v>
      </c>
      <c r="AD45" s="30">
        <v>0</v>
      </c>
      <c r="AE45" s="30">
        <v>0</v>
      </c>
      <c r="AF45" s="30">
        <v>0</v>
      </c>
      <c r="AG45" s="30">
        <v>0</v>
      </c>
      <c r="AH45" s="30">
        <v>0</v>
      </c>
      <c r="AI45" s="30">
        <v>0</v>
      </c>
      <c r="AJ45" s="30">
        <v>0</v>
      </c>
      <c r="AK45" s="30">
        <v>0</v>
      </c>
      <c r="AL45" s="30">
        <v>0</v>
      </c>
      <c r="AM45" s="30">
        <v>0</v>
      </c>
      <c r="AN45" s="30">
        <v>0</v>
      </c>
      <c r="AO45" s="30">
        <f t="shared" ref="AO45:AX45" si="41">AO32-AO25</f>
        <v>751.16666666666674</v>
      </c>
      <c r="AP45" s="30">
        <f t="shared" si="41"/>
        <v>649.33333333333348</v>
      </c>
      <c r="AQ45" s="30">
        <f t="shared" si="41"/>
        <v>1065.1666666666667</v>
      </c>
      <c r="AR45" s="30">
        <f t="shared" si="41"/>
        <v>868.58333333333337</v>
      </c>
      <c r="AS45" s="30">
        <f t="shared" si="41"/>
        <v>1325.8333333333333</v>
      </c>
      <c r="AT45" s="30">
        <f t="shared" si="41"/>
        <v>1393.6666666666667</v>
      </c>
      <c r="AU45" s="30">
        <f t="shared" si="41"/>
        <v>1709.75</v>
      </c>
      <c r="AV45" s="30">
        <f t="shared" si="41"/>
        <v>1797.9166666666665</v>
      </c>
      <c r="AW45" s="30">
        <f t="shared" si="41"/>
        <v>2366.083333333333</v>
      </c>
      <c r="AX45" s="30">
        <f t="shared" si="41"/>
        <v>3725.166666666667</v>
      </c>
      <c r="AY45" s="30">
        <f>AY32-AY25</f>
        <v>3394</v>
      </c>
      <c r="AZ45" s="30">
        <f>AZ32-AZ25</f>
        <v>3511.3333333333335</v>
      </c>
      <c r="BA45" s="30">
        <f>BA32-BA25</f>
        <v>3896.0833333333335</v>
      </c>
      <c r="BB45" s="30">
        <f t="shared" ref="BB45:BI45" si="42">BB32-BB25</f>
        <v>3355</v>
      </c>
      <c r="BC45" s="30">
        <f t="shared" si="42"/>
        <v>1917.8333333333333</v>
      </c>
      <c r="BD45" s="30">
        <f t="shared" si="42"/>
        <v>1788.416666666667</v>
      </c>
      <c r="BE45" s="30">
        <f t="shared" si="42"/>
        <v>1685.5833333333335</v>
      </c>
      <c r="BF45" s="30">
        <f t="shared" si="42"/>
        <v>1317.9166666666667</v>
      </c>
      <c r="BG45" s="30">
        <f t="shared" si="42"/>
        <v>-23405.75</v>
      </c>
      <c r="BH45" s="30">
        <f t="shared" si="42"/>
        <v>-23563.833333333332</v>
      </c>
      <c r="BI45" s="30">
        <f t="shared" si="42"/>
        <v>-24122.833333333336</v>
      </c>
    </row>
    <row r="46" spans="1:61" ht="25" customHeight="1">
      <c r="A46" s="36" t="s">
        <v>50</v>
      </c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30">
        <f>N32-N29</f>
        <v>-157</v>
      </c>
      <c r="O46" s="30">
        <f t="shared" ref="O46:AX46" si="43">O32-O29</f>
        <v>-1835.0833333333335</v>
      </c>
      <c r="P46" s="30">
        <f t="shared" si="43"/>
        <v>-843.83333333333337</v>
      </c>
      <c r="Q46" s="30">
        <f t="shared" si="43"/>
        <v>-1173.0833333333335</v>
      </c>
      <c r="R46" s="30">
        <f t="shared" si="43"/>
        <v>-1376.3333333333333</v>
      </c>
      <c r="S46" s="30">
        <f t="shared" si="43"/>
        <v>-1142.4166666666667</v>
      </c>
      <c r="T46" s="30">
        <f t="shared" si="43"/>
        <v>-1486.75</v>
      </c>
      <c r="U46" s="30">
        <f t="shared" si="43"/>
        <v>-1487.9166666666665</v>
      </c>
      <c r="V46" s="30">
        <f t="shared" si="43"/>
        <v>-1950.9166666666667</v>
      </c>
      <c r="W46" s="30">
        <f t="shared" si="43"/>
        <v>-1885.4166666666667</v>
      </c>
      <c r="X46" s="30">
        <f t="shared" si="43"/>
        <v>-1533.6666666666667</v>
      </c>
      <c r="Y46" s="30">
        <f t="shared" si="43"/>
        <v>-1243.9166666666667</v>
      </c>
      <c r="Z46" s="30">
        <f t="shared" si="43"/>
        <v>-1276.5833333333335</v>
      </c>
      <c r="AA46" s="30">
        <f t="shared" si="43"/>
        <v>197.83333333333334</v>
      </c>
      <c r="AB46" s="30">
        <f t="shared" si="43"/>
        <v>-94.416666666666657</v>
      </c>
      <c r="AC46" s="30">
        <f t="shared" si="43"/>
        <v>-233.49999999999997</v>
      </c>
      <c r="AD46" s="30">
        <f t="shared" si="43"/>
        <v>329.41666666666663</v>
      </c>
      <c r="AE46" s="30">
        <f t="shared" si="43"/>
        <v>305.66666666666663</v>
      </c>
      <c r="AF46" s="30">
        <f t="shared" si="43"/>
        <v>207.75</v>
      </c>
      <c r="AG46" s="30">
        <f t="shared" si="43"/>
        <v>362.74999999999994</v>
      </c>
      <c r="AH46" s="30">
        <f t="shared" si="43"/>
        <v>1247.0833333333333</v>
      </c>
      <c r="AI46" s="30">
        <f t="shared" si="43"/>
        <v>352.25</v>
      </c>
      <c r="AJ46" s="30">
        <f t="shared" si="43"/>
        <v>168.66666666666669</v>
      </c>
      <c r="AK46" s="30">
        <f t="shared" si="43"/>
        <v>-628</v>
      </c>
      <c r="AL46" s="30">
        <f t="shared" si="43"/>
        <v>-790.5</v>
      </c>
      <c r="AM46" s="30">
        <f t="shared" si="43"/>
        <v>-468.91666666666669</v>
      </c>
      <c r="AN46" s="30">
        <f t="shared" si="43"/>
        <v>-256.33333333333337</v>
      </c>
      <c r="AO46" s="30">
        <f t="shared" si="43"/>
        <v>618.91666666666663</v>
      </c>
      <c r="AP46" s="30">
        <f t="shared" si="43"/>
        <v>332.58333333333337</v>
      </c>
      <c r="AQ46" s="30">
        <f t="shared" si="43"/>
        <v>439.41666666666663</v>
      </c>
      <c r="AR46" s="30">
        <f t="shared" si="43"/>
        <v>474.08333333333337</v>
      </c>
      <c r="AS46" s="30">
        <f t="shared" si="43"/>
        <v>682.33333333333337</v>
      </c>
      <c r="AT46" s="30">
        <f t="shared" si="43"/>
        <v>1021</v>
      </c>
      <c r="AU46" s="30">
        <f t="shared" si="43"/>
        <v>1586.8333333333333</v>
      </c>
      <c r="AV46" s="30">
        <f t="shared" si="43"/>
        <v>1301.833333333333</v>
      </c>
      <c r="AW46" s="30">
        <f t="shared" si="43"/>
        <v>2319.5</v>
      </c>
      <c r="AX46" s="30">
        <f t="shared" si="43"/>
        <v>3391.166666666667</v>
      </c>
      <c r="AY46" s="30">
        <f>AY32-AY29</f>
        <v>3334.666666666667</v>
      </c>
      <c r="AZ46" s="30">
        <f>AZ32-AZ29</f>
        <v>2851.9166666666665</v>
      </c>
      <c r="BA46" s="30">
        <f>BA32-BA29</f>
        <v>3652.5</v>
      </c>
      <c r="BB46" s="30">
        <f t="shared" ref="BB46:BI46" si="44">BB32-BB29</f>
        <v>2870.25</v>
      </c>
      <c r="BC46" s="30">
        <f t="shared" si="44"/>
        <v>1865.5</v>
      </c>
      <c r="BD46" s="30">
        <f t="shared" si="44"/>
        <v>1895.1666666666667</v>
      </c>
      <c r="BE46" s="30">
        <f t="shared" si="44"/>
        <v>1665.0833333333335</v>
      </c>
      <c r="BF46" s="30">
        <f t="shared" si="44"/>
        <v>1102.75</v>
      </c>
      <c r="BG46" s="30">
        <f t="shared" si="44"/>
        <v>-24845.75</v>
      </c>
      <c r="BH46" s="30">
        <f t="shared" si="44"/>
        <v>-24743.833333333332</v>
      </c>
      <c r="BI46" s="30">
        <f t="shared" si="44"/>
        <v>-25804.583333333336</v>
      </c>
    </row>
    <row r="47" spans="1:61" ht="25" customHeight="1">
      <c r="A47" s="37" t="s">
        <v>51</v>
      </c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30">
        <f>N30-N31</f>
        <v>-782.45393824649909</v>
      </c>
      <c r="O47" s="30">
        <f t="shared" ref="O47:AX47" si="45">O30-O31</f>
        <v>-1163.9967781154999</v>
      </c>
      <c r="P47" s="30">
        <f t="shared" si="45"/>
        <v>-1364.3522523782497</v>
      </c>
      <c r="Q47" s="30">
        <f t="shared" si="45"/>
        <v>-658.99847832024898</v>
      </c>
      <c r="R47" s="30">
        <f t="shared" si="45"/>
        <v>-615.76301495524967</v>
      </c>
      <c r="S47" s="30">
        <f t="shared" si="45"/>
        <v>-388.71460801133315</v>
      </c>
      <c r="T47" s="30">
        <f t="shared" si="45"/>
        <v>61.507065611000144</v>
      </c>
      <c r="U47" s="30">
        <f t="shared" si="45"/>
        <v>3.751496492249629</v>
      </c>
      <c r="V47" s="30">
        <f t="shared" si="45"/>
        <v>387.17507880677533</v>
      </c>
      <c r="W47" s="30">
        <f t="shared" si="45"/>
        <v>34.770258579249756</v>
      </c>
      <c r="X47" s="30">
        <f t="shared" si="45"/>
        <v>-236.97200738283328</v>
      </c>
      <c r="Y47" s="30">
        <f t="shared" si="45"/>
        <v>-135.66651455766623</v>
      </c>
      <c r="Z47" s="30">
        <f t="shared" si="45"/>
        <v>-117.47178930208428</v>
      </c>
      <c r="AA47" s="30">
        <f t="shared" si="45"/>
        <v>203.40688815249996</v>
      </c>
      <c r="AB47" s="30">
        <f t="shared" si="45"/>
        <v>168.5884037169993</v>
      </c>
      <c r="AC47" s="30">
        <f t="shared" si="45"/>
        <v>-441.86750782833406</v>
      </c>
      <c r="AD47" s="30">
        <f t="shared" si="45"/>
        <v>14.379117171083031</v>
      </c>
      <c r="AE47" s="30">
        <f t="shared" si="45"/>
        <v>-207.61958124433295</v>
      </c>
      <c r="AF47" s="30">
        <f t="shared" si="45"/>
        <v>-259.52876619108366</v>
      </c>
      <c r="AG47" s="30">
        <f t="shared" si="45"/>
        <v>-172.87942896316599</v>
      </c>
      <c r="AH47" s="30">
        <f t="shared" si="45"/>
        <v>53.034221126416014</v>
      </c>
      <c r="AI47" s="30">
        <f t="shared" si="45"/>
        <v>-49.333456234083016</v>
      </c>
      <c r="AJ47" s="30">
        <f t="shared" si="45"/>
        <v>-73.301071161166576</v>
      </c>
      <c r="AK47" s="30">
        <f t="shared" si="45"/>
        <v>-302.54813238141708</v>
      </c>
      <c r="AL47" s="30">
        <f t="shared" si="45"/>
        <v>-145.67261864566657</v>
      </c>
      <c r="AM47" s="30">
        <f t="shared" si="45"/>
        <v>-3.2928552056661573</v>
      </c>
      <c r="AN47" s="30">
        <f t="shared" si="45"/>
        <v>21.241036269583979</v>
      </c>
      <c r="AO47" s="30">
        <f t="shared" si="45"/>
        <v>656.28087089858309</v>
      </c>
      <c r="AP47" s="30">
        <f t="shared" si="45"/>
        <v>534.545132759083</v>
      </c>
      <c r="AQ47" s="30">
        <f t="shared" si="45"/>
        <v>877.04243063933313</v>
      </c>
      <c r="AR47" s="30">
        <f t="shared" si="45"/>
        <v>656.5967193269164</v>
      </c>
      <c r="AS47" s="30">
        <f t="shared" si="45"/>
        <v>732.89046790875</v>
      </c>
      <c r="AT47" s="30">
        <f t="shared" si="45"/>
        <v>1157.325507969</v>
      </c>
      <c r="AU47" s="30">
        <f t="shared" si="45"/>
        <v>1233.1807888815006</v>
      </c>
      <c r="AV47" s="30">
        <f t="shared" si="45"/>
        <v>1313.3091336078337</v>
      </c>
      <c r="AW47" s="30">
        <f t="shared" si="45"/>
        <v>1444.2533416630831</v>
      </c>
      <c r="AX47" s="30">
        <f t="shared" si="45"/>
        <v>1432.8459902792504</v>
      </c>
      <c r="AY47" s="30">
        <f>AY30-AY31</f>
        <v>1587.8932829824171</v>
      </c>
      <c r="AZ47" s="30">
        <f>AZ30-AZ31</f>
        <v>1547.5246520700002</v>
      </c>
      <c r="BA47" s="30">
        <f>BA30-BA31</f>
        <v>991.30791510350048</v>
      </c>
      <c r="BB47" s="30">
        <f t="shared" ref="BB47:BI47" si="46">BB30-BB31</f>
        <v>1009.9543967998337</v>
      </c>
      <c r="BC47" s="30">
        <f t="shared" si="46"/>
        <v>750.99129985466664</v>
      </c>
      <c r="BD47" s="30">
        <f t="shared" si="46"/>
        <v>681.26525808916688</v>
      </c>
      <c r="BE47" s="30">
        <f t="shared" si="46"/>
        <v>540.65899025699946</v>
      </c>
      <c r="BF47" s="30">
        <f t="shared" si="46"/>
        <v>254.41622019299999</v>
      </c>
      <c r="BG47" s="30">
        <f t="shared" si="46"/>
        <v>-6894.1301212570834</v>
      </c>
      <c r="BH47" s="30">
        <f t="shared" si="46"/>
        <v>-7057.0925649469173</v>
      </c>
      <c r="BI47" s="30">
        <f t="shared" si="46"/>
        <v>-7095.7691878576661</v>
      </c>
    </row>
    <row r="48" spans="1:61" ht="25" customHeight="1">
      <c r="A48" s="37" t="s">
        <v>52</v>
      </c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30">
        <f>N30-N27</f>
        <v>10449.071336759334</v>
      </c>
      <c r="O48" s="30">
        <f t="shared" ref="O48:AX48" si="47">O30-O27</f>
        <v>11255.421182012</v>
      </c>
      <c r="P48" s="30">
        <f t="shared" si="47"/>
        <v>6538.0422792009176</v>
      </c>
      <c r="Q48" s="30">
        <f t="shared" si="47"/>
        <v>4166.4152958064169</v>
      </c>
      <c r="R48" s="30">
        <f t="shared" si="47"/>
        <v>5666.386802918083</v>
      </c>
      <c r="S48" s="30">
        <f t="shared" si="47"/>
        <v>5209.3981199628333</v>
      </c>
      <c r="T48" s="30">
        <f t="shared" si="47"/>
        <v>6519.516607431</v>
      </c>
      <c r="U48" s="30">
        <f t="shared" si="47"/>
        <v>3805.8309440264165</v>
      </c>
      <c r="V48" s="30">
        <f t="shared" si="47"/>
        <v>965.02587331427515</v>
      </c>
      <c r="W48" s="30">
        <f t="shared" si="47"/>
        <v>-2744.2945270615833</v>
      </c>
      <c r="X48" s="30">
        <f t="shared" si="47"/>
        <v>-3292.975309618666</v>
      </c>
      <c r="Y48" s="30">
        <f t="shared" si="47"/>
        <v>-5314.0224026626656</v>
      </c>
      <c r="Z48" s="30">
        <f t="shared" si="47"/>
        <v>-3780.3550276812502</v>
      </c>
      <c r="AA48" s="30">
        <f t="shared" si="47"/>
        <v>-4186.2687021033335</v>
      </c>
      <c r="AB48" s="30">
        <f t="shared" si="47"/>
        <v>-2422.3850411946669</v>
      </c>
      <c r="AC48" s="30">
        <f t="shared" si="47"/>
        <v>-1225.0072969341672</v>
      </c>
      <c r="AD48" s="30">
        <f t="shared" si="47"/>
        <v>2626.680407651083</v>
      </c>
      <c r="AE48" s="30">
        <f t="shared" si="47"/>
        <v>1793.3877633506672</v>
      </c>
      <c r="AF48" s="30">
        <f t="shared" si="47"/>
        <v>3488.1019410989161</v>
      </c>
      <c r="AG48" s="30">
        <f t="shared" si="47"/>
        <v>2823.9884279810003</v>
      </c>
      <c r="AH48" s="30">
        <f t="shared" si="47"/>
        <v>828.72682685141626</v>
      </c>
      <c r="AI48" s="30">
        <f t="shared" si="47"/>
        <v>1843.6303030634165</v>
      </c>
      <c r="AJ48" s="30">
        <f t="shared" si="47"/>
        <v>3857.4926821929998</v>
      </c>
      <c r="AK48" s="30">
        <f t="shared" si="47"/>
        <v>6004.0798171169172</v>
      </c>
      <c r="AL48" s="30">
        <f t="shared" si="47"/>
        <v>5811.5834364801667</v>
      </c>
      <c r="AM48" s="30">
        <f t="shared" si="47"/>
        <v>4130.1956115035009</v>
      </c>
      <c r="AN48" s="30">
        <f t="shared" si="47"/>
        <v>3782.6081980704171</v>
      </c>
      <c r="AO48" s="30">
        <f t="shared" si="47"/>
        <v>1974.5168145310831</v>
      </c>
      <c r="AP48" s="30">
        <f t="shared" si="47"/>
        <v>-2321.4837939225836</v>
      </c>
      <c r="AQ48" s="30">
        <f t="shared" si="47"/>
        <v>-3020.6783793873337</v>
      </c>
      <c r="AR48" s="30">
        <f t="shared" si="47"/>
        <v>-4103.2673589114165</v>
      </c>
      <c r="AS48" s="30">
        <f t="shared" si="47"/>
        <v>-4216.601825879583</v>
      </c>
      <c r="AT48" s="30">
        <f t="shared" si="47"/>
        <v>-3070.0243465351668</v>
      </c>
      <c r="AU48" s="30">
        <f t="shared" si="47"/>
        <v>-4528.9881563151666</v>
      </c>
      <c r="AV48" s="30">
        <f t="shared" si="47"/>
        <v>-4694.8703871679991</v>
      </c>
      <c r="AW48" s="30">
        <f t="shared" si="47"/>
        <v>-5590.664200098583</v>
      </c>
      <c r="AX48" s="30">
        <f t="shared" si="47"/>
        <v>-5704.9639126649163</v>
      </c>
      <c r="AY48" s="30">
        <f>AY30-AY27</f>
        <v>-5437.7185817842501</v>
      </c>
      <c r="AZ48" s="30">
        <f>AZ30-AZ27</f>
        <v>-3226.527507399167</v>
      </c>
      <c r="BA48" s="30">
        <f>BA30-BA27</f>
        <v>-3087.0057606748333</v>
      </c>
      <c r="BB48" s="30">
        <f t="shared" ref="BB48:BI48" si="48">BB30-BB27</f>
        <v>3327.0980510465006</v>
      </c>
      <c r="BC48" s="30">
        <f t="shared" si="48"/>
        <v>4462.8095817604999</v>
      </c>
      <c r="BD48" s="30">
        <f t="shared" si="48"/>
        <v>3918.9280684183332</v>
      </c>
      <c r="BE48" s="30">
        <f t="shared" si="48"/>
        <v>4967.480893262833</v>
      </c>
      <c r="BF48" s="30">
        <f t="shared" si="48"/>
        <v>5202.1200946463341</v>
      </c>
      <c r="BG48" s="30">
        <f t="shared" si="48"/>
        <v>87140.031855345413</v>
      </c>
      <c r="BH48" s="30">
        <f t="shared" si="48"/>
        <v>87554.990768386415</v>
      </c>
      <c r="BI48" s="30">
        <f t="shared" si="48"/>
        <v>88059.230812142327</v>
      </c>
    </row>
    <row r="49" spans="1:61" ht="25" customHeight="1">
      <c r="A49" s="37" t="s">
        <v>53</v>
      </c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30">
        <f t="shared" ref="N49:AX49" si="49">N30-N28</f>
        <v>12875.296914411838</v>
      </c>
      <c r="O49" s="30">
        <f t="shared" si="49"/>
        <v>15049.811394328668</v>
      </c>
      <c r="P49" s="30">
        <f t="shared" si="49"/>
        <v>12828.26084854633</v>
      </c>
      <c r="Q49" s="30">
        <f t="shared" si="49"/>
        <v>10534.042084415749</v>
      </c>
      <c r="R49" s="30">
        <f t="shared" si="49"/>
        <v>12532.833239615673</v>
      </c>
      <c r="S49" s="30">
        <f t="shared" si="49"/>
        <v>6246.9894673155804</v>
      </c>
      <c r="T49" s="30">
        <f t="shared" si="49"/>
        <v>7145.677257931834</v>
      </c>
      <c r="U49" s="30">
        <f t="shared" si="49"/>
        <v>7768.5626570597469</v>
      </c>
      <c r="V49" s="30">
        <f t="shared" si="49"/>
        <v>7274.8482457617811</v>
      </c>
      <c r="W49" s="30">
        <f t="shared" si="49"/>
        <v>7653.9108265367504</v>
      </c>
      <c r="X49" s="30">
        <f t="shared" si="49"/>
        <v>8088.8699597388286</v>
      </c>
      <c r="Y49" s="30">
        <f t="shared" si="49"/>
        <v>5584.8757659914954</v>
      </c>
      <c r="Z49" s="30">
        <f t="shared" si="49"/>
        <v>6209.6753425287461</v>
      </c>
      <c r="AA49" s="30">
        <f t="shared" si="49"/>
        <v>4463.0730429275</v>
      </c>
      <c r="AB49" s="30">
        <f t="shared" si="49"/>
        <v>1696.7112736511722</v>
      </c>
      <c r="AC49" s="30">
        <f t="shared" si="49"/>
        <v>2067.8166391833352</v>
      </c>
      <c r="AD49" s="30">
        <f t="shared" si="49"/>
        <v>815.154545662744</v>
      </c>
      <c r="AE49" s="30">
        <f t="shared" si="49"/>
        <v>1056.2470626473357</v>
      </c>
      <c r="AF49" s="30">
        <f t="shared" si="49"/>
        <v>-218.36203165274611</v>
      </c>
      <c r="AG49" s="30">
        <f t="shared" si="49"/>
        <v>-2684.6665597481638</v>
      </c>
      <c r="AH49" s="30">
        <f t="shared" si="49"/>
        <v>-8609.0956279610837</v>
      </c>
      <c r="AI49" s="30">
        <f t="shared" si="49"/>
        <v>-8866.9904754432537</v>
      </c>
      <c r="AJ49" s="30">
        <f t="shared" si="49"/>
        <v>-7479.4230319594972</v>
      </c>
      <c r="AK49" s="30">
        <f t="shared" si="49"/>
        <v>-2844.6438179805837</v>
      </c>
      <c r="AL49" s="30">
        <f t="shared" si="49"/>
        <v>-3213.0041850356638</v>
      </c>
      <c r="AM49" s="30">
        <f t="shared" si="49"/>
        <v>-3689.9503666314986</v>
      </c>
      <c r="AN49" s="30">
        <f t="shared" si="49"/>
        <v>-2360.0310732470884</v>
      </c>
      <c r="AO49" s="30">
        <f t="shared" si="49"/>
        <v>-4657.9247197280802</v>
      </c>
      <c r="AP49" s="30">
        <f t="shared" si="49"/>
        <v>-4127.1464529284185</v>
      </c>
      <c r="AQ49" s="30">
        <f t="shared" si="49"/>
        <v>-7321.5553705948314</v>
      </c>
      <c r="AR49" s="30">
        <f t="shared" si="49"/>
        <v>-5691.4447730630818</v>
      </c>
      <c r="AS49" s="30">
        <f t="shared" si="49"/>
        <v>-5450.0367813754201</v>
      </c>
      <c r="AT49" s="30">
        <f t="shared" si="49"/>
        <v>-4072.2459595926675</v>
      </c>
      <c r="AU49" s="30">
        <f t="shared" si="49"/>
        <v>-4490.1043864926651</v>
      </c>
      <c r="AV49" s="30">
        <f t="shared" si="49"/>
        <v>-5274.0610467121678</v>
      </c>
      <c r="AW49" s="30">
        <f t="shared" si="49"/>
        <v>-7127.1783399402439</v>
      </c>
      <c r="AX49" s="30">
        <f t="shared" si="49"/>
        <v>-7939.0953599807444</v>
      </c>
      <c r="AY49" s="30">
        <f>AY30-AY28</f>
        <v>-8282.8854462334093</v>
      </c>
      <c r="AZ49" s="30">
        <f>AZ30-AZ28</f>
        <v>-8787.8380852516566</v>
      </c>
      <c r="BA49" s="30">
        <f>BA30-BA28</f>
        <v>-7767.8758369540037</v>
      </c>
      <c r="BB49" s="30">
        <f t="shared" ref="BB49:BI49" si="50">BB30-BB28</f>
        <v>-8612.9523750093394</v>
      </c>
      <c r="BC49" s="30">
        <f t="shared" si="50"/>
        <v>-6565.1188692111864</v>
      </c>
      <c r="BD49" s="30">
        <f t="shared" si="50"/>
        <v>-8605.6817249542073</v>
      </c>
      <c r="BE49" s="30">
        <f t="shared" si="50"/>
        <v>-8684.7301844897192</v>
      </c>
      <c r="BF49" s="30">
        <f t="shared" si="50"/>
        <v>-8325.7207770262394</v>
      </c>
      <c r="BG49" s="30">
        <f t="shared" si="50"/>
        <v>-20368.99739060134</v>
      </c>
      <c r="BH49" s="30">
        <f t="shared" si="50"/>
        <v>-21335.012868594535</v>
      </c>
      <c r="BI49" s="30">
        <f t="shared" si="50"/>
        <v>-21400.522742081146</v>
      </c>
    </row>
    <row r="50" spans="1:61" ht="25" customHeight="1">
      <c r="A50" s="37" t="s">
        <v>54</v>
      </c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30">
        <f>N30-N26</f>
        <v>-1495.9286632406656</v>
      </c>
      <c r="O50" s="30">
        <f t="shared" ref="O50:AX50" si="51">O30-O26</f>
        <v>-2017.9954846546668</v>
      </c>
      <c r="P50" s="30">
        <f t="shared" si="51"/>
        <v>-2042.2077207990828</v>
      </c>
      <c r="Q50" s="30">
        <f t="shared" si="51"/>
        <v>-1298.0847041935824</v>
      </c>
      <c r="R50" s="30">
        <f t="shared" si="51"/>
        <v>-1194.029863748583</v>
      </c>
      <c r="S50" s="30">
        <f t="shared" si="51"/>
        <v>-979.26854670383295</v>
      </c>
      <c r="T50" s="30">
        <f t="shared" si="51"/>
        <v>-427.06672590233336</v>
      </c>
      <c r="U50" s="30">
        <f t="shared" si="51"/>
        <v>-349.25238930691677</v>
      </c>
      <c r="V50" s="30">
        <f t="shared" si="51"/>
        <v>-157.55746001905823</v>
      </c>
      <c r="W50" s="30">
        <f t="shared" si="51"/>
        <v>-492.29452706158315</v>
      </c>
      <c r="X50" s="30">
        <f t="shared" si="51"/>
        <v>-866.97530961866619</v>
      </c>
      <c r="Y50" s="30">
        <f t="shared" si="51"/>
        <v>-975.43906932933294</v>
      </c>
      <c r="Z50" s="30">
        <f t="shared" si="51"/>
        <v>-747.68836101458385</v>
      </c>
      <c r="AA50" s="30">
        <f t="shared" si="51"/>
        <v>-449.26870210333311</v>
      </c>
      <c r="AB50" s="30">
        <f t="shared" si="51"/>
        <v>-632.71837452800048</v>
      </c>
      <c r="AC50" s="30">
        <f t="shared" si="51"/>
        <v>-1245.1739636008338</v>
      </c>
      <c r="AD50" s="30">
        <f t="shared" si="51"/>
        <v>-807.81959234891713</v>
      </c>
      <c r="AE50" s="30">
        <f t="shared" si="51"/>
        <v>-1031.7789033159993</v>
      </c>
      <c r="AF50" s="30">
        <f t="shared" si="51"/>
        <v>-1109.3147255677504</v>
      </c>
      <c r="AG50" s="30">
        <f t="shared" si="51"/>
        <v>-984.01157201899946</v>
      </c>
      <c r="AH50" s="30">
        <f t="shared" si="51"/>
        <v>-969.52317314858385</v>
      </c>
      <c r="AI50" s="30">
        <f t="shared" si="51"/>
        <v>-755.11969693658341</v>
      </c>
      <c r="AJ50" s="30">
        <f t="shared" si="51"/>
        <v>-696.42398447366691</v>
      </c>
      <c r="AK50" s="30">
        <f t="shared" si="51"/>
        <v>-837.25351621641676</v>
      </c>
      <c r="AL50" s="30">
        <f t="shared" si="51"/>
        <v>-406.91656351983329</v>
      </c>
      <c r="AM50" s="30">
        <f t="shared" si="51"/>
        <v>-335.97105516316634</v>
      </c>
      <c r="AN50" s="30">
        <f t="shared" si="51"/>
        <v>-587.80846859624944</v>
      </c>
      <c r="AO50" s="30">
        <f t="shared" si="51"/>
        <v>744.76681453108301</v>
      </c>
      <c r="AP50" s="30">
        <f t="shared" si="51"/>
        <v>684.0995394107498</v>
      </c>
      <c r="AQ50" s="30">
        <f t="shared" si="51"/>
        <v>932.23828727933255</v>
      </c>
      <c r="AR50" s="30">
        <f t="shared" si="51"/>
        <v>670.56597442191674</v>
      </c>
      <c r="AS50" s="30">
        <f t="shared" si="51"/>
        <v>781.56484078708309</v>
      </c>
      <c r="AT50" s="30">
        <f t="shared" si="51"/>
        <v>1436.2256534648332</v>
      </c>
      <c r="AU50" s="30">
        <f t="shared" si="51"/>
        <v>980.17851035150056</v>
      </c>
      <c r="AV50" s="30">
        <f t="shared" si="51"/>
        <v>1181.796279498667</v>
      </c>
      <c r="AW50" s="30">
        <f t="shared" si="51"/>
        <v>1382.502466568083</v>
      </c>
      <c r="AX50" s="30">
        <f t="shared" si="51"/>
        <v>1044.7860873350837</v>
      </c>
      <c r="AY50" s="30">
        <f>AY30-AY26</f>
        <v>1346.9480848824169</v>
      </c>
      <c r="AZ50" s="30">
        <f>AZ30-AZ26</f>
        <v>1729.3891592675002</v>
      </c>
      <c r="BA50" s="30">
        <f>BA30-BA26</f>
        <v>897.49423932516697</v>
      </c>
      <c r="BB50" s="30">
        <f t="shared" ref="BB50:BI50" si="52">BB30-BB26</f>
        <v>1001.4313843798337</v>
      </c>
      <c r="BC50" s="30">
        <f t="shared" si="52"/>
        <v>843.14291509383349</v>
      </c>
      <c r="BD50" s="30">
        <f t="shared" si="52"/>
        <v>799.34473508500014</v>
      </c>
      <c r="BE50" s="30">
        <f t="shared" si="52"/>
        <v>644.23089326283298</v>
      </c>
      <c r="BF50" s="30">
        <f t="shared" si="52"/>
        <v>248.45342797966683</v>
      </c>
      <c r="BG50" s="30">
        <f t="shared" si="52"/>
        <v>-1780.6348113212498</v>
      </c>
      <c r="BH50" s="30">
        <f t="shared" si="52"/>
        <v>-2033.9258982802494</v>
      </c>
      <c r="BI50" s="30">
        <f t="shared" si="52"/>
        <v>-2116.185854524334</v>
      </c>
    </row>
    <row r="51" spans="1:61" ht="25" customHeight="1">
      <c r="A51" s="37" t="s">
        <v>55</v>
      </c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30">
        <f>N30-N25</f>
        <v>-1186.1786632406656</v>
      </c>
      <c r="O51" s="30">
        <f t="shared" ref="O51:AX51" si="53">O30-O25</f>
        <v>-1412.5788179880001</v>
      </c>
      <c r="P51" s="30">
        <f t="shared" si="53"/>
        <v>-1513.1243874657496</v>
      </c>
      <c r="Q51" s="30">
        <f t="shared" si="53"/>
        <v>-950.50137086024915</v>
      </c>
      <c r="R51" s="30">
        <f t="shared" si="53"/>
        <v>-796.69653041524964</v>
      </c>
      <c r="S51" s="30">
        <f t="shared" si="53"/>
        <v>-563.1852133704997</v>
      </c>
      <c r="T51" s="30">
        <f t="shared" si="53"/>
        <v>-56.316725902333332</v>
      </c>
      <c r="U51" s="30">
        <f t="shared" si="53"/>
        <v>-93.085722640250125</v>
      </c>
      <c r="V51" s="30">
        <f t="shared" si="53"/>
        <v>468.10920664760846</v>
      </c>
      <c r="W51" s="30">
        <f t="shared" si="53"/>
        <v>169.53880627175022</v>
      </c>
      <c r="X51" s="30">
        <f t="shared" si="53"/>
        <v>-94.141976285332916</v>
      </c>
      <c r="Y51" s="30">
        <f t="shared" si="53"/>
        <v>-328.10573599599957</v>
      </c>
      <c r="Z51" s="30">
        <f t="shared" si="53"/>
        <v>33.061638985416124</v>
      </c>
      <c r="AA51" s="30">
        <f t="shared" si="53"/>
        <v>175.56463123000017</v>
      </c>
      <c r="AB51" s="30">
        <f t="shared" si="53"/>
        <v>217.53162547199949</v>
      </c>
      <c r="AC51" s="30">
        <f t="shared" si="53"/>
        <v>-228.17396360083393</v>
      </c>
      <c r="AD51" s="30">
        <f t="shared" si="53"/>
        <v>-2.6529256822504976</v>
      </c>
      <c r="AE51" s="30">
        <f t="shared" si="53"/>
        <v>-385.44556998266609</v>
      </c>
      <c r="AF51" s="30">
        <f t="shared" si="53"/>
        <v>-198.73139223441711</v>
      </c>
      <c r="AG51" s="30">
        <f t="shared" si="53"/>
        <v>-281.7615720189994</v>
      </c>
      <c r="AH51" s="30">
        <f t="shared" si="53"/>
        <v>-115.43983981525039</v>
      </c>
      <c r="AI51" s="30">
        <f t="shared" si="53"/>
        <v>-217.53636360325009</v>
      </c>
      <c r="AJ51" s="30">
        <f t="shared" si="53"/>
        <v>-221.25731780700033</v>
      </c>
      <c r="AK51" s="30">
        <f t="shared" si="53"/>
        <v>-396.75351621641676</v>
      </c>
      <c r="AL51" s="30">
        <f t="shared" si="53"/>
        <v>-726.91656351983329</v>
      </c>
      <c r="AM51" s="30">
        <f t="shared" si="53"/>
        <v>-613.55438849649977</v>
      </c>
      <c r="AN51" s="30">
        <f t="shared" si="53"/>
        <v>-502.89180192958281</v>
      </c>
      <c r="AO51" s="30">
        <f t="shared" si="53"/>
        <v>419.6834811977497</v>
      </c>
      <c r="AP51" s="30">
        <f t="shared" si="53"/>
        <v>249.01620607741648</v>
      </c>
      <c r="AQ51" s="30">
        <f t="shared" si="53"/>
        <v>1035.571620612666</v>
      </c>
      <c r="AR51" s="30">
        <f t="shared" si="53"/>
        <v>581.48264108858348</v>
      </c>
      <c r="AS51" s="30">
        <f t="shared" si="53"/>
        <v>877.56484078708309</v>
      </c>
      <c r="AT51" s="30">
        <f t="shared" si="53"/>
        <v>1089.1423201314999</v>
      </c>
      <c r="AU51" s="30">
        <f t="shared" si="53"/>
        <v>1193.5951770181673</v>
      </c>
      <c r="AV51" s="30">
        <f t="shared" si="53"/>
        <v>1232.4629461653337</v>
      </c>
      <c r="AW51" s="30">
        <f t="shared" si="53"/>
        <v>1310.0857999014165</v>
      </c>
      <c r="AX51" s="30">
        <f t="shared" si="53"/>
        <v>1751.2027540017502</v>
      </c>
      <c r="AY51" s="30">
        <f>AY30-AY25</f>
        <v>1859.4480848824169</v>
      </c>
      <c r="AZ51" s="30">
        <f>AZ30-AZ25</f>
        <v>1601.7224926008334</v>
      </c>
      <c r="BA51" s="30">
        <f>BA30-BA25</f>
        <v>816.57757265850034</v>
      </c>
      <c r="BB51" s="30">
        <f t="shared" ref="BB51:BI51" si="54">BB30-BB25</f>
        <v>1141.7647177131671</v>
      </c>
      <c r="BC51" s="30">
        <f t="shared" si="54"/>
        <v>576.22624842716687</v>
      </c>
      <c r="BD51" s="30">
        <f t="shared" si="54"/>
        <v>190.84473508500014</v>
      </c>
      <c r="BE51" s="30">
        <f t="shared" si="54"/>
        <v>73.81422659616635</v>
      </c>
      <c r="BF51" s="30">
        <f t="shared" si="54"/>
        <v>-94.546572020333173</v>
      </c>
      <c r="BG51" s="30">
        <f t="shared" si="54"/>
        <v>-6630.1348113212498</v>
      </c>
      <c r="BH51" s="30">
        <f t="shared" si="54"/>
        <v>-6686.0925649469173</v>
      </c>
      <c r="BI51" s="30">
        <f t="shared" si="54"/>
        <v>-6569.0191878576661</v>
      </c>
    </row>
    <row r="52" spans="1:61" ht="25" customHeight="1">
      <c r="A52" s="37" t="s">
        <v>56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30">
        <f>N30-N29</f>
        <v>-1022.8453299073323</v>
      </c>
      <c r="O52" s="30">
        <f t="shared" ref="O52:AX52" si="55">O30-O29</f>
        <v>-1683.4121513213336</v>
      </c>
      <c r="P52" s="30">
        <f t="shared" si="55"/>
        <v>-1385.7077207990828</v>
      </c>
      <c r="Q52" s="30">
        <f t="shared" si="55"/>
        <v>-943.41803752691578</v>
      </c>
      <c r="R52" s="30">
        <f t="shared" si="55"/>
        <v>-834.02986374858301</v>
      </c>
      <c r="S52" s="30">
        <f t="shared" si="55"/>
        <v>-425.10188003716638</v>
      </c>
      <c r="T52" s="30">
        <f t="shared" si="55"/>
        <v>-139.65005923566667</v>
      </c>
      <c r="U52" s="30">
        <f>U30-U29</f>
        <v>-238.33572264025008</v>
      </c>
      <c r="V52" s="30">
        <f t="shared" si="55"/>
        <v>70.60920664760846</v>
      </c>
      <c r="W52" s="30">
        <f t="shared" si="55"/>
        <v>-337.62786039491647</v>
      </c>
      <c r="X52" s="30">
        <f t="shared" si="55"/>
        <v>-564.2253096186663</v>
      </c>
      <c r="Y52" s="30">
        <f t="shared" si="55"/>
        <v>-214.35573599599957</v>
      </c>
      <c r="Z52" s="30">
        <f t="shared" si="55"/>
        <v>-516.68836101458385</v>
      </c>
      <c r="AA52" s="30">
        <f t="shared" si="55"/>
        <v>-50.01870210333314</v>
      </c>
      <c r="AB52" s="30">
        <f t="shared" si="55"/>
        <v>-89.96837452800051</v>
      </c>
      <c r="AC52" s="30">
        <f t="shared" si="55"/>
        <v>-899.3406302675005</v>
      </c>
      <c r="AD52" s="30">
        <f t="shared" si="55"/>
        <v>-220.4029256822505</v>
      </c>
      <c r="AE52" s="30">
        <f t="shared" si="55"/>
        <v>-703.61223664933277</v>
      </c>
      <c r="AF52" s="30">
        <f t="shared" si="55"/>
        <v>-662.06472556775043</v>
      </c>
      <c r="AG52" s="30">
        <f t="shared" si="55"/>
        <v>-443.34490535233272</v>
      </c>
      <c r="AH52" s="30">
        <f t="shared" si="55"/>
        <v>-65.023173148583766</v>
      </c>
      <c r="AI52" s="30">
        <f t="shared" si="55"/>
        <v>-597.20303026991678</v>
      </c>
      <c r="AJ52" s="30">
        <f t="shared" si="55"/>
        <v>-380.34065114033365</v>
      </c>
      <c r="AK52" s="30">
        <f t="shared" si="55"/>
        <v>-1067.08684954975</v>
      </c>
      <c r="AL52" s="30">
        <f t="shared" si="55"/>
        <v>-955.41656351983329</v>
      </c>
      <c r="AM52" s="30">
        <f t="shared" si="55"/>
        <v>-791.2210551631664</v>
      </c>
      <c r="AN52" s="30">
        <f t="shared" si="55"/>
        <v>-738.39180192958281</v>
      </c>
      <c r="AO52" s="30">
        <f t="shared" si="55"/>
        <v>287.43348119774964</v>
      </c>
      <c r="AP52" s="30">
        <f t="shared" si="55"/>
        <v>-67.733793922583573</v>
      </c>
      <c r="AQ52" s="30">
        <f t="shared" si="55"/>
        <v>409.82162061266592</v>
      </c>
      <c r="AR52" s="30">
        <f t="shared" si="55"/>
        <v>186.98264108858348</v>
      </c>
      <c r="AS52" s="30">
        <f t="shared" si="55"/>
        <v>234.06484078708309</v>
      </c>
      <c r="AT52" s="30">
        <f t="shared" si="55"/>
        <v>716.47565346483316</v>
      </c>
      <c r="AU52" s="30">
        <f t="shared" si="55"/>
        <v>1070.6785103515006</v>
      </c>
      <c r="AV52" s="30">
        <f t="shared" si="55"/>
        <v>736.37961283200036</v>
      </c>
      <c r="AW52" s="30">
        <f t="shared" si="55"/>
        <v>1263.502466568083</v>
      </c>
      <c r="AX52" s="30">
        <f t="shared" si="55"/>
        <v>1417.2027540017502</v>
      </c>
      <c r="AY52" s="30">
        <f>AY30-AY29</f>
        <v>1800.1147515490834</v>
      </c>
      <c r="AZ52" s="30">
        <f>AZ30-AZ29</f>
        <v>942.30582593416682</v>
      </c>
      <c r="BA52" s="30">
        <f>BA30-BA29</f>
        <v>572.99423932516697</v>
      </c>
      <c r="BB52" s="30">
        <f t="shared" ref="BB52:BI52" si="56">BB30-BB29</f>
        <v>657.0147177131671</v>
      </c>
      <c r="BC52" s="30">
        <f t="shared" si="56"/>
        <v>523.89291509383349</v>
      </c>
      <c r="BD52" s="30">
        <f t="shared" si="56"/>
        <v>297.59473508500008</v>
      </c>
      <c r="BE52" s="30">
        <f t="shared" si="56"/>
        <v>53.31422659616635</v>
      </c>
      <c r="BF52" s="30">
        <f t="shared" si="56"/>
        <v>-309.71323868699983</v>
      </c>
      <c r="BG52" s="30">
        <f t="shared" si="56"/>
        <v>-8070.1348113212507</v>
      </c>
      <c r="BH52" s="30">
        <f t="shared" si="56"/>
        <v>-7866.0925649469173</v>
      </c>
      <c r="BI52" s="30">
        <f t="shared" si="56"/>
        <v>-8250.7691878576661</v>
      </c>
    </row>
    <row r="53" spans="1:61" ht="25" customHeight="1">
      <c r="A53" s="40" t="s">
        <v>57</v>
      </c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30">
        <f t="shared" ref="N53:AX53" si="57">N28-N27</f>
        <v>-2426.2255776525035</v>
      </c>
      <c r="O53" s="30">
        <f t="shared" si="57"/>
        <v>-3794.3902123166681</v>
      </c>
      <c r="P53" s="30">
        <f t="shared" si="57"/>
        <v>-6290.218569345413</v>
      </c>
      <c r="Q53" s="30">
        <f t="shared" si="57"/>
        <v>-6367.626788609331</v>
      </c>
      <c r="R53" s="30">
        <f t="shared" si="57"/>
        <v>-6866.446436697589</v>
      </c>
      <c r="S53" s="30">
        <f t="shared" si="57"/>
        <v>-1037.5913473527471</v>
      </c>
      <c r="T53" s="30">
        <f t="shared" si="57"/>
        <v>-626.16065050083398</v>
      </c>
      <c r="U53" s="30">
        <f t="shared" si="57"/>
        <v>-3962.7317130333299</v>
      </c>
      <c r="V53" s="30">
        <f t="shared" si="57"/>
        <v>-6309.8223724475056</v>
      </c>
      <c r="W53" s="30">
        <f t="shared" si="57"/>
        <v>-10398.205353598334</v>
      </c>
      <c r="X53" s="30">
        <f t="shared" si="57"/>
        <v>-11381.845269357495</v>
      </c>
      <c r="Y53" s="30">
        <f t="shared" si="57"/>
        <v>-10898.898168654161</v>
      </c>
      <c r="Z53" s="30">
        <f t="shared" si="57"/>
        <v>-9990.0303702099973</v>
      </c>
      <c r="AA53" s="30">
        <f t="shared" si="57"/>
        <v>-8649.3417450308334</v>
      </c>
      <c r="AB53" s="30">
        <f t="shared" si="57"/>
        <v>-4119.0963148458395</v>
      </c>
      <c r="AC53" s="30">
        <f t="shared" si="57"/>
        <v>-3292.8239361175024</v>
      </c>
      <c r="AD53" s="30">
        <f t="shared" si="57"/>
        <v>1811.5258619883389</v>
      </c>
      <c r="AE53" s="30">
        <f t="shared" si="57"/>
        <v>737.1407007033315</v>
      </c>
      <c r="AF53" s="30">
        <f t="shared" si="57"/>
        <v>3706.4639727516624</v>
      </c>
      <c r="AG53" s="30">
        <f t="shared" si="57"/>
        <v>5508.6549877291636</v>
      </c>
      <c r="AH53" s="30">
        <f t="shared" si="57"/>
        <v>9437.8224548124999</v>
      </c>
      <c r="AI53" s="30">
        <f t="shared" si="57"/>
        <v>10710.620778506671</v>
      </c>
      <c r="AJ53" s="30">
        <f t="shared" si="57"/>
        <v>11336.915714152496</v>
      </c>
      <c r="AK53" s="30">
        <f t="shared" si="57"/>
        <v>8848.7236350974999</v>
      </c>
      <c r="AL53" s="30">
        <f t="shared" si="57"/>
        <v>9024.5876215158296</v>
      </c>
      <c r="AM53" s="30">
        <f t="shared" si="57"/>
        <v>7820.1459781349986</v>
      </c>
      <c r="AN53" s="30">
        <f t="shared" si="57"/>
        <v>6142.6392713175055</v>
      </c>
      <c r="AO53" s="30">
        <f t="shared" si="57"/>
        <v>6632.4415342591628</v>
      </c>
      <c r="AP53" s="30">
        <f t="shared" si="57"/>
        <v>1805.6626590058345</v>
      </c>
      <c r="AQ53" s="30">
        <f t="shared" si="57"/>
        <v>4300.8769912074977</v>
      </c>
      <c r="AR53" s="30">
        <f t="shared" si="57"/>
        <v>1588.1774141516653</v>
      </c>
      <c r="AS53" s="30">
        <f t="shared" si="57"/>
        <v>1233.4349554958371</v>
      </c>
      <c r="AT53" s="30">
        <f t="shared" si="57"/>
        <v>1002.2216130575007</v>
      </c>
      <c r="AU53" s="30">
        <f t="shared" si="57"/>
        <v>-38.883769822501563</v>
      </c>
      <c r="AV53" s="30">
        <f t="shared" si="57"/>
        <v>579.19065954416874</v>
      </c>
      <c r="AW53" s="30">
        <f t="shared" si="57"/>
        <v>1536.5141398416608</v>
      </c>
      <c r="AX53" s="30">
        <f t="shared" si="57"/>
        <v>2234.1314473158282</v>
      </c>
      <c r="AY53" s="30">
        <f>AY28-AY27</f>
        <v>2845.1668644491601</v>
      </c>
      <c r="AZ53" s="30">
        <f>AZ28-AZ27</f>
        <v>5561.3105778524905</v>
      </c>
      <c r="BA53" s="30">
        <f>BA28-BA27</f>
        <v>4680.8700762791705</v>
      </c>
      <c r="BB53" s="30">
        <f t="shared" ref="BB53:BI53" si="58">BB28-BB27</f>
        <v>11940.050426055839</v>
      </c>
      <c r="BC53" s="30">
        <f t="shared" si="58"/>
        <v>11027.928450971687</v>
      </c>
      <c r="BD53" s="30">
        <f t="shared" si="58"/>
        <v>12524.60979337254</v>
      </c>
      <c r="BE53" s="30">
        <f t="shared" si="58"/>
        <v>13652.211077752552</v>
      </c>
      <c r="BF53" s="30">
        <f t="shared" si="58"/>
        <v>13527.840871672572</v>
      </c>
      <c r="BG53" s="30">
        <f t="shared" si="58"/>
        <v>107509.02924594676</v>
      </c>
      <c r="BH53" s="30">
        <f t="shared" si="58"/>
        <v>108890.00363698095</v>
      </c>
      <c r="BI53" s="30">
        <f t="shared" si="58"/>
        <v>109459.75355422347</v>
      </c>
    </row>
    <row r="54" spans="1:61" ht="25" customHeight="1">
      <c r="A54" s="41" t="s">
        <v>10</v>
      </c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30">
        <f>N25-N31</f>
        <v>403.72472499416654</v>
      </c>
      <c r="O54" s="30">
        <f t="shared" ref="O54:AX54" si="59">O25-O31</f>
        <v>248.58203987250027</v>
      </c>
      <c r="P54" s="30">
        <f t="shared" si="59"/>
        <v>148.77213508749992</v>
      </c>
      <c r="Q54" s="30">
        <f t="shared" si="59"/>
        <v>291.50289254000018</v>
      </c>
      <c r="R54" s="30">
        <f t="shared" si="59"/>
        <v>180.93351546000002</v>
      </c>
      <c r="S54" s="30">
        <f t="shared" si="59"/>
        <v>174.47060535916657</v>
      </c>
      <c r="T54" s="30">
        <f t="shared" si="59"/>
        <v>117.82379151333348</v>
      </c>
      <c r="U54" s="30">
        <f t="shared" si="59"/>
        <v>96.837219132499754</v>
      </c>
      <c r="V54" s="30">
        <f t="shared" si="59"/>
        <v>-80.934127840833156</v>
      </c>
      <c r="W54" s="30">
        <f t="shared" si="59"/>
        <v>-134.76854769250048</v>
      </c>
      <c r="X54" s="30">
        <f t="shared" si="59"/>
        <v>-142.83003109750038</v>
      </c>
      <c r="Y54" s="30">
        <f t="shared" si="59"/>
        <v>192.43922143833333</v>
      </c>
      <c r="Z54" s="30">
        <f t="shared" si="59"/>
        <v>-150.53342828750039</v>
      </c>
      <c r="AA54" s="30">
        <f t="shared" si="59"/>
        <v>27.842256922499775</v>
      </c>
      <c r="AB54" s="30">
        <f t="shared" si="59"/>
        <v>-48.943221755000195</v>
      </c>
      <c r="AC54" s="30">
        <f t="shared" si="59"/>
        <v>-213.69354422750013</v>
      </c>
      <c r="AD54" s="30">
        <f t="shared" si="59"/>
        <v>17.032042853333529</v>
      </c>
      <c r="AE54" s="30">
        <f t="shared" si="59"/>
        <v>177.82598873833317</v>
      </c>
      <c r="AF54" s="30">
        <f t="shared" si="59"/>
        <v>-60.797373956666583</v>
      </c>
      <c r="AG54" s="30">
        <f t="shared" si="59"/>
        <v>108.8821430558334</v>
      </c>
      <c r="AH54" s="30">
        <f t="shared" si="59"/>
        <v>168.47406094166641</v>
      </c>
      <c r="AI54" s="30">
        <f t="shared" si="59"/>
        <v>168.20290736916706</v>
      </c>
      <c r="AJ54" s="30">
        <f t="shared" si="59"/>
        <v>147.95624664583374</v>
      </c>
      <c r="AK54" s="30">
        <f t="shared" si="59"/>
        <v>94.205383834999637</v>
      </c>
      <c r="AL54" s="30">
        <f t="shared" si="59"/>
        <v>581.2439448741668</v>
      </c>
      <c r="AM54" s="30">
        <f t="shared" si="59"/>
        <v>610.26153329083354</v>
      </c>
      <c r="AN54" s="30">
        <f t="shared" si="59"/>
        <v>524.13283819916683</v>
      </c>
      <c r="AO54" s="30">
        <f t="shared" si="59"/>
        <v>236.59738970083345</v>
      </c>
      <c r="AP54" s="30">
        <f t="shared" si="59"/>
        <v>285.52892668166652</v>
      </c>
      <c r="AQ54" s="30">
        <f t="shared" si="59"/>
        <v>-158.52918997333288</v>
      </c>
      <c r="AR54" s="30">
        <f t="shared" si="59"/>
        <v>75.114078238332979</v>
      </c>
      <c r="AS54" s="30">
        <f t="shared" si="59"/>
        <v>-144.67437287833309</v>
      </c>
      <c r="AT54" s="30">
        <f t="shared" si="59"/>
        <v>68.183187837500256</v>
      </c>
      <c r="AU54" s="30">
        <f t="shared" si="59"/>
        <v>39.58561186333344</v>
      </c>
      <c r="AV54" s="30">
        <f t="shared" si="59"/>
        <v>80.846187442499883</v>
      </c>
      <c r="AW54" s="30">
        <f t="shared" si="59"/>
        <v>134.16754176166671</v>
      </c>
      <c r="AX54" s="30">
        <f t="shared" si="59"/>
        <v>-318.35676372249992</v>
      </c>
      <c r="AY54" s="30">
        <f>AY25-AY31</f>
        <v>-271.5548018999998</v>
      </c>
      <c r="AZ54" s="30">
        <f>AZ25-AZ31</f>
        <v>-54.197840530833361</v>
      </c>
      <c r="BA54" s="30">
        <f>BA25-BA31</f>
        <v>174.73034244500013</v>
      </c>
      <c r="BB54" s="30">
        <f t="shared" ref="BB54:BI54" si="60">BB25-BB31</f>
        <v>-131.81032091333327</v>
      </c>
      <c r="BC54" s="30">
        <f t="shared" si="60"/>
        <v>174.76505142749983</v>
      </c>
      <c r="BD54" s="30">
        <f t="shared" si="60"/>
        <v>490.42052300416674</v>
      </c>
      <c r="BE54" s="30">
        <f t="shared" si="60"/>
        <v>466.84476366083317</v>
      </c>
      <c r="BF54" s="30">
        <f t="shared" si="60"/>
        <v>348.96279221333316</v>
      </c>
      <c r="BG54" s="30">
        <f t="shared" si="60"/>
        <v>-263.99530993583357</v>
      </c>
      <c r="BH54" s="30">
        <f t="shared" si="60"/>
        <v>-371</v>
      </c>
      <c r="BI54" s="30">
        <f t="shared" si="60"/>
        <v>-526.75</v>
      </c>
    </row>
    <row r="55" spans="1:61" ht="25" customHeight="1">
      <c r="A55" s="41" t="s">
        <v>58</v>
      </c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30">
        <f>N25-N28</f>
        <v>14061.475577652503</v>
      </c>
      <c r="O55" s="30">
        <f t="shared" ref="O55:AX55" si="61">O25-O28</f>
        <v>16462.390212316666</v>
      </c>
      <c r="P55" s="30">
        <f t="shared" si="61"/>
        <v>14341.38523601208</v>
      </c>
      <c r="Q55" s="30">
        <f t="shared" si="61"/>
        <v>11484.543455275998</v>
      </c>
      <c r="R55" s="30">
        <f t="shared" si="61"/>
        <v>13329.529770030922</v>
      </c>
      <c r="S55" s="30">
        <f t="shared" si="61"/>
        <v>6810.1746806860801</v>
      </c>
      <c r="T55" s="30">
        <f t="shared" si="61"/>
        <v>7201.993983834167</v>
      </c>
      <c r="U55" s="30">
        <f t="shared" si="61"/>
        <v>7861.6483796999964</v>
      </c>
      <c r="V55" s="30">
        <f t="shared" si="61"/>
        <v>6806.7390391141726</v>
      </c>
      <c r="W55" s="30">
        <f t="shared" si="61"/>
        <v>7484.3720202650002</v>
      </c>
      <c r="X55" s="30">
        <f t="shared" si="61"/>
        <v>8183.0119360241615</v>
      </c>
      <c r="Y55" s="30">
        <f t="shared" si="61"/>
        <v>5912.981501987495</v>
      </c>
      <c r="Z55" s="30">
        <f t="shared" si="61"/>
        <v>6176.6137035433303</v>
      </c>
      <c r="AA55" s="30">
        <f t="shared" si="61"/>
        <v>4287.5084116974995</v>
      </c>
      <c r="AB55" s="30">
        <f t="shared" si="61"/>
        <v>1479.1796481791728</v>
      </c>
      <c r="AC55" s="30">
        <f t="shared" si="61"/>
        <v>2295.9906027841689</v>
      </c>
      <c r="AD55" s="30">
        <f t="shared" si="61"/>
        <v>817.8074713449945</v>
      </c>
      <c r="AE55" s="30">
        <f t="shared" si="61"/>
        <v>1441.6926326300018</v>
      </c>
      <c r="AF55" s="30">
        <f t="shared" si="61"/>
        <v>-19.630639418329025</v>
      </c>
      <c r="AG55" s="30">
        <f t="shared" si="61"/>
        <v>-2402.9049877291641</v>
      </c>
      <c r="AH55" s="30">
        <f t="shared" si="61"/>
        <v>-8493.655788145832</v>
      </c>
      <c r="AI55" s="30">
        <f t="shared" si="61"/>
        <v>-8649.454111840003</v>
      </c>
      <c r="AJ55" s="30">
        <f t="shared" si="61"/>
        <v>-7258.1657141524965</v>
      </c>
      <c r="AK55" s="30">
        <f t="shared" si="61"/>
        <v>-2447.8903017641669</v>
      </c>
      <c r="AL55" s="30">
        <f t="shared" si="61"/>
        <v>-2486.0876215158305</v>
      </c>
      <c r="AM55" s="30">
        <f t="shared" si="61"/>
        <v>-3076.3959781349986</v>
      </c>
      <c r="AN55" s="30">
        <f t="shared" si="61"/>
        <v>-1857.1392713175055</v>
      </c>
      <c r="AO55" s="30">
        <f t="shared" si="61"/>
        <v>-5077.6082009258298</v>
      </c>
      <c r="AP55" s="30">
        <f t="shared" si="61"/>
        <v>-4376.1626590058349</v>
      </c>
      <c r="AQ55" s="30">
        <f t="shared" si="61"/>
        <v>-8357.1269912074968</v>
      </c>
      <c r="AR55" s="30">
        <f t="shared" si="61"/>
        <v>-6272.9274141516653</v>
      </c>
      <c r="AS55" s="30">
        <f t="shared" si="61"/>
        <v>-6327.6016221625032</v>
      </c>
      <c r="AT55" s="30">
        <f t="shared" si="61"/>
        <v>-5161.3882797241677</v>
      </c>
      <c r="AU55" s="30">
        <f t="shared" si="61"/>
        <v>-5683.6995635108324</v>
      </c>
      <c r="AV55" s="30">
        <f t="shared" si="61"/>
        <v>-6506.5239928775018</v>
      </c>
      <c r="AW55" s="30">
        <f t="shared" si="61"/>
        <v>-8437.2641398416599</v>
      </c>
      <c r="AX55" s="30">
        <f t="shared" si="61"/>
        <v>-9690.2981139824951</v>
      </c>
      <c r="AY55" s="30">
        <f>AY25-AY28</f>
        <v>-10142.333531115826</v>
      </c>
      <c r="AZ55" s="30">
        <f>AZ25-AZ28</f>
        <v>-10389.560577852491</v>
      </c>
      <c r="BA55" s="30">
        <f>BA25-BA28</f>
        <v>-8584.4534096125044</v>
      </c>
      <c r="BB55" s="30">
        <f t="shared" ref="BB55:BI55" si="62">BB25-BB28</f>
        <v>-9754.7170927225052</v>
      </c>
      <c r="BC55" s="30">
        <f t="shared" si="62"/>
        <v>-7141.3451176383533</v>
      </c>
      <c r="BD55" s="30">
        <f t="shared" si="62"/>
        <v>-8796.5264600392074</v>
      </c>
      <c r="BE55" s="30">
        <f t="shared" si="62"/>
        <v>-8758.5444110858862</v>
      </c>
      <c r="BF55" s="30">
        <f t="shared" si="62"/>
        <v>-8231.1742050059056</v>
      </c>
      <c r="BG55" s="30">
        <f t="shared" si="62"/>
        <v>-13738.862579280092</v>
      </c>
      <c r="BH55" s="30">
        <f t="shared" si="62"/>
        <v>-14648.920303647617</v>
      </c>
      <c r="BI55" s="30">
        <f t="shared" si="62"/>
        <v>-14831.50355422348</v>
      </c>
    </row>
    <row r="56" spans="1:61" ht="25" customHeight="1">
      <c r="A56" s="41" t="s">
        <v>18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30">
        <f>N25-N27</f>
        <v>11635.25</v>
      </c>
      <c r="O56" s="30">
        <f t="shared" ref="O56:AX56" si="63">O25-O27</f>
        <v>12668</v>
      </c>
      <c r="P56" s="30">
        <f t="shared" si="63"/>
        <v>8051.166666666667</v>
      </c>
      <c r="Q56" s="30">
        <f t="shared" si="63"/>
        <v>5116.9166666666661</v>
      </c>
      <c r="R56" s="30">
        <f t="shared" si="63"/>
        <v>6463.083333333333</v>
      </c>
      <c r="S56" s="30">
        <f t="shared" si="63"/>
        <v>5772.583333333333</v>
      </c>
      <c r="T56" s="30">
        <f t="shared" si="63"/>
        <v>6575.833333333333</v>
      </c>
      <c r="U56" s="30">
        <f t="shared" si="63"/>
        <v>3898.916666666667</v>
      </c>
      <c r="V56" s="30">
        <f t="shared" si="63"/>
        <v>496.91666666666669</v>
      </c>
      <c r="W56" s="30">
        <f t="shared" si="63"/>
        <v>-2913.8333333333335</v>
      </c>
      <c r="X56" s="30">
        <f t="shared" si="63"/>
        <v>-3198.833333333333</v>
      </c>
      <c r="Y56" s="30">
        <f t="shared" si="63"/>
        <v>-4985.9166666666661</v>
      </c>
      <c r="Z56" s="30">
        <f t="shared" si="63"/>
        <v>-3813.4166666666665</v>
      </c>
      <c r="AA56" s="30">
        <f t="shared" si="63"/>
        <v>-4361.8333333333339</v>
      </c>
      <c r="AB56" s="30">
        <f t="shared" si="63"/>
        <v>-2639.9166666666665</v>
      </c>
      <c r="AC56" s="30">
        <f t="shared" si="63"/>
        <v>-996.83333333333326</v>
      </c>
      <c r="AD56" s="30">
        <f t="shared" si="63"/>
        <v>2629.3333333333335</v>
      </c>
      <c r="AE56" s="30">
        <f t="shared" si="63"/>
        <v>2178.8333333333335</v>
      </c>
      <c r="AF56" s="30">
        <f t="shared" si="63"/>
        <v>3686.833333333333</v>
      </c>
      <c r="AG56" s="30">
        <f t="shared" si="63"/>
        <v>3105.75</v>
      </c>
      <c r="AH56" s="30">
        <f t="shared" si="63"/>
        <v>944.16666666666674</v>
      </c>
      <c r="AI56" s="30">
        <f t="shared" si="63"/>
        <v>2061.1666666666665</v>
      </c>
      <c r="AJ56" s="30">
        <f t="shared" si="63"/>
        <v>4078.75</v>
      </c>
      <c r="AK56" s="30">
        <f t="shared" si="63"/>
        <v>6400.8333333333339</v>
      </c>
      <c r="AL56" s="30">
        <f t="shared" si="63"/>
        <v>6538.5</v>
      </c>
      <c r="AM56" s="30">
        <f t="shared" si="63"/>
        <v>4743.75</v>
      </c>
      <c r="AN56" s="30">
        <f t="shared" si="63"/>
        <v>4285.5</v>
      </c>
      <c r="AO56" s="30">
        <f t="shared" si="63"/>
        <v>1554.8333333333333</v>
      </c>
      <c r="AP56" s="30">
        <f t="shared" si="63"/>
        <v>-2570.5</v>
      </c>
      <c r="AQ56" s="30">
        <f t="shared" si="63"/>
        <v>-4056.2499999999995</v>
      </c>
      <c r="AR56" s="30">
        <f t="shared" si="63"/>
        <v>-4684.75</v>
      </c>
      <c r="AS56" s="30">
        <f t="shared" si="63"/>
        <v>-5094.1666666666661</v>
      </c>
      <c r="AT56" s="30">
        <f t="shared" si="63"/>
        <v>-4159.166666666667</v>
      </c>
      <c r="AU56" s="30">
        <f t="shared" si="63"/>
        <v>-5722.5833333333339</v>
      </c>
      <c r="AV56" s="30">
        <f t="shared" si="63"/>
        <v>-5927.333333333333</v>
      </c>
      <c r="AW56" s="30">
        <f t="shared" si="63"/>
        <v>-6900.75</v>
      </c>
      <c r="AX56" s="30">
        <f t="shared" si="63"/>
        <v>-7456.1666666666661</v>
      </c>
      <c r="AY56" s="30">
        <f>AY25-AY27</f>
        <v>-7297.166666666667</v>
      </c>
      <c r="AZ56" s="30">
        <f>AZ25-AZ27</f>
        <v>-4828.25</v>
      </c>
      <c r="BA56" s="30">
        <f>BA25-BA27</f>
        <v>-3903.5833333333335</v>
      </c>
      <c r="BB56" s="30">
        <f t="shared" ref="BB56:BI56" si="64">BB25-BB27</f>
        <v>2185.3333333333335</v>
      </c>
      <c r="BC56" s="30">
        <f t="shared" si="64"/>
        <v>3886.583333333333</v>
      </c>
      <c r="BD56" s="30">
        <f t="shared" si="64"/>
        <v>3728.083333333333</v>
      </c>
      <c r="BE56" s="30">
        <f t="shared" si="64"/>
        <v>4893.666666666667</v>
      </c>
      <c r="BF56" s="30">
        <f t="shared" si="64"/>
        <v>5296.666666666667</v>
      </c>
      <c r="BG56" s="30">
        <f t="shared" si="64"/>
        <v>93770.166666666672</v>
      </c>
      <c r="BH56" s="30">
        <f t="shared" si="64"/>
        <v>94241.083333333328</v>
      </c>
      <c r="BI56" s="30">
        <f t="shared" si="64"/>
        <v>94628.25</v>
      </c>
    </row>
    <row r="57" spans="1:61" ht="25" customHeight="1">
      <c r="A57" s="41" t="s">
        <v>59</v>
      </c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30">
        <f>N25-N29</f>
        <v>163.33333333333334</v>
      </c>
      <c r="O57" s="30">
        <f t="shared" ref="O57:AX57" si="65">O25-O29</f>
        <v>-270.83333333333331</v>
      </c>
      <c r="P57" s="30">
        <f t="shared" si="65"/>
        <v>127.41666666666667</v>
      </c>
      <c r="Q57" s="30">
        <f t="shared" si="65"/>
        <v>7.0833333333333144</v>
      </c>
      <c r="R57" s="30">
        <f t="shared" si="65"/>
        <v>-37.333333333333329</v>
      </c>
      <c r="S57" s="30">
        <f t="shared" si="65"/>
        <v>138.08333333333334</v>
      </c>
      <c r="T57" s="30">
        <f t="shared" si="65"/>
        <v>-83.333333333333343</v>
      </c>
      <c r="U57" s="30">
        <f t="shared" si="65"/>
        <v>-145.24999999999997</v>
      </c>
      <c r="V57" s="30">
        <f t="shared" si="65"/>
        <v>-397.5</v>
      </c>
      <c r="W57" s="30">
        <f t="shared" si="65"/>
        <v>-507.16666666666669</v>
      </c>
      <c r="X57" s="30">
        <f t="shared" si="65"/>
        <v>-470.08333333333337</v>
      </c>
      <c r="Y57" s="30">
        <f t="shared" si="65"/>
        <v>113.74999999999999</v>
      </c>
      <c r="Z57" s="30">
        <f t="shared" si="65"/>
        <v>-549.75</v>
      </c>
      <c r="AA57" s="30">
        <f t="shared" si="65"/>
        <v>-225.58333333333331</v>
      </c>
      <c r="AB57" s="30">
        <f t="shared" si="65"/>
        <v>-307.5</v>
      </c>
      <c r="AC57" s="30">
        <f t="shared" si="65"/>
        <v>-671.16666666666663</v>
      </c>
      <c r="AD57" s="30">
        <f t="shared" si="65"/>
        <v>-217.75</v>
      </c>
      <c r="AE57" s="30">
        <f t="shared" si="65"/>
        <v>-318.16666666666669</v>
      </c>
      <c r="AF57" s="30">
        <f t="shared" si="65"/>
        <v>-463.33333333333331</v>
      </c>
      <c r="AG57" s="30">
        <f t="shared" si="65"/>
        <v>-161.58333333333334</v>
      </c>
      <c r="AH57" s="30">
        <f t="shared" si="65"/>
        <v>50.416666666666629</v>
      </c>
      <c r="AI57" s="30">
        <f t="shared" si="65"/>
        <v>-379.66666666666669</v>
      </c>
      <c r="AJ57" s="30">
        <f t="shared" si="65"/>
        <v>-159.08333333333331</v>
      </c>
      <c r="AK57" s="30">
        <f t="shared" si="65"/>
        <v>-670.33333333333337</v>
      </c>
      <c r="AL57" s="30">
        <f t="shared" si="65"/>
        <v>-228.49999999999994</v>
      </c>
      <c r="AM57" s="30">
        <f t="shared" si="65"/>
        <v>-177.66666666666663</v>
      </c>
      <c r="AN57" s="30">
        <f t="shared" si="65"/>
        <v>-235.5</v>
      </c>
      <c r="AO57" s="30">
        <f t="shared" si="65"/>
        <v>-132.25000000000006</v>
      </c>
      <c r="AP57" s="30">
        <f t="shared" si="65"/>
        <v>-316.75000000000006</v>
      </c>
      <c r="AQ57" s="30">
        <f t="shared" si="65"/>
        <v>-625.75</v>
      </c>
      <c r="AR57" s="30">
        <f t="shared" si="65"/>
        <v>-394.5</v>
      </c>
      <c r="AS57" s="30">
        <f t="shared" si="65"/>
        <v>-643.5</v>
      </c>
      <c r="AT57" s="30">
        <f t="shared" si="65"/>
        <v>-372.66666666666663</v>
      </c>
      <c r="AU57" s="30">
        <f t="shared" si="65"/>
        <v>-122.91666666666666</v>
      </c>
      <c r="AV57" s="30">
        <f t="shared" si="65"/>
        <v>-496.08333333333337</v>
      </c>
      <c r="AW57" s="30">
        <f t="shared" si="65"/>
        <v>-46.583333333333371</v>
      </c>
      <c r="AX57" s="30">
        <f t="shared" si="65"/>
        <v>-334</v>
      </c>
      <c r="AY57" s="30">
        <f>AY25-AY29</f>
        <v>-59.333333333333336</v>
      </c>
      <c r="AZ57" s="30">
        <f>AZ25-AZ29</f>
        <v>-659.41666666666674</v>
      </c>
      <c r="BA57" s="30">
        <f>BA25-BA29</f>
        <v>-243.58333333333331</v>
      </c>
      <c r="BB57" s="30">
        <f t="shared" ref="BB57:BI57" si="66">BB25-BB29</f>
        <v>-484.75</v>
      </c>
      <c r="BC57" s="30">
        <f t="shared" si="66"/>
        <v>-52.333333333333329</v>
      </c>
      <c r="BD57" s="30">
        <f t="shared" si="66"/>
        <v>106.74999999999994</v>
      </c>
      <c r="BE57" s="30">
        <f t="shared" si="66"/>
        <v>-20.5</v>
      </c>
      <c r="BF57" s="30">
        <f t="shared" si="66"/>
        <v>-215.16666666666663</v>
      </c>
      <c r="BG57" s="30">
        <f t="shared" si="66"/>
        <v>-1440.0000000000002</v>
      </c>
      <c r="BH57" s="30">
        <f t="shared" si="66"/>
        <v>-1180</v>
      </c>
      <c r="BI57" s="30">
        <f t="shared" si="66"/>
        <v>-1681.75</v>
      </c>
    </row>
    <row r="58" spans="1:61" ht="25" customHeight="1">
      <c r="A58" s="41" t="s">
        <v>20</v>
      </c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30">
        <f>N25-N26</f>
        <v>-309.75</v>
      </c>
      <c r="O58" s="30">
        <f t="shared" ref="O58:AX59" si="67">O25-O26</f>
        <v>-605.41666666666663</v>
      </c>
      <c r="P58" s="30">
        <f t="shared" si="67"/>
        <v>-529.08333333333337</v>
      </c>
      <c r="Q58" s="30">
        <f t="shared" si="67"/>
        <v>-347.58333333333331</v>
      </c>
      <c r="R58" s="30">
        <f t="shared" si="67"/>
        <v>-397.33333333333331</v>
      </c>
      <c r="S58" s="30">
        <f t="shared" si="67"/>
        <v>-416.08333333333326</v>
      </c>
      <c r="T58" s="30">
        <f t="shared" si="67"/>
        <v>-370.75</v>
      </c>
      <c r="U58" s="30">
        <f t="shared" si="67"/>
        <v>-256.16666666666663</v>
      </c>
      <c r="V58" s="30">
        <f t="shared" si="67"/>
        <v>-625.66666666666674</v>
      </c>
      <c r="W58" s="30">
        <f t="shared" si="67"/>
        <v>-661.83333333333337</v>
      </c>
      <c r="X58" s="30">
        <f t="shared" si="67"/>
        <v>-772.83333333333326</v>
      </c>
      <c r="Y58" s="30">
        <f t="shared" si="67"/>
        <v>-647.33333333333337</v>
      </c>
      <c r="Z58" s="30">
        <f t="shared" si="67"/>
        <v>-780.75</v>
      </c>
      <c r="AA58" s="30">
        <f t="shared" si="67"/>
        <v>-624.83333333333326</v>
      </c>
      <c r="AB58" s="30">
        <f t="shared" si="67"/>
        <v>-850.25</v>
      </c>
      <c r="AC58" s="30">
        <f t="shared" si="67"/>
        <v>-1017</v>
      </c>
      <c r="AD58" s="30">
        <f t="shared" si="67"/>
        <v>-805.16666666666663</v>
      </c>
      <c r="AE58" s="30">
        <f t="shared" si="67"/>
        <v>-646.33333333333326</v>
      </c>
      <c r="AF58" s="30">
        <f t="shared" si="67"/>
        <v>-910.58333333333337</v>
      </c>
      <c r="AG58" s="30">
        <f t="shared" si="67"/>
        <v>-702.25</v>
      </c>
      <c r="AH58" s="30">
        <f t="shared" si="67"/>
        <v>-854.08333333333348</v>
      </c>
      <c r="AI58" s="30">
        <f t="shared" si="67"/>
        <v>-537.58333333333326</v>
      </c>
      <c r="AJ58" s="30">
        <f t="shared" si="67"/>
        <v>-475.16666666666663</v>
      </c>
      <c r="AK58" s="30">
        <f t="shared" si="67"/>
        <v>-440.5</v>
      </c>
      <c r="AL58" s="30">
        <f t="shared" si="67"/>
        <v>320</v>
      </c>
      <c r="AM58" s="30">
        <f t="shared" si="67"/>
        <v>277.58333333333337</v>
      </c>
      <c r="AN58" s="30">
        <f t="shared" si="67"/>
        <v>-84.916666666666629</v>
      </c>
      <c r="AO58" s="30">
        <f t="shared" si="67"/>
        <v>325.08333333333331</v>
      </c>
      <c r="AP58" s="30">
        <f t="shared" si="67"/>
        <v>435.08333333333331</v>
      </c>
      <c r="AQ58" s="30">
        <f t="shared" si="67"/>
        <v>-103.33333333333334</v>
      </c>
      <c r="AR58" s="30">
        <f t="shared" si="67"/>
        <v>89.083333333333314</v>
      </c>
      <c r="AS58" s="30">
        <f t="shared" si="67"/>
        <v>-96</v>
      </c>
      <c r="AT58" s="30">
        <f t="shared" si="67"/>
        <v>347.08333333333337</v>
      </c>
      <c r="AU58" s="30">
        <f t="shared" si="67"/>
        <v>-213.41666666666666</v>
      </c>
      <c r="AV58" s="30">
        <f t="shared" si="67"/>
        <v>-50.666666666666686</v>
      </c>
      <c r="AW58" s="30">
        <f t="shared" si="67"/>
        <v>72.416666666666629</v>
      </c>
      <c r="AX58" s="30">
        <f t="shared" si="67"/>
        <v>-706.41666666666674</v>
      </c>
      <c r="AY58" s="30">
        <f t="shared" ref="AY58:BA59" si="68">AY25-AY26</f>
        <v>-512.5</v>
      </c>
      <c r="AZ58" s="30">
        <f t="shared" si="68"/>
        <v>127.66666666666667</v>
      </c>
      <c r="BA58" s="30">
        <f t="shared" si="68"/>
        <v>80.916666666666657</v>
      </c>
      <c r="BB58" s="30">
        <f t="shared" ref="BB58:BI58" si="69">BB25-BB26</f>
        <v>-140.33333333333334</v>
      </c>
      <c r="BC58" s="30">
        <f t="shared" si="69"/>
        <v>266.91666666666669</v>
      </c>
      <c r="BD58" s="30">
        <f t="shared" si="69"/>
        <v>608.5</v>
      </c>
      <c r="BE58" s="30">
        <f t="shared" si="69"/>
        <v>570.41666666666663</v>
      </c>
      <c r="BF58" s="30">
        <f t="shared" si="69"/>
        <v>343</v>
      </c>
      <c r="BG58" s="30">
        <f t="shared" si="69"/>
        <v>4849.5</v>
      </c>
      <c r="BH58" s="30">
        <f t="shared" si="69"/>
        <v>4652.1666666666679</v>
      </c>
      <c r="BI58" s="30">
        <f t="shared" si="69"/>
        <v>4452.8333333333321</v>
      </c>
    </row>
    <row r="59" spans="1:61" ht="25" customHeight="1">
      <c r="A59" s="42" t="s">
        <v>19</v>
      </c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30">
        <f>N26-N27</f>
        <v>11945</v>
      </c>
      <c r="O59" s="30">
        <f t="shared" si="67"/>
        <v>13273.416666666666</v>
      </c>
      <c r="P59" s="30">
        <f t="shared" si="67"/>
        <v>8580.25</v>
      </c>
      <c r="Q59" s="30">
        <f t="shared" si="67"/>
        <v>5464.5</v>
      </c>
      <c r="R59" s="30">
        <f t="shared" si="67"/>
        <v>6860.4166666666661</v>
      </c>
      <c r="S59" s="30">
        <f t="shared" si="67"/>
        <v>6188.666666666667</v>
      </c>
      <c r="T59" s="30">
        <f t="shared" si="67"/>
        <v>6946.583333333333</v>
      </c>
      <c r="U59" s="30">
        <f t="shared" si="67"/>
        <v>4155.0833333333339</v>
      </c>
      <c r="V59" s="30">
        <f t="shared" si="67"/>
        <v>1122.5833333333335</v>
      </c>
      <c r="W59" s="30">
        <f t="shared" si="67"/>
        <v>-2252</v>
      </c>
      <c r="X59" s="30">
        <f t="shared" si="67"/>
        <v>-2426</v>
      </c>
      <c r="Y59" s="30">
        <f t="shared" si="67"/>
        <v>-4338.583333333333</v>
      </c>
      <c r="Z59" s="30">
        <f t="shared" si="67"/>
        <v>-3032.6666666666665</v>
      </c>
      <c r="AA59" s="30">
        <f t="shared" si="67"/>
        <v>-3737.0000000000005</v>
      </c>
      <c r="AB59" s="30">
        <f t="shared" si="67"/>
        <v>-1789.6666666666665</v>
      </c>
      <c r="AC59" s="30">
        <f t="shared" si="67"/>
        <v>20.166666666666629</v>
      </c>
      <c r="AD59" s="30">
        <f t="shared" si="67"/>
        <v>3434.5</v>
      </c>
      <c r="AE59" s="30">
        <f t="shared" si="67"/>
        <v>2825.1666666666665</v>
      </c>
      <c r="AF59" s="30">
        <f t="shared" si="67"/>
        <v>4597.4166666666661</v>
      </c>
      <c r="AG59" s="30">
        <f t="shared" si="67"/>
        <v>3808</v>
      </c>
      <c r="AH59" s="30">
        <f t="shared" si="67"/>
        <v>1798.25</v>
      </c>
      <c r="AI59" s="30">
        <f t="shared" si="67"/>
        <v>2598.75</v>
      </c>
      <c r="AJ59" s="30">
        <f t="shared" si="67"/>
        <v>4553.916666666667</v>
      </c>
      <c r="AK59" s="30">
        <f t="shared" si="67"/>
        <v>6841.3333333333339</v>
      </c>
      <c r="AL59" s="30">
        <f t="shared" si="67"/>
        <v>6218.5</v>
      </c>
      <c r="AM59" s="30">
        <f t="shared" si="67"/>
        <v>4466.166666666667</v>
      </c>
      <c r="AN59" s="30">
        <f t="shared" si="67"/>
        <v>4370.4166666666661</v>
      </c>
      <c r="AO59" s="30">
        <f t="shared" si="67"/>
        <v>1229.75</v>
      </c>
      <c r="AP59" s="30">
        <f t="shared" si="67"/>
        <v>-3005.5833333333335</v>
      </c>
      <c r="AQ59" s="30">
        <f t="shared" si="67"/>
        <v>-3952.9166666666665</v>
      </c>
      <c r="AR59" s="30">
        <f t="shared" si="67"/>
        <v>-4773.8333333333339</v>
      </c>
      <c r="AS59" s="30">
        <f t="shared" si="67"/>
        <v>-4998.1666666666661</v>
      </c>
      <c r="AT59" s="30">
        <f t="shared" si="67"/>
        <v>-4506.25</v>
      </c>
      <c r="AU59" s="30">
        <f t="shared" si="67"/>
        <v>-5509.166666666667</v>
      </c>
      <c r="AV59" s="30">
        <f t="shared" si="67"/>
        <v>-5876.6666666666661</v>
      </c>
      <c r="AW59" s="30">
        <f t="shared" si="67"/>
        <v>-6973.1666666666661</v>
      </c>
      <c r="AX59" s="30">
        <f t="shared" si="67"/>
        <v>-6749.75</v>
      </c>
      <c r="AY59" s="30">
        <f t="shared" si="68"/>
        <v>-6784.666666666667</v>
      </c>
      <c r="AZ59" s="30">
        <f t="shared" si="68"/>
        <v>-4955.916666666667</v>
      </c>
      <c r="BA59" s="30">
        <f t="shared" si="68"/>
        <v>-3984.5</v>
      </c>
      <c r="BB59" s="30">
        <f t="shared" ref="BB59:BI59" si="70">BB26-BB27</f>
        <v>2325.6666666666665</v>
      </c>
      <c r="BC59" s="30">
        <f t="shared" si="70"/>
        <v>3619.6666666666665</v>
      </c>
      <c r="BD59" s="30">
        <f t="shared" si="70"/>
        <v>3119.583333333333</v>
      </c>
      <c r="BE59" s="30">
        <f t="shared" si="70"/>
        <v>4323.25</v>
      </c>
      <c r="BF59" s="30">
        <f t="shared" si="70"/>
        <v>4953.666666666667</v>
      </c>
      <c r="BG59" s="30">
        <f t="shared" si="70"/>
        <v>88920.666666666672</v>
      </c>
      <c r="BH59" s="30">
        <f t="shared" si="70"/>
        <v>89588.916666666672</v>
      </c>
      <c r="BI59" s="30">
        <f t="shared" si="70"/>
        <v>90175.416666666657</v>
      </c>
    </row>
    <row r="60" spans="1:61" ht="25" customHeight="1"/>
    <row r="61" spans="1:61" ht="25" customHeight="1"/>
    <row r="62" spans="1:61" ht="25" customHeight="1"/>
    <row r="63" spans="1:61" ht="25" customHeight="1">
      <c r="A63" s="279" t="s">
        <v>63</v>
      </c>
      <c r="B63" s="279"/>
      <c r="C63" s="279"/>
      <c r="D63" s="279"/>
      <c r="E63" s="279"/>
      <c r="F63" s="279"/>
      <c r="G63" s="279"/>
      <c r="H63" s="279"/>
      <c r="I63" s="279"/>
      <c r="J63" s="279"/>
      <c r="K63" s="279"/>
      <c r="L63" s="279"/>
      <c r="M63" s="279"/>
      <c r="N63" s="279"/>
      <c r="O63" s="279"/>
      <c r="P63" s="279"/>
      <c r="Q63" s="279"/>
      <c r="R63" s="279"/>
      <c r="S63" s="279"/>
      <c r="T63" s="279"/>
      <c r="U63" s="279"/>
      <c r="V63" s="279"/>
      <c r="W63" s="279"/>
      <c r="X63" s="279"/>
      <c r="Y63" s="279"/>
      <c r="Z63" s="279"/>
      <c r="AA63" s="279"/>
      <c r="AB63" s="279"/>
      <c r="AC63" s="279"/>
      <c r="AD63" s="279"/>
      <c r="AE63" s="279"/>
      <c r="AF63" s="279"/>
      <c r="AG63" s="279"/>
      <c r="AH63" s="279"/>
      <c r="AI63" s="279"/>
      <c r="AJ63" s="279"/>
      <c r="AK63" s="279"/>
      <c r="AL63" s="279"/>
      <c r="AM63" s="279"/>
      <c r="AN63" s="279"/>
      <c r="AO63" s="279"/>
      <c r="AP63" s="279"/>
      <c r="AQ63" s="279"/>
      <c r="AR63" s="279"/>
      <c r="AS63" s="279"/>
      <c r="AT63" s="279"/>
      <c r="AU63" s="279"/>
      <c r="AV63" s="279"/>
      <c r="AW63" s="279"/>
      <c r="AX63" s="279"/>
      <c r="AY63" s="279"/>
      <c r="AZ63" s="279"/>
      <c r="BA63" s="279"/>
      <c r="BB63" s="279"/>
      <c r="BC63" s="279"/>
      <c r="BD63" s="279"/>
      <c r="BE63" s="279"/>
      <c r="BF63" s="279"/>
      <c r="BG63" s="279"/>
      <c r="BH63" s="279"/>
      <c r="BI63" s="279"/>
    </row>
    <row r="64" spans="1:61" ht="25" customHeight="1"/>
    <row r="65" spans="1:61" ht="25" customHeight="1">
      <c r="A65" s="28" t="s">
        <v>45</v>
      </c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185">
        <v>44927</v>
      </c>
      <c r="O65" s="185">
        <v>44958</v>
      </c>
      <c r="P65" s="185">
        <v>44986</v>
      </c>
      <c r="Q65" s="185">
        <v>45017</v>
      </c>
      <c r="R65" s="185">
        <v>45047</v>
      </c>
      <c r="S65" s="185">
        <v>45078</v>
      </c>
      <c r="T65" s="185">
        <v>45108</v>
      </c>
      <c r="U65" s="185">
        <v>45139</v>
      </c>
      <c r="V65" s="185">
        <v>45170</v>
      </c>
      <c r="W65" s="185">
        <v>45200</v>
      </c>
      <c r="X65" s="185">
        <v>45231</v>
      </c>
      <c r="Y65" s="185">
        <v>45261</v>
      </c>
      <c r="Z65" s="185">
        <v>45292</v>
      </c>
      <c r="AA65" s="185">
        <v>45323</v>
      </c>
      <c r="AB65" s="185">
        <v>45352</v>
      </c>
      <c r="AC65" s="185">
        <v>45383</v>
      </c>
      <c r="AD65" s="185">
        <v>45413</v>
      </c>
      <c r="AE65" s="185">
        <v>45444</v>
      </c>
      <c r="AF65" s="185">
        <v>45474</v>
      </c>
      <c r="AG65" s="185">
        <v>45505</v>
      </c>
      <c r="AH65" s="185">
        <v>45536</v>
      </c>
      <c r="AI65" s="185">
        <v>45566</v>
      </c>
      <c r="AJ65" s="185">
        <v>45597</v>
      </c>
      <c r="AK65" s="185">
        <v>45627</v>
      </c>
      <c r="AL65" s="185">
        <v>45658</v>
      </c>
      <c r="AM65" s="185">
        <v>45689</v>
      </c>
      <c r="AN65" s="185">
        <v>45717</v>
      </c>
      <c r="AO65" s="185">
        <v>45748</v>
      </c>
      <c r="AP65" s="185">
        <v>45778</v>
      </c>
      <c r="AQ65" s="185">
        <v>45809</v>
      </c>
      <c r="AR65" s="185">
        <v>45839</v>
      </c>
      <c r="AS65" s="185">
        <v>45870</v>
      </c>
      <c r="AT65" s="185">
        <v>45901</v>
      </c>
      <c r="AU65" s="185">
        <v>45931</v>
      </c>
      <c r="AV65" s="185">
        <v>45962</v>
      </c>
      <c r="AW65" s="185">
        <v>45992</v>
      </c>
      <c r="AX65" s="185">
        <v>46023</v>
      </c>
      <c r="AY65" s="185">
        <v>46054</v>
      </c>
      <c r="AZ65" s="185">
        <v>46082</v>
      </c>
      <c r="BA65" s="185">
        <v>46113</v>
      </c>
      <c r="BB65" s="185">
        <v>46143</v>
      </c>
      <c r="BC65" s="185">
        <v>46174</v>
      </c>
      <c r="BD65" s="185">
        <v>46204</v>
      </c>
      <c r="BE65" s="185">
        <v>46235</v>
      </c>
      <c r="BF65" s="185">
        <v>46266</v>
      </c>
      <c r="BG65" s="185">
        <v>46296</v>
      </c>
      <c r="BH65" s="185">
        <v>46327</v>
      </c>
      <c r="BI65" s="185">
        <v>46357</v>
      </c>
    </row>
    <row r="66" spans="1:61" ht="25" customHeight="1">
      <c r="A66" s="43" t="s">
        <v>16</v>
      </c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30" cm="1">
        <f t="array" ref="N66">_xlfn.XLOOKUP(MIN(ABS($BK$3:$BK$23 - MEDIAN(MIN($BK$3:$BK$23), MAX($BK$3:$BK$23), N37))), ABS($BK$3:$BK$23 - MEDIAN(MIN($BK$3:$BK$23), MAX($BK$3:$BK$23), N37)), $BL$3:$BL$23, "Error", 0)</f>
        <v>-10</v>
      </c>
      <c r="O66" s="30" cm="1">
        <f t="array" ref="O66">_xlfn.XLOOKUP(MIN(ABS($BK$3:$BK$23 - MEDIAN(MIN($BK$3:$BK$23), MAX($BK$3:$BK$23), O37))), ABS($BK$3:$BK$23 - MEDIAN(MIN($BK$3:$BK$23), MAX($BK$3:$BK$23), O37)), $BL$3:$BL$23, "Error", 0)</f>
        <v>-10</v>
      </c>
      <c r="P66" s="30" cm="1">
        <f t="array" ref="P66">_xlfn.XLOOKUP(MIN(ABS($BK$3:$BK$23 - MEDIAN(MIN($BK$3:$BK$23), MAX($BK$3:$BK$23), P37))), ABS($BK$3:$BK$23 - MEDIAN(MIN($BK$3:$BK$23), MAX($BK$3:$BK$23), P37)), $BL$3:$BL$23, "Error", 0)</f>
        <v>-10</v>
      </c>
      <c r="Q66" s="30" cm="1">
        <f t="array" ref="Q66">_xlfn.XLOOKUP(MIN(ABS($BK$3:$BK$23 - MEDIAN(MIN($BK$3:$BK$23), MAX($BK$3:$BK$23), Q37))), ABS($BK$3:$BK$23 - MEDIAN(MIN($BK$3:$BK$23), MAX($BK$3:$BK$23), Q37)), $BL$3:$BL$23, "Error", 0)</f>
        <v>-10</v>
      </c>
      <c r="R66" s="30" cm="1">
        <f t="array" ref="R66">_xlfn.XLOOKUP(MIN(ABS($BK$3:$BK$23 - MEDIAN(MIN($BK$3:$BK$23), MAX($BK$3:$BK$23), R37))), ABS($BK$3:$BK$23 - MEDIAN(MIN($BK$3:$BK$23), MAX($BK$3:$BK$23), R37)), $BL$3:$BL$23, "Error", 0)</f>
        <v>-10</v>
      </c>
      <c r="S66" s="30" cm="1">
        <f t="array" ref="S66">_xlfn.XLOOKUP(MIN(ABS($BK$3:$BK$23 - MEDIAN(MIN($BK$3:$BK$23), MAX($BK$3:$BK$23), S37))), ABS($BK$3:$BK$23 - MEDIAN(MIN($BK$3:$BK$23), MAX($BK$3:$BK$23), S37)), $BL$3:$BL$23, "Error", 0)</f>
        <v>-10</v>
      </c>
      <c r="T66" s="30" cm="1">
        <f t="array" ref="T66">_xlfn.XLOOKUP(MIN(ABS($BK$3:$BK$23 - MEDIAN(MIN($BK$3:$BK$23), MAX($BK$3:$BK$23), T37))), ABS($BK$3:$BK$23 - MEDIAN(MIN($BK$3:$BK$23), MAX($BK$3:$BK$23), T37)), $BL$3:$BL$23, "Error", 0)</f>
        <v>-10</v>
      </c>
      <c r="U66" s="30" cm="1">
        <f t="array" ref="U66">_xlfn.XLOOKUP(MIN(ABS($BK$3:$BK$23 - MEDIAN(MIN($BK$3:$BK$23), MAX($BK$3:$BK$23), U37))), ABS($BK$3:$BK$23 - MEDIAN(MIN($BK$3:$BK$23), MAX($BK$3:$BK$23), U37)), $BL$3:$BL$23, "Error", 0)</f>
        <v>-10</v>
      </c>
      <c r="V66" s="30" cm="1">
        <f t="array" ref="V66">_xlfn.XLOOKUP(MIN(ABS($BK$3:$BK$23 - MEDIAN(MIN($BK$3:$BK$23), MAX($BK$3:$BK$23), V37))), ABS($BK$3:$BK$23 - MEDIAN(MIN($BK$3:$BK$23), MAX($BK$3:$BK$23), V37)), $BL$3:$BL$23, "Error", 0)</f>
        <v>-3</v>
      </c>
      <c r="W66" s="30" cm="1">
        <f t="array" ref="W66">_xlfn.XLOOKUP(MIN(ABS($BK$3:$BK$23 - MEDIAN(MIN($BK$3:$BK$23), MAX($BK$3:$BK$23), W37))), ABS($BK$3:$BK$23 - MEDIAN(MIN($BK$3:$BK$23), MAX($BK$3:$BK$23), W37)), $BL$3:$BL$23, "Error", 0)</f>
        <v>10</v>
      </c>
      <c r="X66" s="30" cm="1">
        <f t="array" ref="X66">_xlfn.XLOOKUP(MIN(ABS($BK$3:$BK$23 - MEDIAN(MIN($BK$3:$BK$23), MAX($BK$3:$BK$23), X37))), ABS($BK$3:$BK$23 - MEDIAN(MIN($BK$3:$BK$23), MAX($BK$3:$BK$23), X37)), $BL$3:$BL$23, "Error", 0)</f>
        <v>10</v>
      </c>
      <c r="Y66" s="30" cm="1">
        <f t="array" ref="Y66">_xlfn.XLOOKUP(MIN(ABS($BK$3:$BK$23 - MEDIAN(MIN($BK$3:$BK$23), MAX($BK$3:$BK$23), Y37))), ABS($BK$3:$BK$23 - MEDIAN(MIN($BK$3:$BK$23), MAX($BK$3:$BK$23), Y37)), $BL$3:$BL$23, "Error", 0)</f>
        <v>10</v>
      </c>
      <c r="Z66" s="30" cm="1">
        <f t="array" ref="Z66">_xlfn.XLOOKUP(MIN(ABS($BK$3:$BK$23 - MEDIAN(MIN($BK$3:$BK$23), MAX($BK$3:$BK$23), Z37))), ABS($BK$3:$BK$23 - MEDIAN(MIN($BK$3:$BK$23), MAX($BK$3:$BK$23), Z37)), $BL$3:$BL$23, "Error", 0)</f>
        <v>10</v>
      </c>
      <c r="AA66" s="30" cm="1">
        <f t="array" ref="AA66">_xlfn.XLOOKUP(MIN(ABS($BK$3:$BK$23 - MEDIAN(MIN($BK$3:$BK$23), MAX($BK$3:$BK$23), AA37))), ABS($BK$3:$BK$23 - MEDIAN(MIN($BK$3:$BK$23), MAX($BK$3:$BK$23), AA37)), $BL$3:$BL$23, "Error", 0)</f>
        <v>10</v>
      </c>
      <c r="AB66" s="30" cm="1">
        <f t="array" ref="AB66">_xlfn.XLOOKUP(MIN(ABS($BK$3:$BK$23 - MEDIAN(MIN($BK$3:$BK$23), MAX($BK$3:$BK$23), AB37))), ABS($BK$3:$BK$23 - MEDIAN(MIN($BK$3:$BK$23), MAX($BK$3:$BK$23), AB37)), $BL$3:$BL$23, "Error", 0)</f>
        <v>10</v>
      </c>
      <c r="AC66" s="30" cm="1">
        <f t="array" ref="AC66">_xlfn.XLOOKUP(MIN(ABS($BK$3:$BK$23 - MEDIAN(MIN($BK$3:$BK$23), MAX($BK$3:$BK$23), AC37))), ABS($BK$3:$BK$23 - MEDIAN(MIN($BK$3:$BK$23), MAX($BK$3:$BK$23), AC37)), $BL$3:$BL$23, "Error", 0)</f>
        <v>4</v>
      </c>
      <c r="AD66" s="30" cm="1">
        <f t="array" ref="AD66">_xlfn.XLOOKUP(MIN(ABS($BK$3:$BK$23 - MEDIAN(MIN($BK$3:$BK$23), MAX($BK$3:$BK$23), AD37))), ABS($BK$3:$BK$23 - MEDIAN(MIN($BK$3:$BK$23), MAX($BK$3:$BK$23), AD37)), $BL$3:$BL$23, "Error", 0)</f>
        <v>-10</v>
      </c>
      <c r="AE66" s="30" cm="1">
        <f t="array" ref="AE66">_xlfn.XLOOKUP(MIN(ABS($BK$3:$BK$23 - MEDIAN(MIN($BK$3:$BK$23), MAX($BK$3:$BK$23), AE37))), ABS($BK$3:$BK$23 - MEDIAN(MIN($BK$3:$BK$23), MAX($BK$3:$BK$23), AE37)), $BL$3:$BL$23, "Error", 0)</f>
        <v>-10</v>
      </c>
      <c r="AF66" s="30" cm="1">
        <f t="array" ref="AF66">_xlfn.XLOOKUP(MIN(ABS($BK$3:$BK$23 - MEDIAN(MIN($BK$3:$BK$23), MAX($BK$3:$BK$23), AF37))), ABS($BK$3:$BK$23 - MEDIAN(MIN($BK$3:$BK$23), MAX($BK$3:$BK$23), AF37)), $BL$3:$BL$23, "Error", 0)</f>
        <v>-10</v>
      </c>
      <c r="AG66" s="30" cm="1">
        <f t="array" ref="AG66">_xlfn.XLOOKUP(MIN(ABS($BK$3:$BK$23 - MEDIAN(MIN($BK$3:$BK$23), MAX($BK$3:$BK$23), AG37))), ABS($BK$3:$BK$23 - MEDIAN(MIN($BK$3:$BK$23), MAX($BK$3:$BK$23), AG37)), $BL$3:$BL$23, "Error", 0)</f>
        <v>-10</v>
      </c>
      <c r="AH66" s="30" cm="1">
        <f t="array" ref="AH66">_xlfn.XLOOKUP(MIN(ABS($BK$3:$BK$23 - MEDIAN(MIN($BK$3:$BK$23), MAX($BK$3:$BK$23), AH37))), ABS($BK$3:$BK$23 - MEDIAN(MIN($BK$3:$BK$23), MAX($BK$3:$BK$23), AH37)), $BL$3:$BL$23, "Error", 0)</f>
        <v>-4</v>
      </c>
      <c r="AI66" s="30" cm="1">
        <f t="array" ref="AI66">_xlfn.XLOOKUP(MIN(ABS($BK$3:$BK$23 - MEDIAN(MIN($BK$3:$BK$23), MAX($BK$3:$BK$23), AI37))), ABS($BK$3:$BK$23 - MEDIAN(MIN($BK$3:$BK$23), MAX($BK$3:$BK$23), AI37)), $BL$3:$BL$23, "Error", 0)</f>
        <v>-9</v>
      </c>
      <c r="AJ66" s="30" cm="1">
        <f t="array" ref="AJ66">_xlfn.XLOOKUP(MIN(ABS($BK$3:$BK$23 - MEDIAN(MIN($BK$3:$BK$23), MAX($BK$3:$BK$23), AJ37))), ABS($BK$3:$BK$23 - MEDIAN(MIN($BK$3:$BK$23), MAX($BK$3:$BK$23), AJ37)), $BL$3:$BL$23, "Error", 0)</f>
        <v>-10</v>
      </c>
      <c r="AK66" s="30" cm="1">
        <f t="array" ref="AK66">_xlfn.XLOOKUP(MIN(ABS($BK$3:$BK$23 - MEDIAN(MIN($BK$3:$BK$23), MAX($BK$3:$BK$23), AK37))), ABS($BK$3:$BK$23 - MEDIAN(MIN($BK$3:$BK$23), MAX($BK$3:$BK$23), AK37)), $BL$3:$BL$23, "Error", 0)</f>
        <v>-10</v>
      </c>
      <c r="AL66" s="30" cm="1">
        <f t="array" ref="AL66">_xlfn.XLOOKUP(MIN(ABS($BK$3:$BK$23 - MEDIAN(MIN($BK$3:$BK$23), MAX($BK$3:$BK$23), AL37))), ABS($BK$3:$BK$23 - MEDIAN(MIN($BK$3:$BK$23), MAX($BK$3:$BK$23), AL37)), $BL$3:$BL$23, "Error", 0)</f>
        <v>-10</v>
      </c>
      <c r="AM66" s="30" cm="1">
        <f t="array" ref="AM66">_xlfn.XLOOKUP(MIN(ABS($BK$3:$BK$23 - MEDIAN(MIN($BK$3:$BK$23), MAX($BK$3:$BK$23), AM37))), ABS($BK$3:$BK$23 - MEDIAN(MIN($BK$3:$BK$23), MAX($BK$3:$BK$23), AM37)), $BL$3:$BL$23, "Error", 0)</f>
        <v>-10</v>
      </c>
      <c r="AN66" s="30" cm="1">
        <f t="array" ref="AN66">_xlfn.XLOOKUP(MIN(ABS($BK$3:$BK$23 - MEDIAN(MIN($BK$3:$BK$23), MAX($BK$3:$BK$23), AN37))), ABS($BK$3:$BK$23 - MEDIAN(MIN($BK$3:$BK$23), MAX($BK$3:$BK$23), AN37)), $BL$3:$BL$23, "Error", 0)</f>
        <v>-10</v>
      </c>
      <c r="AO66" s="30" cm="1">
        <f t="array" ref="AO66">_xlfn.XLOOKUP(MIN(ABS($BK$3:$BK$23 - MEDIAN(MIN($BK$3:$BK$23), MAX($BK$3:$BK$23), AO37))), ABS($BK$3:$BK$23 - MEDIAN(MIN($BK$3:$BK$23), MAX($BK$3:$BK$23), AO37)), $BL$3:$BL$23, "Error", 0)</f>
        <v>-7</v>
      </c>
      <c r="AP66" s="30" cm="1">
        <f t="array" ref="AP66">_xlfn.XLOOKUP(MIN(ABS($BK$3:$BK$23 - MEDIAN(MIN($BK$3:$BK$23), MAX($BK$3:$BK$23), AP37))), ABS($BK$3:$BK$23 - MEDIAN(MIN($BK$3:$BK$23), MAX($BK$3:$BK$23), AP37)), $BL$3:$BL$23, "Error", 0)</f>
        <v>10</v>
      </c>
      <c r="AQ66" s="30" cm="1">
        <f t="array" ref="AQ66">_xlfn.XLOOKUP(MIN(ABS($BK$3:$BK$23 - MEDIAN(MIN($BK$3:$BK$23), MAX($BK$3:$BK$23), AQ37))), ABS($BK$3:$BK$23 - MEDIAN(MIN($BK$3:$BK$23), MAX($BK$3:$BK$23), AQ37)), $BL$3:$BL$23, "Error", 0)</f>
        <v>10</v>
      </c>
      <c r="AR66" s="30" cm="1">
        <f t="array" ref="AR66">_xlfn.XLOOKUP(MIN(ABS($BK$3:$BK$23 - MEDIAN(MIN($BK$3:$BK$23), MAX($BK$3:$BK$23), AR37))), ABS($BK$3:$BK$23 - MEDIAN(MIN($BK$3:$BK$23), MAX($BK$3:$BK$23), AR37)), $BL$3:$BL$23, "Error", 0)</f>
        <v>10</v>
      </c>
      <c r="AS66" s="30" cm="1">
        <f t="array" ref="AS66">_xlfn.XLOOKUP(MIN(ABS($BK$3:$BK$23 - MEDIAN(MIN($BK$3:$BK$23), MAX($BK$3:$BK$23), AS37))), ABS($BK$3:$BK$23 - MEDIAN(MIN($BK$3:$BK$23), MAX($BK$3:$BK$23), AS37)), $BL$3:$BL$23, "Error", 0)</f>
        <v>10</v>
      </c>
      <c r="AT66" s="30" cm="1">
        <f t="array" ref="AT66">_xlfn.XLOOKUP(MIN(ABS($BK$3:$BK$23 - MEDIAN(MIN($BK$3:$BK$23), MAX($BK$3:$BK$23), AT37))), ABS($BK$3:$BK$23 - MEDIAN(MIN($BK$3:$BK$23), MAX($BK$3:$BK$23), AT37)), $BL$3:$BL$23, "Error", 0)</f>
        <v>10</v>
      </c>
      <c r="AU66" s="30" cm="1">
        <f t="array" ref="AU66">_xlfn.XLOOKUP(MIN(ABS($BK$3:$BK$23 - MEDIAN(MIN($BK$3:$BK$23), MAX($BK$3:$BK$23), AU37))), ABS($BK$3:$BK$23 - MEDIAN(MIN($BK$3:$BK$23), MAX($BK$3:$BK$23), AU37)), $BL$3:$BL$23, "Error", 0)</f>
        <v>10</v>
      </c>
      <c r="AV66" s="30" cm="1">
        <f t="array" ref="AV66">_xlfn.XLOOKUP(MIN(ABS($BK$3:$BK$23 - MEDIAN(MIN($BK$3:$BK$23), MAX($BK$3:$BK$23), AV37))), ABS($BK$3:$BK$23 - MEDIAN(MIN($BK$3:$BK$23), MAX($BK$3:$BK$23), AV37)), $BL$3:$BL$23, "Error", 0)</f>
        <v>10</v>
      </c>
      <c r="AW66" s="30" cm="1">
        <f t="array" ref="AW66">_xlfn.XLOOKUP(MIN(ABS($BK$3:$BK$23 - MEDIAN(MIN($BK$3:$BK$23), MAX($BK$3:$BK$23), AW37))), ABS($BK$3:$BK$23 - MEDIAN(MIN($BK$3:$BK$23), MAX($BK$3:$BK$23), AW37)), $BL$3:$BL$23, "Error", 0)</f>
        <v>10</v>
      </c>
      <c r="AX66" s="30" cm="1">
        <f t="array" ref="AX66">_xlfn.XLOOKUP(MIN(ABS($BK$3:$BK$23 - MEDIAN(MIN($BK$3:$BK$23), MAX($BK$3:$BK$23), AX37))), ABS($BK$3:$BK$23 - MEDIAN(MIN($BK$3:$BK$23), MAX($BK$3:$BK$23), AX37)), $BL$3:$BL$23, "Error", 0)</f>
        <v>10</v>
      </c>
      <c r="AY66" s="30" cm="1">
        <f t="array" ref="AY66">_xlfn.XLOOKUP(MIN(ABS($BK$3:$BK$23 - MEDIAN(MIN($BK$3:$BK$23), MAX($BK$3:$BK$23), AY37))), ABS($BK$3:$BK$23 - MEDIAN(MIN($BK$3:$BK$23), MAX($BK$3:$BK$23), AY37)), $BL$3:$BL$23, "Error", 0)</f>
        <v>10</v>
      </c>
      <c r="AZ66" s="30" cm="1">
        <f t="array" ref="AZ66">_xlfn.XLOOKUP(MIN(ABS($BK$3:$BK$23 - MEDIAN(MIN($BK$3:$BK$23), MAX($BK$3:$BK$23), AZ37))), ABS($BK$3:$BK$23 - MEDIAN(MIN($BK$3:$BK$23), MAX($BK$3:$BK$23), AZ37)), $BL$3:$BL$23, "Error", 0)</f>
        <v>10</v>
      </c>
      <c r="BA66" s="30" cm="1">
        <f t="array" ref="BA66">_xlfn.XLOOKUP(MIN(ABS($BK$3:$BK$23 - MEDIAN(MIN($BK$3:$BK$23), MAX($BK$3:$BK$23), BA37))), ABS($BK$3:$BK$23 - MEDIAN(MIN($BK$3:$BK$23), MAX($BK$3:$BK$23), BA37)), $BL$3:$BL$23, "Error", 0)</f>
        <v>10</v>
      </c>
      <c r="BB66" s="30" cm="1">
        <f t="array" ref="BB66">_xlfn.XLOOKUP(MIN(ABS($BK$3:$BK$23 - MEDIAN(MIN($BK$3:$BK$23), MAX($BK$3:$BK$23), BB37))), ABS($BK$3:$BK$23 - MEDIAN(MIN($BK$3:$BK$23), MAX($BK$3:$BK$23), BB37)), $BL$3:$BL$23, "Error", 0)</f>
        <v>-10</v>
      </c>
      <c r="BC66" s="30" cm="1">
        <f t="array" ref="BC66">_xlfn.XLOOKUP(MIN(ABS($BK$3:$BK$23 - MEDIAN(MIN($BK$3:$BK$23), MAX($BK$3:$BK$23), BC37))), ABS($BK$3:$BK$23 - MEDIAN(MIN($BK$3:$BK$23), MAX($BK$3:$BK$23), BC37)), $BL$3:$BL$23, "Error", 0)</f>
        <v>-10</v>
      </c>
      <c r="BD66" s="30" cm="1">
        <f t="array" ref="BD66">_xlfn.XLOOKUP(MIN(ABS($BK$3:$BK$23 - MEDIAN(MIN($BK$3:$BK$23), MAX($BK$3:$BK$23), BD37))), ABS($BK$3:$BK$23 - MEDIAN(MIN($BK$3:$BK$23), MAX($BK$3:$BK$23), BD37)), $BL$3:$BL$23, "Error", 0)</f>
        <v>-10</v>
      </c>
      <c r="BE66" s="30" cm="1">
        <f t="array" ref="BE66">_xlfn.XLOOKUP(MIN(ABS($BK$3:$BK$23 - MEDIAN(MIN($BK$3:$BK$23), MAX($BK$3:$BK$23), BE37))), ABS($BK$3:$BK$23 - MEDIAN(MIN($BK$3:$BK$23), MAX($BK$3:$BK$23), BE37)), $BL$3:$BL$23, "Error", 0)</f>
        <v>-10</v>
      </c>
      <c r="BF66" s="30" cm="1">
        <f t="array" ref="BF66">_xlfn.XLOOKUP(MIN(ABS($BK$3:$BK$23 - MEDIAN(MIN($BK$3:$BK$23), MAX($BK$3:$BK$23), BF37))), ABS($BK$3:$BK$23 - MEDIAN(MIN($BK$3:$BK$23), MAX($BK$3:$BK$23), BF37)), $BL$3:$BL$23, "Error", 0)</f>
        <v>-10</v>
      </c>
      <c r="BG66" s="30" cm="1">
        <f t="array" ref="BG66">_xlfn.XLOOKUP(MIN(ABS($BK$3:$BK$23 - MEDIAN(MIN($BK$3:$BK$23), MAX($BK$3:$BK$23), BG37))), ABS($BK$3:$BK$23 - MEDIAN(MIN($BK$3:$BK$23), MAX($BK$3:$BK$23), BG37)), $BL$3:$BL$23, "Error", 0)</f>
        <v>-10</v>
      </c>
      <c r="BH66" s="30" cm="1">
        <f t="array" ref="BH66">_xlfn.XLOOKUP(MIN(ABS($BK$3:$BK$23 - MEDIAN(MIN($BK$3:$BK$23), MAX($BK$3:$BK$23), BH37))), ABS($BK$3:$BK$23 - MEDIAN(MIN($BK$3:$BK$23), MAX($BK$3:$BK$23), BH37)), $BL$3:$BL$23, "Error", 0)</f>
        <v>-10</v>
      </c>
      <c r="BI66" s="30" cm="1">
        <f t="array" ref="BI66">_xlfn.XLOOKUP(MIN(ABS($BK$3:$BK$23 - MEDIAN(MIN($BK$3:$BK$23), MAX($BK$3:$BK$23), BI37))), ABS($BK$3:$BK$23 - MEDIAN(MIN($BK$3:$BK$23), MAX($BK$3:$BK$23), BI37)), $BL$3:$BL$23, "Error", 0)</f>
        <v>-10</v>
      </c>
    </row>
    <row r="67" spans="1:61" ht="25" customHeight="1">
      <c r="A67" s="45" t="s">
        <v>46</v>
      </c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30" cm="1">
        <f t="array" ref="N67">_xlfn.XLOOKUP(MIN(ABS($BK$3:$BK$23 - MEDIAN(MIN($BK$3:$BK$23), MAX($BK$3:$BK$23), N38))), ABS($BK$3:$BK$23 - MEDIAN(MIN($BK$3:$BK$23), MAX($BK$3:$BK$23), N38)), $BL$3:$BL$23, "Error", 0)</f>
        <v>-10</v>
      </c>
      <c r="O67" s="30" cm="1">
        <f t="array" ref="O67">_xlfn.XLOOKUP(MIN(ABS($BK$3:$BK$23 - MEDIAN(MIN($BK$3:$BK$23), MAX($BK$3:$BK$23), O38))), ABS($BK$3:$BK$23 - MEDIAN(MIN($BK$3:$BK$23), MAX($BK$3:$BK$23), O38)), $BL$3:$BL$23, "Error", 0)</f>
        <v>-10</v>
      </c>
      <c r="P67" s="30" cm="1">
        <f t="array" ref="P67">_xlfn.XLOOKUP(MIN(ABS($BK$3:$BK$23 - MEDIAN(MIN($BK$3:$BK$23), MAX($BK$3:$BK$23), P38))), ABS($BK$3:$BK$23 - MEDIAN(MIN($BK$3:$BK$23), MAX($BK$3:$BK$23), P38)), $BL$3:$BL$23, "Error", 0)</f>
        <v>-10</v>
      </c>
      <c r="Q67" s="30" cm="1">
        <f t="array" ref="Q67">_xlfn.XLOOKUP(MIN(ABS($BK$3:$BK$23 - MEDIAN(MIN($BK$3:$BK$23), MAX($BK$3:$BK$23), Q38))), ABS($BK$3:$BK$23 - MEDIAN(MIN($BK$3:$BK$23), MAX($BK$3:$BK$23), Q38)), $BL$3:$BL$23, "Error", 0)</f>
        <v>-10</v>
      </c>
      <c r="R67" s="30" cm="1">
        <f t="array" ref="R67">_xlfn.XLOOKUP(MIN(ABS($BK$3:$BK$23 - MEDIAN(MIN($BK$3:$BK$23), MAX($BK$3:$BK$23), R38))), ABS($BK$3:$BK$23 - MEDIAN(MIN($BK$3:$BK$23), MAX($BK$3:$BK$23), R38)), $BL$3:$BL$23, "Error", 0)</f>
        <v>-10</v>
      </c>
      <c r="S67" s="30" cm="1">
        <f t="array" ref="S67">_xlfn.XLOOKUP(MIN(ABS($BK$3:$BK$23 - MEDIAN(MIN($BK$3:$BK$23), MAX($BK$3:$BK$23), S38))), ABS($BK$3:$BK$23 - MEDIAN(MIN($BK$3:$BK$23), MAX($BK$3:$BK$23), S38)), $BL$3:$BL$23, "Error", 0)</f>
        <v>-10</v>
      </c>
      <c r="T67" s="30" cm="1">
        <f t="array" ref="T67">_xlfn.XLOOKUP(MIN(ABS($BK$3:$BK$23 - MEDIAN(MIN($BK$3:$BK$23), MAX($BK$3:$BK$23), T38))), ABS($BK$3:$BK$23 - MEDIAN(MIN($BK$3:$BK$23), MAX($BK$3:$BK$23), T38)), $BL$3:$BL$23, "Error", 0)</f>
        <v>-10</v>
      </c>
      <c r="U67" s="30" cm="1">
        <f t="array" ref="U67">_xlfn.XLOOKUP(MIN(ABS($BK$3:$BK$23 - MEDIAN(MIN($BK$3:$BK$23), MAX($BK$3:$BK$23), U38))), ABS($BK$3:$BK$23 - MEDIAN(MIN($BK$3:$BK$23), MAX($BK$3:$BK$23), U38)), $BL$3:$BL$23, "Error", 0)</f>
        <v>-10</v>
      </c>
      <c r="V67" s="30" cm="1">
        <f t="array" ref="V67">_xlfn.XLOOKUP(MIN(ABS($BK$3:$BK$23 - MEDIAN(MIN($BK$3:$BK$23), MAX($BK$3:$BK$23), V38))), ABS($BK$3:$BK$23 - MEDIAN(MIN($BK$3:$BK$23), MAX($BK$3:$BK$23), V38)), $BL$3:$BL$23, "Error", 0)</f>
        <v>-10</v>
      </c>
      <c r="W67" s="30" cm="1">
        <f t="array" ref="W67">_xlfn.XLOOKUP(MIN(ABS($BK$3:$BK$23 - MEDIAN(MIN($BK$3:$BK$23), MAX($BK$3:$BK$23), W38))), ABS($BK$3:$BK$23 - MEDIAN(MIN($BK$3:$BK$23), MAX($BK$3:$BK$23), W38)), $BL$3:$BL$23, "Error", 0)</f>
        <v>-10</v>
      </c>
      <c r="X67" s="30" cm="1">
        <f t="array" ref="X67">_xlfn.XLOOKUP(MIN(ABS($BK$3:$BK$23 - MEDIAN(MIN($BK$3:$BK$23), MAX($BK$3:$BK$23), X38))), ABS($BK$3:$BK$23 - MEDIAN(MIN($BK$3:$BK$23), MAX($BK$3:$BK$23), X38)), $BL$3:$BL$23, "Error", 0)</f>
        <v>-10</v>
      </c>
      <c r="Y67" s="30" cm="1">
        <f t="array" ref="Y67">_xlfn.XLOOKUP(MIN(ABS($BK$3:$BK$23 - MEDIAN(MIN($BK$3:$BK$23), MAX($BK$3:$BK$23), Y38))), ABS($BK$3:$BK$23 - MEDIAN(MIN($BK$3:$BK$23), MAX($BK$3:$BK$23), Y38)), $BL$3:$BL$23, "Error", 0)</f>
        <v>-10</v>
      </c>
      <c r="Z67" s="30" cm="1">
        <f t="array" ref="Z67">_xlfn.XLOOKUP(MIN(ABS($BK$3:$BK$23 - MEDIAN(MIN($BK$3:$BK$23), MAX($BK$3:$BK$23), Z38))), ABS($BK$3:$BK$23 - MEDIAN(MIN($BK$3:$BK$23), MAX($BK$3:$BK$23), Z38)), $BL$3:$BL$23, "Error", 0)</f>
        <v>-10</v>
      </c>
      <c r="AA67" s="30" cm="1">
        <f t="array" ref="AA67">_xlfn.XLOOKUP(MIN(ABS($BK$3:$BK$23 - MEDIAN(MIN($BK$3:$BK$23), MAX($BK$3:$BK$23), AA38))), ABS($BK$3:$BK$23 - MEDIAN(MIN($BK$3:$BK$23), MAX($BK$3:$BK$23), AA38)), $BL$3:$BL$23, "Error", 0)</f>
        <v>-10</v>
      </c>
      <c r="AB67" s="30" cm="1">
        <f t="array" ref="AB67">_xlfn.XLOOKUP(MIN(ABS($BK$3:$BK$23 - MEDIAN(MIN($BK$3:$BK$23), MAX($BK$3:$BK$23), AB38))), ABS($BK$3:$BK$23 - MEDIAN(MIN($BK$3:$BK$23), MAX($BK$3:$BK$23), AB38)), $BL$3:$BL$23, "Error", 0)</f>
        <v>-8</v>
      </c>
      <c r="AC67" s="30" cm="1">
        <f t="array" ref="AC67">_xlfn.XLOOKUP(MIN(ABS($BK$3:$BK$23 - MEDIAN(MIN($BK$3:$BK$23), MAX($BK$3:$BK$23), AC38))), ABS($BK$3:$BK$23 - MEDIAN(MIN($BK$3:$BK$23), MAX($BK$3:$BK$23), AC38)), $BL$3:$BL$23, "Error", 0)</f>
        <v>-10</v>
      </c>
      <c r="AD67" s="30" cm="1">
        <f t="array" ref="AD67">_xlfn.XLOOKUP(MIN(ABS($BK$3:$BK$23 - MEDIAN(MIN($BK$3:$BK$23), MAX($BK$3:$BK$23), AD38))), ABS($BK$3:$BK$23 - MEDIAN(MIN($BK$3:$BK$23), MAX($BK$3:$BK$23), AD38)), $BL$3:$BL$23, "Error", 0)</f>
        <v>-4</v>
      </c>
      <c r="AE67" s="30" cm="1">
        <f t="array" ref="AE67">_xlfn.XLOOKUP(MIN(ABS($BK$3:$BK$23 - MEDIAN(MIN($BK$3:$BK$23), MAX($BK$3:$BK$23), AE38))), ABS($BK$3:$BK$23 - MEDIAN(MIN($BK$3:$BK$23), MAX($BK$3:$BK$23), AE38)), $BL$3:$BL$23, "Error", 0)</f>
        <v>-6</v>
      </c>
      <c r="AF67" s="30" cm="1">
        <f t="array" ref="AF67">_xlfn.XLOOKUP(MIN(ABS($BK$3:$BK$23 - MEDIAN(MIN($BK$3:$BK$23), MAX($BK$3:$BK$23), AF38))), ABS($BK$3:$BK$23 - MEDIAN(MIN($BK$3:$BK$23), MAX($BK$3:$BK$23), AF38)), $BL$3:$BL$23, "Error", 0)</f>
        <v>0</v>
      </c>
      <c r="AG67" s="30" cm="1">
        <f t="array" ref="AG67">_xlfn.XLOOKUP(MIN(ABS($BK$3:$BK$23 - MEDIAN(MIN($BK$3:$BK$23), MAX($BK$3:$BK$23), AG38))), ABS($BK$3:$BK$23 - MEDIAN(MIN($BK$3:$BK$23), MAX($BK$3:$BK$23), AG38)), $BL$3:$BL$23, "Error", 0)</f>
        <v>10</v>
      </c>
      <c r="AH67" s="30" cm="1">
        <f t="array" ref="AH67">_xlfn.XLOOKUP(MIN(ABS($BK$3:$BK$23 - MEDIAN(MIN($BK$3:$BK$23), MAX($BK$3:$BK$23), AH38))), ABS($BK$3:$BK$23 - MEDIAN(MIN($BK$3:$BK$23), MAX($BK$3:$BK$23), AH38)), $BL$3:$BL$23, "Error", 0)</f>
        <v>10</v>
      </c>
      <c r="AI67" s="30" cm="1">
        <f t="array" ref="AI67">_xlfn.XLOOKUP(MIN(ABS($BK$3:$BK$23 - MEDIAN(MIN($BK$3:$BK$23), MAX($BK$3:$BK$23), AI38))), ABS($BK$3:$BK$23 - MEDIAN(MIN($BK$3:$BK$23), MAX($BK$3:$BK$23), AI38)), $BL$3:$BL$23, "Error", 0)</f>
        <v>10</v>
      </c>
      <c r="AJ67" s="30" cm="1">
        <f t="array" ref="AJ67">_xlfn.XLOOKUP(MIN(ABS($BK$3:$BK$23 - MEDIAN(MIN($BK$3:$BK$23), MAX($BK$3:$BK$23), AJ38))), ABS($BK$3:$BK$23 - MEDIAN(MIN($BK$3:$BK$23), MAX($BK$3:$BK$23), AJ38)), $BL$3:$BL$23, "Error", 0)</f>
        <v>10</v>
      </c>
      <c r="AK67" s="30" cm="1">
        <f t="array" ref="AK67">_xlfn.XLOOKUP(MIN(ABS($BK$3:$BK$23 - MEDIAN(MIN($BK$3:$BK$23), MAX($BK$3:$BK$23), AK38))), ABS($BK$3:$BK$23 - MEDIAN(MIN($BK$3:$BK$23), MAX($BK$3:$BK$23), AK38)), $BL$3:$BL$23, "Error", 0)</f>
        <v>10</v>
      </c>
      <c r="AL67" s="30" cm="1">
        <f t="array" ref="AL67">_xlfn.XLOOKUP(MIN(ABS($BK$3:$BK$23 - MEDIAN(MIN($BK$3:$BK$23), MAX($BK$3:$BK$23), AL38))), ABS($BK$3:$BK$23 - MEDIAN(MIN($BK$3:$BK$23), MAX($BK$3:$BK$23), AL38)), $BL$3:$BL$23, "Error", 0)</f>
        <v>10</v>
      </c>
      <c r="AM67" s="30" cm="1">
        <f t="array" ref="AM67">_xlfn.XLOOKUP(MIN(ABS($BK$3:$BK$23 - MEDIAN(MIN($BK$3:$BK$23), MAX($BK$3:$BK$23), AM38))), ABS($BK$3:$BK$23 - MEDIAN(MIN($BK$3:$BK$23), MAX($BK$3:$BK$23), AM38)), $BL$3:$BL$23, "Error", 0)</f>
        <v>10</v>
      </c>
      <c r="AN67" s="30" cm="1">
        <f t="array" ref="AN67">_xlfn.XLOOKUP(MIN(ABS($BK$3:$BK$23 - MEDIAN(MIN($BK$3:$BK$23), MAX($BK$3:$BK$23), AN38))), ABS($BK$3:$BK$23 - MEDIAN(MIN($BK$3:$BK$23), MAX($BK$3:$BK$23), AN38)), $BL$3:$BL$23, "Error", 0)</f>
        <v>10</v>
      </c>
      <c r="AO67" s="30" cm="1">
        <f t="array" ref="AO67">_xlfn.XLOOKUP(MIN(ABS($BK$3:$BK$23 - MEDIAN(MIN($BK$3:$BK$23), MAX($BK$3:$BK$23), AO38))), ABS($BK$3:$BK$23 - MEDIAN(MIN($BK$3:$BK$23), MAX($BK$3:$BK$23), AO38)), $BL$3:$BL$23, "Error", 0)</f>
        <v>10</v>
      </c>
      <c r="AP67" s="30" cm="1">
        <f t="array" ref="AP67">_xlfn.XLOOKUP(MIN(ABS($BK$3:$BK$23 - MEDIAN(MIN($BK$3:$BK$23), MAX($BK$3:$BK$23), AP38))), ABS($BK$3:$BK$23 - MEDIAN(MIN($BK$3:$BK$23), MAX($BK$3:$BK$23), AP38)), $BL$3:$BL$23, "Error", 0)</f>
        <v>10</v>
      </c>
      <c r="AQ67" s="30" cm="1">
        <f t="array" ref="AQ67">_xlfn.XLOOKUP(MIN(ABS($BK$3:$BK$23 - MEDIAN(MIN($BK$3:$BK$23), MAX($BK$3:$BK$23), AQ38))), ABS($BK$3:$BK$23 - MEDIAN(MIN($BK$3:$BK$23), MAX($BK$3:$BK$23), AQ38)), $BL$3:$BL$23, "Error", 0)</f>
        <v>10</v>
      </c>
      <c r="AR67" s="30" cm="1">
        <f t="array" ref="AR67">_xlfn.XLOOKUP(MIN(ABS($BK$3:$BK$23 - MEDIAN(MIN($BK$3:$BK$23), MAX($BK$3:$BK$23), AR38))), ABS($BK$3:$BK$23 - MEDIAN(MIN($BK$3:$BK$23), MAX($BK$3:$BK$23), AR38)), $BL$3:$BL$23, "Error", 0)</f>
        <v>10</v>
      </c>
      <c r="AS67" s="30" cm="1">
        <f t="array" ref="AS67">_xlfn.XLOOKUP(MIN(ABS($BK$3:$BK$23 - MEDIAN(MIN($BK$3:$BK$23), MAX($BK$3:$BK$23), AS38))), ABS($BK$3:$BK$23 - MEDIAN(MIN($BK$3:$BK$23), MAX($BK$3:$BK$23), AS38)), $BL$3:$BL$23, "Error", 0)</f>
        <v>10</v>
      </c>
      <c r="AT67" s="30" cm="1">
        <f t="array" ref="AT67">_xlfn.XLOOKUP(MIN(ABS($BK$3:$BK$23 - MEDIAN(MIN($BK$3:$BK$23), MAX($BK$3:$BK$23), AT38))), ABS($BK$3:$BK$23 - MEDIAN(MIN($BK$3:$BK$23), MAX($BK$3:$BK$23), AT38)), $BL$3:$BL$23, "Error", 0)</f>
        <v>10</v>
      </c>
      <c r="AU67" s="30" cm="1">
        <f t="array" ref="AU67">_xlfn.XLOOKUP(MIN(ABS($BK$3:$BK$23 - MEDIAN(MIN($BK$3:$BK$23), MAX($BK$3:$BK$23), AU38))), ABS($BK$3:$BK$23 - MEDIAN(MIN($BK$3:$BK$23), MAX($BK$3:$BK$23), AU38)), $BL$3:$BL$23, "Error", 0)</f>
        <v>10</v>
      </c>
      <c r="AV67" s="30" cm="1">
        <f t="array" ref="AV67">_xlfn.XLOOKUP(MIN(ABS($BK$3:$BK$23 - MEDIAN(MIN($BK$3:$BK$23), MAX($BK$3:$BK$23), AV38))), ABS($BK$3:$BK$23 - MEDIAN(MIN($BK$3:$BK$23), MAX($BK$3:$BK$23), AV38)), $BL$3:$BL$23, "Error", 0)</f>
        <v>10</v>
      </c>
      <c r="AW67" s="30" cm="1">
        <f t="array" ref="AW67">_xlfn.XLOOKUP(MIN(ABS($BK$3:$BK$23 - MEDIAN(MIN($BK$3:$BK$23), MAX($BK$3:$BK$23), AW38))), ABS($BK$3:$BK$23 - MEDIAN(MIN($BK$3:$BK$23), MAX($BK$3:$BK$23), AW38)), $BL$3:$BL$23, "Error", 0)</f>
        <v>10</v>
      </c>
      <c r="AX67" s="30" cm="1">
        <f t="array" ref="AX67">_xlfn.XLOOKUP(MIN(ABS($BK$3:$BK$23 - MEDIAN(MIN($BK$3:$BK$23), MAX($BK$3:$BK$23), AX38))), ABS($BK$3:$BK$23 - MEDIAN(MIN($BK$3:$BK$23), MAX($BK$3:$BK$23), AX38)), $BL$3:$BL$23, "Error", 0)</f>
        <v>10</v>
      </c>
      <c r="AY67" s="30" cm="1">
        <f t="array" ref="AY67">_xlfn.XLOOKUP(MIN(ABS($BK$3:$BK$23 - MEDIAN(MIN($BK$3:$BK$23), MAX($BK$3:$BK$23), AY38))), ABS($BK$3:$BK$23 - MEDIAN(MIN($BK$3:$BK$23), MAX($BK$3:$BK$23), AY38)), $BL$3:$BL$23, "Error", 0)</f>
        <v>10</v>
      </c>
      <c r="AZ67" s="30" cm="1">
        <f t="array" ref="AZ67">_xlfn.XLOOKUP(MIN(ABS($BK$3:$BK$23 - MEDIAN(MIN($BK$3:$BK$23), MAX($BK$3:$BK$23), AZ38))), ABS($BK$3:$BK$23 - MEDIAN(MIN($BK$3:$BK$23), MAX($BK$3:$BK$23), AZ38)), $BL$3:$BL$23, "Error", 0)</f>
        <v>10</v>
      </c>
      <c r="BA67" s="30" cm="1">
        <f t="array" ref="BA67">_xlfn.XLOOKUP(MIN(ABS($BK$3:$BK$23 - MEDIAN(MIN($BK$3:$BK$23), MAX($BK$3:$BK$23), BA38))), ABS($BK$3:$BK$23 - MEDIAN(MIN($BK$3:$BK$23), MAX($BK$3:$BK$23), BA38)), $BL$3:$BL$23, "Error", 0)</f>
        <v>10</v>
      </c>
      <c r="BB67" s="30" cm="1">
        <f t="array" ref="BB67">_xlfn.XLOOKUP(MIN(ABS($BK$3:$BK$23 - MEDIAN(MIN($BK$3:$BK$23), MAX($BK$3:$BK$23), BB38))), ABS($BK$3:$BK$23 - MEDIAN(MIN($BK$3:$BK$23), MAX($BK$3:$BK$23), BB38)), $BL$3:$BL$23, "Error", 0)</f>
        <v>10</v>
      </c>
      <c r="BC67" s="30" cm="1">
        <f t="array" ref="BC67">_xlfn.XLOOKUP(MIN(ABS($BK$3:$BK$23 - MEDIAN(MIN($BK$3:$BK$23), MAX($BK$3:$BK$23), BC38))), ABS($BK$3:$BK$23 - MEDIAN(MIN($BK$3:$BK$23), MAX($BK$3:$BK$23), BC38)), $BL$3:$BL$23, "Error", 0)</f>
        <v>10</v>
      </c>
      <c r="BD67" s="30" cm="1">
        <f t="array" ref="BD67">_xlfn.XLOOKUP(MIN(ABS($BK$3:$BK$23 - MEDIAN(MIN($BK$3:$BK$23), MAX($BK$3:$BK$23), BD38))), ABS($BK$3:$BK$23 - MEDIAN(MIN($BK$3:$BK$23), MAX($BK$3:$BK$23), BD38)), $BL$3:$BL$23, "Error", 0)</f>
        <v>10</v>
      </c>
      <c r="BE67" s="30" cm="1">
        <f t="array" ref="BE67">_xlfn.XLOOKUP(MIN(ABS($BK$3:$BK$23 - MEDIAN(MIN($BK$3:$BK$23), MAX($BK$3:$BK$23), BE38))), ABS($BK$3:$BK$23 - MEDIAN(MIN($BK$3:$BK$23), MAX($BK$3:$BK$23), BE38)), $BL$3:$BL$23, "Error", 0)</f>
        <v>10</v>
      </c>
      <c r="BF67" s="30" cm="1">
        <f t="array" ref="BF67">_xlfn.XLOOKUP(MIN(ABS($BK$3:$BK$23 - MEDIAN(MIN($BK$3:$BK$23), MAX($BK$3:$BK$23), BF38))), ABS($BK$3:$BK$23 - MEDIAN(MIN($BK$3:$BK$23), MAX($BK$3:$BK$23), BF38)), $BL$3:$BL$23, "Error", 0)</f>
        <v>10</v>
      </c>
      <c r="BG67" s="30" cm="1">
        <f t="array" ref="BG67">_xlfn.XLOOKUP(MIN(ABS($BK$3:$BK$23 - MEDIAN(MIN($BK$3:$BK$23), MAX($BK$3:$BK$23), BG38))), ABS($BK$3:$BK$23 - MEDIAN(MIN($BK$3:$BK$23), MAX($BK$3:$BK$23), BG38)), $BL$3:$BL$23, "Error", 0)</f>
        <v>10</v>
      </c>
      <c r="BH67" s="30" cm="1">
        <f t="array" ref="BH67">_xlfn.XLOOKUP(MIN(ABS($BK$3:$BK$23 - MEDIAN(MIN($BK$3:$BK$23), MAX($BK$3:$BK$23), BH38))), ABS($BK$3:$BK$23 - MEDIAN(MIN($BK$3:$BK$23), MAX($BK$3:$BK$23), BH38)), $BL$3:$BL$23, "Error", 0)</f>
        <v>10</v>
      </c>
      <c r="BI67" s="30" cm="1">
        <f t="array" ref="BI67">_xlfn.XLOOKUP(MIN(ABS($BK$3:$BK$23 - MEDIAN(MIN($BK$3:$BK$23), MAX($BK$3:$BK$23), BI38))), ABS($BK$3:$BK$23 - MEDIAN(MIN($BK$3:$BK$23), MAX($BK$3:$BK$23), BI38)), $BL$3:$BL$23, "Error", 0)</f>
        <v>10</v>
      </c>
    </row>
    <row r="68" spans="1:61" ht="25" customHeight="1">
      <c r="A68" s="45" t="s">
        <v>17</v>
      </c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30" cm="1">
        <f t="array" ref="N68">_xlfn.XLOOKUP(MIN(ABS($BK$3:$BK$23 - MEDIAN(MIN($BK$3:$BK$23), MAX($BK$3:$BK$23), N39))), ABS($BK$3:$BK$23 - MEDIAN(MIN($BK$3:$BK$23), MAX($BK$3:$BK$23), N39)), $BL$3:$BL$23, "Error", 0)</f>
        <v>4</v>
      </c>
      <c r="O68" s="30" cm="1">
        <f t="array" ref="O68">_xlfn.XLOOKUP(MIN(ABS($BK$3:$BK$23 - MEDIAN(MIN($BK$3:$BK$23), MAX($BK$3:$BK$23), O39))), ABS($BK$3:$BK$23 - MEDIAN(MIN($BK$3:$BK$23), MAX($BK$3:$BK$23), O39)), $BL$3:$BL$23, "Error", 0)</f>
        <v>4</v>
      </c>
      <c r="P68" s="30" cm="1">
        <f t="array" ref="P68">_xlfn.XLOOKUP(MIN(ABS($BK$3:$BK$23 - MEDIAN(MIN($BK$3:$BK$23), MAX($BK$3:$BK$23), P39))), ABS($BK$3:$BK$23 - MEDIAN(MIN($BK$3:$BK$23), MAX($BK$3:$BK$23), P39)), $BL$3:$BL$23, "Error", 0)</f>
        <v>3</v>
      </c>
      <c r="Q68" s="30" cm="1">
        <f t="array" ref="Q68">_xlfn.XLOOKUP(MIN(ABS($BK$3:$BK$23 - MEDIAN(MIN($BK$3:$BK$23), MAX($BK$3:$BK$23), Q39))), ABS($BK$3:$BK$23 - MEDIAN(MIN($BK$3:$BK$23), MAX($BK$3:$BK$23), Q39)), $BL$3:$BL$23, "Error", 0)</f>
        <v>3</v>
      </c>
      <c r="R68" s="30" cm="1">
        <f t="array" ref="R68">_xlfn.XLOOKUP(MIN(ABS($BK$3:$BK$23 - MEDIAN(MIN($BK$3:$BK$23), MAX($BK$3:$BK$23), R39))), ABS($BK$3:$BK$23 - MEDIAN(MIN($BK$3:$BK$23), MAX($BK$3:$BK$23), R39)), $BL$3:$BL$23, "Error", 0)</f>
        <v>3</v>
      </c>
      <c r="S68" s="30" cm="1">
        <f t="array" ref="S68">_xlfn.XLOOKUP(MIN(ABS($BK$3:$BK$23 - MEDIAN(MIN($BK$3:$BK$23), MAX($BK$3:$BK$23), S39))), ABS($BK$3:$BK$23 - MEDIAN(MIN($BK$3:$BK$23), MAX($BK$3:$BK$23), S39)), $BL$3:$BL$23, "Error", 0)</f>
        <v>3</v>
      </c>
      <c r="T68" s="30" cm="1">
        <f t="array" ref="T68">_xlfn.XLOOKUP(MIN(ABS($BK$3:$BK$23 - MEDIAN(MIN($BK$3:$BK$23), MAX($BK$3:$BK$23), T39))), ABS($BK$3:$BK$23 - MEDIAN(MIN($BK$3:$BK$23), MAX($BK$3:$BK$23), T39)), $BL$3:$BL$23, "Error", 0)</f>
        <v>2</v>
      </c>
      <c r="U68" s="30" cm="1">
        <f t="array" ref="U68">_xlfn.XLOOKUP(MIN(ABS($BK$3:$BK$23 - MEDIAN(MIN($BK$3:$BK$23), MAX($BK$3:$BK$23), U39))), ABS($BK$3:$BK$23 - MEDIAN(MIN($BK$3:$BK$23), MAX($BK$3:$BK$23), U39)), $BL$3:$BL$23, "Error", 0)</f>
        <v>2</v>
      </c>
      <c r="V68" s="30" cm="1">
        <f t="array" ref="V68">_xlfn.XLOOKUP(MIN(ABS($BK$3:$BK$23 - MEDIAN(MIN($BK$3:$BK$23), MAX($BK$3:$BK$23), V39))), ABS($BK$3:$BK$23 - MEDIAN(MIN($BK$3:$BK$23), MAX($BK$3:$BK$23), V39)), $BL$3:$BL$23, "Error", 0)</f>
        <v>3</v>
      </c>
      <c r="W68" s="30" cm="1">
        <f t="array" ref="W68">_xlfn.XLOOKUP(MIN(ABS($BK$3:$BK$23 - MEDIAN(MIN($BK$3:$BK$23), MAX($BK$3:$BK$23), W39))), ABS($BK$3:$BK$23 - MEDIAN(MIN($BK$3:$BK$23), MAX($BK$3:$BK$23), W39)), $BL$3:$BL$23, "Error", 0)</f>
        <v>3</v>
      </c>
      <c r="X68" s="30" cm="1">
        <f t="array" ref="X68">_xlfn.XLOOKUP(MIN(ABS($BK$3:$BK$23 - MEDIAN(MIN($BK$3:$BK$23), MAX($BK$3:$BK$23), X39))), ABS($BK$3:$BK$23 - MEDIAN(MIN($BK$3:$BK$23), MAX($BK$3:$BK$23), X39)), $BL$3:$BL$23, "Error", 0)</f>
        <v>3</v>
      </c>
      <c r="Y68" s="30" cm="1">
        <f t="array" ref="Y68">_xlfn.XLOOKUP(MIN(ABS($BK$3:$BK$23 - MEDIAN(MIN($BK$3:$BK$23), MAX($BK$3:$BK$23), Y39))), ABS($BK$3:$BK$23 - MEDIAN(MIN($BK$3:$BK$23), MAX($BK$3:$BK$23), Y39)), $BL$3:$BL$23, "Error", 0)</f>
        <v>4</v>
      </c>
      <c r="Z68" s="30" cm="1">
        <f t="array" ref="Z68">_xlfn.XLOOKUP(MIN(ABS($BK$3:$BK$23 - MEDIAN(MIN($BK$3:$BK$23), MAX($BK$3:$BK$23), Z39))), ABS($BK$3:$BK$23 - MEDIAN(MIN($BK$3:$BK$23), MAX($BK$3:$BK$23), Z39)), $BL$3:$BL$23, "Error", 0)</f>
        <v>3</v>
      </c>
      <c r="AA68" s="30" cm="1">
        <f t="array" ref="AA68">_xlfn.XLOOKUP(MIN(ABS($BK$3:$BK$23 - MEDIAN(MIN($BK$3:$BK$23), MAX($BK$3:$BK$23), AA39))), ABS($BK$3:$BK$23 - MEDIAN(MIN($BK$3:$BK$23), MAX($BK$3:$BK$23), AA39)), $BL$3:$BL$23, "Error", 0)</f>
        <v>3</v>
      </c>
      <c r="AB68" s="30" cm="1">
        <f t="array" ref="AB68">_xlfn.XLOOKUP(MIN(ABS($BK$3:$BK$23 - MEDIAN(MIN($BK$3:$BK$23), MAX($BK$3:$BK$23), AB39))), ABS($BK$3:$BK$23 - MEDIAN(MIN($BK$3:$BK$23), MAX($BK$3:$BK$23), AB39)), $BL$3:$BL$23, "Error", 0)</f>
        <v>4</v>
      </c>
      <c r="AC68" s="30" cm="1">
        <f t="array" ref="AC68">_xlfn.XLOOKUP(MIN(ABS($BK$3:$BK$23 - MEDIAN(MIN($BK$3:$BK$23), MAX($BK$3:$BK$23), AC39))), ABS($BK$3:$BK$23 - MEDIAN(MIN($BK$3:$BK$23), MAX($BK$3:$BK$23), AC39)), $BL$3:$BL$23, "Error", 0)</f>
        <v>4</v>
      </c>
      <c r="AD68" s="30" cm="1">
        <f t="array" ref="AD68">_xlfn.XLOOKUP(MIN(ABS($BK$3:$BK$23 - MEDIAN(MIN($BK$3:$BK$23), MAX($BK$3:$BK$23), AD39))), ABS($BK$3:$BK$23 - MEDIAN(MIN($BK$3:$BK$23), MAX($BK$3:$BK$23), AD39)), $BL$3:$BL$23, "Error", 0)</f>
        <v>4</v>
      </c>
      <c r="AE68" s="30" cm="1">
        <f t="array" ref="AE68">_xlfn.XLOOKUP(MIN(ABS($BK$3:$BK$23 - MEDIAN(MIN($BK$3:$BK$23), MAX($BK$3:$BK$23), AE39))), ABS($BK$3:$BK$23 - MEDIAN(MIN($BK$3:$BK$23), MAX($BK$3:$BK$23), AE39)), $BL$3:$BL$23, "Error", 0)</f>
        <v>4</v>
      </c>
      <c r="AF68" s="30" cm="1">
        <f t="array" ref="AF68">_xlfn.XLOOKUP(MIN(ABS($BK$3:$BK$23 - MEDIAN(MIN($BK$3:$BK$23), MAX($BK$3:$BK$23), AF39))), ABS($BK$3:$BK$23 - MEDIAN(MIN($BK$3:$BK$23), MAX($BK$3:$BK$23), AF39)), $BL$3:$BL$23, "Error", 0)</f>
        <v>4</v>
      </c>
      <c r="AG68" s="30" cm="1">
        <f t="array" ref="AG68">_xlfn.XLOOKUP(MIN(ABS($BK$3:$BK$23 - MEDIAN(MIN($BK$3:$BK$23), MAX($BK$3:$BK$23), AG39))), ABS($BK$3:$BK$23 - MEDIAN(MIN($BK$3:$BK$23), MAX($BK$3:$BK$23), AG39)), $BL$3:$BL$23, "Error", 0)</f>
        <v>4</v>
      </c>
      <c r="AH68" s="30" cm="1">
        <f t="array" ref="AH68">_xlfn.XLOOKUP(MIN(ABS($BK$3:$BK$23 - MEDIAN(MIN($BK$3:$BK$23), MAX($BK$3:$BK$23), AH39))), ABS($BK$3:$BK$23 - MEDIAN(MIN($BK$3:$BK$23), MAX($BK$3:$BK$23), AH39)), $BL$3:$BL$23, "Error", 0)</f>
        <v>5</v>
      </c>
      <c r="AI68" s="30" cm="1">
        <f t="array" ref="AI68">_xlfn.XLOOKUP(MIN(ABS($BK$3:$BK$23 - MEDIAN(MIN($BK$3:$BK$23), MAX($BK$3:$BK$23), AI39))), ABS($BK$3:$BK$23 - MEDIAN(MIN($BK$3:$BK$23), MAX($BK$3:$BK$23), AI39)), $BL$3:$BL$23, "Error", 0)</f>
        <v>4</v>
      </c>
      <c r="AJ68" s="30" cm="1">
        <f t="array" ref="AJ68">_xlfn.XLOOKUP(MIN(ABS($BK$3:$BK$23 - MEDIAN(MIN($BK$3:$BK$23), MAX($BK$3:$BK$23), AJ39))), ABS($BK$3:$BK$23 - MEDIAN(MIN($BK$3:$BK$23), MAX($BK$3:$BK$23), AJ39)), $BL$3:$BL$23, "Error", 0)</f>
        <v>3</v>
      </c>
      <c r="AK68" s="30" cm="1">
        <f t="array" ref="AK68">_xlfn.XLOOKUP(MIN(ABS($BK$3:$BK$23 - MEDIAN(MIN($BK$3:$BK$23), MAX($BK$3:$BK$23), AK39))), ABS($BK$3:$BK$23 - MEDIAN(MIN($BK$3:$BK$23), MAX($BK$3:$BK$23), AK39)), $BL$3:$BL$23, "Error", 0)</f>
        <v>3</v>
      </c>
      <c r="AL68" s="30" cm="1">
        <f t="array" ref="AL68">_xlfn.XLOOKUP(MIN(ABS($BK$3:$BK$23 - MEDIAN(MIN($BK$3:$BK$23), MAX($BK$3:$BK$23), AL39))), ABS($BK$3:$BK$23 - MEDIAN(MIN($BK$3:$BK$23), MAX($BK$3:$BK$23), AL39)), $BL$3:$BL$23, "Error", 0)</f>
        <v>1</v>
      </c>
      <c r="AM68" s="30" cm="1">
        <f t="array" ref="AM68">_xlfn.XLOOKUP(MIN(ABS($BK$3:$BK$23 - MEDIAN(MIN($BK$3:$BK$23), MAX($BK$3:$BK$23), AM39))), ABS($BK$3:$BK$23 - MEDIAN(MIN($BK$3:$BK$23), MAX($BK$3:$BK$23), AM39)), $BL$3:$BL$23, "Error", 0)</f>
        <v>2</v>
      </c>
      <c r="AN68" s="30" cm="1">
        <f t="array" ref="AN68">_xlfn.XLOOKUP(MIN(ABS($BK$3:$BK$23 - MEDIAN(MIN($BK$3:$BK$23), MAX($BK$3:$BK$23), AN39))), ABS($BK$3:$BK$23 - MEDIAN(MIN($BK$3:$BK$23), MAX($BK$3:$BK$23), AN39)), $BL$3:$BL$23, "Error", 0)</f>
        <v>3</v>
      </c>
      <c r="AO68" s="30" cm="1">
        <f t="array" ref="AO68">_xlfn.XLOOKUP(MIN(ABS($BK$3:$BK$23 - MEDIAN(MIN($BK$3:$BK$23), MAX($BK$3:$BK$23), AO39))), ABS($BK$3:$BK$23 - MEDIAN(MIN($BK$3:$BK$23), MAX($BK$3:$BK$23), AO39)), $BL$3:$BL$23, "Error", 0)</f>
        <v>0</v>
      </c>
      <c r="AP68" s="30" cm="1">
        <f t="array" ref="AP68">_xlfn.XLOOKUP(MIN(ABS($BK$3:$BK$23 - MEDIAN(MIN($BK$3:$BK$23), MAX($BK$3:$BK$23), AP39))), ABS($BK$3:$BK$23 - MEDIAN(MIN($BK$3:$BK$23), MAX($BK$3:$BK$23), AP39)), $BL$3:$BL$23, "Error", 0)</f>
        <v>-1</v>
      </c>
      <c r="AQ68" s="30" cm="1">
        <f t="array" ref="AQ68">_xlfn.XLOOKUP(MIN(ABS($BK$3:$BK$23 - MEDIAN(MIN($BK$3:$BK$23), MAX($BK$3:$BK$23), AQ39))), ABS($BK$3:$BK$23 - MEDIAN(MIN($BK$3:$BK$23), MAX($BK$3:$BK$23), AQ39)), $BL$3:$BL$23, "Error", 0)</f>
        <v>0</v>
      </c>
      <c r="AR68" s="30" cm="1">
        <f t="array" ref="AR68">_xlfn.XLOOKUP(MIN(ABS($BK$3:$BK$23 - MEDIAN(MIN($BK$3:$BK$23), MAX($BK$3:$BK$23), AR39))), ABS($BK$3:$BK$23 - MEDIAN(MIN($BK$3:$BK$23), MAX($BK$3:$BK$23), AR39)), $BL$3:$BL$23, "Error", 0)</f>
        <v>0</v>
      </c>
      <c r="AS68" s="30" cm="1">
        <f t="array" ref="AS68">_xlfn.XLOOKUP(MIN(ABS($BK$3:$BK$23 - MEDIAN(MIN($BK$3:$BK$23), MAX($BK$3:$BK$23), AS39))), ABS($BK$3:$BK$23 - MEDIAN(MIN($BK$3:$BK$23), MAX($BK$3:$BK$23), AS39)), $BL$3:$BL$23, "Error", 0)</f>
        <v>0</v>
      </c>
      <c r="AT68" s="30" cm="1">
        <f t="array" ref="AT68">_xlfn.XLOOKUP(MIN(ABS($BK$3:$BK$23 - MEDIAN(MIN($BK$3:$BK$23), MAX($BK$3:$BK$23), AT39))), ABS($BK$3:$BK$23 - MEDIAN(MIN($BK$3:$BK$23), MAX($BK$3:$BK$23), AT39)), $BL$3:$BL$23, "Error", 0)</f>
        <v>-1</v>
      </c>
      <c r="AU68" s="30" cm="1">
        <f t="array" ref="AU68">_xlfn.XLOOKUP(MIN(ABS($BK$3:$BK$23 - MEDIAN(MIN($BK$3:$BK$23), MAX($BK$3:$BK$23), AU39))), ABS($BK$3:$BK$23 - MEDIAN(MIN($BK$3:$BK$23), MAX($BK$3:$BK$23), AU39)), $BL$3:$BL$23, "Error", 0)</f>
        <v>1</v>
      </c>
      <c r="AV68" s="30" cm="1">
        <f t="array" ref="AV68">_xlfn.XLOOKUP(MIN(ABS($BK$3:$BK$23 - MEDIAN(MIN($BK$3:$BK$23), MAX($BK$3:$BK$23), AV39))), ABS($BK$3:$BK$23 - MEDIAN(MIN($BK$3:$BK$23), MAX($BK$3:$BK$23), AV39)), $BL$3:$BL$23, "Error", 0)</f>
        <v>1</v>
      </c>
      <c r="AW68" s="30" cm="1">
        <f t="array" ref="AW68">_xlfn.XLOOKUP(MIN(ABS($BK$3:$BK$23 - MEDIAN(MIN($BK$3:$BK$23), MAX($BK$3:$BK$23), AW39))), ABS($BK$3:$BK$23 - MEDIAN(MIN($BK$3:$BK$23), MAX($BK$3:$BK$23), AW39)), $BL$3:$BL$23, "Error", 0)</f>
        <v>0</v>
      </c>
      <c r="AX68" s="30" cm="1">
        <f t="array" ref="AX68">_xlfn.XLOOKUP(MIN(ABS($BK$3:$BK$23 - MEDIAN(MIN($BK$3:$BK$23), MAX($BK$3:$BK$23), AX39))), ABS($BK$3:$BK$23 - MEDIAN(MIN($BK$3:$BK$23), MAX($BK$3:$BK$23), AX39)), $BL$3:$BL$23, "Error", 0)</f>
        <v>2</v>
      </c>
      <c r="AY68" s="30" cm="1">
        <f t="array" ref="AY68">_xlfn.XLOOKUP(MIN(ABS($BK$3:$BK$23 - MEDIAN(MIN($BK$3:$BK$23), MAX($BK$3:$BK$23), AY39))), ABS($BK$3:$BK$23 - MEDIAN(MIN($BK$3:$BK$23), MAX($BK$3:$BK$23), AY39)), $BL$3:$BL$23, "Error", 0)</f>
        <v>1</v>
      </c>
      <c r="AZ68" s="30" cm="1">
        <f t="array" ref="AZ68">_xlfn.XLOOKUP(MIN(ABS($BK$3:$BK$23 - MEDIAN(MIN($BK$3:$BK$23), MAX($BK$3:$BK$23), AZ39))), ABS($BK$3:$BK$23 - MEDIAN(MIN($BK$3:$BK$23), MAX($BK$3:$BK$23), AZ39)), $BL$3:$BL$23, "Error", 0)</f>
        <v>-1</v>
      </c>
      <c r="BA68" s="30" cm="1">
        <f t="array" ref="BA68">_xlfn.XLOOKUP(MIN(ABS($BK$3:$BK$23 - MEDIAN(MIN($BK$3:$BK$23), MAX($BK$3:$BK$23), BA39))), ABS($BK$3:$BK$23 - MEDIAN(MIN($BK$3:$BK$23), MAX($BK$3:$BK$23), BA39)), $BL$3:$BL$23, "Error", 0)</f>
        <v>0</v>
      </c>
      <c r="BB68" s="30" cm="1">
        <f t="array" ref="BB68">_xlfn.XLOOKUP(MIN(ABS($BK$3:$BK$23 - MEDIAN(MIN($BK$3:$BK$23), MAX($BK$3:$BK$23), BB39))), ABS($BK$3:$BK$23 - MEDIAN(MIN($BK$3:$BK$23), MAX($BK$3:$BK$23), BB39)), $BL$3:$BL$23, "Error", 0)</f>
        <v>0</v>
      </c>
      <c r="BC68" s="30" cm="1">
        <f t="array" ref="BC68">_xlfn.XLOOKUP(MIN(ABS($BK$3:$BK$23 - MEDIAN(MIN($BK$3:$BK$23), MAX($BK$3:$BK$23), BC39))), ABS($BK$3:$BK$23 - MEDIAN(MIN($BK$3:$BK$23), MAX($BK$3:$BK$23), BC39)), $BL$3:$BL$23, "Error", 0)</f>
        <v>0</v>
      </c>
      <c r="BD68" s="30" cm="1">
        <f t="array" ref="BD68">_xlfn.XLOOKUP(MIN(ABS($BK$3:$BK$23 - MEDIAN(MIN($BK$3:$BK$23), MAX($BK$3:$BK$23), BD39))), ABS($BK$3:$BK$23 - MEDIAN(MIN($BK$3:$BK$23), MAX($BK$3:$BK$23), BD39)), $BL$3:$BL$23, "Error", 0)</f>
        <v>-1</v>
      </c>
      <c r="BE68" s="30" cm="1">
        <f t="array" ref="BE68">_xlfn.XLOOKUP(MIN(ABS($BK$3:$BK$23 - MEDIAN(MIN($BK$3:$BK$23), MAX($BK$3:$BK$23), BE39))), ABS($BK$3:$BK$23 - MEDIAN(MIN($BK$3:$BK$23), MAX($BK$3:$BK$23), BE39)), $BL$3:$BL$23, "Error", 0)</f>
        <v>-1</v>
      </c>
      <c r="BF68" s="30" cm="1">
        <f t="array" ref="BF68">_xlfn.XLOOKUP(MIN(ABS($BK$3:$BK$23 - MEDIAN(MIN($BK$3:$BK$23), MAX($BK$3:$BK$23), BF39))), ABS($BK$3:$BK$23 - MEDIAN(MIN($BK$3:$BK$23), MAX($BK$3:$BK$23), BF39)), $BL$3:$BL$23, "Error", 0)</f>
        <v>0</v>
      </c>
      <c r="BG68" s="30" cm="1">
        <f t="array" ref="BG68">_xlfn.XLOOKUP(MIN(ABS($BK$3:$BK$23 - MEDIAN(MIN($BK$3:$BK$23), MAX($BK$3:$BK$23), BG39))), ABS($BK$3:$BK$23 - MEDIAN(MIN($BK$3:$BK$23), MAX($BK$3:$BK$23), BG39)), $BL$3:$BL$23, "Error", 0)</f>
        <v>-10</v>
      </c>
      <c r="BH68" s="30" cm="1">
        <f t="array" ref="BH68">_xlfn.XLOOKUP(MIN(ABS($BK$3:$BK$23 - MEDIAN(MIN($BK$3:$BK$23), MAX($BK$3:$BK$23), BH39))), ABS($BK$3:$BK$23 - MEDIAN(MIN($BK$3:$BK$23), MAX($BK$3:$BK$23), BH39)), $BL$3:$BL$23, "Error", 0)</f>
        <v>-10</v>
      </c>
      <c r="BI68" s="30" cm="1">
        <f t="array" ref="BI68">_xlfn.XLOOKUP(MIN(ABS($BK$3:$BK$23 - MEDIAN(MIN($BK$3:$BK$23), MAX($BK$3:$BK$23), BI39))), ABS($BK$3:$BK$23 - MEDIAN(MIN($BK$3:$BK$23), MAX($BK$3:$BK$23), BI39)), $BL$3:$BL$23, "Error", 0)</f>
        <v>-10</v>
      </c>
    </row>
    <row r="69" spans="1:61" ht="25" customHeight="1">
      <c r="A69" s="46" t="s">
        <v>47</v>
      </c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30" cm="1">
        <f t="array" ref="N69">_xlfn.XLOOKUP(MIN(ABS($BK$3:$BK$23 - MEDIAN(MIN($BK$3:$BK$23), MAX($BK$3:$BK$23), N40))), ABS($BK$3:$BK$23 - MEDIAN(MIN($BK$3:$BK$23), MAX($BK$3:$BK$23), N40)), $BL$3:$BL$23, "Error", 0)</f>
        <v>0</v>
      </c>
      <c r="O69" s="30" cm="1">
        <f t="array" ref="O69">_xlfn.XLOOKUP(MIN(ABS($BK$3:$BK$23 - MEDIAN(MIN($BK$3:$BK$23), MAX($BK$3:$BK$23), O40))), ABS($BK$3:$BK$23 - MEDIAN(MIN($BK$3:$BK$23), MAX($BK$3:$BK$23), O40)), $BL$3:$BL$23, "Error", 0)</f>
        <v>7</v>
      </c>
      <c r="P69" s="30" cm="1">
        <f t="array" ref="P69">_xlfn.XLOOKUP(MIN(ABS($BK$3:$BK$23 - MEDIAN(MIN($BK$3:$BK$23), MAX($BK$3:$BK$23), P40))), ABS($BK$3:$BK$23 - MEDIAN(MIN($BK$3:$BK$23), MAX($BK$3:$BK$23), P40)), $BL$3:$BL$23, "Error", 0)</f>
        <v>4</v>
      </c>
      <c r="Q69" s="30" cm="1">
        <f t="array" ref="Q69">_xlfn.XLOOKUP(MIN(ABS($BK$3:$BK$23 - MEDIAN(MIN($BK$3:$BK$23), MAX($BK$3:$BK$23), Q40))), ABS($BK$3:$BK$23 - MEDIAN(MIN($BK$3:$BK$23), MAX($BK$3:$BK$23), Q40)), $BL$3:$BL$23, "Error", 0)</f>
        <v>4</v>
      </c>
      <c r="R69" s="30" cm="1">
        <f t="array" ref="R69">_xlfn.XLOOKUP(MIN(ABS($BK$3:$BK$23 - MEDIAN(MIN($BK$3:$BK$23), MAX($BK$3:$BK$23), R40))), ABS($BK$3:$BK$23 - MEDIAN(MIN($BK$3:$BK$23), MAX($BK$3:$BK$23), R40)), $BL$3:$BL$23, "Error", 0)</f>
        <v>6</v>
      </c>
      <c r="S69" s="30" cm="1">
        <f t="array" ref="S69">_xlfn.XLOOKUP(MIN(ABS($BK$3:$BK$23 - MEDIAN(MIN($BK$3:$BK$23), MAX($BK$3:$BK$23), S40))), ABS($BK$3:$BK$23 - MEDIAN(MIN($BK$3:$BK$23), MAX($BK$3:$BK$23), S40)), $BL$3:$BL$23, "Error", 0)</f>
        <v>6</v>
      </c>
      <c r="T69" s="30" cm="1">
        <f t="array" ref="T69">_xlfn.XLOOKUP(MIN(ABS($BK$3:$BK$23 - MEDIAN(MIN($BK$3:$BK$23), MAX($BK$3:$BK$23), T40))), ABS($BK$3:$BK$23 - MEDIAN(MIN($BK$3:$BK$23), MAX($BK$3:$BK$23), T40)), $BL$3:$BL$23, "Error", 0)</f>
        <v>6</v>
      </c>
      <c r="U69" s="30" cm="1">
        <f t="array" ref="U69">_xlfn.XLOOKUP(MIN(ABS($BK$3:$BK$23 - MEDIAN(MIN($BK$3:$BK$23), MAX($BK$3:$BK$23), U40))), ABS($BK$3:$BK$23 - MEDIAN(MIN($BK$3:$BK$23), MAX($BK$3:$BK$23), U40)), $BL$3:$BL$23, "Error", 0)</f>
        <v>6</v>
      </c>
      <c r="V69" s="30" cm="1">
        <f t="array" ref="V69">_xlfn.XLOOKUP(MIN(ABS($BK$3:$BK$23 - MEDIAN(MIN($BK$3:$BK$23), MAX($BK$3:$BK$23), V40))), ABS($BK$3:$BK$23 - MEDIAN(MIN($BK$3:$BK$23), MAX($BK$3:$BK$23), V40)), $BL$3:$BL$23, "Error", 0)</f>
        <v>8</v>
      </c>
      <c r="W69" s="30" cm="1">
        <f t="array" ref="W69">_xlfn.XLOOKUP(MIN(ABS($BK$3:$BK$23 - MEDIAN(MIN($BK$3:$BK$23), MAX($BK$3:$BK$23), W40))), ABS($BK$3:$BK$23 - MEDIAN(MIN($BK$3:$BK$23), MAX($BK$3:$BK$23), W40)), $BL$3:$BL$23, "Error", 0)</f>
        <v>8</v>
      </c>
      <c r="X69" s="30" cm="1">
        <f t="array" ref="X69">_xlfn.XLOOKUP(MIN(ABS($BK$3:$BK$23 - MEDIAN(MIN($BK$3:$BK$23), MAX($BK$3:$BK$23), X40))), ABS($BK$3:$BK$23 - MEDIAN(MIN($BK$3:$BK$23), MAX($BK$3:$BK$23), X40)), $BL$3:$BL$23, "Error", 0)</f>
        <v>6</v>
      </c>
      <c r="Y69" s="30" cm="1">
        <f t="array" ref="Y69">_xlfn.XLOOKUP(MIN(ABS($BK$3:$BK$23 - MEDIAN(MIN($BK$3:$BK$23), MAX($BK$3:$BK$23), Y40))), ABS($BK$3:$BK$23 - MEDIAN(MIN($BK$3:$BK$23), MAX($BK$3:$BK$23), Y40)), $BL$3:$BL$23, "Error", 0)</f>
        <v>6</v>
      </c>
      <c r="Z69" s="30" cm="1">
        <f t="array" ref="Z69">_xlfn.XLOOKUP(MIN(ABS($BK$3:$BK$23 - MEDIAN(MIN($BK$3:$BK$23), MAX($BK$3:$BK$23), Z40))), ABS($BK$3:$BK$23 - MEDIAN(MIN($BK$3:$BK$23), MAX($BK$3:$BK$23), Z40)), $BL$3:$BL$23, "Error", 0)</f>
        <v>4</v>
      </c>
      <c r="AA69" s="30" cm="1">
        <f t="array" ref="AA69">_xlfn.XLOOKUP(MIN(ABS($BK$3:$BK$23 - MEDIAN(MIN($BK$3:$BK$23), MAX($BK$3:$BK$23), AA40))), ABS($BK$3:$BK$23 - MEDIAN(MIN($BK$3:$BK$23), MAX($BK$3:$BK$23), AA40)), $BL$3:$BL$23, "Error", 0)</f>
        <v>-2</v>
      </c>
      <c r="AB69" s="30" cm="1">
        <f t="array" ref="AB69">_xlfn.XLOOKUP(MIN(ABS($BK$3:$BK$23 - MEDIAN(MIN($BK$3:$BK$23), MAX($BK$3:$BK$23), AB40))), ABS($BK$3:$BK$23 - MEDIAN(MIN($BK$3:$BK$23), MAX($BK$3:$BK$23), AB40)), $BL$3:$BL$23, "Error", 0)</f>
        <v>-1</v>
      </c>
      <c r="AC69" s="30" cm="1">
        <f t="array" ref="AC69">_xlfn.XLOOKUP(MIN(ABS($BK$3:$BK$23 - MEDIAN(MIN($BK$3:$BK$23), MAX($BK$3:$BK$23), AC40))), ABS($BK$3:$BK$23 - MEDIAN(MIN($BK$3:$BK$23), MAX($BK$3:$BK$23), AC40)), $BL$3:$BL$23, "Error", 0)</f>
        <v>-1</v>
      </c>
      <c r="AD69" s="30" cm="1">
        <f t="array" ref="AD69">_xlfn.XLOOKUP(MIN(ABS($BK$3:$BK$23 - MEDIAN(MIN($BK$3:$BK$23), MAX($BK$3:$BK$23), AD40))), ABS($BK$3:$BK$23 - MEDIAN(MIN($BK$3:$BK$23), MAX($BK$3:$BK$23), AD40)), $BL$3:$BL$23, "Error", 0)</f>
        <v>-3</v>
      </c>
      <c r="AE69" s="30" cm="1">
        <f t="array" ref="AE69">_xlfn.XLOOKUP(MIN(ABS($BK$3:$BK$23 - MEDIAN(MIN($BK$3:$BK$23), MAX($BK$3:$BK$23), AE40))), ABS($BK$3:$BK$23 - MEDIAN(MIN($BK$3:$BK$23), MAX($BK$3:$BK$23), AE40)), $BL$3:$BL$23, "Error", 0)</f>
        <v>-4</v>
      </c>
      <c r="AF69" s="30" cm="1">
        <f t="array" ref="AF69">_xlfn.XLOOKUP(MIN(ABS($BK$3:$BK$23 - MEDIAN(MIN($BK$3:$BK$23), MAX($BK$3:$BK$23), AF40))), ABS($BK$3:$BK$23 - MEDIAN(MIN($BK$3:$BK$23), MAX($BK$3:$BK$23), AF40)), $BL$3:$BL$23, "Error", 0)</f>
        <v>-3</v>
      </c>
      <c r="AG69" s="30" cm="1">
        <f t="array" ref="AG69">_xlfn.XLOOKUP(MIN(ABS($BK$3:$BK$23 - MEDIAN(MIN($BK$3:$BK$23), MAX($BK$3:$BK$23), AG40))), ABS($BK$3:$BK$23 - MEDIAN(MIN($BK$3:$BK$23), MAX($BK$3:$BK$23), AG40)), $BL$3:$BL$23, "Error", 0)</f>
        <v>-3</v>
      </c>
      <c r="AH69" s="30" cm="1">
        <f t="array" ref="AH69">_xlfn.XLOOKUP(MIN(ABS($BK$3:$BK$23 - MEDIAN(MIN($BK$3:$BK$23), MAX($BK$3:$BK$23), AH40))), ABS($BK$3:$BK$23 - MEDIAN(MIN($BK$3:$BK$23), MAX($BK$3:$BK$23), AH40)), $BL$3:$BL$23, "Error", 0)</f>
        <v>-7</v>
      </c>
      <c r="AI69" s="30" cm="1">
        <f t="array" ref="AI69">_xlfn.XLOOKUP(MIN(ABS($BK$3:$BK$23 - MEDIAN(MIN($BK$3:$BK$23), MAX($BK$3:$BK$23), AI40))), ABS($BK$3:$BK$23 - MEDIAN(MIN($BK$3:$BK$23), MAX($BK$3:$BK$23), AI40)), $BL$3:$BL$23, "Error", 0)</f>
        <v>-5</v>
      </c>
      <c r="AJ69" s="30" cm="1">
        <f t="array" ref="AJ69">_xlfn.XLOOKUP(MIN(ABS($BK$3:$BK$23 - MEDIAN(MIN($BK$3:$BK$23), MAX($BK$3:$BK$23), AJ40))), ABS($BK$3:$BK$23 - MEDIAN(MIN($BK$3:$BK$23), MAX($BK$3:$BK$23), AJ40)), $BL$3:$BL$23, "Error", 0)</f>
        <v>-2</v>
      </c>
      <c r="AK69" s="30" cm="1">
        <f t="array" ref="AK69">_xlfn.XLOOKUP(MIN(ABS($BK$3:$BK$23 - MEDIAN(MIN($BK$3:$BK$23), MAX($BK$3:$BK$23), AK40))), ABS($BK$3:$BK$23 - MEDIAN(MIN($BK$3:$BK$23), MAX($BK$3:$BK$23), AK40)), $BL$3:$BL$23, "Error", 0)</f>
        <v>-1</v>
      </c>
      <c r="AL69" s="30" cm="1">
        <f t="array" ref="AL69">_xlfn.XLOOKUP(MIN(ABS($BK$3:$BK$23 - MEDIAN(MIN($BK$3:$BK$23), MAX($BK$3:$BK$23), AL40))), ABS($BK$3:$BK$23 - MEDIAN(MIN($BK$3:$BK$23), MAX($BK$3:$BK$23), AL40)), $BL$3:$BL$23, "Error", 0)</f>
        <v>0</v>
      </c>
      <c r="AM69" s="30" cm="1">
        <f t="array" ref="AM69">_xlfn.XLOOKUP(MIN(ABS($BK$3:$BK$23 - MEDIAN(MIN($BK$3:$BK$23), MAX($BK$3:$BK$23), AM40))), ABS($BK$3:$BK$23 - MEDIAN(MIN($BK$3:$BK$23), MAX($BK$3:$BK$23), AM40)), $BL$3:$BL$23, "Error", 0)</f>
        <v>-2</v>
      </c>
      <c r="AN69" s="30" cm="1">
        <f t="array" ref="AN69">_xlfn.XLOOKUP(MIN(ABS($BK$3:$BK$23 - MEDIAN(MIN($BK$3:$BK$23), MAX($BK$3:$BK$23), AN40))), ABS($BK$3:$BK$23 - MEDIAN(MIN($BK$3:$BK$23), MAX($BK$3:$BK$23), AN40)), $BL$3:$BL$23, "Error", 0)</f>
        <v>-3</v>
      </c>
      <c r="AO69" s="30" cm="1">
        <f t="array" ref="AO69">_xlfn.XLOOKUP(MIN(ABS($BK$3:$BK$23 - MEDIAN(MIN($BK$3:$BK$23), MAX($BK$3:$BK$23), AO40))), ABS($BK$3:$BK$23 - MEDIAN(MIN($BK$3:$BK$23), MAX($BK$3:$BK$23), AO40)), $BL$3:$BL$23, "Error", 0)</f>
        <v>-5</v>
      </c>
      <c r="AP69" s="30" cm="1">
        <f t="array" ref="AP69">_xlfn.XLOOKUP(MIN(ABS($BK$3:$BK$23 - MEDIAN(MIN($BK$3:$BK$23), MAX($BK$3:$BK$23), AP40))), ABS($BK$3:$BK$23 - MEDIAN(MIN($BK$3:$BK$23), MAX($BK$3:$BK$23), AP40)), $BL$3:$BL$23, "Error", 0)</f>
        <v>-5</v>
      </c>
      <c r="AQ69" s="30" cm="1">
        <f t="array" ref="AQ69">_xlfn.XLOOKUP(MIN(ABS($BK$3:$BK$23 - MEDIAN(MIN($BK$3:$BK$23), MAX($BK$3:$BK$23), AQ40))), ABS($BK$3:$BK$23 - MEDIAN(MIN($BK$3:$BK$23), MAX($BK$3:$BK$23), AQ40)), $BL$3:$BL$23, "Error", 0)</f>
        <v>-5</v>
      </c>
      <c r="AR69" s="30" cm="1">
        <f t="array" ref="AR69">_xlfn.XLOOKUP(MIN(ABS($BK$3:$BK$23 - MEDIAN(MIN($BK$3:$BK$23), MAX($BK$3:$BK$23), AR40))), ABS($BK$3:$BK$23 - MEDIAN(MIN($BK$3:$BK$23), MAX($BK$3:$BK$23), AR40)), $BL$3:$BL$23, "Error", 0)</f>
        <v>-5</v>
      </c>
      <c r="AS69" s="30" cm="1">
        <f t="array" ref="AS69">_xlfn.XLOOKUP(MIN(ABS($BK$3:$BK$23 - MEDIAN(MIN($BK$3:$BK$23), MAX($BK$3:$BK$23), AS40))), ABS($BK$3:$BK$23 - MEDIAN(MIN($BK$3:$BK$23), MAX($BK$3:$BK$23), AS40)), $BL$3:$BL$23, "Error", 0)</f>
        <v>-6</v>
      </c>
      <c r="AT69" s="30" cm="1">
        <f t="array" ref="AT69">_xlfn.XLOOKUP(MIN(ABS($BK$3:$BK$23 - MEDIAN(MIN($BK$3:$BK$23), MAX($BK$3:$BK$23), AT40))), ABS($BK$3:$BK$23 - MEDIAN(MIN($BK$3:$BK$23), MAX($BK$3:$BK$23), AT40)), $BL$3:$BL$23, "Error", 0)</f>
        <v>-7</v>
      </c>
      <c r="AU69" s="30" cm="1">
        <f t="array" ref="AU69">_xlfn.XLOOKUP(MIN(ABS($BK$3:$BK$23 - MEDIAN(MIN($BK$3:$BK$23), MAX($BK$3:$BK$23), AU40))), ABS($BK$3:$BK$23 - MEDIAN(MIN($BK$3:$BK$23), MAX($BK$3:$BK$23), AU40)), $BL$3:$BL$23, "Error", 0)</f>
        <v>-9</v>
      </c>
      <c r="AV69" s="30" cm="1">
        <f t="array" ref="AV69">_xlfn.XLOOKUP(MIN(ABS($BK$3:$BK$23 - MEDIAN(MIN($BK$3:$BK$23), MAX($BK$3:$BK$23), AV40))), ABS($BK$3:$BK$23 - MEDIAN(MIN($BK$3:$BK$23), MAX($BK$3:$BK$23), AV40)), $BL$3:$BL$23, "Error", 0)</f>
        <v>-9</v>
      </c>
      <c r="AW69" s="30" cm="1">
        <f t="array" ref="AW69">_xlfn.XLOOKUP(MIN(ABS($BK$3:$BK$23 - MEDIAN(MIN($BK$3:$BK$23), MAX($BK$3:$BK$23), AW40))), ABS($BK$3:$BK$23 - MEDIAN(MIN($BK$3:$BK$23), MAX($BK$3:$BK$23), AW40)), $BL$3:$BL$23, "Error", 0)</f>
        <v>-10</v>
      </c>
      <c r="AX69" s="30" cm="1">
        <f t="array" ref="AX69">_xlfn.XLOOKUP(MIN(ABS($BK$3:$BK$23 - MEDIAN(MIN($BK$3:$BK$23), MAX($BK$3:$BK$23), AX40))), ABS($BK$3:$BK$23 - MEDIAN(MIN($BK$3:$BK$23), MAX($BK$3:$BK$23), AX40)), $BL$3:$BL$23, "Error", 0)</f>
        <v>-10</v>
      </c>
      <c r="AY69" s="30" cm="1">
        <f t="array" ref="AY69">_xlfn.XLOOKUP(MIN(ABS($BK$3:$BK$23 - MEDIAN(MIN($BK$3:$BK$23), MAX($BK$3:$BK$23), AY40))), ABS($BK$3:$BK$23 - MEDIAN(MIN($BK$3:$BK$23), MAX($BK$3:$BK$23), AY40)), $BL$3:$BL$23, "Error", 0)</f>
        <v>-10</v>
      </c>
      <c r="AZ69" s="30" cm="1">
        <f t="array" ref="AZ69">_xlfn.XLOOKUP(MIN(ABS($BK$3:$BK$23 - MEDIAN(MIN($BK$3:$BK$23), MAX($BK$3:$BK$23), AZ40))), ABS($BK$3:$BK$23 - MEDIAN(MIN($BK$3:$BK$23), MAX($BK$3:$BK$23), AZ40)), $BL$3:$BL$23, "Error", 0)</f>
        <v>-10</v>
      </c>
      <c r="BA69" s="30" cm="1">
        <f t="array" ref="BA69">_xlfn.XLOOKUP(MIN(ABS($BK$3:$BK$23 - MEDIAN(MIN($BK$3:$BK$23), MAX($BK$3:$BK$23), BA40))), ABS($BK$3:$BK$23 - MEDIAN(MIN($BK$3:$BK$23), MAX($BK$3:$BK$23), BA40)), $BL$3:$BL$23, "Error", 0)</f>
        <v>-10</v>
      </c>
      <c r="BB69" s="30" cm="1">
        <f t="array" ref="BB69">_xlfn.XLOOKUP(MIN(ABS($BK$3:$BK$23 - MEDIAN(MIN($BK$3:$BK$23), MAX($BK$3:$BK$23), BB40))), ABS($BK$3:$BK$23 - MEDIAN(MIN($BK$3:$BK$23), MAX($BK$3:$BK$23), BB40)), $BL$3:$BL$23, "Error", 0)</f>
        <v>-10</v>
      </c>
      <c r="BC69" s="30" cm="1">
        <f t="array" ref="BC69">_xlfn.XLOOKUP(MIN(ABS($BK$3:$BK$23 - MEDIAN(MIN($BK$3:$BK$23), MAX($BK$3:$BK$23), BC40))), ABS($BK$3:$BK$23 - MEDIAN(MIN($BK$3:$BK$23), MAX($BK$3:$BK$23), BC40)), $BL$3:$BL$23, "Error", 0)</f>
        <v>-10</v>
      </c>
      <c r="BD69" s="30" cm="1">
        <f t="array" ref="BD69">_xlfn.XLOOKUP(MIN(ABS($BK$3:$BK$23 - MEDIAN(MIN($BK$3:$BK$23), MAX($BK$3:$BK$23), BD40))), ABS($BK$3:$BK$23 - MEDIAN(MIN($BK$3:$BK$23), MAX($BK$3:$BK$23), BD40)), $BL$3:$BL$23, "Error", 0)</f>
        <v>-10</v>
      </c>
      <c r="BE69" s="30" cm="1">
        <f t="array" ref="BE69">_xlfn.XLOOKUP(MIN(ABS($BK$3:$BK$23 - MEDIAN(MIN($BK$3:$BK$23), MAX($BK$3:$BK$23), BE40))), ABS($BK$3:$BK$23 - MEDIAN(MIN($BK$3:$BK$23), MAX($BK$3:$BK$23), BE40)), $BL$3:$BL$23, "Error", 0)</f>
        <v>-10</v>
      </c>
      <c r="BF69" s="30" cm="1">
        <f t="array" ref="BF69">_xlfn.XLOOKUP(MIN(ABS($BK$3:$BK$23 - MEDIAN(MIN($BK$3:$BK$23), MAX($BK$3:$BK$23), BF40))), ABS($BK$3:$BK$23 - MEDIAN(MIN($BK$3:$BK$23), MAX($BK$3:$BK$23), BF40)), $BL$3:$BL$23, "Error", 0)</f>
        <v>-8</v>
      </c>
      <c r="BG69" s="30" cm="1">
        <f t="array" ref="BG69">_xlfn.XLOOKUP(MIN(ABS($BK$3:$BK$23 - MEDIAN(MIN($BK$3:$BK$23), MAX($BK$3:$BK$23), BG40))), ABS($BK$3:$BK$23 - MEDIAN(MIN($BK$3:$BK$23), MAX($BK$3:$BK$23), BG40)), $BL$3:$BL$23, "Error", 0)</f>
        <v>10</v>
      </c>
      <c r="BH69" s="30" cm="1">
        <f t="array" ref="BH69">_xlfn.XLOOKUP(MIN(ABS($BK$3:$BK$23 - MEDIAN(MIN($BK$3:$BK$23), MAX($BK$3:$BK$23), BH40))), ABS($BK$3:$BK$23 - MEDIAN(MIN($BK$3:$BK$23), MAX($BK$3:$BK$23), BH40)), $BL$3:$BL$23, "Error", 0)</f>
        <v>10</v>
      </c>
      <c r="BI69" s="30" cm="1">
        <f t="array" ref="BI69">_xlfn.XLOOKUP(MIN(ABS($BK$3:$BK$23 - MEDIAN(MIN($BK$3:$BK$23), MAX($BK$3:$BK$23), BI40))), ABS($BK$3:$BK$23 - MEDIAN(MIN($BK$3:$BK$23), MAX($BK$3:$BK$23), BI40)), $BL$3:$BL$23, "Error", 0)</f>
        <v>10</v>
      </c>
    </row>
    <row r="70" spans="1:61" ht="25" customHeight="1">
      <c r="A70" s="46" t="s">
        <v>14</v>
      </c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30" cm="1">
        <f t="array" ref="N70">_xlfn.XLOOKUP(MIN(ABS($BK$3:$BK$23 - MEDIAN(MIN($BK$3:$BK$23), MAX($BK$3:$BK$23), N41))), ABS($BK$3:$BK$23 - MEDIAN(MIN($BK$3:$BK$23), MAX($BK$3:$BK$23), N41)), $BL$3:$BL$23, "Error", 0)</f>
        <v>-10</v>
      </c>
      <c r="O70" s="30" cm="1">
        <f t="array" ref="O70">_xlfn.XLOOKUP(MIN(ABS($BK$3:$BK$23 - MEDIAN(MIN($BK$3:$BK$23), MAX($BK$3:$BK$23), O41))), ABS($BK$3:$BK$23 - MEDIAN(MIN($BK$3:$BK$23), MAX($BK$3:$BK$23), O41)), $BL$3:$BL$23, "Error", 0)</f>
        <v>-10</v>
      </c>
      <c r="P70" s="30" cm="1">
        <f t="array" ref="P70">_xlfn.XLOOKUP(MIN(ABS($BK$3:$BK$23 - MEDIAN(MIN($BK$3:$BK$23), MAX($BK$3:$BK$23), P41))), ABS($BK$3:$BK$23 - MEDIAN(MIN($BK$3:$BK$23), MAX($BK$3:$BK$23), P41)), $BL$3:$BL$23, "Error", 0)</f>
        <v>-10</v>
      </c>
      <c r="Q70" s="30" cm="1">
        <f t="array" ref="Q70">_xlfn.XLOOKUP(MIN(ABS($BK$3:$BK$23 - MEDIAN(MIN($BK$3:$BK$23), MAX($BK$3:$BK$23), Q41))), ABS($BK$3:$BK$23 - MEDIAN(MIN($BK$3:$BK$23), MAX($BK$3:$BK$23), Q41)), $BL$3:$BL$23, "Error", 0)</f>
        <v>-10</v>
      </c>
      <c r="R70" s="30" cm="1">
        <f t="array" ref="R70">_xlfn.XLOOKUP(MIN(ABS($BK$3:$BK$23 - MEDIAN(MIN($BK$3:$BK$23), MAX($BK$3:$BK$23), R41))), ABS($BK$3:$BK$23 - MEDIAN(MIN($BK$3:$BK$23), MAX($BK$3:$BK$23), R41)), $BL$3:$BL$23, "Error", 0)</f>
        <v>-10</v>
      </c>
      <c r="S70" s="30" cm="1">
        <f t="array" ref="S70">_xlfn.XLOOKUP(MIN(ABS($BK$3:$BK$23 - MEDIAN(MIN($BK$3:$BK$23), MAX($BK$3:$BK$23), S41))), ABS($BK$3:$BK$23 - MEDIAN(MIN($BK$3:$BK$23), MAX($BK$3:$BK$23), S41)), $BL$3:$BL$23, "Error", 0)</f>
        <v>-10</v>
      </c>
      <c r="T70" s="30" cm="1">
        <f t="array" ref="T70">_xlfn.XLOOKUP(MIN(ABS($BK$3:$BK$23 - MEDIAN(MIN($BK$3:$BK$23), MAX($BK$3:$BK$23), T41))), ABS($BK$3:$BK$23 - MEDIAN(MIN($BK$3:$BK$23), MAX($BK$3:$BK$23), T41)), $BL$3:$BL$23, "Error", 0)</f>
        <v>-10</v>
      </c>
      <c r="U70" s="30" cm="1">
        <f t="array" ref="U70">_xlfn.XLOOKUP(MIN(ABS($BK$3:$BK$23 - MEDIAN(MIN($BK$3:$BK$23), MAX($BK$3:$BK$23), U41))), ABS($BK$3:$BK$23 - MEDIAN(MIN($BK$3:$BK$23), MAX($BK$3:$BK$23), U41)), $BL$3:$BL$23, "Error", 0)</f>
        <v>-10</v>
      </c>
      <c r="V70" s="30" cm="1">
        <f t="array" ref="V70">_xlfn.XLOOKUP(MIN(ABS($BK$3:$BK$23 - MEDIAN(MIN($BK$3:$BK$23), MAX($BK$3:$BK$23), V41))), ABS($BK$3:$BK$23 - MEDIAN(MIN($BK$3:$BK$23), MAX($BK$3:$BK$23), V41)), $BL$3:$BL$23, "Error", 0)</f>
        <v>5</v>
      </c>
      <c r="W70" s="30" cm="1">
        <f t="array" ref="W70">_xlfn.XLOOKUP(MIN(ABS($BK$3:$BK$23 - MEDIAN(MIN($BK$3:$BK$23), MAX($BK$3:$BK$23), W41))), ABS($BK$3:$BK$23 - MEDIAN(MIN($BK$3:$BK$23), MAX($BK$3:$BK$23), W41)), $BL$3:$BL$23, "Error", 0)</f>
        <v>10</v>
      </c>
      <c r="X70" s="30" cm="1">
        <f t="array" ref="X70">_xlfn.XLOOKUP(MIN(ABS($BK$3:$BK$23 - MEDIAN(MIN($BK$3:$BK$23), MAX($BK$3:$BK$23), X41))), ABS($BK$3:$BK$23 - MEDIAN(MIN($BK$3:$BK$23), MAX($BK$3:$BK$23), X41)), $BL$3:$BL$23, "Error", 0)</f>
        <v>10</v>
      </c>
      <c r="Y70" s="30" cm="1">
        <f t="array" ref="Y70">_xlfn.XLOOKUP(MIN(ABS($BK$3:$BK$23 - MEDIAN(MIN($BK$3:$BK$23), MAX($BK$3:$BK$23), Y41))), ABS($BK$3:$BK$23 - MEDIAN(MIN($BK$3:$BK$23), MAX($BK$3:$BK$23), Y41)), $BL$3:$BL$23, "Error", 0)</f>
        <v>10</v>
      </c>
      <c r="Z70" s="30" cm="1">
        <f t="array" ref="Z70">_xlfn.XLOOKUP(MIN(ABS($BK$3:$BK$23 - MEDIAN(MIN($BK$3:$BK$23), MAX($BK$3:$BK$23), Z41))), ABS($BK$3:$BK$23 - MEDIAN(MIN($BK$3:$BK$23), MAX($BK$3:$BK$23), Z41)), $BL$3:$BL$23, "Error", 0)</f>
        <v>10</v>
      </c>
      <c r="AA70" s="30" cm="1">
        <f t="array" ref="AA70">_xlfn.XLOOKUP(MIN(ABS($BK$3:$BK$23 - MEDIAN(MIN($BK$3:$BK$23), MAX($BK$3:$BK$23), AA41))), ABS($BK$3:$BK$23 - MEDIAN(MIN($BK$3:$BK$23), MAX($BK$3:$BK$23), AA41)), $BL$3:$BL$23, "Error", 0)</f>
        <v>10</v>
      </c>
      <c r="AB70" s="30" cm="1">
        <f t="array" ref="AB70">_xlfn.XLOOKUP(MIN(ABS($BK$3:$BK$23 - MEDIAN(MIN($BK$3:$BK$23), MAX($BK$3:$BK$23), AB41))), ABS($BK$3:$BK$23 - MEDIAN(MIN($BK$3:$BK$23), MAX($BK$3:$BK$23), AB41)), $BL$3:$BL$23, "Error", 0)</f>
        <v>10</v>
      </c>
      <c r="AC70" s="30" cm="1">
        <f t="array" ref="AC70">_xlfn.XLOOKUP(MIN(ABS($BK$3:$BK$23 - MEDIAN(MIN($BK$3:$BK$23), MAX($BK$3:$BK$23), AC41))), ABS($BK$3:$BK$23 - MEDIAN(MIN($BK$3:$BK$23), MAX($BK$3:$BK$23), AC41)), $BL$3:$BL$23, "Error", 0)</f>
        <v>3</v>
      </c>
      <c r="AD70" s="30" cm="1">
        <f t="array" ref="AD70">_xlfn.XLOOKUP(MIN(ABS($BK$3:$BK$23 - MEDIAN(MIN($BK$3:$BK$23), MAX($BK$3:$BK$23), AD41))), ABS($BK$3:$BK$23 - MEDIAN(MIN($BK$3:$BK$23), MAX($BK$3:$BK$23), AD41)), $BL$3:$BL$23, "Error", 0)</f>
        <v>-10</v>
      </c>
      <c r="AE70" s="30" cm="1">
        <f t="array" ref="AE70">_xlfn.XLOOKUP(MIN(ABS($BK$3:$BK$23 - MEDIAN(MIN($BK$3:$BK$23), MAX($BK$3:$BK$23), AE41))), ABS($BK$3:$BK$23 - MEDIAN(MIN($BK$3:$BK$23), MAX($BK$3:$BK$23), AE41)), $BL$3:$BL$23, "Error", 0)</f>
        <v>-10</v>
      </c>
      <c r="AF70" s="30" cm="1">
        <f t="array" ref="AF70">_xlfn.XLOOKUP(MIN(ABS($BK$3:$BK$23 - MEDIAN(MIN($BK$3:$BK$23), MAX($BK$3:$BK$23), AF41))), ABS($BK$3:$BK$23 - MEDIAN(MIN($BK$3:$BK$23), MAX($BK$3:$BK$23), AF41)), $BL$3:$BL$23, "Error", 0)</f>
        <v>-10</v>
      </c>
      <c r="AG70" s="30" cm="1">
        <f t="array" ref="AG70">_xlfn.XLOOKUP(MIN(ABS($BK$3:$BK$23 - MEDIAN(MIN($BK$3:$BK$23), MAX($BK$3:$BK$23), AG41))), ABS($BK$3:$BK$23 - MEDIAN(MIN($BK$3:$BK$23), MAX($BK$3:$BK$23), AG41)), $BL$3:$BL$23, "Error", 0)</f>
        <v>-10</v>
      </c>
      <c r="AH70" s="30" cm="1">
        <f t="array" ref="AH70">_xlfn.XLOOKUP(MIN(ABS($BK$3:$BK$23 - MEDIAN(MIN($BK$3:$BK$23), MAX($BK$3:$BK$23), AH41))), ABS($BK$3:$BK$23 - MEDIAN(MIN($BK$3:$BK$23), MAX($BK$3:$BK$23), AH41)), $BL$3:$BL$23, "Error", 0)</f>
        <v>-10</v>
      </c>
      <c r="AI70" s="30" cm="1">
        <f t="array" ref="AI70">_xlfn.XLOOKUP(MIN(ABS($BK$3:$BK$23 - MEDIAN(MIN($BK$3:$BK$23), MAX($BK$3:$BK$23), AI41))), ABS($BK$3:$BK$23 - MEDIAN(MIN($BK$3:$BK$23), MAX($BK$3:$BK$23), AI41)), $BL$3:$BL$23, "Error", 0)</f>
        <v>-10</v>
      </c>
      <c r="AJ70" s="30" cm="1">
        <f t="array" ref="AJ70">_xlfn.XLOOKUP(MIN(ABS($BK$3:$BK$23 - MEDIAN(MIN($BK$3:$BK$23), MAX($BK$3:$BK$23), AJ41))), ABS($BK$3:$BK$23 - MEDIAN(MIN($BK$3:$BK$23), MAX($BK$3:$BK$23), AJ41)), $BL$3:$BL$23, "Error", 0)</f>
        <v>-10</v>
      </c>
      <c r="AK70" s="30" cm="1">
        <f t="array" ref="AK70">_xlfn.XLOOKUP(MIN(ABS($BK$3:$BK$23 - MEDIAN(MIN($BK$3:$BK$23), MAX($BK$3:$BK$23), AK41))), ABS($BK$3:$BK$23 - MEDIAN(MIN($BK$3:$BK$23), MAX($BK$3:$BK$23), AK41)), $BL$3:$BL$23, "Error", 0)</f>
        <v>-10</v>
      </c>
      <c r="AL70" s="30" cm="1">
        <f t="array" ref="AL70">_xlfn.XLOOKUP(MIN(ABS($BK$3:$BK$23 - MEDIAN(MIN($BK$3:$BK$23), MAX($BK$3:$BK$23), AL41))), ABS($BK$3:$BK$23 - MEDIAN(MIN($BK$3:$BK$23), MAX($BK$3:$BK$23), AL41)), $BL$3:$BL$23, "Error", 0)</f>
        <v>-10</v>
      </c>
      <c r="AM70" s="30" cm="1">
        <f t="array" ref="AM70">_xlfn.XLOOKUP(MIN(ABS($BK$3:$BK$23 - MEDIAN(MIN($BK$3:$BK$23), MAX($BK$3:$BK$23), AM41))), ABS($BK$3:$BK$23 - MEDIAN(MIN($BK$3:$BK$23), MAX($BK$3:$BK$23), AM41)), $BL$3:$BL$23, "Error", 0)</f>
        <v>-10</v>
      </c>
      <c r="AN70" s="30" cm="1">
        <f t="array" ref="AN70">_xlfn.XLOOKUP(MIN(ABS($BK$3:$BK$23 - MEDIAN(MIN($BK$3:$BK$23), MAX($BK$3:$BK$23), AN41))), ABS($BK$3:$BK$23 - MEDIAN(MIN($BK$3:$BK$23), MAX($BK$3:$BK$23), AN41)), $BL$3:$BL$23, "Error", 0)</f>
        <v>-10</v>
      </c>
      <c r="AO70" s="30" cm="1">
        <f t="array" ref="AO70">_xlfn.XLOOKUP(MIN(ABS($BK$3:$BK$23 - MEDIAN(MIN($BK$3:$BK$23), MAX($BK$3:$BK$23), AO41))), ABS($BK$3:$BK$23 - MEDIAN(MIN($BK$3:$BK$23), MAX($BK$3:$BK$23), AO41)), $BL$3:$BL$23, "Error", 0)</f>
        <v>-10</v>
      </c>
      <c r="AP70" s="30" cm="1">
        <f t="array" ref="AP70">_xlfn.XLOOKUP(MIN(ABS($BK$3:$BK$23 - MEDIAN(MIN($BK$3:$BK$23), MAX($BK$3:$BK$23), AP41))), ABS($BK$3:$BK$23 - MEDIAN(MIN($BK$3:$BK$23), MAX($BK$3:$BK$23), AP41)), $BL$3:$BL$23, "Error", 0)</f>
        <v>10</v>
      </c>
      <c r="AQ70" s="30" cm="1">
        <f t="array" ref="AQ70">_xlfn.XLOOKUP(MIN(ABS($BK$3:$BK$23 - MEDIAN(MIN($BK$3:$BK$23), MAX($BK$3:$BK$23), AQ41))), ABS($BK$3:$BK$23 - MEDIAN(MIN($BK$3:$BK$23), MAX($BK$3:$BK$23), AQ41)), $BL$3:$BL$23, "Error", 0)</f>
        <v>10</v>
      </c>
      <c r="AR70" s="30" cm="1">
        <f t="array" ref="AR70">_xlfn.XLOOKUP(MIN(ABS($BK$3:$BK$23 - MEDIAN(MIN($BK$3:$BK$23), MAX($BK$3:$BK$23), AR41))), ABS($BK$3:$BK$23 - MEDIAN(MIN($BK$3:$BK$23), MAX($BK$3:$BK$23), AR41)), $BL$3:$BL$23, "Error", 0)</f>
        <v>10</v>
      </c>
      <c r="AS70" s="30" cm="1">
        <f t="array" ref="AS70">_xlfn.XLOOKUP(MIN(ABS($BK$3:$BK$23 - MEDIAN(MIN($BK$3:$BK$23), MAX($BK$3:$BK$23), AS41))), ABS($BK$3:$BK$23 - MEDIAN(MIN($BK$3:$BK$23), MAX($BK$3:$BK$23), AS41)), $BL$3:$BL$23, "Error", 0)</f>
        <v>10</v>
      </c>
      <c r="AT70" s="30" cm="1">
        <f t="array" ref="AT70">_xlfn.XLOOKUP(MIN(ABS($BK$3:$BK$23 - MEDIAN(MIN($BK$3:$BK$23), MAX($BK$3:$BK$23), AT41))), ABS($BK$3:$BK$23 - MEDIAN(MIN($BK$3:$BK$23), MAX($BK$3:$BK$23), AT41)), $BL$3:$BL$23, "Error", 0)</f>
        <v>10</v>
      </c>
      <c r="AU70" s="30" cm="1">
        <f t="array" ref="AU70">_xlfn.XLOOKUP(MIN(ABS($BK$3:$BK$23 - MEDIAN(MIN($BK$3:$BK$23), MAX($BK$3:$BK$23), AU41))), ABS($BK$3:$BK$23 - MEDIAN(MIN($BK$3:$BK$23), MAX($BK$3:$BK$23), AU41)), $BL$3:$BL$23, "Error", 0)</f>
        <v>10</v>
      </c>
      <c r="AV70" s="30" cm="1">
        <f t="array" ref="AV70">_xlfn.XLOOKUP(MIN(ABS($BK$3:$BK$23 - MEDIAN(MIN($BK$3:$BK$23), MAX($BK$3:$BK$23), AV41))), ABS($BK$3:$BK$23 - MEDIAN(MIN($BK$3:$BK$23), MAX($BK$3:$BK$23), AV41)), $BL$3:$BL$23, "Error", 0)</f>
        <v>10</v>
      </c>
      <c r="AW70" s="30" cm="1">
        <f t="array" ref="AW70">_xlfn.XLOOKUP(MIN(ABS($BK$3:$BK$23 - MEDIAN(MIN($BK$3:$BK$23), MAX($BK$3:$BK$23), AW41))), ABS($BK$3:$BK$23 - MEDIAN(MIN($BK$3:$BK$23), MAX($BK$3:$BK$23), AW41)), $BL$3:$BL$23, "Error", 0)</f>
        <v>10</v>
      </c>
      <c r="AX70" s="30" cm="1">
        <f t="array" ref="AX70">_xlfn.XLOOKUP(MIN(ABS($BK$3:$BK$23 - MEDIAN(MIN($BK$3:$BK$23), MAX($BK$3:$BK$23), AX41))), ABS($BK$3:$BK$23 - MEDIAN(MIN($BK$3:$BK$23), MAX($BK$3:$BK$23), AX41)), $BL$3:$BL$23, "Error", 0)</f>
        <v>10</v>
      </c>
      <c r="AY70" s="30" cm="1">
        <f t="array" ref="AY70">_xlfn.XLOOKUP(MIN(ABS($BK$3:$BK$23 - MEDIAN(MIN($BK$3:$BK$23), MAX($BK$3:$BK$23), AY41))), ABS($BK$3:$BK$23 - MEDIAN(MIN($BK$3:$BK$23), MAX($BK$3:$BK$23), AY41)), $BL$3:$BL$23, "Error", 0)</f>
        <v>10</v>
      </c>
      <c r="AZ70" s="30" cm="1">
        <f t="array" ref="AZ70">_xlfn.XLOOKUP(MIN(ABS($BK$3:$BK$23 - MEDIAN(MIN($BK$3:$BK$23), MAX($BK$3:$BK$23), AZ41))), ABS($BK$3:$BK$23 - MEDIAN(MIN($BK$3:$BK$23), MAX($BK$3:$BK$23), AZ41)), $BL$3:$BL$23, "Error", 0)</f>
        <v>7</v>
      </c>
      <c r="BA70" s="30" cm="1">
        <f t="array" ref="BA70">_xlfn.XLOOKUP(MIN(ABS($BK$3:$BK$23 - MEDIAN(MIN($BK$3:$BK$23), MAX($BK$3:$BK$23), BA41))), ABS($BK$3:$BK$23 - MEDIAN(MIN($BK$3:$BK$23), MAX($BK$3:$BK$23), BA41)), $BL$3:$BL$23, "Error", 0)</f>
        <v>0</v>
      </c>
      <c r="BB70" s="30" cm="1">
        <f t="array" ref="BB70">_xlfn.XLOOKUP(MIN(ABS($BK$3:$BK$23 - MEDIAN(MIN($BK$3:$BK$23), MAX($BK$3:$BK$23), BB41))), ABS($BK$3:$BK$23 - MEDIAN(MIN($BK$3:$BK$23), MAX($BK$3:$BK$23), BB41)), $BL$3:$BL$23, "Error", 0)</f>
        <v>-10</v>
      </c>
      <c r="BC70" s="30" cm="1">
        <f t="array" ref="BC70">_xlfn.XLOOKUP(MIN(ABS($BK$3:$BK$23 - MEDIAN(MIN($BK$3:$BK$23), MAX($BK$3:$BK$23), BC41))), ABS($BK$3:$BK$23 - MEDIAN(MIN($BK$3:$BK$23), MAX($BK$3:$BK$23), BC41)), $BL$3:$BL$23, "Error", 0)</f>
        <v>-10</v>
      </c>
      <c r="BD70" s="30" cm="1">
        <f t="array" ref="BD70">_xlfn.XLOOKUP(MIN(ABS($BK$3:$BK$23 - MEDIAN(MIN($BK$3:$BK$23), MAX($BK$3:$BK$23), BD41))), ABS($BK$3:$BK$23 - MEDIAN(MIN($BK$3:$BK$23), MAX($BK$3:$BK$23), BD41)), $BL$3:$BL$23, "Error", 0)</f>
        <v>-10</v>
      </c>
      <c r="BE70" s="30" cm="1">
        <f t="array" ref="BE70">_xlfn.XLOOKUP(MIN(ABS($BK$3:$BK$23 - MEDIAN(MIN($BK$3:$BK$23), MAX($BK$3:$BK$23), BE41))), ABS($BK$3:$BK$23 - MEDIAN(MIN($BK$3:$BK$23), MAX($BK$3:$BK$23), BE41)), $BL$3:$BL$23, "Error", 0)</f>
        <v>-10</v>
      </c>
      <c r="BF70" s="30" cm="1">
        <f t="array" ref="BF70">_xlfn.XLOOKUP(MIN(ABS($BK$3:$BK$23 - MEDIAN(MIN($BK$3:$BK$23), MAX($BK$3:$BK$23), BF41))), ABS($BK$3:$BK$23 - MEDIAN(MIN($BK$3:$BK$23), MAX($BK$3:$BK$23), BF41)), $BL$3:$BL$23, "Error", 0)</f>
        <v>-10</v>
      </c>
      <c r="BG70" s="30" cm="1">
        <f t="array" ref="BG70">_xlfn.XLOOKUP(MIN(ABS($BK$3:$BK$23 - MEDIAN(MIN($BK$3:$BK$23), MAX($BK$3:$BK$23), BG41))), ABS($BK$3:$BK$23 - MEDIAN(MIN($BK$3:$BK$23), MAX($BK$3:$BK$23), BG41)), $BL$3:$BL$23, "Error", 0)</f>
        <v>-10</v>
      </c>
      <c r="BH70" s="30" cm="1">
        <f t="array" ref="BH70">_xlfn.XLOOKUP(MIN(ABS($BK$3:$BK$23 - MEDIAN(MIN($BK$3:$BK$23), MAX($BK$3:$BK$23), BH41))), ABS($BK$3:$BK$23 - MEDIAN(MIN($BK$3:$BK$23), MAX($BK$3:$BK$23), BH41)), $BL$3:$BL$23, "Error", 0)</f>
        <v>-10</v>
      </c>
      <c r="BI70" s="30" cm="1">
        <f t="array" ref="BI70">_xlfn.XLOOKUP(MIN(ABS($BK$3:$BK$23 - MEDIAN(MIN($BK$3:$BK$23), MAX($BK$3:$BK$23), BI41))), ABS($BK$3:$BK$23 - MEDIAN(MIN($BK$3:$BK$23), MAX($BK$3:$BK$23), BI41)), $BL$3:$BL$23, "Error", 0)</f>
        <v>-10</v>
      </c>
    </row>
    <row r="71" spans="1:61" ht="25" customHeight="1">
      <c r="A71" s="46" t="s">
        <v>48</v>
      </c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30" cm="1">
        <f t="array" ref="N71">_xlfn.XLOOKUP(MIN(ABS($BK$3:$BK$23 - MEDIAN(MIN($BK$3:$BK$23), MAX($BK$3:$BK$23), N42))), ABS($BK$3:$BK$23 - MEDIAN(MIN($BK$3:$BK$23), MAX($BK$3:$BK$23), N42)), $BL$3:$BL$23, "Error", 0)</f>
        <v>-10</v>
      </c>
      <c r="O71" s="30" cm="1">
        <f t="array" ref="O71">_xlfn.XLOOKUP(MIN(ABS($BK$3:$BK$23 - MEDIAN(MIN($BK$3:$BK$23), MAX($BK$3:$BK$23), O42))), ABS($BK$3:$BK$23 - MEDIAN(MIN($BK$3:$BK$23), MAX($BK$3:$BK$23), O42)), $BL$3:$BL$23, "Error", 0)</f>
        <v>-10</v>
      </c>
      <c r="P71" s="30" cm="1">
        <f t="array" ref="P71">_xlfn.XLOOKUP(MIN(ABS($BK$3:$BK$23 - MEDIAN(MIN($BK$3:$BK$23), MAX($BK$3:$BK$23), P42))), ABS($BK$3:$BK$23 - MEDIAN(MIN($BK$3:$BK$23), MAX($BK$3:$BK$23), P42)), $BL$3:$BL$23, "Error", 0)</f>
        <v>-10</v>
      </c>
      <c r="Q71" s="30" cm="1">
        <f t="array" ref="Q71">_xlfn.XLOOKUP(MIN(ABS($BK$3:$BK$23 - MEDIAN(MIN($BK$3:$BK$23), MAX($BK$3:$BK$23), Q42))), ABS($BK$3:$BK$23 - MEDIAN(MIN($BK$3:$BK$23), MAX($BK$3:$BK$23), Q42)), $BL$3:$BL$23, "Error", 0)</f>
        <v>-10</v>
      </c>
      <c r="R71" s="30" cm="1">
        <f t="array" ref="R71">_xlfn.XLOOKUP(MIN(ABS($BK$3:$BK$23 - MEDIAN(MIN($BK$3:$BK$23), MAX($BK$3:$BK$23), R42))), ABS($BK$3:$BK$23 - MEDIAN(MIN($BK$3:$BK$23), MAX($BK$3:$BK$23), R42)), $BL$3:$BL$23, "Error", 0)</f>
        <v>-10</v>
      </c>
      <c r="S71" s="30" cm="1">
        <f t="array" ref="S71">_xlfn.XLOOKUP(MIN(ABS($BK$3:$BK$23 - MEDIAN(MIN($BK$3:$BK$23), MAX($BK$3:$BK$23), S42))), ABS($BK$3:$BK$23 - MEDIAN(MIN($BK$3:$BK$23), MAX($BK$3:$BK$23), S42)), $BL$3:$BL$23, "Error", 0)</f>
        <v>-10</v>
      </c>
      <c r="T71" s="30" cm="1">
        <f t="array" ref="T71">_xlfn.XLOOKUP(MIN(ABS($BK$3:$BK$23 - MEDIAN(MIN($BK$3:$BK$23), MAX($BK$3:$BK$23), T42))), ABS($BK$3:$BK$23 - MEDIAN(MIN($BK$3:$BK$23), MAX($BK$3:$BK$23), T42)), $BL$3:$BL$23, "Error", 0)</f>
        <v>-10</v>
      </c>
      <c r="U71" s="30" cm="1">
        <f t="array" ref="U71">_xlfn.XLOOKUP(MIN(ABS($BK$3:$BK$23 - MEDIAN(MIN($BK$3:$BK$23), MAX($BK$3:$BK$23), U42))), ABS($BK$3:$BK$23 - MEDIAN(MIN($BK$3:$BK$23), MAX($BK$3:$BK$23), U42)), $BL$3:$BL$23, "Error", 0)</f>
        <v>-10</v>
      </c>
      <c r="V71" s="30" cm="1">
        <f t="array" ref="V71">_xlfn.XLOOKUP(MIN(ABS($BK$3:$BK$23 - MEDIAN(MIN($BK$3:$BK$23), MAX($BK$3:$BK$23), V42))), ABS($BK$3:$BK$23 - MEDIAN(MIN($BK$3:$BK$23), MAX($BK$3:$BK$23), V42)), $BL$3:$BL$23, "Error", 0)</f>
        <v>-10</v>
      </c>
      <c r="W71" s="30" cm="1">
        <f t="array" ref="W71">_xlfn.XLOOKUP(MIN(ABS($BK$3:$BK$23 - MEDIAN(MIN($BK$3:$BK$23), MAX($BK$3:$BK$23), W42))), ABS($BK$3:$BK$23 - MEDIAN(MIN($BK$3:$BK$23), MAX($BK$3:$BK$23), W42)), $BL$3:$BL$23, "Error", 0)</f>
        <v>-10</v>
      </c>
      <c r="X71" s="30" cm="1">
        <f t="array" ref="X71">_xlfn.XLOOKUP(MIN(ABS($BK$3:$BK$23 - MEDIAN(MIN($BK$3:$BK$23), MAX($BK$3:$BK$23), X42))), ABS($BK$3:$BK$23 - MEDIAN(MIN($BK$3:$BK$23), MAX($BK$3:$BK$23), X42)), $BL$3:$BL$23, "Error", 0)</f>
        <v>-10</v>
      </c>
      <c r="Y71" s="30" cm="1">
        <f t="array" ref="Y71">_xlfn.XLOOKUP(MIN(ABS($BK$3:$BK$23 - MEDIAN(MIN($BK$3:$BK$23), MAX($BK$3:$BK$23), Y42))), ABS($BK$3:$BK$23 - MEDIAN(MIN($BK$3:$BK$23), MAX($BK$3:$BK$23), Y42)), $BL$3:$BL$23, "Error", 0)</f>
        <v>-10</v>
      </c>
      <c r="Z71" s="30" cm="1">
        <f t="array" ref="Z71">_xlfn.XLOOKUP(MIN(ABS($BK$3:$BK$23 - MEDIAN(MIN($BK$3:$BK$23), MAX($BK$3:$BK$23), Z42))), ABS($BK$3:$BK$23 - MEDIAN(MIN($BK$3:$BK$23), MAX($BK$3:$BK$23), Z42)), $BL$3:$BL$23, "Error", 0)</f>
        <v>-10</v>
      </c>
      <c r="AA71" s="30" cm="1">
        <f t="array" ref="AA71">_xlfn.XLOOKUP(MIN(ABS($BK$3:$BK$23 - MEDIAN(MIN($BK$3:$BK$23), MAX($BK$3:$BK$23), AA42))), ABS($BK$3:$BK$23 - MEDIAN(MIN($BK$3:$BK$23), MAX($BK$3:$BK$23), AA42)), $BL$3:$BL$23, "Error", 0)</f>
        <v>-10</v>
      </c>
      <c r="AB71" s="30" cm="1">
        <f t="array" ref="AB71">_xlfn.XLOOKUP(MIN(ABS($BK$3:$BK$23 - MEDIAN(MIN($BK$3:$BK$23), MAX($BK$3:$BK$23), AB42))), ABS($BK$3:$BK$23 - MEDIAN(MIN($BK$3:$BK$23), MAX($BK$3:$BK$23), AB42)), $BL$3:$BL$23, "Error", 0)</f>
        <v>-8</v>
      </c>
      <c r="AC71" s="30" cm="1">
        <f t="array" ref="AC71">_xlfn.XLOOKUP(MIN(ABS($BK$3:$BK$23 - MEDIAN(MIN($BK$3:$BK$23), MAX($BK$3:$BK$23), AC42))), ABS($BK$3:$BK$23 - MEDIAN(MIN($BK$3:$BK$23), MAX($BK$3:$BK$23), AC42)), $BL$3:$BL$23, "Error", 0)</f>
        <v>-10</v>
      </c>
      <c r="AD71" s="30" cm="1">
        <f t="array" ref="AD71">_xlfn.XLOOKUP(MIN(ABS($BK$3:$BK$23 - MEDIAN(MIN($BK$3:$BK$23), MAX($BK$3:$BK$23), AD42))), ABS($BK$3:$BK$23 - MEDIAN(MIN($BK$3:$BK$23), MAX($BK$3:$BK$23), AD42)), $BL$3:$BL$23, "Error", 0)</f>
        <v>-7</v>
      </c>
      <c r="AE71" s="30" cm="1">
        <f t="array" ref="AE71">_xlfn.XLOOKUP(MIN(ABS($BK$3:$BK$23 - MEDIAN(MIN($BK$3:$BK$23), MAX($BK$3:$BK$23), AE42))), ABS($BK$3:$BK$23 - MEDIAN(MIN($BK$3:$BK$23), MAX($BK$3:$BK$23), AE42)), $BL$3:$BL$23, "Error", 0)</f>
        <v>-10</v>
      </c>
      <c r="AF71" s="30" cm="1">
        <f t="array" ref="AF71">_xlfn.XLOOKUP(MIN(ABS($BK$3:$BK$23 - MEDIAN(MIN($BK$3:$BK$23), MAX($BK$3:$BK$23), AF42))), ABS($BK$3:$BK$23 - MEDIAN(MIN($BK$3:$BK$23), MAX($BK$3:$BK$23), AF42)), $BL$3:$BL$23, "Error", 0)</f>
        <v>-3</v>
      </c>
      <c r="AG71" s="30" cm="1">
        <f t="array" ref="AG71">_xlfn.XLOOKUP(MIN(ABS($BK$3:$BK$23 - MEDIAN(MIN($BK$3:$BK$23), MAX($BK$3:$BK$23), AG42))), ABS($BK$3:$BK$23 - MEDIAN(MIN($BK$3:$BK$23), MAX($BK$3:$BK$23), AG42)), $BL$3:$BL$23, "Error", 0)</f>
        <v>9</v>
      </c>
      <c r="AH71" s="30" cm="1">
        <f t="array" ref="AH71">_xlfn.XLOOKUP(MIN(ABS($BK$3:$BK$23 - MEDIAN(MIN($BK$3:$BK$23), MAX($BK$3:$BK$23), AH42))), ABS($BK$3:$BK$23 - MEDIAN(MIN($BK$3:$BK$23), MAX($BK$3:$BK$23), AH42)), $BL$3:$BL$23, "Error", 0)</f>
        <v>10</v>
      </c>
      <c r="AI71" s="30" cm="1">
        <f t="array" ref="AI71">_xlfn.XLOOKUP(MIN(ABS($BK$3:$BK$23 - MEDIAN(MIN($BK$3:$BK$23), MAX($BK$3:$BK$23), AI42))), ABS($BK$3:$BK$23 - MEDIAN(MIN($BK$3:$BK$23), MAX($BK$3:$BK$23), AI42)), $BL$3:$BL$23, "Error", 0)</f>
        <v>10</v>
      </c>
      <c r="AJ71" s="30" cm="1">
        <f t="array" ref="AJ71">_xlfn.XLOOKUP(MIN(ABS($BK$3:$BK$23 - MEDIAN(MIN($BK$3:$BK$23), MAX($BK$3:$BK$23), AJ42))), ABS($BK$3:$BK$23 - MEDIAN(MIN($BK$3:$BK$23), MAX($BK$3:$BK$23), AJ42)), $BL$3:$BL$23, "Error", 0)</f>
        <v>10</v>
      </c>
      <c r="AK71" s="30" cm="1">
        <f t="array" ref="AK71">_xlfn.XLOOKUP(MIN(ABS($BK$3:$BK$23 - MEDIAN(MIN($BK$3:$BK$23), MAX($BK$3:$BK$23), AK42))), ABS($BK$3:$BK$23 - MEDIAN(MIN($BK$3:$BK$23), MAX($BK$3:$BK$23), AK42)), $BL$3:$BL$23, "Error", 0)</f>
        <v>10</v>
      </c>
      <c r="AL71" s="30" cm="1">
        <f t="array" ref="AL71">_xlfn.XLOOKUP(MIN(ABS($BK$3:$BK$23 - MEDIAN(MIN($BK$3:$BK$23), MAX($BK$3:$BK$23), AL42))), ABS($BK$3:$BK$23 - MEDIAN(MIN($BK$3:$BK$23), MAX($BK$3:$BK$23), AL42)), $BL$3:$BL$23, "Error", 0)</f>
        <v>10</v>
      </c>
      <c r="AM71" s="30" cm="1">
        <f t="array" ref="AM71">_xlfn.XLOOKUP(MIN(ABS($BK$3:$BK$23 - MEDIAN(MIN($BK$3:$BK$23), MAX($BK$3:$BK$23), AM42))), ABS($BK$3:$BK$23 - MEDIAN(MIN($BK$3:$BK$23), MAX($BK$3:$BK$23), AM42)), $BL$3:$BL$23, "Error", 0)</f>
        <v>10</v>
      </c>
      <c r="AN71" s="30" cm="1">
        <f t="array" ref="AN71">_xlfn.XLOOKUP(MIN(ABS($BK$3:$BK$23 - MEDIAN(MIN($BK$3:$BK$23), MAX($BK$3:$BK$23), AN42))), ABS($BK$3:$BK$23 - MEDIAN(MIN($BK$3:$BK$23), MAX($BK$3:$BK$23), AN42)), $BL$3:$BL$23, "Error", 0)</f>
        <v>9</v>
      </c>
      <c r="AO71" s="30" cm="1">
        <f t="array" ref="AO71">_xlfn.XLOOKUP(MIN(ABS($BK$3:$BK$23 - MEDIAN(MIN($BK$3:$BK$23), MAX($BK$3:$BK$23), AO42))), ABS($BK$3:$BK$23 - MEDIAN(MIN($BK$3:$BK$23), MAX($BK$3:$BK$23), AO42)), $BL$3:$BL$23, "Error", 0)</f>
        <v>10</v>
      </c>
      <c r="AP71" s="30" cm="1">
        <f t="array" ref="AP71">_xlfn.XLOOKUP(MIN(ABS($BK$3:$BK$23 - MEDIAN(MIN($BK$3:$BK$23), MAX($BK$3:$BK$23), AP42))), ABS($BK$3:$BK$23 - MEDIAN(MIN($BK$3:$BK$23), MAX($BK$3:$BK$23), AP42)), $BL$3:$BL$23, "Error", 0)</f>
        <v>10</v>
      </c>
      <c r="AQ71" s="30" cm="1">
        <f t="array" ref="AQ71">_xlfn.XLOOKUP(MIN(ABS($BK$3:$BK$23 - MEDIAN(MIN($BK$3:$BK$23), MAX($BK$3:$BK$23), AQ42))), ABS($BK$3:$BK$23 - MEDIAN(MIN($BK$3:$BK$23), MAX($BK$3:$BK$23), AQ42)), $BL$3:$BL$23, "Error", 0)</f>
        <v>10</v>
      </c>
      <c r="AR71" s="30" cm="1">
        <f t="array" ref="AR71">_xlfn.XLOOKUP(MIN(ABS($BK$3:$BK$23 - MEDIAN(MIN($BK$3:$BK$23), MAX($BK$3:$BK$23), AR42))), ABS($BK$3:$BK$23 - MEDIAN(MIN($BK$3:$BK$23), MAX($BK$3:$BK$23), AR42)), $BL$3:$BL$23, "Error", 0)</f>
        <v>10</v>
      </c>
      <c r="AS71" s="30" cm="1">
        <f t="array" ref="AS71">_xlfn.XLOOKUP(MIN(ABS($BK$3:$BK$23 - MEDIAN(MIN($BK$3:$BK$23), MAX($BK$3:$BK$23), AS42))), ABS($BK$3:$BK$23 - MEDIAN(MIN($BK$3:$BK$23), MAX($BK$3:$BK$23), AS42)), $BL$3:$BL$23, "Error", 0)</f>
        <v>10</v>
      </c>
      <c r="AT71" s="30" cm="1">
        <f t="array" ref="AT71">_xlfn.XLOOKUP(MIN(ABS($BK$3:$BK$23 - MEDIAN(MIN($BK$3:$BK$23), MAX($BK$3:$BK$23), AT42))), ABS($BK$3:$BK$23 - MEDIAN(MIN($BK$3:$BK$23), MAX($BK$3:$BK$23), AT42)), $BL$3:$BL$23, "Error", 0)</f>
        <v>10</v>
      </c>
      <c r="AU71" s="30" cm="1">
        <f t="array" ref="AU71">_xlfn.XLOOKUP(MIN(ABS($BK$3:$BK$23 - MEDIAN(MIN($BK$3:$BK$23), MAX($BK$3:$BK$23), AU42))), ABS($BK$3:$BK$23 - MEDIAN(MIN($BK$3:$BK$23), MAX($BK$3:$BK$23), AU42)), $BL$3:$BL$23, "Error", 0)</f>
        <v>10</v>
      </c>
      <c r="AV71" s="30" cm="1">
        <f t="array" ref="AV71">_xlfn.XLOOKUP(MIN(ABS($BK$3:$BK$23 - MEDIAN(MIN($BK$3:$BK$23), MAX($BK$3:$BK$23), AV42))), ABS($BK$3:$BK$23 - MEDIAN(MIN($BK$3:$BK$23), MAX($BK$3:$BK$23), AV42)), $BL$3:$BL$23, "Error", 0)</f>
        <v>10</v>
      </c>
      <c r="AW71" s="30" cm="1">
        <f t="array" ref="AW71">_xlfn.XLOOKUP(MIN(ABS($BK$3:$BK$23 - MEDIAN(MIN($BK$3:$BK$23), MAX($BK$3:$BK$23), AW42))), ABS($BK$3:$BK$23 - MEDIAN(MIN($BK$3:$BK$23), MAX($BK$3:$BK$23), AW42)), $BL$3:$BL$23, "Error", 0)</f>
        <v>10</v>
      </c>
      <c r="AX71" s="30" cm="1">
        <f t="array" ref="AX71">_xlfn.XLOOKUP(MIN(ABS($BK$3:$BK$23 - MEDIAN(MIN($BK$3:$BK$23), MAX($BK$3:$BK$23), AX42))), ABS($BK$3:$BK$23 - MEDIAN(MIN($BK$3:$BK$23), MAX($BK$3:$BK$23), AX42)), $BL$3:$BL$23, "Error", 0)</f>
        <v>10</v>
      </c>
      <c r="AY71" s="30" cm="1">
        <f t="array" ref="AY71">_xlfn.XLOOKUP(MIN(ABS($BK$3:$BK$23 - MEDIAN(MIN($BK$3:$BK$23), MAX($BK$3:$BK$23), AY42))), ABS($BK$3:$BK$23 - MEDIAN(MIN($BK$3:$BK$23), MAX($BK$3:$BK$23), AY42)), $BL$3:$BL$23, "Error", 0)</f>
        <v>10</v>
      </c>
      <c r="AZ71" s="30" cm="1">
        <f t="array" ref="AZ71">_xlfn.XLOOKUP(MIN(ABS($BK$3:$BK$23 - MEDIAN(MIN($BK$3:$BK$23), MAX($BK$3:$BK$23), AZ42))), ABS($BK$3:$BK$23 - MEDIAN(MIN($BK$3:$BK$23), MAX($BK$3:$BK$23), AZ42)), $BL$3:$BL$23, "Error", 0)</f>
        <v>10</v>
      </c>
      <c r="BA71" s="30" cm="1">
        <f t="array" ref="BA71">_xlfn.XLOOKUP(MIN(ABS($BK$3:$BK$23 - MEDIAN(MIN($BK$3:$BK$23), MAX($BK$3:$BK$23), BA42))), ABS($BK$3:$BK$23 - MEDIAN(MIN($BK$3:$BK$23), MAX($BK$3:$BK$23), BA42)), $BL$3:$BL$23, "Error", 0)</f>
        <v>10</v>
      </c>
      <c r="BB71" s="30" cm="1">
        <f t="array" ref="BB71">_xlfn.XLOOKUP(MIN(ABS($BK$3:$BK$23 - MEDIAN(MIN($BK$3:$BK$23), MAX($BK$3:$BK$23), BB42))), ABS($BK$3:$BK$23 - MEDIAN(MIN($BK$3:$BK$23), MAX($BK$3:$BK$23), BB42)), $BL$3:$BL$23, "Error", 0)</f>
        <v>10</v>
      </c>
      <c r="BC71" s="30" cm="1">
        <f t="array" ref="BC71">_xlfn.XLOOKUP(MIN(ABS($BK$3:$BK$23 - MEDIAN(MIN($BK$3:$BK$23), MAX($BK$3:$BK$23), BC42))), ABS($BK$3:$BK$23 - MEDIAN(MIN($BK$3:$BK$23), MAX($BK$3:$BK$23), BC42)), $BL$3:$BL$23, "Error", 0)</f>
        <v>10</v>
      </c>
      <c r="BD71" s="30" cm="1">
        <f t="array" ref="BD71">_xlfn.XLOOKUP(MIN(ABS($BK$3:$BK$23 - MEDIAN(MIN($BK$3:$BK$23), MAX($BK$3:$BK$23), BD42))), ABS($BK$3:$BK$23 - MEDIAN(MIN($BK$3:$BK$23), MAX($BK$3:$BK$23), BD42)), $BL$3:$BL$23, "Error", 0)</f>
        <v>10</v>
      </c>
      <c r="BE71" s="30" cm="1">
        <f t="array" ref="BE71">_xlfn.XLOOKUP(MIN(ABS($BK$3:$BK$23 - MEDIAN(MIN($BK$3:$BK$23), MAX($BK$3:$BK$23), BE42))), ABS($BK$3:$BK$23 - MEDIAN(MIN($BK$3:$BK$23), MAX($BK$3:$BK$23), BE42)), $BL$3:$BL$23, "Error", 0)</f>
        <v>10</v>
      </c>
      <c r="BF71" s="30" cm="1">
        <f t="array" ref="BF71">_xlfn.XLOOKUP(MIN(ABS($BK$3:$BK$23 - MEDIAN(MIN($BK$3:$BK$23), MAX($BK$3:$BK$23), BF42))), ABS($BK$3:$BK$23 - MEDIAN(MIN($BK$3:$BK$23), MAX($BK$3:$BK$23), BF42)), $BL$3:$BL$23, "Error", 0)</f>
        <v>10</v>
      </c>
      <c r="BG71" s="30" cm="1">
        <f t="array" ref="BG71">_xlfn.XLOOKUP(MIN(ABS($BK$3:$BK$23 - MEDIAN(MIN($BK$3:$BK$23), MAX($BK$3:$BK$23), BG42))), ABS($BK$3:$BK$23 - MEDIAN(MIN($BK$3:$BK$23), MAX($BK$3:$BK$23), BG42)), $BL$3:$BL$23, "Error", 0)</f>
        <v>10</v>
      </c>
      <c r="BH71" s="30" cm="1">
        <f t="array" ref="BH71">_xlfn.XLOOKUP(MIN(ABS($BK$3:$BK$23 - MEDIAN(MIN($BK$3:$BK$23), MAX($BK$3:$BK$23), BH42))), ABS($BK$3:$BK$23 - MEDIAN(MIN($BK$3:$BK$23), MAX($BK$3:$BK$23), BH42)), $BL$3:$BL$23, "Error", 0)</f>
        <v>10</v>
      </c>
      <c r="BI71" s="30" cm="1">
        <f t="array" ref="BI71">_xlfn.XLOOKUP(MIN(ABS($BK$3:$BK$23 - MEDIAN(MIN($BK$3:$BK$23), MAX($BK$3:$BK$23), BI42))), ABS($BK$3:$BK$23 - MEDIAN(MIN($BK$3:$BK$23), MAX($BK$3:$BK$23), BI42)), $BL$3:$BL$23, "Error", 0)</f>
        <v>10</v>
      </c>
    </row>
    <row r="72" spans="1:61" ht="25" customHeight="1">
      <c r="A72" s="46" t="s">
        <v>49</v>
      </c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30" cm="1">
        <f t="array" ref="N72">_xlfn.XLOOKUP(MIN(ABS($BK$3:$BK$23 - MEDIAN(MIN($BK$3:$BK$23), MAX($BK$3:$BK$23), N43))), ABS($BK$3:$BK$23 - MEDIAN(MIN($BK$3:$BK$23), MAX($BK$3:$BK$23), N43)), $BL$3:$BL$23, "Error", 0)</f>
        <v>-4</v>
      </c>
      <c r="O72" s="30" cm="1">
        <f t="array" ref="O72">_xlfn.XLOOKUP(MIN(ABS($BK$3:$BK$23 - MEDIAN(MIN($BK$3:$BK$23), MAX($BK$3:$BK$23), O43))), ABS($BK$3:$BK$23 - MEDIAN(MIN($BK$3:$BK$23), MAX($BK$3:$BK$23), O43)), $BL$3:$BL$23, "Error", 0)</f>
        <v>1</v>
      </c>
      <c r="P72" s="30" cm="1">
        <f t="array" ref="P72">_xlfn.XLOOKUP(MIN(ABS($BK$3:$BK$23 - MEDIAN(MIN($BK$3:$BK$23), MAX($BK$3:$BK$23), P43))), ABS($BK$3:$BK$23 - MEDIAN(MIN($BK$3:$BK$23), MAX($BK$3:$BK$23), P43)), $BL$3:$BL$23, "Error", 0)</f>
        <v>-3</v>
      </c>
      <c r="Q72" s="30" cm="1">
        <f t="array" ref="Q72">_xlfn.XLOOKUP(MIN(ABS($BK$3:$BK$23 - MEDIAN(MIN($BK$3:$BK$23), MAX($BK$3:$BK$23), Q43))), ABS($BK$3:$BK$23 - MEDIAN(MIN($BK$3:$BK$23), MAX($BK$3:$BK$23), Q43)), $BL$3:$BL$23, "Error", 0)</f>
        <v>1</v>
      </c>
      <c r="R72" s="30" cm="1">
        <f t="array" ref="R72">_xlfn.XLOOKUP(MIN(ABS($BK$3:$BK$23 - MEDIAN(MIN($BK$3:$BK$23), MAX($BK$3:$BK$23), R43))), ABS($BK$3:$BK$23 - MEDIAN(MIN($BK$3:$BK$23), MAX($BK$3:$BK$23), R43)), $BL$3:$BL$23, "Error", 0)</f>
        <v>3</v>
      </c>
      <c r="S72" s="30" cm="1">
        <f t="array" ref="S72">_xlfn.XLOOKUP(MIN(ABS($BK$3:$BK$23 - MEDIAN(MIN($BK$3:$BK$23), MAX($BK$3:$BK$23), S43))), ABS($BK$3:$BK$23 - MEDIAN(MIN($BK$3:$BK$23), MAX($BK$3:$BK$23), S43)), $BL$3:$BL$23, "Error", 0)</f>
        <v>4</v>
      </c>
      <c r="T72" s="30" cm="1">
        <f t="array" ref="T72">_xlfn.XLOOKUP(MIN(ABS($BK$3:$BK$23 - MEDIAN(MIN($BK$3:$BK$23), MAX($BK$3:$BK$23), T43))), ABS($BK$3:$BK$23 - MEDIAN(MIN($BK$3:$BK$23), MAX($BK$3:$BK$23), T43)), $BL$3:$BL$23, "Error", 0)</f>
        <v>7</v>
      </c>
      <c r="U72" s="30" cm="1">
        <f t="array" ref="U72">_xlfn.XLOOKUP(MIN(ABS($BK$3:$BK$23 - MEDIAN(MIN($BK$3:$BK$23), MAX($BK$3:$BK$23), U43))), ABS($BK$3:$BK$23 - MEDIAN(MIN($BK$3:$BK$23), MAX($BK$3:$BK$23), U43)), $BL$3:$BL$23, "Error", 0)</f>
        <v>6</v>
      </c>
      <c r="V72" s="30" cm="1">
        <f t="array" ref="V72">_xlfn.XLOOKUP(MIN(ABS($BK$3:$BK$23 - MEDIAN(MIN($BK$3:$BK$23), MAX($BK$3:$BK$23), V43))), ABS($BK$3:$BK$23 - MEDIAN(MIN($BK$3:$BK$23), MAX($BK$3:$BK$23), V43)), $BL$3:$BL$23, "Error", 0)</f>
        <v>10</v>
      </c>
      <c r="W72" s="30" cm="1">
        <f t="array" ref="W72">_xlfn.XLOOKUP(MIN(ABS($BK$3:$BK$23 - MEDIAN(MIN($BK$3:$BK$23), MAX($BK$3:$BK$23), W43))), ABS($BK$3:$BK$23 - MEDIAN(MIN($BK$3:$BK$23), MAX($BK$3:$BK$23), W43)), $BL$3:$BL$23, "Error", 0)</f>
        <v>8</v>
      </c>
      <c r="X72" s="30" cm="1">
        <f t="array" ref="X72">_xlfn.XLOOKUP(MIN(ABS($BK$3:$BK$23 - MEDIAN(MIN($BK$3:$BK$23), MAX($BK$3:$BK$23), X43))), ABS($BK$3:$BK$23 - MEDIAN(MIN($BK$3:$BK$23), MAX($BK$3:$BK$23), X43)), $BL$3:$BL$23, "Error", 0)</f>
        <v>5</v>
      </c>
      <c r="Y72" s="30" cm="1">
        <f t="array" ref="Y72">_xlfn.XLOOKUP(MIN(ABS($BK$3:$BK$23 - MEDIAN(MIN($BK$3:$BK$23), MAX($BK$3:$BK$23), Y43))), ABS($BK$3:$BK$23 - MEDIAN(MIN($BK$3:$BK$23), MAX($BK$3:$BK$23), Y43)), $BL$3:$BL$23, "Error", 0)</f>
        <v>5</v>
      </c>
      <c r="Z72" s="30" cm="1">
        <f t="array" ref="Z72">_xlfn.XLOOKUP(MIN(ABS($BK$3:$BK$23 - MEDIAN(MIN($BK$3:$BK$23), MAX($BK$3:$BK$23), Z43))), ABS($BK$3:$BK$23 - MEDIAN(MIN($BK$3:$BK$23), MAX($BK$3:$BK$23), Z43)), $BL$3:$BL$23, "Error", 0)</f>
        <v>4</v>
      </c>
      <c r="AA72" s="30" cm="1">
        <f t="array" ref="AA72">_xlfn.XLOOKUP(MIN(ABS($BK$3:$BK$23 - MEDIAN(MIN($BK$3:$BK$23), MAX($BK$3:$BK$23), AA43))), ABS($BK$3:$BK$23 - MEDIAN(MIN($BK$3:$BK$23), MAX($BK$3:$BK$23), AA43)), $BL$3:$BL$23, "Error", 0)</f>
        <v>-1</v>
      </c>
      <c r="AB72" s="30" cm="1">
        <f t="array" ref="AB72">_xlfn.XLOOKUP(MIN(ABS($BK$3:$BK$23 - MEDIAN(MIN($BK$3:$BK$23), MAX($BK$3:$BK$23), AB43))), ABS($BK$3:$BK$23 - MEDIAN(MIN($BK$3:$BK$23), MAX($BK$3:$BK$23), AB43)), $BL$3:$BL$23, "Error", 0)</f>
        <v>0</v>
      </c>
      <c r="AC72" s="30" cm="1">
        <f t="array" ref="AC72">_xlfn.XLOOKUP(MIN(ABS($BK$3:$BK$23 - MEDIAN(MIN($BK$3:$BK$23), MAX($BK$3:$BK$23), AC43))), ABS($BK$3:$BK$23 - MEDIAN(MIN($BK$3:$BK$23), MAX($BK$3:$BK$23), AC43)), $BL$3:$BL$23, "Error", 0)</f>
        <v>-3</v>
      </c>
      <c r="AD72" s="30" cm="1">
        <f t="array" ref="AD72">_xlfn.XLOOKUP(MIN(ABS($BK$3:$BK$23 - MEDIAN(MIN($BK$3:$BK$23), MAX($BK$3:$BK$23), AD43))), ABS($BK$3:$BK$23 - MEDIAN(MIN($BK$3:$BK$23), MAX($BK$3:$BK$23), AD43)), $BL$3:$BL$23, "Error", 0)</f>
        <v>-3</v>
      </c>
      <c r="AE72" s="30" cm="1">
        <f t="array" ref="AE72">_xlfn.XLOOKUP(MIN(ABS($BK$3:$BK$23 - MEDIAN(MIN($BK$3:$BK$23), MAX($BK$3:$BK$23), AE43))), ABS($BK$3:$BK$23 - MEDIAN(MIN($BK$3:$BK$23), MAX($BK$3:$BK$23), AE43)), $BL$3:$BL$23, "Error", 0)</f>
        <v>-5</v>
      </c>
      <c r="AF72" s="30" cm="1">
        <f t="array" ref="AF72">_xlfn.XLOOKUP(MIN(ABS($BK$3:$BK$23 - MEDIAN(MIN($BK$3:$BK$23), MAX($BK$3:$BK$23), AF43))), ABS($BK$3:$BK$23 - MEDIAN(MIN($BK$3:$BK$23), MAX($BK$3:$BK$23), AF43)), $BL$3:$BL$23, "Error", 0)</f>
        <v>-4</v>
      </c>
      <c r="AG72" s="30" cm="1">
        <f t="array" ref="AG72">_xlfn.XLOOKUP(MIN(ABS($BK$3:$BK$23 - MEDIAN(MIN($BK$3:$BK$23), MAX($BK$3:$BK$23), AG43))), ABS($BK$3:$BK$23 - MEDIAN(MIN($BK$3:$BK$23), MAX($BK$3:$BK$23), AG43)), $BL$3:$BL$23, "Error", 0)</f>
        <v>-4</v>
      </c>
      <c r="AH72" s="30" cm="1">
        <f t="array" ref="AH72">_xlfn.XLOOKUP(MIN(ABS($BK$3:$BK$23 - MEDIAN(MIN($BK$3:$BK$23), MAX($BK$3:$BK$23), AH43))), ABS($BK$3:$BK$23 - MEDIAN(MIN($BK$3:$BK$23), MAX($BK$3:$BK$23), AH43)), $BL$3:$BL$23, "Error", 0)</f>
        <v>-7</v>
      </c>
      <c r="AI72" s="30" cm="1">
        <f t="array" ref="AI72">_xlfn.XLOOKUP(MIN(ABS($BK$3:$BK$23 - MEDIAN(MIN($BK$3:$BK$23), MAX($BK$3:$BK$23), AI43))), ABS($BK$3:$BK$23 - MEDIAN(MIN($BK$3:$BK$23), MAX($BK$3:$BK$23), AI43)), $BL$3:$BL$23, "Error", 0)</f>
        <v>-5</v>
      </c>
      <c r="AJ72" s="30" cm="1">
        <f t="array" ref="AJ72">_xlfn.XLOOKUP(MIN(ABS($BK$3:$BK$23 - MEDIAN(MIN($BK$3:$BK$23), MAX($BK$3:$BK$23), AJ43))), ABS($BK$3:$BK$23 - MEDIAN(MIN($BK$3:$BK$23), MAX($BK$3:$BK$23), AJ43)), $BL$3:$BL$23, "Error", 0)</f>
        <v>-3</v>
      </c>
      <c r="AK72" s="30" cm="1">
        <f t="array" ref="AK72">_xlfn.XLOOKUP(MIN(ABS($BK$3:$BK$23 - MEDIAN(MIN($BK$3:$BK$23), MAX($BK$3:$BK$23), AK43))), ABS($BK$3:$BK$23 - MEDIAN(MIN($BK$3:$BK$23), MAX($BK$3:$BK$23), AK43)), $BL$3:$BL$23, "Error", 0)</f>
        <v>-2</v>
      </c>
      <c r="AL72" s="30" cm="1">
        <f t="array" ref="AL72">_xlfn.XLOOKUP(MIN(ABS($BK$3:$BK$23 - MEDIAN(MIN($BK$3:$BK$23), MAX($BK$3:$BK$23), AL43))), ABS($BK$3:$BK$23 - MEDIAN(MIN($BK$3:$BK$23), MAX($BK$3:$BK$23), AL43)), $BL$3:$BL$23, "Error", 0)</f>
        <v>-1</v>
      </c>
      <c r="AM72" s="30" cm="1">
        <f t="array" ref="AM72">_xlfn.XLOOKUP(MIN(ABS($BK$3:$BK$23 - MEDIAN(MIN($BK$3:$BK$23), MAX($BK$3:$BK$23), AM43))), ABS($BK$3:$BK$23 - MEDIAN(MIN($BK$3:$BK$23), MAX($BK$3:$BK$23), AM43)), $BL$3:$BL$23, "Error", 0)</f>
        <v>-2</v>
      </c>
      <c r="AN72" s="30" cm="1">
        <f t="array" ref="AN72">_xlfn.XLOOKUP(MIN(ABS($BK$3:$BK$23 - MEDIAN(MIN($BK$3:$BK$23), MAX($BK$3:$BK$23), AN43))), ABS($BK$3:$BK$23 - MEDIAN(MIN($BK$3:$BK$23), MAX($BK$3:$BK$23), AN43)), $BL$3:$BL$23, "Error", 0)</f>
        <v>-2</v>
      </c>
      <c r="AO72" s="30" cm="1">
        <f t="array" ref="AO72">_xlfn.XLOOKUP(MIN(ABS($BK$3:$BK$23 - MEDIAN(MIN($BK$3:$BK$23), MAX($BK$3:$BK$23), AO43))), ABS($BK$3:$BK$23 - MEDIAN(MIN($BK$3:$BK$23), MAX($BK$3:$BK$23), AO43)), $BL$3:$BL$23, "Error", 0)</f>
        <v>-2</v>
      </c>
      <c r="AP72" s="30" cm="1">
        <f t="array" ref="AP72">_xlfn.XLOOKUP(MIN(ABS($BK$3:$BK$23 - MEDIAN(MIN($BK$3:$BK$23), MAX($BK$3:$BK$23), AP43))), ABS($BK$3:$BK$23 - MEDIAN(MIN($BK$3:$BK$23), MAX($BK$3:$BK$23), AP43)), $BL$3:$BL$23, "Error", 0)</f>
        <v>-2</v>
      </c>
      <c r="AQ72" s="30" cm="1">
        <f t="array" ref="AQ72">_xlfn.XLOOKUP(MIN(ABS($BK$3:$BK$23 - MEDIAN(MIN($BK$3:$BK$23), MAX($BK$3:$BK$23), AQ43))), ABS($BK$3:$BK$23 - MEDIAN(MIN($BK$3:$BK$23), MAX($BK$3:$BK$23), AQ43)), $BL$3:$BL$23, "Error", 0)</f>
        <v>0</v>
      </c>
      <c r="AR72" s="30" cm="1">
        <f t="array" ref="AR72">_xlfn.XLOOKUP(MIN(ABS($BK$3:$BK$23 - MEDIAN(MIN($BK$3:$BK$23), MAX($BK$3:$BK$23), AR43))), ABS($BK$3:$BK$23 - MEDIAN(MIN($BK$3:$BK$23), MAX($BK$3:$BK$23), AR43)), $BL$3:$BL$23, "Error", 0)</f>
        <v>-1</v>
      </c>
      <c r="AS72" s="30" cm="1">
        <f t="array" ref="AS72">_xlfn.XLOOKUP(MIN(ABS($BK$3:$BK$23 - MEDIAN(MIN($BK$3:$BK$23), MAX($BK$3:$BK$23), AS43))), ABS($BK$3:$BK$23 - MEDIAN(MIN($BK$3:$BK$23), MAX($BK$3:$BK$23), AS43)), $BL$3:$BL$23, "Error", 0)</f>
        <v>-2</v>
      </c>
      <c r="AT72" s="30" cm="1">
        <f t="array" ref="AT72">_xlfn.XLOOKUP(MIN(ABS($BK$3:$BK$23 - MEDIAN(MIN($BK$3:$BK$23), MAX($BK$3:$BK$23), AT43))), ABS($BK$3:$BK$23 - MEDIAN(MIN($BK$3:$BK$23), MAX($BK$3:$BK$23), AT43)), $BL$3:$BL$23, "Error", 0)</f>
        <v>-2</v>
      </c>
      <c r="AU72" s="30" cm="1">
        <f t="array" ref="AU72">_xlfn.XLOOKUP(MIN(ABS($BK$3:$BK$23 - MEDIAN(MIN($BK$3:$BK$23), MAX($BK$3:$BK$23), AU43))), ABS($BK$3:$BK$23 - MEDIAN(MIN($BK$3:$BK$23), MAX($BK$3:$BK$23), AU43)), $BL$3:$BL$23, "Error", 0)</f>
        <v>-3</v>
      </c>
      <c r="AV72" s="30" cm="1">
        <f t="array" ref="AV72">_xlfn.XLOOKUP(MIN(ABS($BK$3:$BK$23 - MEDIAN(MIN($BK$3:$BK$23), MAX($BK$3:$BK$23), AV43))), ABS($BK$3:$BK$23 - MEDIAN(MIN($BK$3:$BK$23), MAX($BK$3:$BK$23), AV43)), $BL$3:$BL$23, "Error", 0)</f>
        <v>-3</v>
      </c>
      <c r="AW72" s="30" cm="1">
        <f t="array" ref="AW72">_xlfn.XLOOKUP(MIN(ABS($BK$3:$BK$23 - MEDIAN(MIN($BK$3:$BK$23), MAX($BK$3:$BK$23), AW43))), ABS($BK$3:$BK$23 - MEDIAN(MIN($BK$3:$BK$23), MAX($BK$3:$BK$23), AW43)), $BL$3:$BL$23, "Error", 0)</f>
        <v>-5</v>
      </c>
      <c r="AX72" s="30" cm="1">
        <f t="array" ref="AX72">_xlfn.XLOOKUP(MIN(ABS($BK$3:$BK$23 - MEDIAN(MIN($BK$3:$BK$23), MAX($BK$3:$BK$23), AX43))), ABS($BK$3:$BK$23 - MEDIAN(MIN($BK$3:$BK$23), MAX($BK$3:$BK$23), AX43)), $BL$3:$BL$23, "Error", 0)</f>
        <v>-10</v>
      </c>
      <c r="AY72" s="30" cm="1">
        <f t="array" ref="AY72">_xlfn.XLOOKUP(MIN(ABS($BK$3:$BK$23 - MEDIAN(MIN($BK$3:$BK$23), MAX($BK$3:$BK$23), AY43))), ABS($BK$3:$BK$23 - MEDIAN(MIN($BK$3:$BK$23), MAX($BK$3:$BK$23), AY43)), $BL$3:$BL$23, "Error", 0)</f>
        <v>-8</v>
      </c>
      <c r="AZ72" s="30" cm="1">
        <f t="array" ref="AZ72">_xlfn.XLOOKUP(MIN(ABS($BK$3:$BK$23 - MEDIAN(MIN($BK$3:$BK$23), MAX($BK$3:$BK$23), AZ43))), ABS($BK$3:$BK$23 - MEDIAN(MIN($BK$3:$BK$23), MAX($BK$3:$BK$23), AZ43)), $BL$3:$BL$23, "Error", 0)</f>
        <v>-10</v>
      </c>
      <c r="BA72" s="30" cm="1">
        <f t="array" ref="BA72">_xlfn.XLOOKUP(MIN(ABS($BK$3:$BK$23 - MEDIAN(MIN($BK$3:$BK$23), MAX($BK$3:$BK$23), BA43))), ABS($BK$3:$BK$23 - MEDIAN(MIN($BK$3:$BK$23), MAX($BK$3:$BK$23), BA43)), $BL$3:$BL$23, "Error", 0)</f>
        <v>-10</v>
      </c>
      <c r="BB72" s="30" cm="1">
        <f t="array" ref="BB72">_xlfn.XLOOKUP(MIN(ABS($BK$3:$BK$23 - MEDIAN(MIN($BK$3:$BK$23), MAX($BK$3:$BK$23), BB43))), ABS($BK$3:$BK$23 - MEDIAN(MIN($BK$3:$BK$23), MAX($BK$3:$BK$23), BB43)), $BL$3:$BL$23, "Error", 0)</f>
        <v>-10</v>
      </c>
      <c r="BC72" s="30" cm="1">
        <f t="array" ref="BC72">_xlfn.XLOOKUP(MIN(ABS($BK$3:$BK$23 - MEDIAN(MIN($BK$3:$BK$23), MAX($BK$3:$BK$23), BC43))), ABS($BK$3:$BK$23 - MEDIAN(MIN($BK$3:$BK$23), MAX($BK$3:$BK$23), BC43)), $BL$3:$BL$23, "Error", 0)</f>
        <v>-7</v>
      </c>
      <c r="BD72" s="30" cm="1">
        <f t="array" ref="BD72">_xlfn.XLOOKUP(MIN(ABS($BK$3:$BK$23 - MEDIAN(MIN($BK$3:$BK$23), MAX($BK$3:$BK$23), BD43))), ABS($BK$3:$BK$23 - MEDIAN(MIN($BK$3:$BK$23), MAX($BK$3:$BK$23), BD43)), $BL$3:$BL$23, "Error", 0)</f>
        <v>-8</v>
      </c>
      <c r="BE72" s="30" cm="1">
        <f t="array" ref="BE72">_xlfn.XLOOKUP(MIN(ABS($BK$3:$BK$23 - MEDIAN(MIN($BK$3:$BK$23), MAX($BK$3:$BK$23), BE43))), ABS($BK$3:$BK$23 - MEDIAN(MIN($BK$3:$BK$23), MAX($BK$3:$BK$23), BE43)), $BL$3:$BL$23, "Error", 0)</f>
        <v>-8</v>
      </c>
      <c r="BF72" s="30" cm="1">
        <f t="array" ref="BF72">_xlfn.XLOOKUP(MIN(ABS($BK$3:$BK$23 - MEDIAN(MIN($BK$3:$BK$23), MAX($BK$3:$BK$23), BF43))), ABS($BK$3:$BK$23 - MEDIAN(MIN($BK$3:$BK$23), MAX($BK$3:$BK$23), BF43)), $BL$3:$BL$23, "Error", 0)</f>
        <v>-7</v>
      </c>
      <c r="BG72" s="30" cm="1">
        <f t="array" ref="BG72">_xlfn.XLOOKUP(MIN(ABS($BK$3:$BK$23 - MEDIAN(MIN($BK$3:$BK$23), MAX($BK$3:$BK$23), BG43))), ABS($BK$3:$BK$23 - MEDIAN(MIN($BK$3:$BK$23), MAX($BK$3:$BK$23), BG43)), $BL$3:$BL$23, "Error", 0)</f>
        <v>10</v>
      </c>
      <c r="BH72" s="30" cm="1">
        <f t="array" ref="BH72">_xlfn.XLOOKUP(MIN(ABS($BK$3:$BK$23 - MEDIAN(MIN($BK$3:$BK$23), MAX($BK$3:$BK$23), BH43))), ABS($BK$3:$BK$23 - MEDIAN(MIN($BK$3:$BK$23), MAX($BK$3:$BK$23), BH43)), $BL$3:$BL$23, "Error", 0)</f>
        <v>10</v>
      </c>
      <c r="BI72" s="30" cm="1">
        <f t="array" ref="BI72">_xlfn.XLOOKUP(MIN(ABS($BK$3:$BK$23 - MEDIAN(MIN($BK$3:$BK$23), MAX($BK$3:$BK$23), BI43))), ABS($BK$3:$BK$23 - MEDIAN(MIN($BK$3:$BK$23), MAX($BK$3:$BK$23), BI43)), $BL$3:$BL$23, "Error", 0)</f>
        <v>10</v>
      </c>
    </row>
    <row r="73" spans="1:61" ht="25" customHeight="1">
      <c r="A73" s="46" t="s">
        <v>15</v>
      </c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30" cm="1">
        <f t="array" ref="N73">_xlfn.XLOOKUP(MIN(ABS($BK$3:$BK$23 - MEDIAN(MIN($BK$3:$BK$23), MAX($BK$3:$BK$23), N44))), ABS($BK$3:$BK$23 - MEDIAN(MIN($BK$3:$BK$23), MAX($BK$3:$BK$23), N44)), $BL$3:$BL$23, "Error", 0)</f>
        <v>3</v>
      </c>
      <c r="O73" s="30" cm="1">
        <f t="array" ref="O73">_xlfn.XLOOKUP(MIN(ABS($BK$3:$BK$23 - MEDIAN(MIN($BK$3:$BK$23), MAX($BK$3:$BK$23), O44))), ABS($BK$3:$BK$23 - MEDIAN(MIN($BK$3:$BK$23), MAX($BK$3:$BK$23), O44)), $BL$3:$BL$23, "Error", 0)</f>
        <v>10</v>
      </c>
      <c r="P73" s="30" cm="1">
        <f t="array" ref="P73">_xlfn.XLOOKUP(MIN(ABS($BK$3:$BK$23 - MEDIAN(MIN($BK$3:$BK$23), MAX($BK$3:$BK$23), P44))), ABS($BK$3:$BK$23 - MEDIAN(MIN($BK$3:$BK$23), MAX($BK$3:$BK$23), P44)), $BL$3:$BL$23, "Error", 0)</f>
        <v>8</v>
      </c>
      <c r="Q73" s="30" cm="1">
        <f t="array" ref="Q73">_xlfn.XLOOKUP(MIN(ABS($BK$3:$BK$23 - MEDIAN(MIN($BK$3:$BK$23), MAX($BK$3:$BK$23), Q44))), ABS($BK$3:$BK$23 - MEDIAN(MIN($BK$3:$BK$23), MAX($BK$3:$BK$23), Q44)), $BL$3:$BL$23, "Error", 0)</f>
        <v>8</v>
      </c>
      <c r="R73" s="30" cm="1">
        <f t="array" ref="R73">_xlfn.XLOOKUP(MIN(ABS($BK$3:$BK$23 - MEDIAN(MIN($BK$3:$BK$23), MAX($BK$3:$BK$23), R44))), ABS($BK$3:$BK$23 - MEDIAN(MIN($BK$3:$BK$23), MAX($BK$3:$BK$23), R44)), $BL$3:$BL$23, "Error", 0)</f>
        <v>9</v>
      </c>
      <c r="S73" s="30" cm="1">
        <f t="array" ref="S73">_xlfn.XLOOKUP(MIN(ABS($BK$3:$BK$23 - MEDIAN(MIN($BK$3:$BK$23), MAX($BK$3:$BK$23), S44))), ABS($BK$3:$BK$23 - MEDIAN(MIN($BK$3:$BK$23), MAX($BK$3:$BK$23), S44)), $BL$3:$BL$23, "Error", 0)</f>
        <v>8</v>
      </c>
      <c r="T73" s="30" cm="1">
        <f t="array" ref="T73">_xlfn.XLOOKUP(MIN(ABS($BK$3:$BK$23 - MEDIAN(MIN($BK$3:$BK$23), MAX($BK$3:$BK$23), T44))), ABS($BK$3:$BK$23 - MEDIAN(MIN($BK$3:$BK$23), MAX($BK$3:$BK$23), T44)), $BL$3:$BL$23, "Error", 0)</f>
        <v>9</v>
      </c>
      <c r="U73" s="30" cm="1">
        <f t="array" ref="U73">_xlfn.XLOOKUP(MIN(ABS($BK$3:$BK$23 - MEDIAN(MIN($BK$3:$BK$23), MAX($BK$3:$BK$23), U44))), ABS($BK$3:$BK$23 - MEDIAN(MIN($BK$3:$BK$23), MAX($BK$3:$BK$23), U44)), $BL$3:$BL$23, "Error", 0)</f>
        <v>8</v>
      </c>
      <c r="V73" s="30" cm="1">
        <f t="array" ref="V73">_xlfn.XLOOKUP(MIN(ABS($BK$3:$BK$23 - MEDIAN(MIN($BK$3:$BK$23), MAX($BK$3:$BK$23), V44))), ABS($BK$3:$BK$23 - MEDIAN(MIN($BK$3:$BK$23), MAX($BK$3:$BK$23), V44)), $BL$3:$BL$23, "Error", 0)</f>
        <v>10</v>
      </c>
      <c r="W73" s="30" cm="1">
        <f t="array" ref="W73">_xlfn.XLOOKUP(MIN(ABS($BK$3:$BK$23 - MEDIAN(MIN($BK$3:$BK$23), MAX($BK$3:$BK$23), W44))), ABS($BK$3:$BK$23 - MEDIAN(MIN($BK$3:$BK$23), MAX($BK$3:$BK$23), W44)), $BL$3:$BL$23, "Error", 0)</f>
        <v>10</v>
      </c>
      <c r="X73" s="30" cm="1">
        <f t="array" ref="X73">_xlfn.XLOOKUP(MIN(ABS($BK$3:$BK$23 - MEDIAN(MIN($BK$3:$BK$23), MAX($BK$3:$BK$23), X44))), ABS($BK$3:$BK$23 - MEDIAN(MIN($BK$3:$BK$23), MAX($BK$3:$BK$23), X44)), $BL$3:$BL$23, "Error", 0)</f>
        <v>9</v>
      </c>
      <c r="Y73" s="30" cm="1">
        <f t="array" ref="Y73">_xlfn.XLOOKUP(MIN(ABS($BK$3:$BK$23 - MEDIAN(MIN($BK$3:$BK$23), MAX($BK$3:$BK$23), Y44))), ABS($BK$3:$BK$23 - MEDIAN(MIN($BK$3:$BK$23), MAX($BK$3:$BK$23), Y44)), $BL$3:$BL$23, "Error", 0)</f>
        <v>10</v>
      </c>
      <c r="Z73" s="30" cm="1">
        <f t="array" ref="Z73">_xlfn.XLOOKUP(MIN(ABS($BK$3:$BK$23 - MEDIAN(MIN($BK$3:$BK$23), MAX($BK$3:$BK$23), Z44))), ABS($BK$3:$BK$23 - MEDIAN(MIN($BK$3:$BK$23), MAX($BK$3:$BK$23), Z44)), $BL$3:$BL$23, "Error", 0)</f>
        <v>8</v>
      </c>
      <c r="AA73" s="30" cm="1">
        <f t="array" ref="AA73">_xlfn.XLOOKUP(MIN(ABS($BK$3:$BK$23 - MEDIAN(MIN($BK$3:$BK$23), MAX($BK$3:$BK$23), AA44))), ABS($BK$3:$BK$23 - MEDIAN(MIN($BK$3:$BK$23), MAX($BK$3:$BK$23), AA44)), $BL$3:$BL$23, "Error", 0)</f>
        <v>1</v>
      </c>
      <c r="AB73" s="30" cm="1">
        <f t="array" ref="AB73">_xlfn.XLOOKUP(MIN(ABS($BK$3:$BK$23 - MEDIAN(MIN($BK$3:$BK$23), MAX($BK$3:$BK$23), AB44))), ABS($BK$3:$BK$23 - MEDIAN(MIN($BK$3:$BK$23), MAX($BK$3:$BK$23), AB44)), $BL$3:$BL$23, "Error", 0)</f>
        <v>3</v>
      </c>
      <c r="AC73" s="30" cm="1">
        <f t="array" ref="AC73">_xlfn.XLOOKUP(MIN(ABS($BK$3:$BK$23 - MEDIAN(MIN($BK$3:$BK$23), MAX($BK$3:$BK$23), AC44))), ABS($BK$3:$BK$23 - MEDIAN(MIN($BK$3:$BK$23), MAX($BK$3:$BK$23), AC44)), $BL$3:$BL$23, "Error", 0)</f>
        <v>3</v>
      </c>
      <c r="AD73" s="30" cm="1">
        <f t="array" ref="AD73">_xlfn.XLOOKUP(MIN(ABS($BK$3:$BK$23 - MEDIAN(MIN($BK$3:$BK$23), MAX($BK$3:$BK$23), AD44))), ABS($BK$3:$BK$23 - MEDIAN(MIN($BK$3:$BK$23), MAX($BK$3:$BK$23), AD44)), $BL$3:$BL$23, "Error", 0)</f>
        <v>1</v>
      </c>
      <c r="AE73" s="30" cm="1">
        <f t="array" ref="AE73">_xlfn.XLOOKUP(MIN(ABS($BK$3:$BK$23 - MEDIAN(MIN($BK$3:$BK$23), MAX($BK$3:$BK$23), AE44))), ABS($BK$3:$BK$23 - MEDIAN(MIN($BK$3:$BK$23), MAX($BK$3:$BK$23), AE44)), $BL$3:$BL$23, "Error", 0)</f>
        <v>0</v>
      </c>
      <c r="AF73" s="30" cm="1">
        <f t="array" ref="AF73">_xlfn.XLOOKUP(MIN(ABS($BK$3:$BK$23 - MEDIAN(MIN($BK$3:$BK$23), MAX($BK$3:$BK$23), AF44))), ABS($BK$3:$BK$23 - MEDIAN(MIN($BK$3:$BK$23), MAX($BK$3:$BK$23), AF44)), $BL$3:$BL$23, "Error", 0)</f>
        <v>1</v>
      </c>
      <c r="AG73" s="30" cm="1">
        <f t="array" ref="AG73">_xlfn.XLOOKUP(MIN(ABS($BK$3:$BK$23 - MEDIAN(MIN($BK$3:$BK$23), MAX($BK$3:$BK$23), AG44))), ABS($BK$3:$BK$23 - MEDIAN(MIN($BK$3:$BK$23), MAX($BK$3:$BK$23), AG44)), $BL$3:$BL$23, "Error", 0)</f>
        <v>1</v>
      </c>
      <c r="AH73" s="30" cm="1">
        <f t="array" ref="AH73">_xlfn.XLOOKUP(MIN(ABS($BK$3:$BK$23 - MEDIAN(MIN($BK$3:$BK$23), MAX($BK$3:$BK$23), AH44))), ABS($BK$3:$BK$23 - MEDIAN(MIN($BK$3:$BK$23), MAX($BK$3:$BK$23), AH44)), $BL$3:$BL$23, "Error", 0)</f>
        <v>-2</v>
      </c>
      <c r="AI73" s="30" cm="1">
        <f t="array" ref="AI73">_xlfn.XLOOKUP(MIN(ABS($BK$3:$BK$23 - MEDIAN(MIN($BK$3:$BK$23), MAX($BK$3:$BK$23), AI44))), ABS($BK$3:$BK$23 - MEDIAN(MIN($BK$3:$BK$23), MAX($BK$3:$BK$23), AI44)), $BL$3:$BL$23, "Error", 0)</f>
        <v>-1</v>
      </c>
      <c r="AJ73" s="30" cm="1">
        <f t="array" ref="AJ73">_xlfn.XLOOKUP(MIN(ABS($BK$3:$BK$23 - MEDIAN(MIN($BK$3:$BK$23), MAX($BK$3:$BK$23), AJ44))), ABS($BK$3:$BK$23 - MEDIAN(MIN($BK$3:$BK$23), MAX($BK$3:$BK$23), AJ44)), $BL$3:$BL$23, "Error", 0)</f>
        <v>1</v>
      </c>
      <c r="AK73" s="30" cm="1">
        <f t="array" ref="AK73">_xlfn.XLOOKUP(MIN(ABS($BK$3:$BK$23 - MEDIAN(MIN($BK$3:$BK$23), MAX($BK$3:$BK$23), AK44))), ABS($BK$3:$BK$23 - MEDIAN(MIN($BK$3:$BK$23), MAX($BK$3:$BK$23), AK44)), $BL$3:$BL$23, "Error", 0)</f>
        <v>2</v>
      </c>
      <c r="AL73" s="30" cm="1">
        <f t="array" ref="AL73">_xlfn.XLOOKUP(MIN(ABS($BK$3:$BK$23 - MEDIAN(MIN($BK$3:$BK$23), MAX($BK$3:$BK$23), AL44))), ABS($BK$3:$BK$23 - MEDIAN(MIN($BK$3:$BK$23), MAX($BK$3:$BK$23), AL44)), $BL$3:$BL$23, "Error", 0)</f>
        <v>1</v>
      </c>
      <c r="AM73" s="30" cm="1">
        <f t="array" ref="AM73">_xlfn.XLOOKUP(MIN(ABS($BK$3:$BK$23 - MEDIAN(MIN($BK$3:$BK$23), MAX($BK$3:$BK$23), AM44))), ABS($BK$3:$BK$23 - MEDIAN(MIN($BK$3:$BK$23), MAX($BK$3:$BK$23), AM44)), $BL$3:$BL$23, "Error", 0)</f>
        <v>0</v>
      </c>
      <c r="AN73" s="30" cm="1">
        <f t="array" ref="AN73">_xlfn.XLOOKUP(MIN(ABS($BK$3:$BK$23 - MEDIAN(MIN($BK$3:$BK$23), MAX($BK$3:$BK$23), AN44))), ABS($BK$3:$BK$23 - MEDIAN(MIN($BK$3:$BK$23), MAX($BK$3:$BK$23), AN44)), $BL$3:$BL$23, "Error", 0)</f>
        <v>1</v>
      </c>
      <c r="AO73" s="30" cm="1">
        <f t="array" ref="AO73">_xlfn.XLOOKUP(MIN(ABS($BK$3:$BK$23 - MEDIAN(MIN($BK$3:$BK$23), MAX($BK$3:$BK$23), AO44))), ABS($BK$3:$BK$23 - MEDIAN(MIN($BK$3:$BK$23), MAX($BK$3:$BK$23), AO44)), $BL$3:$BL$23, "Error", 0)</f>
        <v>-5</v>
      </c>
      <c r="AP73" s="30" cm="1">
        <f t="array" ref="AP73">_xlfn.XLOOKUP(MIN(ABS($BK$3:$BK$23 - MEDIAN(MIN($BK$3:$BK$23), MAX($BK$3:$BK$23), AP44))), ABS($BK$3:$BK$23 - MEDIAN(MIN($BK$3:$BK$23), MAX($BK$3:$BK$23), AP44)), $BL$3:$BL$23, "Error", 0)</f>
        <v>-5</v>
      </c>
      <c r="AQ73" s="30" cm="1">
        <f t="array" ref="AQ73">_xlfn.XLOOKUP(MIN(ABS($BK$3:$BK$23 - MEDIAN(MIN($BK$3:$BK$23), MAX($BK$3:$BK$23), AQ44))), ABS($BK$3:$BK$23 - MEDIAN(MIN($BK$3:$BK$23), MAX($BK$3:$BK$23), AQ44)), $BL$3:$BL$23, "Error", 0)</f>
        <v>-5</v>
      </c>
      <c r="AR73" s="30" cm="1">
        <f t="array" ref="AR73">_xlfn.XLOOKUP(MIN(ABS($BK$3:$BK$23 - MEDIAN(MIN($BK$3:$BK$23), MAX($BK$3:$BK$23), AR44))), ABS($BK$3:$BK$23 - MEDIAN(MIN($BK$3:$BK$23), MAX($BK$3:$BK$23), AR44)), $BL$3:$BL$23, "Error", 0)</f>
        <v>-5</v>
      </c>
      <c r="AS73" s="30" cm="1">
        <f t="array" ref="AS73">_xlfn.XLOOKUP(MIN(ABS($BK$3:$BK$23 - MEDIAN(MIN($BK$3:$BK$23), MAX($BK$3:$BK$23), AS44))), ABS($BK$3:$BK$23 - MEDIAN(MIN($BK$3:$BK$23), MAX($BK$3:$BK$23), AS44)), $BL$3:$BL$23, "Error", 0)</f>
        <v>-6</v>
      </c>
      <c r="AT73" s="30" cm="1">
        <f t="array" ref="AT73">_xlfn.XLOOKUP(MIN(ABS($BK$3:$BK$23 - MEDIAN(MIN($BK$3:$BK$23), MAX($BK$3:$BK$23), AT44))), ABS($BK$3:$BK$23 - MEDIAN(MIN($BK$3:$BK$23), MAX($BK$3:$BK$23), AT44)), $BL$3:$BL$23, "Error", 0)</f>
        <v>-9</v>
      </c>
      <c r="AU73" s="30" cm="1">
        <f t="array" ref="AU73">_xlfn.XLOOKUP(MIN(ABS($BK$3:$BK$23 - MEDIAN(MIN($BK$3:$BK$23), MAX($BK$3:$BK$23), AU44))), ABS($BK$3:$BK$23 - MEDIAN(MIN($BK$3:$BK$23), MAX($BK$3:$BK$23), AU44)), $BL$3:$BL$23, "Error", 0)</f>
        <v>-7</v>
      </c>
      <c r="AV73" s="30" cm="1">
        <f t="array" ref="AV73">_xlfn.XLOOKUP(MIN(ABS($BK$3:$BK$23 - MEDIAN(MIN($BK$3:$BK$23), MAX($BK$3:$BK$23), AV44))), ABS($BK$3:$BK$23 - MEDIAN(MIN($BK$3:$BK$23), MAX($BK$3:$BK$23), AV44)), $BL$3:$BL$23, "Error", 0)</f>
        <v>-9</v>
      </c>
      <c r="AW73" s="30" cm="1">
        <f t="array" ref="AW73">_xlfn.XLOOKUP(MIN(ABS($BK$3:$BK$23 - MEDIAN(MIN($BK$3:$BK$23), MAX($BK$3:$BK$23), AW44))), ABS($BK$3:$BK$23 - MEDIAN(MIN($BK$3:$BK$23), MAX($BK$3:$BK$23), AW44)), $BL$3:$BL$23, "Error", 0)</f>
        <v>-10</v>
      </c>
      <c r="AX73" s="30" cm="1">
        <f t="array" ref="AX73">_xlfn.XLOOKUP(MIN(ABS($BK$3:$BK$23 - MEDIAN(MIN($BK$3:$BK$23), MAX($BK$3:$BK$23), AX44))), ABS($BK$3:$BK$23 - MEDIAN(MIN($BK$3:$BK$23), MAX($BK$3:$BK$23), AX44)), $BL$3:$BL$23, "Error", 0)</f>
        <v>-10</v>
      </c>
      <c r="AY73" s="30" cm="1">
        <f t="array" ref="AY73">_xlfn.XLOOKUP(MIN(ABS($BK$3:$BK$23 - MEDIAN(MIN($BK$3:$BK$23), MAX($BK$3:$BK$23), AY44))), ABS($BK$3:$BK$23 - MEDIAN(MIN($BK$3:$BK$23), MAX($BK$3:$BK$23), AY44)), $BL$3:$BL$23, "Error", 0)</f>
        <v>-10</v>
      </c>
      <c r="AZ73" s="30" cm="1">
        <f t="array" ref="AZ73">_xlfn.XLOOKUP(MIN(ABS($BK$3:$BK$23 - MEDIAN(MIN($BK$3:$BK$23), MAX($BK$3:$BK$23), AZ44))), ABS($BK$3:$BK$23 - MEDIAN(MIN($BK$3:$BK$23), MAX($BK$3:$BK$23), AZ44)), $BL$3:$BL$23, "Error", 0)</f>
        <v>-10</v>
      </c>
      <c r="BA73" s="30" cm="1">
        <f t="array" ref="BA73">_xlfn.XLOOKUP(MIN(ABS($BK$3:$BK$23 - MEDIAN(MIN($BK$3:$BK$23), MAX($BK$3:$BK$23), BA44))), ABS($BK$3:$BK$23 - MEDIAN(MIN($BK$3:$BK$23), MAX($BK$3:$BK$23), BA44)), $BL$3:$BL$23, "Error", 0)</f>
        <v>-10</v>
      </c>
      <c r="BB73" s="30" cm="1">
        <f t="array" ref="BB73">_xlfn.XLOOKUP(MIN(ABS($BK$3:$BK$23 - MEDIAN(MIN($BK$3:$BK$23), MAX($BK$3:$BK$23), BB44))), ABS($BK$3:$BK$23 - MEDIAN(MIN($BK$3:$BK$23), MAX($BK$3:$BK$23), BB44)), $BL$3:$BL$23, "Error", 0)</f>
        <v>-10</v>
      </c>
      <c r="BC73" s="30" cm="1">
        <f t="array" ref="BC73">_xlfn.XLOOKUP(MIN(ABS($BK$3:$BK$23 - MEDIAN(MIN($BK$3:$BK$23), MAX($BK$3:$BK$23), BC44))), ABS($BK$3:$BK$23 - MEDIAN(MIN($BK$3:$BK$23), MAX($BK$3:$BK$23), BC44)), $BL$3:$BL$23, "Error", 0)</f>
        <v>-10</v>
      </c>
      <c r="BD73" s="30" cm="1">
        <f t="array" ref="BD73">_xlfn.XLOOKUP(MIN(ABS($BK$3:$BK$23 - MEDIAN(MIN($BK$3:$BK$23), MAX($BK$3:$BK$23), BD44))), ABS($BK$3:$BK$23 - MEDIAN(MIN($BK$3:$BK$23), MAX($BK$3:$BK$23), BD44)), $BL$3:$BL$23, "Error", 0)</f>
        <v>-10</v>
      </c>
      <c r="BE73" s="30" cm="1">
        <f t="array" ref="BE73">_xlfn.XLOOKUP(MIN(ABS($BK$3:$BK$23 - MEDIAN(MIN($BK$3:$BK$23), MAX($BK$3:$BK$23), BE44))), ABS($BK$3:$BK$23 - MEDIAN(MIN($BK$3:$BK$23), MAX($BK$3:$BK$23), BE44)), $BL$3:$BL$23, "Error", 0)</f>
        <v>-10</v>
      </c>
      <c r="BF73" s="30" cm="1">
        <f t="array" ref="BF73">_xlfn.XLOOKUP(MIN(ABS($BK$3:$BK$23 - MEDIAN(MIN($BK$3:$BK$23), MAX($BK$3:$BK$23), BF44))), ABS($BK$3:$BK$23 - MEDIAN(MIN($BK$3:$BK$23), MAX($BK$3:$BK$23), BF44)), $BL$3:$BL$23, "Error", 0)</f>
        <v>-8</v>
      </c>
      <c r="BG73" s="30" cm="1">
        <f t="array" ref="BG73">_xlfn.XLOOKUP(MIN(ABS($BK$3:$BK$23 - MEDIAN(MIN($BK$3:$BK$23), MAX($BK$3:$BK$23), BG44))), ABS($BK$3:$BK$23 - MEDIAN(MIN($BK$3:$BK$23), MAX($BK$3:$BK$23), BG44)), $BL$3:$BL$23, "Error", 0)</f>
        <v>10</v>
      </c>
      <c r="BH73" s="30" cm="1">
        <f t="array" ref="BH73">_xlfn.XLOOKUP(MIN(ABS($BK$3:$BK$23 - MEDIAN(MIN($BK$3:$BK$23), MAX($BK$3:$BK$23), BH44))), ABS($BK$3:$BK$23 - MEDIAN(MIN($BK$3:$BK$23), MAX($BK$3:$BK$23), BH44)), $BL$3:$BL$23, "Error", 0)</f>
        <v>10</v>
      </c>
      <c r="BI73" s="30" cm="1">
        <f t="array" ref="BI73">_xlfn.XLOOKUP(MIN(ABS($BK$3:$BK$23 - MEDIAN(MIN($BK$3:$BK$23), MAX($BK$3:$BK$23), BI44))), ABS($BK$3:$BK$23 - MEDIAN(MIN($BK$3:$BK$23), MAX($BK$3:$BK$23), BI44)), $BL$3:$BL$23, "Error", 0)</f>
        <v>10</v>
      </c>
    </row>
    <row r="74" spans="1:61" ht="25" customHeight="1">
      <c r="A74" s="46" t="s">
        <v>12</v>
      </c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30" cm="1">
        <f t="array" ref="N74">_xlfn.XLOOKUP(MIN(ABS($BK$3:$BK$23 - MEDIAN(MIN($BK$3:$BK$23), MAX($BK$3:$BK$23), N45))), ABS($BK$3:$BK$23 - MEDIAN(MIN($BK$3:$BK$23), MAX($BK$3:$BK$23), N45)), $BL$3:$BL$23, "Error", 0)</f>
        <v>0</v>
      </c>
      <c r="O74" s="30" cm="1">
        <f t="array" ref="O74">_xlfn.XLOOKUP(MIN(ABS($BK$3:$BK$23 - MEDIAN(MIN($BK$3:$BK$23), MAX($BK$3:$BK$23), O45))), ABS($BK$3:$BK$23 - MEDIAN(MIN($BK$3:$BK$23), MAX($BK$3:$BK$23), O45)), $BL$3:$BL$23, "Error", 0)</f>
        <v>0</v>
      </c>
      <c r="P74" s="30" cm="1">
        <f t="array" ref="P74">_xlfn.XLOOKUP(MIN(ABS($BK$3:$BK$23 - MEDIAN(MIN($BK$3:$BK$23), MAX($BK$3:$BK$23), P45))), ABS($BK$3:$BK$23 - MEDIAN(MIN($BK$3:$BK$23), MAX($BK$3:$BK$23), P45)), $BL$3:$BL$23, "Error", 0)</f>
        <v>0</v>
      </c>
      <c r="Q74" s="30" cm="1">
        <f t="array" ref="Q74">_xlfn.XLOOKUP(MIN(ABS($BK$3:$BK$23 - MEDIAN(MIN($BK$3:$BK$23), MAX($BK$3:$BK$23), Q45))), ABS($BK$3:$BK$23 - MEDIAN(MIN($BK$3:$BK$23), MAX($BK$3:$BK$23), Q45)), $BL$3:$BL$23, "Error", 0)</f>
        <v>0</v>
      </c>
      <c r="R74" s="30" cm="1">
        <f t="array" ref="R74">_xlfn.XLOOKUP(MIN(ABS($BK$3:$BK$23 - MEDIAN(MIN($BK$3:$BK$23), MAX($BK$3:$BK$23), R45))), ABS($BK$3:$BK$23 - MEDIAN(MIN($BK$3:$BK$23), MAX($BK$3:$BK$23), R45)), $BL$3:$BL$23, "Error", 0)</f>
        <v>0</v>
      </c>
      <c r="S74" s="30" cm="1">
        <f t="array" ref="S74">_xlfn.XLOOKUP(MIN(ABS($BK$3:$BK$23 - MEDIAN(MIN($BK$3:$BK$23), MAX($BK$3:$BK$23), S45))), ABS($BK$3:$BK$23 - MEDIAN(MIN($BK$3:$BK$23), MAX($BK$3:$BK$23), S45)), $BL$3:$BL$23, "Error", 0)</f>
        <v>0</v>
      </c>
      <c r="T74" s="30" cm="1">
        <f t="array" ref="T74">_xlfn.XLOOKUP(MIN(ABS($BK$3:$BK$23 - MEDIAN(MIN($BK$3:$BK$23), MAX($BK$3:$BK$23), T45))), ABS($BK$3:$BK$23 - MEDIAN(MIN($BK$3:$BK$23), MAX($BK$3:$BK$23), T45)), $BL$3:$BL$23, "Error", 0)</f>
        <v>0</v>
      </c>
      <c r="U74" s="30" cm="1">
        <f t="array" ref="U74">_xlfn.XLOOKUP(MIN(ABS($BK$3:$BK$23 - MEDIAN(MIN($BK$3:$BK$23), MAX($BK$3:$BK$23), U45))), ABS($BK$3:$BK$23 - MEDIAN(MIN($BK$3:$BK$23), MAX($BK$3:$BK$23), U45)), $BL$3:$BL$23, "Error", 0)</f>
        <v>0</v>
      </c>
      <c r="V74" s="30" cm="1">
        <f t="array" ref="V74">_xlfn.XLOOKUP(MIN(ABS($BK$3:$BK$23 - MEDIAN(MIN($BK$3:$BK$23), MAX($BK$3:$BK$23), V45))), ABS($BK$3:$BK$23 - MEDIAN(MIN($BK$3:$BK$23), MAX($BK$3:$BK$23), V45)), $BL$3:$BL$23, "Error", 0)</f>
        <v>0</v>
      </c>
      <c r="W74" s="30" cm="1">
        <f t="array" ref="W74">_xlfn.XLOOKUP(MIN(ABS($BK$3:$BK$23 - MEDIAN(MIN($BK$3:$BK$23), MAX($BK$3:$BK$23), W45))), ABS($BK$3:$BK$23 - MEDIAN(MIN($BK$3:$BK$23), MAX($BK$3:$BK$23), W45)), $BL$3:$BL$23, "Error", 0)</f>
        <v>0</v>
      </c>
      <c r="X74" s="30" cm="1">
        <f t="array" ref="X74">_xlfn.XLOOKUP(MIN(ABS($BK$3:$BK$23 - MEDIAN(MIN($BK$3:$BK$23), MAX($BK$3:$BK$23), X45))), ABS($BK$3:$BK$23 - MEDIAN(MIN($BK$3:$BK$23), MAX($BK$3:$BK$23), X45)), $BL$3:$BL$23, "Error", 0)</f>
        <v>0</v>
      </c>
      <c r="Y74" s="30" cm="1">
        <f t="array" ref="Y74">_xlfn.XLOOKUP(MIN(ABS($BK$3:$BK$23 - MEDIAN(MIN($BK$3:$BK$23), MAX($BK$3:$BK$23), Y45))), ABS($BK$3:$BK$23 - MEDIAN(MIN($BK$3:$BK$23), MAX($BK$3:$BK$23), Y45)), $BL$3:$BL$23, "Error", 0)</f>
        <v>0</v>
      </c>
      <c r="Z74" s="30" cm="1">
        <f t="array" ref="Z74">_xlfn.XLOOKUP(MIN(ABS($BK$3:$BK$23 - MEDIAN(MIN($BK$3:$BK$23), MAX($BK$3:$BK$23), Z45))), ABS($BK$3:$BK$23 - MEDIAN(MIN($BK$3:$BK$23), MAX($BK$3:$BK$23), Z45)), $BL$3:$BL$23, "Error", 0)</f>
        <v>0</v>
      </c>
      <c r="AA74" s="30" cm="1">
        <f t="array" ref="AA74">_xlfn.XLOOKUP(MIN(ABS($BK$3:$BK$23 - MEDIAN(MIN($BK$3:$BK$23), MAX($BK$3:$BK$23), AA45))), ABS($BK$3:$BK$23 - MEDIAN(MIN($BK$3:$BK$23), MAX($BK$3:$BK$23), AA45)), $BL$3:$BL$23, "Error", 0)</f>
        <v>0</v>
      </c>
      <c r="AB74" s="30" cm="1">
        <f t="array" ref="AB74">_xlfn.XLOOKUP(MIN(ABS($BK$3:$BK$23 - MEDIAN(MIN($BK$3:$BK$23), MAX($BK$3:$BK$23), AB45))), ABS($BK$3:$BK$23 - MEDIAN(MIN($BK$3:$BK$23), MAX($BK$3:$BK$23), AB45)), $BL$3:$BL$23, "Error", 0)</f>
        <v>0</v>
      </c>
      <c r="AC74" s="30" cm="1">
        <f t="array" ref="AC74">_xlfn.XLOOKUP(MIN(ABS($BK$3:$BK$23 - MEDIAN(MIN($BK$3:$BK$23), MAX($BK$3:$BK$23), AC45))), ABS($BK$3:$BK$23 - MEDIAN(MIN($BK$3:$BK$23), MAX($BK$3:$BK$23), AC45)), $BL$3:$BL$23, "Error", 0)</f>
        <v>0</v>
      </c>
      <c r="AD74" s="30" cm="1">
        <f t="array" ref="AD74">_xlfn.XLOOKUP(MIN(ABS($BK$3:$BK$23 - MEDIAN(MIN($BK$3:$BK$23), MAX($BK$3:$BK$23), AD45))), ABS($BK$3:$BK$23 - MEDIAN(MIN($BK$3:$BK$23), MAX($BK$3:$BK$23), AD45)), $BL$3:$BL$23, "Error", 0)</f>
        <v>0</v>
      </c>
      <c r="AE74" s="30" cm="1">
        <f t="array" ref="AE74">_xlfn.XLOOKUP(MIN(ABS($BK$3:$BK$23 - MEDIAN(MIN($BK$3:$BK$23), MAX($BK$3:$BK$23), AE45))), ABS($BK$3:$BK$23 - MEDIAN(MIN($BK$3:$BK$23), MAX($BK$3:$BK$23), AE45)), $BL$3:$BL$23, "Error", 0)</f>
        <v>0</v>
      </c>
      <c r="AF74" s="30" cm="1">
        <f t="array" ref="AF74">_xlfn.XLOOKUP(MIN(ABS($BK$3:$BK$23 - MEDIAN(MIN($BK$3:$BK$23), MAX($BK$3:$BK$23), AF45))), ABS($BK$3:$BK$23 - MEDIAN(MIN($BK$3:$BK$23), MAX($BK$3:$BK$23), AF45)), $BL$3:$BL$23, "Error", 0)</f>
        <v>0</v>
      </c>
      <c r="AG74" s="30" cm="1">
        <f t="array" ref="AG74">_xlfn.XLOOKUP(MIN(ABS($BK$3:$BK$23 - MEDIAN(MIN($BK$3:$BK$23), MAX($BK$3:$BK$23), AG45))), ABS($BK$3:$BK$23 - MEDIAN(MIN($BK$3:$BK$23), MAX($BK$3:$BK$23), AG45)), $BL$3:$BL$23, "Error", 0)</f>
        <v>0</v>
      </c>
      <c r="AH74" s="30" cm="1">
        <f t="array" ref="AH74">_xlfn.XLOOKUP(MIN(ABS($BK$3:$BK$23 - MEDIAN(MIN($BK$3:$BK$23), MAX($BK$3:$BK$23), AH45))), ABS($BK$3:$BK$23 - MEDIAN(MIN($BK$3:$BK$23), MAX($BK$3:$BK$23), AH45)), $BL$3:$BL$23, "Error", 0)</f>
        <v>0</v>
      </c>
      <c r="AI74" s="30" cm="1">
        <f t="array" ref="AI74">_xlfn.XLOOKUP(MIN(ABS($BK$3:$BK$23 - MEDIAN(MIN($BK$3:$BK$23), MAX($BK$3:$BK$23), AI45))), ABS($BK$3:$BK$23 - MEDIAN(MIN($BK$3:$BK$23), MAX($BK$3:$BK$23), AI45)), $BL$3:$BL$23, "Error", 0)</f>
        <v>0</v>
      </c>
      <c r="AJ74" s="30" cm="1">
        <f t="array" ref="AJ74">_xlfn.XLOOKUP(MIN(ABS($BK$3:$BK$23 - MEDIAN(MIN($BK$3:$BK$23), MAX($BK$3:$BK$23), AJ45))), ABS($BK$3:$BK$23 - MEDIAN(MIN($BK$3:$BK$23), MAX($BK$3:$BK$23), AJ45)), $BL$3:$BL$23, "Error", 0)</f>
        <v>0</v>
      </c>
      <c r="AK74" s="30" cm="1">
        <f t="array" ref="AK74">_xlfn.XLOOKUP(MIN(ABS($BK$3:$BK$23 - MEDIAN(MIN($BK$3:$BK$23), MAX($BK$3:$BK$23), AK45))), ABS($BK$3:$BK$23 - MEDIAN(MIN($BK$3:$BK$23), MAX($BK$3:$BK$23), AK45)), $BL$3:$BL$23, "Error", 0)</f>
        <v>0</v>
      </c>
      <c r="AL74" s="30" cm="1">
        <f t="array" ref="AL74">_xlfn.XLOOKUP(MIN(ABS($BK$3:$BK$23 - MEDIAN(MIN($BK$3:$BK$23), MAX($BK$3:$BK$23), AL45))), ABS($BK$3:$BK$23 - MEDIAN(MIN($BK$3:$BK$23), MAX($BK$3:$BK$23), AL45)), $BL$3:$BL$23, "Error", 0)</f>
        <v>0</v>
      </c>
      <c r="AM74" s="30" cm="1">
        <f t="array" ref="AM74">_xlfn.XLOOKUP(MIN(ABS($BK$3:$BK$23 - MEDIAN(MIN($BK$3:$BK$23), MAX($BK$3:$BK$23), AM45))), ABS($BK$3:$BK$23 - MEDIAN(MIN($BK$3:$BK$23), MAX($BK$3:$BK$23), AM45)), $BL$3:$BL$23, "Error", 0)</f>
        <v>0</v>
      </c>
      <c r="AN74" s="30" cm="1">
        <f t="array" ref="AN74">_xlfn.XLOOKUP(MIN(ABS($BK$3:$BK$23 - MEDIAN(MIN($BK$3:$BK$23), MAX($BK$3:$BK$23), AN45))), ABS($BK$3:$BK$23 - MEDIAN(MIN($BK$3:$BK$23), MAX($BK$3:$BK$23), AN45)), $BL$3:$BL$23, "Error", 0)</f>
        <v>0</v>
      </c>
      <c r="AO74" s="30" cm="1">
        <f t="array" ref="AO74">_xlfn.XLOOKUP(MIN(ABS($BK$3:$BK$23 - MEDIAN(MIN($BK$3:$BK$23), MAX($BK$3:$BK$23), AO45))), ABS($BK$3:$BK$23 - MEDIAN(MIN($BK$3:$BK$23), MAX($BK$3:$BK$23), AO45)), $BL$3:$BL$23, "Error", 0)</f>
        <v>-4</v>
      </c>
      <c r="AP74" s="30" cm="1">
        <f t="array" ref="AP74">_xlfn.XLOOKUP(MIN(ABS($BK$3:$BK$23 - MEDIAN(MIN($BK$3:$BK$23), MAX($BK$3:$BK$23), AP45))), ABS($BK$3:$BK$23 - MEDIAN(MIN($BK$3:$BK$23), MAX($BK$3:$BK$23), AP45)), $BL$3:$BL$23, "Error", 0)</f>
        <v>-3</v>
      </c>
      <c r="AQ74" s="30" cm="1">
        <f t="array" ref="AQ74">_xlfn.XLOOKUP(MIN(ABS($BK$3:$BK$23 - MEDIAN(MIN($BK$3:$BK$23), MAX($BK$3:$BK$23), AQ45))), ABS($BK$3:$BK$23 - MEDIAN(MIN($BK$3:$BK$23), MAX($BK$3:$BK$23), AQ45)), $BL$3:$BL$23, "Error", 0)</f>
        <v>-5</v>
      </c>
      <c r="AR74" s="30" cm="1">
        <f t="array" ref="AR74">_xlfn.XLOOKUP(MIN(ABS($BK$3:$BK$23 - MEDIAN(MIN($BK$3:$BK$23), MAX($BK$3:$BK$23), AR45))), ABS($BK$3:$BK$23 - MEDIAN(MIN($BK$3:$BK$23), MAX($BK$3:$BK$23), AR45)), $BL$3:$BL$23, "Error", 0)</f>
        <v>-4</v>
      </c>
      <c r="AS74" s="30" cm="1">
        <f t="array" ref="AS74">_xlfn.XLOOKUP(MIN(ABS($BK$3:$BK$23 - MEDIAN(MIN($BK$3:$BK$23), MAX($BK$3:$BK$23), AS45))), ABS($BK$3:$BK$23 - MEDIAN(MIN($BK$3:$BK$23), MAX($BK$3:$BK$23), AS45)), $BL$3:$BL$23, "Error", 0)</f>
        <v>-7</v>
      </c>
      <c r="AT74" s="30" cm="1">
        <f t="array" ref="AT74">_xlfn.XLOOKUP(MIN(ABS($BK$3:$BK$23 - MEDIAN(MIN($BK$3:$BK$23), MAX($BK$3:$BK$23), AT45))), ABS($BK$3:$BK$23 - MEDIAN(MIN($BK$3:$BK$23), MAX($BK$3:$BK$23), AT45)), $BL$3:$BL$23, "Error", 0)</f>
        <v>-7</v>
      </c>
      <c r="AU74" s="30" cm="1">
        <f t="array" ref="AU74">_xlfn.XLOOKUP(MIN(ABS($BK$3:$BK$23 - MEDIAN(MIN($BK$3:$BK$23), MAX($BK$3:$BK$23), AU45))), ABS($BK$3:$BK$23 - MEDIAN(MIN($BK$3:$BK$23), MAX($BK$3:$BK$23), AU45)), $BL$3:$BL$23, "Error", 0)</f>
        <v>-9</v>
      </c>
      <c r="AV74" s="30" cm="1">
        <f t="array" ref="AV74">_xlfn.XLOOKUP(MIN(ABS($BK$3:$BK$23 - MEDIAN(MIN($BK$3:$BK$23), MAX($BK$3:$BK$23), AV45))), ABS($BK$3:$BK$23 - MEDIAN(MIN($BK$3:$BK$23), MAX($BK$3:$BK$23), AV45)), $BL$3:$BL$23, "Error", 0)</f>
        <v>-9</v>
      </c>
      <c r="AW74" s="30" cm="1">
        <f t="array" ref="AW74">_xlfn.XLOOKUP(MIN(ABS($BK$3:$BK$23 - MEDIAN(MIN($BK$3:$BK$23), MAX($BK$3:$BK$23), AW45))), ABS($BK$3:$BK$23 - MEDIAN(MIN($BK$3:$BK$23), MAX($BK$3:$BK$23), AW45)), $BL$3:$BL$23, "Error", 0)</f>
        <v>-10</v>
      </c>
      <c r="AX74" s="30" cm="1">
        <f t="array" ref="AX74">_xlfn.XLOOKUP(MIN(ABS($BK$3:$BK$23 - MEDIAN(MIN($BK$3:$BK$23), MAX($BK$3:$BK$23), AX45))), ABS($BK$3:$BK$23 - MEDIAN(MIN($BK$3:$BK$23), MAX($BK$3:$BK$23), AX45)), $BL$3:$BL$23, "Error", 0)</f>
        <v>-10</v>
      </c>
      <c r="AY74" s="30" cm="1">
        <f t="array" ref="AY74">_xlfn.XLOOKUP(MIN(ABS($BK$3:$BK$23 - MEDIAN(MIN($BK$3:$BK$23), MAX($BK$3:$BK$23), AY45))), ABS($BK$3:$BK$23 - MEDIAN(MIN($BK$3:$BK$23), MAX($BK$3:$BK$23), AY45)), $BL$3:$BL$23, "Error", 0)</f>
        <v>-10</v>
      </c>
      <c r="AZ74" s="30" cm="1">
        <f t="array" ref="AZ74">_xlfn.XLOOKUP(MIN(ABS($BK$3:$BK$23 - MEDIAN(MIN($BK$3:$BK$23), MAX($BK$3:$BK$23), AZ45))), ABS($BK$3:$BK$23 - MEDIAN(MIN($BK$3:$BK$23), MAX($BK$3:$BK$23), AZ45)), $BL$3:$BL$23, "Error", 0)</f>
        <v>-10</v>
      </c>
      <c r="BA74" s="30" cm="1">
        <f t="array" ref="BA74">_xlfn.XLOOKUP(MIN(ABS($BK$3:$BK$23 - MEDIAN(MIN($BK$3:$BK$23), MAX($BK$3:$BK$23), BA45))), ABS($BK$3:$BK$23 - MEDIAN(MIN($BK$3:$BK$23), MAX($BK$3:$BK$23), BA45)), $BL$3:$BL$23, "Error", 0)</f>
        <v>-10</v>
      </c>
      <c r="BB74" s="30" cm="1">
        <f t="array" ref="BB74">_xlfn.XLOOKUP(MIN(ABS($BK$3:$BK$23 - MEDIAN(MIN($BK$3:$BK$23), MAX($BK$3:$BK$23), BB45))), ABS($BK$3:$BK$23 - MEDIAN(MIN($BK$3:$BK$23), MAX($BK$3:$BK$23), BB45)), $BL$3:$BL$23, "Error", 0)</f>
        <v>-10</v>
      </c>
      <c r="BC74" s="30" cm="1">
        <f t="array" ref="BC74">_xlfn.XLOOKUP(MIN(ABS($BK$3:$BK$23 - MEDIAN(MIN($BK$3:$BK$23), MAX($BK$3:$BK$23), BC45))), ABS($BK$3:$BK$23 - MEDIAN(MIN($BK$3:$BK$23), MAX($BK$3:$BK$23), BC45)), $BL$3:$BL$23, "Error", 0)</f>
        <v>-10</v>
      </c>
      <c r="BD74" s="30" cm="1">
        <f t="array" ref="BD74">_xlfn.XLOOKUP(MIN(ABS($BK$3:$BK$23 - MEDIAN(MIN($BK$3:$BK$23), MAX($BK$3:$BK$23), BD45))), ABS($BK$3:$BK$23 - MEDIAN(MIN($BK$3:$BK$23), MAX($BK$3:$BK$23), BD45)), $BL$3:$BL$23, "Error", 0)</f>
        <v>-9</v>
      </c>
      <c r="BE74" s="30" cm="1">
        <f t="array" ref="BE74">_xlfn.XLOOKUP(MIN(ABS($BK$3:$BK$23 - MEDIAN(MIN($BK$3:$BK$23), MAX($BK$3:$BK$23), BE45))), ABS($BK$3:$BK$23 - MEDIAN(MIN($BK$3:$BK$23), MAX($BK$3:$BK$23), BE45)), $BL$3:$BL$23, "Error", 0)</f>
        <v>-8</v>
      </c>
      <c r="BF74" s="30" cm="1">
        <f t="array" ref="BF74">_xlfn.XLOOKUP(MIN(ABS($BK$3:$BK$23 - MEDIAN(MIN($BK$3:$BK$23), MAX($BK$3:$BK$23), BF45))), ABS($BK$3:$BK$23 - MEDIAN(MIN($BK$3:$BK$23), MAX($BK$3:$BK$23), BF45)), $BL$3:$BL$23, "Error", 0)</f>
        <v>-7</v>
      </c>
      <c r="BG74" s="30" cm="1">
        <f t="array" ref="BG74">_xlfn.XLOOKUP(MIN(ABS($BK$3:$BK$23 - MEDIAN(MIN($BK$3:$BK$23), MAX($BK$3:$BK$23), BG45))), ABS($BK$3:$BK$23 - MEDIAN(MIN($BK$3:$BK$23), MAX($BK$3:$BK$23), BG45)), $BL$3:$BL$23, "Error", 0)</f>
        <v>10</v>
      </c>
      <c r="BH74" s="30" cm="1">
        <f t="array" ref="BH74">_xlfn.XLOOKUP(MIN(ABS($BK$3:$BK$23 - MEDIAN(MIN($BK$3:$BK$23), MAX($BK$3:$BK$23), BH45))), ABS($BK$3:$BK$23 - MEDIAN(MIN($BK$3:$BK$23), MAX($BK$3:$BK$23), BH45)), $BL$3:$BL$23, "Error", 0)</f>
        <v>10</v>
      </c>
      <c r="BI74" s="30" cm="1">
        <f t="array" ref="BI74">_xlfn.XLOOKUP(MIN(ABS($BK$3:$BK$23 - MEDIAN(MIN($BK$3:$BK$23), MAX($BK$3:$BK$23), BI45))), ABS($BK$3:$BK$23 - MEDIAN(MIN($BK$3:$BK$23), MAX($BK$3:$BK$23), BI45)), $BL$3:$BL$23, "Error", 0)</f>
        <v>10</v>
      </c>
    </row>
    <row r="75" spans="1:61" ht="25" customHeight="1">
      <c r="A75" s="47" t="s">
        <v>50</v>
      </c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30" cm="1">
        <f t="array" ref="N75">_xlfn.XLOOKUP(MIN(ABS($BK$3:$BK$23 - MEDIAN(MIN($BK$3:$BK$23), MAX($BK$3:$BK$23), N46))), ABS($BK$3:$BK$23 - MEDIAN(MIN($BK$3:$BK$23), MAX($BK$3:$BK$23), N46)), $BL$3:$BL$23, "Error", 0)</f>
        <v>1</v>
      </c>
      <c r="O75" s="30" cm="1">
        <f t="array" ref="O75">_xlfn.XLOOKUP(MIN(ABS($BK$3:$BK$23 - MEDIAN(MIN($BK$3:$BK$23), MAX($BK$3:$BK$23), O46))), ABS($BK$3:$BK$23 - MEDIAN(MIN($BK$3:$BK$23), MAX($BK$3:$BK$23), O46)), $BL$3:$BL$23, "Error", 0)</f>
        <v>9</v>
      </c>
      <c r="P75" s="30" cm="1">
        <f t="array" ref="P75">_xlfn.XLOOKUP(MIN(ABS($BK$3:$BK$23 - MEDIAN(MIN($BK$3:$BK$23), MAX($BK$3:$BK$23), P46))), ABS($BK$3:$BK$23 - MEDIAN(MIN($BK$3:$BK$23), MAX($BK$3:$BK$23), P46)), $BL$3:$BL$23, "Error", 0)</f>
        <v>4</v>
      </c>
      <c r="Q75" s="30" cm="1">
        <f t="array" ref="Q75">_xlfn.XLOOKUP(MIN(ABS($BK$3:$BK$23 - MEDIAN(MIN($BK$3:$BK$23), MAX($BK$3:$BK$23), Q46))), ABS($BK$3:$BK$23 - MEDIAN(MIN($BK$3:$BK$23), MAX($BK$3:$BK$23), Q46)), $BL$3:$BL$23, "Error", 0)</f>
        <v>6</v>
      </c>
      <c r="R75" s="30" cm="1">
        <f t="array" ref="R75">_xlfn.XLOOKUP(MIN(ABS($BK$3:$BK$23 - MEDIAN(MIN($BK$3:$BK$23), MAX($BK$3:$BK$23), R46))), ABS($BK$3:$BK$23 - MEDIAN(MIN($BK$3:$BK$23), MAX($BK$3:$BK$23), R46)), $BL$3:$BL$23, "Error", 0)</f>
        <v>7</v>
      </c>
      <c r="S75" s="30" cm="1">
        <f t="array" ref="S75">_xlfn.XLOOKUP(MIN(ABS($BK$3:$BK$23 - MEDIAN(MIN($BK$3:$BK$23), MAX($BK$3:$BK$23), S46))), ABS($BK$3:$BK$23 - MEDIAN(MIN($BK$3:$BK$23), MAX($BK$3:$BK$23), S46)), $BL$3:$BL$23, "Error", 0)</f>
        <v>6</v>
      </c>
      <c r="T75" s="30" cm="1">
        <f t="array" ref="T75">_xlfn.XLOOKUP(MIN(ABS($BK$3:$BK$23 - MEDIAN(MIN($BK$3:$BK$23), MAX($BK$3:$BK$23), T46))), ABS($BK$3:$BK$23 - MEDIAN(MIN($BK$3:$BK$23), MAX($BK$3:$BK$23), T46)), $BL$3:$BL$23, "Error", 0)</f>
        <v>7</v>
      </c>
      <c r="U75" s="30" cm="1">
        <f t="array" ref="U75">_xlfn.XLOOKUP(MIN(ABS($BK$3:$BK$23 - MEDIAN(MIN($BK$3:$BK$23), MAX($BK$3:$BK$23), U46))), ABS($BK$3:$BK$23 - MEDIAN(MIN($BK$3:$BK$23), MAX($BK$3:$BK$23), U46)), $BL$3:$BL$23, "Error", 0)</f>
        <v>7</v>
      </c>
      <c r="V75" s="30" cm="1">
        <f t="array" ref="V75">_xlfn.XLOOKUP(MIN(ABS($BK$3:$BK$23 - MEDIAN(MIN($BK$3:$BK$23), MAX($BK$3:$BK$23), V46))), ABS($BK$3:$BK$23 - MEDIAN(MIN($BK$3:$BK$23), MAX($BK$3:$BK$23), V46)), $BL$3:$BL$23, "Error", 0)</f>
        <v>10</v>
      </c>
      <c r="W75" s="30" cm="1">
        <f t="array" ref="W75">_xlfn.XLOOKUP(MIN(ABS($BK$3:$BK$23 - MEDIAN(MIN($BK$3:$BK$23), MAX($BK$3:$BK$23), W46))), ABS($BK$3:$BK$23 - MEDIAN(MIN($BK$3:$BK$23), MAX($BK$3:$BK$23), W46)), $BL$3:$BL$23, "Error", 0)</f>
        <v>9</v>
      </c>
      <c r="X75" s="30" cm="1">
        <f t="array" ref="X75">_xlfn.XLOOKUP(MIN(ABS($BK$3:$BK$23 - MEDIAN(MIN($BK$3:$BK$23), MAX($BK$3:$BK$23), X46))), ABS($BK$3:$BK$23 - MEDIAN(MIN($BK$3:$BK$23), MAX($BK$3:$BK$23), X46)), $BL$3:$BL$23, "Error", 0)</f>
        <v>8</v>
      </c>
      <c r="Y75" s="30" cm="1">
        <f t="array" ref="Y75">_xlfn.XLOOKUP(MIN(ABS($BK$3:$BK$23 - MEDIAN(MIN($BK$3:$BK$23), MAX($BK$3:$BK$23), Y46))), ABS($BK$3:$BK$23 - MEDIAN(MIN($BK$3:$BK$23), MAX($BK$3:$BK$23), Y46)), $BL$3:$BL$23, "Error", 0)</f>
        <v>6</v>
      </c>
      <c r="Z75" s="30" cm="1">
        <f t="array" ref="Z75">_xlfn.XLOOKUP(MIN(ABS($BK$3:$BK$23 - MEDIAN(MIN($BK$3:$BK$23), MAX($BK$3:$BK$23), Z46))), ABS($BK$3:$BK$23 - MEDIAN(MIN($BK$3:$BK$23), MAX($BK$3:$BK$23), Z46)), $BL$3:$BL$23, "Error", 0)</f>
        <v>6</v>
      </c>
      <c r="AA75" s="30" cm="1">
        <f t="array" ref="AA75">_xlfn.XLOOKUP(MIN(ABS($BK$3:$BK$23 - MEDIAN(MIN($BK$3:$BK$23), MAX($BK$3:$BK$23), AA46))), ABS($BK$3:$BK$23 - MEDIAN(MIN($BK$3:$BK$23), MAX($BK$3:$BK$23), AA46)), $BL$3:$BL$23, "Error", 0)</f>
        <v>-1</v>
      </c>
      <c r="AB75" s="30" cm="1">
        <f t="array" ref="AB75">_xlfn.XLOOKUP(MIN(ABS($BK$3:$BK$23 - MEDIAN(MIN($BK$3:$BK$23), MAX($BK$3:$BK$23), AB46))), ABS($BK$3:$BK$23 - MEDIAN(MIN($BK$3:$BK$23), MAX($BK$3:$BK$23), AB46)), $BL$3:$BL$23, "Error", 0)</f>
        <v>0</v>
      </c>
      <c r="AC75" s="30" cm="1">
        <f t="array" ref="AC75">_xlfn.XLOOKUP(MIN(ABS($BK$3:$BK$23 - MEDIAN(MIN($BK$3:$BK$23), MAX($BK$3:$BK$23), AC46))), ABS($BK$3:$BK$23 - MEDIAN(MIN($BK$3:$BK$23), MAX($BK$3:$BK$23), AC46)), $BL$3:$BL$23, "Error", 0)</f>
        <v>1</v>
      </c>
      <c r="AD75" s="30" cm="1">
        <f t="array" ref="AD75">_xlfn.XLOOKUP(MIN(ABS($BK$3:$BK$23 - MEDIAN(MIN($BK$3:$BK$23), MAX($BK$3:$BK$23), AD46))), ABS($BK$3:$BK$23 - MEDIAN(MIN($BK$3:$BK$23), MAX($BK$3:$BK$23), AD46)), $BL$3:$BL$23, "Error", 0)</f>
        <v>-2</v>
      </c>
      <c r="AE75" s="30" cm="1">
        <f t="array" ref="AE75">_xlfn.XLOOKUP(MIN(ABS($BK$3:$BK$23 - MEDIAN(MIN($BK$3:$BK$23), MAX($BK$3:$BK$23), AE46))), ABS($BK$3:$BK$23 - MEDIAN(MIN($BK$3:$BK$23), MAX($BK$3:$BK$23), AE46)), $BL$3:$BL$23, "Error", 0)</f>
        <v>-2</v>
      </c>
      <c r="AF75" s="30" cm="1">
        <f t="array" ref="AF75">_xlfn.XLOOKUP(MIN(ABS($BK$3:$BK$23 - MEDIAN(MIN($BK$3:$BK$23), MAX($BK$3:$BK$23), AF46))), ABS($BK$3:$BK$23 - MEDIAN(MIN($BK$3:$BK$23), MAX($BK$3:$BK$23), AF46)), $BL$3:$BL$23, "Error", 0)</f>
        <v>-1</v>
      </c>
      <c r="AG75" s="30" cm="1">
        <f t="array" ref="AG75">_xlfn.XLOOKUP(MIN(ABS($BK$3:$BK$23 - MEDIAN(MIN($BK$3:$BK$23), MAX($BK$3:$BK$23), AG46))), ABS($BK$3:$BK$23 - MEDIAN(MIN($BK$3:$BK$23), MAX($BK$3:$BK$23), AG46)), $BL$3:$BL$23, "Error", 0)</f>
        <v>-2</v>
      </c>
      <c r="AH75" s="30" cm="1">
        <f t="array" ref="AH75">_xlfn.XLOOKUP(MIN(ABS($BK$3:$BK$23 - MEDIAN(MIN($BK$3:$BK$23), MAX($BK$3:$BK$23), AH46))), ABS($BK$3:$BK$23 - MEDIAN(MIN($BK$3:$BK$23), MAX($BK$3:$BK$23), AH46)), $BL$3:$BL$23, "Error", 0)</f>
        <v>-6</v>
      </c>
      <c r="AI75" s="30" cm="1">
        <f t="array" ref="AI75">_xlfn.XLOOKUP(MIN(ABS($BK$3:$BK$23 - MEDIAN(MIN($BK$3:$BK$23), MAX($BK$3:$BK$23), AI46))), ABS($BK$3:$BK$23 - MEDIAN(MIN($BK$3:$BK$23), MAX($BK$3:$BK$23), AI46)), $BL$3:$BL$23, "Error", 0)</f>
        <v>-2</v>
      </c>
      <c r="AJ75" s="30" cm="1">
        <f t="array" ref="AJ75">_xlfn.XLOOKUP(MIN(ABS($BK$3:$BK$23 - MEDIAN(MIN($BK$3:$BK$23), MAX($BK$3:$BK$23), AJ46))), ABS($BK$3:$BK$23 - MEDIAN(MIN($BK$3:$BK$23), MAX($BK$3:$BK$23), AJ46)), $BL$3:$BL$23, "Error", 0)</f>
        <v>-1</v>
      </c>
      <c r="AK75" s="30" cm="1">
        <f t="array" ref="AK75">_xlfn.XLOOKUP(MIN(ABS($BK$3:$BK$23 - MEDIAN(MIN($BK$3:$BK$23), MAX($BK$3:$BK$23), AK46))), ABS($BK$3:$BK$23 - MEDIAN(MIN($BK$3:$BK$23), MAX($BK$3:$BK$23), AK46)), $BL$3:$BL$23, "Error", 0)</f>
        <v>3</v>
      </c>
      <c r="AL75" s="30" cm="1">
        <f t="array" ref="AL75">_xlfn.XLOOKUP(MIN(ABS($BK$3:$BK$23 - MEDIAN(MIN($BK$3:$BK$23), MAX($BK$3:$BK$23), AL46))), ABS($BK$3:$BK$23 - MEDIAN(MIN($BK$3:$BK$23), MAX($BK$3:$BK$23), AL46)), $BL$3:$BL$23, "Error", 0)</f>
        <v>4</v>
      </c>
      <c r="AM75" s="30" cm="1">
        <f t="array" ref="AM75">_xlfn.XLOOKUP(MIN(ABS($BK$3:$BK$23 - MEDIAN(MIN($BK$3:$BK$23), MAX($BK$3:$BK$23), AM46))), ABS($BK$3:$BK$23 - MEDIAN(MIN($BK$3:$BK$23), MAX($BK$3:$BK$23), AM46)), $BL$3:$BL$23, "Error", 0)</f>
        <v>2</v>
      </c>
      <c r="AN75" s="30" cm="1">
        <f t="array" ref="AN75">_xlfn.XLOOKUP(MIN(ABS($BK$3:$BK$23 - MEDIAN(MIN($BK$3:$BK$23), MAX($BK$3:$BK$23), AN46))), ABS($BK$3:$BK$23 - MEDIAN(MIN($BK$3:$BK$23), MAX($BK$3:$BK$23), AN46)), $BL$3:$BL$23, "Error", 0)</f>
        <v>1</v>
      </c>
      <c r="AO75" s="30" cm="1">
        <f t="array" ref="AO75">_xlfn.XLOOKUP(MIN(ABS($BK$3:$BK$23 - MEDIAN(MIN($BK$3:$BK$23), MAX($BK$3:$BK$23), AO46))), ABS($BK$3:$BK$23 - MEDIAN(MIN($BK$3:$BK$23), MAX($BK$3:$BK$23), AO46)), $BL$3:$BL$23, "Error", 0)</f>
        <v>-3</v>
      </c>
      <c r="AP75" s="30" cm="1">
        <f t="array" ref="AP75">_xlfn.XLOOKUP(MIN(ABS($BK$3:$BK$23 - MEDIAN(MIN($BK$3:$BK$23), MAX($BK$3:$BK$23), AP46))), ABS($BK$3:$BK$23 - MEDIAN(MIN($BK$3:$BK$23), MAX($BK$3:$BK$23), AP46)), $BL$3:$BL$23, "Error", 0)</f>
        <v>-2</v>
      </c>
      <c r="AQ75" s="30" cm="1">
        <f t="array" ref="AQ75">_xlfn.XLOOKUP(MIN(ABS($BK$3:$BK$23 - MEDIAN(MIN($BK$3:$BK$23), MAX($BK$3:$BK$23), AQ46))), ABS($BK$3:$BK$23 - MEDIAN(MIN($BK$3:$BK$23), MAX($BK$3:$BK$23), AQ46)), $BL$3:$BL$23, "Error", 0)</f>
        <v>-2</v>
      </c>
      <c r="AR75" s="30" cm="1">
        <f t="array" ref="AR75">_xlfn.XLOOKUP(MIN(ABS($BK$3:$BK$23 - MEDIAN(MIN($BK$3:$BK$23), MAX($BK$3:$BK$23), AR46))), ABS($BK$3:$BK$23 - MEDIAN(MIN($BK$3:$BK$23), MAX($BK$3:$BK$23), AR46)), $BL$3:$BL$23, "Error", 0)</f>
        <v>-2</v>
      </c>
      <c r="AS75" s="30" cm="1">
        <f t="array" ref="AS75">_xlfn.XLOOKUP(MIN(ABS($BK$3:$BK$23 - MEDIAN(MIN($BK$3:$BK$23), MAX($BK$3:$BK$23), AS46))), ABS($BK$3:$BK$23 - MEDIAN(MIN($BK$3:$BK$23), MAX($BK$3:$BK$23), AS46)), $BL$3:$BL$23, "Error", 0)</f>
        <v>-3</v>
      </c>
      <c r="AT75" s="30" cm="1">
        <f t="array" ref="AT75">_xlfn.XLOOKUP(MIN(ABS($BK$3:$BK$23 - MEDIAN(MIN($BK$3:$BK$23), MAX($BK$3:$BK$23), AT46))), ABS($BK$3:$BK$23 - MEDIAN(MIN($BK$3:$BK$23), MAX($BK$3:$BK$23), AT46)), $BL$3:$BL$23, "Error", 0)</f>
        <v>-5</v>
      </c>
      <c r="AU75" s="30" cm="1">
        <f t="array" ref="AU75">_xlfn.XLOOKUP(MIN(ABS($BK$3:$BK$23 - MEDIAN(MIN($BK$3:$BK$23), MAX($BK$3:$BK$23), AU46))), ABS($BK$3:$BK$23 - MEDIAN(MIN($BK$3:$BK$23), MAX($BK$3:$BK$23), AU46)), $BL$3:$BL$23, "Error", 0)</f>
        <v>-8</v>
      </c>
      <c r="AV75" s="30" cm="1">
        <f t="array" ref="AV75">_xlfn.XLOOKUP(MIN(ABS($BK$3:$BK$23 - MEDIAN(MIN($BK$3:$BK$23), MAX($BK$3:$BK$23), AV46))), ABS($BK$3:$BK$23 - MEDIAN(MIN($BK$3:$BK$23), MAX($BK$3:$BK$23), AV46)), $BL$3:$BL$23, "Error", 0)</f>
        <v>-7</v>
      </c>
      <c r="AW75" s="30" cm="1">
        <f t="array" ref="AW75">_xlfn.XLOOKUP(MIN(ABS($BK$3:$BK$23 - MEDIAN(MIN($BK$3:$BK$23), MAX($BK$3:$BK$23), AW46))), ABS($BK$3:$BK$23 - MEDIAN(MIN($BK$3:$BK$23), MAX($BK$3:$BK$23), AW46)), $BL$3:$BL$23, "Error", 0)</f>
        <v>-10</v>
      </c>
      <c r="AX75" s="30" cm="1">
        <f t="array" ref="AX75">_xlfn.XLOOKUP(MIN(ABS($BK$3:$BK$23 - MEDIAN(MIN($BK$3:$BK$23), MAX($BK$3:$BK$23), AX46))), ABS($BK$3:$BK$23 - MEDIAN(MIN($BK$3:$BK$23), MAX($BK$3:$BK$23), AX46)), $BL$3:$BL$23, "Error", 0)</f>
        <v>-10</v>
      </c>
      <c r="AY75" s="30" cm="1">
        <f t="array" ref="AY75">_xlfn.XLOOKUP(MIN(ABS($BK$3:$BK$23 - MEDIAN(MIN($BK$3:$BK$23), MAX($BK$3:$BK$23), AY46))), ABS($BK$3:$BK$23 - MEDIAN(MIN($BK$3:$BK$23), MAX($BK$3:$BK$23), AY46)), $BL$3:$BL$23, "Error", 0)</f>
        <v>-10</v>
      </c>
      <c r="AZ75" s="30" cm="1">
        <f t="array" ref="AZ75">_xlfn.XLOOKUP(MIN(ABS($BK$3:$BK$23 - MEDIAN(MIN($BK$3:$BK$23), MAX($BK$3:$BK$23), AZ46))), ABS($BK$3:$BK$23 - MEDIAN(MIN($BK$3:$BK$23), MAX($BK$3:$BK$23), AZ46)), $BL$3:$BL$23, "Error", 0)</f>
        <v>-10</v>
      </c>
      <c r="BA75" s="30" cm="1">
        <f t="array" ref="BA75">_xlfn.XLOOKUP(MIN(ABS($BK$3:$BK$23 - MEDIAN(MIN($BK$3:$BK$23), MAX($BK$3:$BK$23), BA46))), ABS($BK$3:$BK$23 - MEDIAN(MIN($BK$3:$BK$23), MAX($BK$3:$BK$23), BA46)), $BL$3:$BL$23, "Error", 0)</f>
        <v>-10</v>
      </c>
      <c r="BB75" s="30" cm="1">
        <f t="array" ref="BB75">_xlfn.XLOOKUP(MIN(ABS($BK$3:$BK$23 - MEDIAN(MIN($BK$3:$BK$23), MAX($BK$3:$BK$23), BB46))), ABS($BK$3:$BK$23 - MEDIAN(MIN($BK$3:$BK$23), MAX($BK$3:$BK$23), BB46)), $BL$3:$BL$23, "Error", 0)</f>
        <v>-10</v>
      </c>
      <c r="BC75" s="30" cm="1">
        <f t="array" ref="BC75">_xlfn.XLOOKUP(MIN(ABS($BK$3:$BK$23 - MEDIAN(MIN($BK$3:$BK$23), MAX($BK$3:$BK$23), BC46))), ABS($BK$3:$BK$23 - MEDIAN(MIN($BK$3:$BK$23), MAX($BK$3:$BK$23), BC46)), $BL$3:$BL$23, "Error", 0)</f>
        <v>-9</v>
      </c>
      <c r="BD75" s="30" cm="1">
        <f t="array" ref="BD75">_xlfn.XLOOKUP(MIN(ABS($BK$3:$BK$23 - MEDIAN(MIN($BK$3:$BK$23), MAX($BK$3:$BK$23), BD46))), ABS($BK$3:$BK$23 - MEDIAN(MIN($BK$3:$BK$23), MAX($BK$3:$BK$23), BD46)), $BL$3:$BL$23, "Error", 0)</f>
        <v>-9</v>
      </c>
      <c r="BE75" s="30" cm="1">
        <f t="array" ref="BE75">_xlfn.XLOOKUP(MIN(ABS($BK$3:$BK$23 - MEDIAN(MIN($BK$3:$BK$23), MAX($BK$3:$BK$23), BE46))), ABS($BK$3:$BK$23 - MEDIAN(MIN($BK$3:$BK$23), MAX($BK$3:$BK$23), BE46)), $BL$3:$BL$23, "Error", 0)</f>
        <v>-8</v>
      </c>
      <c r="BF75" s="30" cm="1">
        <f t="array" ref="BF75">_xlfn.XLOOKUP(MIN(ABS($BK$3:$BK$23 - MEDIAN(MIN($BK$3:$BK$23), MAX($BK$3:$BK$23), BF46))), ABS($BK$3:$BK$23 - MEDIAN(MIN($BK$3:$BK$23), MAX($BK$3:$BK$23), BF46)), $BL$3:$BL$23, "Error", 0)</f>
        <v>-6</v>
      </c>
      <c r="BG75" s="30" cm="1">
        <f t="array" ref="BG75">_xlfn.XLOOKUP(MIN(ABS($BK$3:$BK$23 - MEDIAN(MIN($BK$3:$BK$23), MAX($BK$3:$BK$23), BG46))), ABS($BK$3:$BK$23 - MEDIAN(MIN($BK$3:$BK$23), MAX($BK$3:$BK$23), BG46)), $BL$3:$BL$23, "Error", 0)</f>
        <v>10</v>
      </c>
      <c r="BH75" s="30" cm="1">
        <f t="array" ref="BH75">_xlfn.XLOOKUP(MIN(ABS($BK$3:$BK$23 - MEDIAN(MIN($BK$3:$BK$23), MAX($BK$3:$BK$23), BH46))), ABS($BK$3:$BK$23 - MEDIAN(MIN($BK$3:$BK$23), MAX($BK$3:$BK$23), BH46)), $BL$3:$BL$23, "Error", 0)</f>
        <v>10</v>
      </c>
      <c r="BI75" s="30" cm="1">
        <f t="array" ref="BI75">_xlfn.XLOOKUP(MIN(ABS($BK$3:$BK$23 - MEDIAN(MIN($BK$3:$BK$23), MAX($BK$3:$BK$23), BI46))), ABS($BK$3:$BK$23 - MEDIAN(MIN($BK$3:$BK$23), MAX($BK$3:$BK$23), BI46)), $BL$3:$BL$23, "Error", 0)</f>
        <v>10</v>
      </c>
    </row>
    <row r="76" spans="1:61" ht="25" customHeight="1">
      <c r="A76" s="48" t="s">
        <v>51</v>
      </c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30" cm="1">
        <f t="array" ref="N76">_xlfn.XLOOKUP(MIN(ABS($BK$3:$BK$23 - MEDIAN(MIN($BK$3:$BK$23), MAX($BK$3:$BK$23), N47))), ABS($BK$3:$BK$23 - MEDIAN(MIN($BK$3:$BK$23), MAX($BK$3:$BK$23), N47)), $BL$3:$BL$23, "Error", 0)</f>
        <v>4</v>
      </c>
      <c r="O76" s="30" cm="1">
        <f t="array" ref="O76">_xlfn.XLOOKUP(MIN(ABS($BK$3:$BK$23 - MEDIAN(MIN($BK$3:$BK$23), MAX($BK$3:$BK$23), O47))), ABS($BK$3:$BK$23 - MEDIAN(MIN($BK$3:$BK$23), MAX($BK$3:$BK$23), O47)), $BL$3:$BL$23, "Error", 0)</f>
        <v>6</v>
      </c>
      <c r="P76" s="30" cm="1">
        <f t="array" ref="P76">_xlfn.XLOOKUP(MIN(ABS($BK$3:$BK$23 - MEDIAN(MIN($BK$3:$BK$23), MAX($BK$3:$BK$23), P47))), ABS($BK$3:$BK$23 - MEDIAN(MIN($BK$3:$BK$23), MAX($BK$3:$BK$23), P47)), $BL$3:$BL$23, "Error", 0)</f>
        <v>7</v>
      </c>
      <c r="Q76" s="30" cm="1">
        <f t="array" ref="Q76">_xlfn.XLOOKUP(MIN(ABS($BK$3:$BK$23 - MEDIAN(MIN($BK$3:$BK$23), MAX($BK$3:$BK$23), Q47))), ABS($BK$3:$BK$23 - MEDIAN(MIN($BK$3:$BK$23), MAX($BK$3:$BK$23), Q47)), $BL$3:$BL$23, "Error", 0)</f>
        <v>3</v>
      </c>
      <c r="R76" s="30" cm="1">
        <f t="array" ref="R76">_xlfn.XLOOKUP(MIN(ABS($BK$3:$BK$23 - MEDIAN(MIN($BK$3:$BK$23), MAX($BK$3:$BK$23), R47))), ABS($BK$3:$BK$23 - MEDIAN(MIN($BK$3:$BK$23), MAX($BK$3:$BK$23), R47)), $BL$3:$BL$23, "Error", 0)</f>
        <v>3</v>
      </c>
      <c r="S76" s="30" cm="1">
        <f t="array" ref="S76">_xlfn.XLOOKUP(MIN(ABS($BK$3:$BK$23 - MEDIAN(MIN($BK$3:$BK$23), MAX($BK$3:$BK$23), S47))), ABS($BK$3:$BK$23 - MEDIAN(MIN($BK$3:$BK$23), MAX($BK$3:$BK$23), S47)), $BL$3:$BL$23, "Error", 0)</f>
        <v>2</v>
      </c>
      <c r="T76" s="30" cm="1">
        <f t="array" ref="T76">_xlfn.XLOOKUP(MIN(ABS($BK$3:$BK$23 - MEDIAN(MIN($BK$3:$BK$23), MAX($BK$3:$BK$23), T47))), ABS($BK$3:$BK$23 - MEDIAN(MIN($BK$3:$BK$23), MAX($BK$3:$BK$23), T47)), $BL$3:$BL$23, "Error", 0)</f>
        <v>0</v>
      </c>
      <c r="U76" s="30" cm="1">
        <f t="array" ref="U76">_xlfn.XLOOKUP(MIN(ABS($BK$3:$BK$23 - MEDIAN(MIN($BK$3:$BK$23), MAX($BK$3:$BK$23), U47))), ABS($BK$3:$BK$23 - MEDIAN(MIN($BK$3:$BK$23), MAX($BK$3:$BK$23), U47)), $BL$3:$BL$23, "Error", 0)</f>
        <v>0</v>
      </c>
      <c r="V76" s="30" cm="1">
        <f t="array" ref="V76">_xlfn.XLOOKUP(MIN(ABS($BK$3:$BK$23 - MEDIAN(MIN($BK$3:$BK$23), MAX($BK$3:$BK$23), V47))), ABS($BK$3:$BK$23 - MEDIAN(MIN($BK$3:$BK$23), MAX($BK$3:$BK$23), V47)), $BL$3:$BL$23, "Error", 0)</f>
        <v>-2</v>
      </c>
      <c r="W76" s="30" cm="1">
        <f t="array" ref="W76">_xlfn.XLOOKUP(MIN(ABS($BK$3:$BK$23 - MEDIAN(MIN($BK$3:$BK$23), MAX($BK$3:$BK$23), W47))), ABS($BK$3:$BK$23 - MEDIAN(MIN($BK$3:$BK$23), MAX($BK$3:$BK$23), W47)), $BL$3:$BL$23, "Error", 0)</f>
        <v>0</v>
      </c>
      <c r="X76" s="30" cm="1">
        <f t="array" ref="X76">_xlfn.XLOOKUP(MIN(ABS($BK$3:$BK$23 - MEDIAN(MIN($BK$3:$BK$23), MAX($BK$3:$BK$23), X47))), ABS($BK$3:$BK$23 - MEDIAN(MIN($BK$3:$BK$23), MAX($BK$3:$BK$23), X47)), $BL$3:$BL$23, "Error", 0)</f>
        <v>1</v>
      </c>
      <c r="Y76" s="30" cm="1">
        <f t="array" ref="Y76">_xlfn.XLOOKUP(MIN(ABS($BK$3:$BK$23 - MEDIAN(MIN($BK$3:$BK$23), MAX($BK$3:$BK$23), Y47))), ABS($BK$3:$BK$23 - MEDIAN(MIN($BK$3:$BK$23), MAX($BK$3:$BK$23), Y47)), $BL$3:$BL$23, "Error", 0)</f>
        <v>1</v>
      </c>
      <c r="Z76" s="30" cm="1">
        <f t="array" ref="Z76">_xlfn.XLOOKUP(MIN(ABS($BK$3:$BK$23 - MEDIAN(MIN($BK$3:$BK$23), MAX($BK$3:$BK$23), Z47))), ABS($BK$3:$BK$23 - MEDIAN(MIN($BK$3:$BK$23), MAX($BK$3:$BK$23), Z47)), $BL$3:$BL$23, "Error", 0)</f>
        <v>1</v>
      </c>
      <c r="AA76" s="30" cm="1">
        <f t="array" ref="AA76">_xlfn.XLOOKUP(MIN(ABS($BK$3:$BK$23 - MEDIAN(MIN($BK$3:$BK$23), MAX($BK$3:$BK$23), AA47))), ABS($BK$3:$BK$23 - MEDIAN(MIN($BK$3:$BK$23), MAX($BK$3:$BK$23), AA47)), $BL$3:$BL$23, "Error", 0)</f>
        <v>-1</v>
      </c>
      <c r="AB76" s="30" cm="1">
        <f t="array" ref="AB76">_xlfn.XLOOKUP(MIN(ABS($BK$3:$BK$23 - MEDIAN(MIN($BK$3:$BK$23), MAX($BK$3:$BK$23), AB47))), ABS($BK$3:$BK$23 - MEDIAN(MIN($BK$3:$BK$23), MAX($BK$3:$BK$23), AB47)), $BL$3:$BL$23, "Error", 0)</f>
        <v>-1</v>
      </c>
      <c r="AC76" s="30" cm="1">
        <f t="array" ref="AC76">_xlfn.XLOOKUP(MIN(ABS($BK$3:$BK$23 - MEDIAN(MIN($BK$3:$BK$23), MAX($BK$3:$BK$23), AC47))), ABS($BK$3:$BK$23 - MEDIAN(MIN($BK$3:$BK$23), MAX($BK$3:$BK$23), AC47)), $BL$3:$BL$23, "Error", 0)</f>
        <v>2</v>
      </c>
      <c r="AD76" s="30" cm="1">
        <f t="array" ref="AD76">_xlfn.XLOOKUP(MIN(ABS($BK$3:$BK$23 - MEDIAN(MIN($BK$3:$BK$23), MAX($BK$3:$BK$23), AD47))), ABS($BK$3:$BK$23 - MEDIAN(MIN($BK$3:$BK$23), MAX($BK$3:$BK$23), AD47)), $BL$3:$BL$23, "Error", 0)</f>
        <v>0</v>
      </c>
      <c r="AE76" s="30" cm="1">
        <f t="array" ref="AE76">_xlfn.XLOOKUP(MIN(ABS($BK$3:$BK$23 - MEDIAN(MIN($BK$3:$BK$23), MAX($BK$3:$BK$23), AE47))), ABS($BK$3:$BK$23 - MEDIAN(MIN($BK$3:$BK$23), MAX($BK$3:$BK$23), AE47)), $BL$3:$BL$23, "Error", 0)</f>
        <v>1</v>
      </c>
      <c r="AF76" s="30" cm="1">
        <f t="array" ref="AF76">_xlfn.XLOOKUP(MIN(ABS($BK$3:$BK$23 - MEDIAN(MIN($BK$3:$BK$23), MAX($BK$3:$BK$23), AF47))), ABS($BK$3:$BK$23 - MEDIAN(MIN($BK$3:$BK$23), MAX($BK$3:$BK$23), AF47)), $BL$3:$BL$23, "Error", 0)</f>
        <v>1</v>
      </c>
      <c r="AG76" s="30" cm="1">
        <f t="array" ref="AG76">_xlfn.XLOOKUP(MIN(ABS($BK$3:$BK$23 - MEDIAN(MIN($BK$3:$BK$23), MAX($BK$3:$BK$23), AG47))), ABS($BK$3:$BK$23 - MEDIAN(MIN($BK$3:$BK$23), MAX($BK$3:$BK$23), AG47)), $BL$3:$BL$23, "Error", 0)</f>
        <v>1</v>
      </c>
      <c r="AH76" s="30" cm="1">
        <f t="array" ref="AH76">_xlfn.XLOOKUP(MIN(ABS($BK$3:$BK$23 - MEDIAN(MIN($BK$3:$BK$23), MAX($BK$3:$BK$23), AH47))), ABS($BK$3:$BK$23 - MEDIAN(MIN($BK$3:$BK$23), MAX($BK$3:$BK$23), AH47)), $BL$3:$BL$23, "Error", 0)</f>
        <v>0</v>
      </c>
      <c r="AI76" s="30" cm="1">
        <f t="array" ref="AI76">_xlfn.XLOOKUP(MIN(ABS($BK$3:$BK$23 - MEDIAN(MIN($BK$3:$BK$23), MAX($BK$3:$BK$23), AI47))), ABS($BK$3:$BK$23 - MEDIAN(MIN($BK$3:$BK$23), MAX($BK$3:$BK$23), AI47)), $BL$3:$BL$23, "Error", 0)</f>
        <v>0</v>
      </c>
      <c r="AJ76" s="30" cm="1">
        <f t="array" ref="AJ76">_xlfn.XLOOKUP(MIN(ABS($BK$3:$BK$23 - MEDIAN(MIN($BK$3:$BK$23), MAX($BK$3:$BK$23), AJ47))), ABS($BK$3:$BK$23 - MEDIAN(MIN($BK$3:$BK$23), MAX($BK$3:$BK$23), AJ47)), $BL$3:$BL$23, "Error", 0)</f>
        <v>0</v>
      </c>
      <c r="AK76" s="30" cm="1">
        <f t="array" ref="AK76">_xlfn.XLOOKUP(MIN(ABS($BK$3:$BK$23 - MEDIAN(MIN($BK$3:$BK$23), MAX($BK$3:$BK$23), AK47))), ABS($BK$3:$BK$23 - MEDIAN(MIN($BK$3:$BK$23), MAX($BK$3:$BK$23), AK47)), $BL$3:$BL$23, "Error", 0)</f>
        <v>2</v>
      </c>
      <c r="AL76" s="30" cm="1">
        <f t="array" ref="AL76">_xlfn.XLOOKUP(MIN(ABS($BK$3:$BK$23 - MEDIAN(MIN($BK$3:$BK$23), MAX($BK$3:$BK$23), AL47))), ABS($BK$3:$BK$23 - MEDIAN(MIN($BK$3:$BK$23), MAX($BK$3:$BK$23), AL47)), $BL$3:$BL$23, "Error", 0)</f>
        <v>1</v>
      </c>
      <c r="AM76" s="30" cm="1">
        <f t="array" ref="AM76">_xlfn.XLOOKUP(MIN(ABS($BK$3:$BK$23 - MEDIAN(MIN($BK$3:$BK$23), MAX($BK$3:$BK$23), AM47))), ABS($BK$3:$BK$23 - MEDIAN(MIN($BK$3:$BK$23), MAX($BK$3:$BK$23), AM47)), $BL$3:$BL$23, "Error", 0)</f>
        <v>0</v>
      </c>
      <c r="AN76" s="30" cm="1">
        <f t="array" ref="AN76">_xlfn.XLOOKUP(MIN(ABS($BK$3:$BK$23 - MEDIAN(MIN($BK$3:$BK$23), MAX($BK$3:$BK$23), AN47))), ABS($BK$3:$BK$23 - MEDIAN(MIN($BK$3:$BK$23), MAX($BK$3:$BK$23), AN47)), $BL$3:$BL$23, "Error", 0)</f>
        <v>0</v>
      </c>
      <c r="AO76" s="30" cm="1">
        <f t="array" ref="AO76">_xlfn.XLOOKUP(MIN(ABS($BK$3:$BK$23 - MEDIAN(MIN($BK$3:$BK$23), MAX($BK$3:$BK$23), AO47))), ABS($BK$3:$BK$23 - MEDIAN(MIN($BK$3:$BK$23), MAX($BK$3:$BK$23), AO47)), $BL$3:$BL$23, "Error", 0)</f>
        <v>-3</v>
      </c>
      <c r="AP76" s="30" cm="1">
        <f t="array" ref="AP76">_xlfn.XLOOKUP(MIN(ABS($BK$3:$BK$23 - MEDIAN(MIN($BK$3:$BK$23), MAX($BK$3:$BK$23), AP47))), ABS($BK$3:$BK$23 - MEDIAN(MIN($BK$3:$BK$23), MAX($BK$3:$BK$23), AP47)), $BL$3:$BL$23, "Error", 0)</f>
        <v>-3</v>
      </c>
      <c r="AQ76" s="30" cm="1">
        <f t="array" ref="AQ76">_xlfn.XLOOKUP(MIN(ABS($BK$3:$BK$23 - MEDIAN(MIN($BK$3:$BK$23), MAX($BK$3:$BK$23), AQ47))), ABS($BK$3:$BK$23 - MEDIAN(MIN($BK$3:$BK$23), MAX($BK$3:$BK$23), AQ47)), $BL$3:$BL$23, "Error", 0)</f>
        <v>-4</v>
      </c>
      <c r="AR76" s="30" cm="1">
        <f t="array" ref="AR76">_xlfn.XLOOKUP(MIN(ABS($BK$3:$BK$23 - MEDIAN(MIN($BK$3:$BK$23), MAX($BK$3:$BK$23), AR47))), ABS($BK$3:$BK$23 - MEDIAN(MIN($BK$3:$BK$23), MAX($BK$3:$BK$23), AR47)), $BL$3:$BL$23, "Error", 0)</f>
        <v>-3</v>
      </c>
      <c r="AS76" s="30" cm="1">
        <f t="array" ref="AS76">_xlfn.XLOOKUP(MIN(ABS($BK$3:$BK$23 - MEDIAN(MIN($BK$3:$BK$23), MAX($BK$3:$BK$23), AS47))), ABS($BK$3:$BK$23 - MEDIAN(MIN($BK$3:$BK$23), MAX($BK$3:$BK$23), AS47)), $BL$3:$BL$23, "Error", 0)</f>
        <v>-4</v>
      </c>
      <c r="AT76" s="30" cm="1">
        <f t="array" ref="AT76">_xlfn.XLOOKUP(MIN(ABS($BK$3:$BK$23 - MEDIAN(MIN($BK$3:$BK$23), MAX($BK$3:$BK$23), AT47))), ABS($BK$3:$BK$23 - MEDIAN(MIN($BK$3:$BK$23), MAX($BK$3:$BK$23), AT47)), $BL$3:$BL$23, "Error", 0)</f>
        <v>-6</v>
      </c>
      <c r="AU76" s="30" cm="1">
        <f t="array" ref="AU76">_xlfn.XLOOKUP(MIN(ABS($BK$3:$BK$23 - MEDIAN(MIN($BK$3:$BK$23), MAX($BK$3:$BK$23), AU47))), ABS($BK$3:$BK$23 - MEDIAN(MIN($BK$3:$BK$23), MAX($BK$3:$BK$23), AU47)), $BL$3:$BL$23, "Error", 0)</f>
        <v>-6</v>
      </c>
      <c r="AV76" s="30" cm="1">
        <f t="array" ref="AV76">_xlfn.XLOOKUP(MIN(ABS($BK$3:$BK$23 - MEDIAN(MIN($BK$3:$BK$23), MAX($BK$3:$BK$23), AV47))), ABS($BK$3:$BK$23 - MEDIAN(MIN($BK$3:$BK$23), MAX($BK$3:$BK$23), AV47)), $BL$3:$BL$23, "Error", 0)</f>
        <v>-7</v>
      </c>
      <c r="AW76" s="30" cm="1">
        <f t="array" ref="AW76">_xlfn.XLOOKUP(MIN(ABS($BK$3:$BK$23 - MEDIAN(MIN($BK$3:$BK$23), MAX($BK$3:$BK$23), AW47))), ABS($BK$3:$BK$23 - MEDIAN(MIN($BK$3:$BK$23), MAX($BK$3:$BK$23), AW47)), $BL$3:$BL$23, "Error", 0)</f>
        <v>-7</v>
      </c>
      <c r="AX76" s="30" cm="1">
        <f t="array" ref="AX76">_xlfn.XLOOKUP(MIN(ABS($BK$3:$BK$23 - MEDIAN(MIN($BK$3:$BK$23), MAX($BK$3:$BK$23), AX47))), ABS($BK$3:$BK$23 - MEDIAN(MIN($BK$3:$BK$23), MAX($BK$3:$BK$23), AX47)), $BL$3:$BL$23, "Error", 0)</f>
        <v>-7</v>
      </c>
      <c r="AY76" s="30" cm="1">
        <f t="array" ref="AY76">_xlfn.XLOOKUP(MIN(ABS($BK$3:$BK$23 - MEDIAN(MIN($BK$3:$BK$23), MAX($BK$3:$BK$23), AY47))), ABS($BK$3:$BK$23 - MEDIAN(MIN($BK$3:$BK$23), MAX($BK$3:$BK$23), AY47)), $BL$3:$BL$23, "Error", 0)</f>
        <v>-8</v>
      </c>
      <c r="AZ76" s="30" cm="1">
        <f t="array" ref="AZ76">_xlfn.XLOOKUP(MIN(ABS($BK$3:$BK$23 - MEDIAN(MIN($BK$3:$BK$23), MAX($BK$3:$BK$23), AZ47))), ABS($BK$3:$BK$23 - MEDIAN(MIN($BK$3:$BK$23), MAX($BK$3:$BK$23), AZ47)), $BL$3:$BL$23, "Error", 0)</f>
        <v>-8</v>
      </c>
      <c r="BA76" s="30" cm="1">
        <f t="array" ref="BA76">_xlfn.XLOOKUP(MIN(ABS($BK$3:$BK$23 - MEDIAN(MIN($BK$3:$BK$23), MAX($BK$3:$BK$23), BA47))), ABS($BK$3:$BK$23 - MEDIAN(MIN($BK$3:$BK$23), MAX($BK$3:$BK$23), BA47)), $BL$3:$BL$23, "Error", 0)</f>
        <v>-5</v>
      </c>
      <c r="BB76" s="30" cm="1">
        <f t="array" ref="BB76">_xlfn.XLOOKUP(MIN(ABS($BK$3:$BK$23 - MEDIAN(MIN($BK$3:$BK$23), MAX($BK$3:$BK$23), BB47))), ABS($BK$3:$BK$23 - MEDIAN(MIN($BK$3:$BK$23), MAX($BK$3:$BK$23), BB47)), $BL$3:$BL$23, "Error", 0)</f>
        <v>-5</v>
      </c>
      <c r="BC76" s="30" cm="1">
        <f t="array" ref="BC76">_xlfn.XLOOKUP(MIN(ABS($BK$3:$BK$23 - MEDIAN(MIN($BK$3:$BK$23), MAX($BK$3:$BK$23), BC47))), ABS($BK$3:$BK$23 - MEDIAN(MIN($BK$3:$BK$23), MAX($BK$3:$BK$23), BC47)), $BL$3:$BL$23, "Error", 0)</f>
        <v>-4</v>
      </c>
      <c r="BD76" s="30" cm="1">
        <f t="array" ref="BD76">_xlfn.XLOOKUP(MIN(ABS($BK$3:$BK$23 - MEDIAN(MIN($BK$3:$BK$23), MAX($BK$3:$BK$23), BD47))), ABS($BK$3:$BK$23 - MEDIAN(MIN($BK$3:$BK$23), MAX($BK$3:$BK$23), BD47)), $BL$3:$BL$23, "Error", 0)</f>
        <v>-3</v>
      </c>
      <c r="BE76" s="30" cm="1">
        <f t="array" ref="BE76">_xlfn.XLOOKUP(MIN(ABS($BK$3:$BK$23 - MEDIAN(MIN($BK$3:$BK$23), MAX($BK$3:$BK$23), BE47))), ABS($BK$3:$BK$23 - MEDIAN(MIN($BK$3:$BK$23), MAX($BK$3:$BK$23), BE47)), $BL$3:$BL$23, "Error", 0)</f>
        <v>-3</v>
      </c>
      <c r="BF76" s="30" cm="1">
        <f t="array" ref="BF76">_xlfn.XLOOKUP(MIN(ABS($BK$3:$BK$23 - MEDIAN(MIN($BK$3:$BK$23), MAX($BK$3:$BK$23), BF47))), ABS($BK$3:$BK$23 - MEDIAN(MIN($BK$3:$BK$23), MAX($BK$3:$BK$23), BF47)), $BL$3:$BL$23, "Error", 0)</f>
        <v>-1</v>
      </c>
      <c r="BG76" s="30" cm="1">
        <f t="array" ref="BG76">_xlfn.XLOOKUP(MIN(ABS($BK$3:$BK$23 - MEDIAN(MIN($BK$3:$BK$23), MAX($BK$3:$BK$23), BG47))), ABS($BK$3:$BK$23 - MEDIAN(MIN($BK$3:$BK$23), MAX($BK$3:$BK$23), BG47)), $BL$3:$BL$23, "Error", 0)</f>
        <v>10</v>
      </c>
      <c r="BH76" s="30" cm="1">
        <f t="array" ref="BH76">_xlfn.XLOOKUP(MIN(ABS($BK$3:$BK$23 - MEDIAN(MIN($BK$3:$BK$23), MAX($BK$3:$BK$23), BH47))), ABS($BK$3:$BK$23 - MEDIAN(MIN($BK$3:$BK$23), MAX($BK$3:$BK$23), BH47)), $BL$3:$BL$23, "Error", 0)</f>
        <v>10</v>
      </c>
      <c r="BI76" s="30" cm="1">
        <f t="array" ref="BI76">_xlfn.XLOOKUP(MIN(ABS($BK$3:$BK$23 - MEDIAN(MIN($BK$3:$BK$23), MAX($BK$3:$BK$23), BI47))), ABS($BK$3:$BK$23 - MEDIAN(MIN($BK$3:$BK$23), MAX($BK$3:$BK$23), BI47)), $BL$3:$BL$23, "Error", 0)</f>
        <v>10</v>
      </c>
    </row>
    <row r="77" spans="1:61" ht="25" customHeight="1">
      <c r="A77" s="48" t="s">
        <v>52</v>
      </c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30" cm="1">
        <f t="array" ref="N77">_xlfn.XLOOKUP(MIN(ABS($BK$3:$BK$23 - MEDIAN(MIN($BK$3:$BK$23), MAX($BK$3:$BK$23), N48))), ABS($BK$3:$BK$23 - MEDIAN(MIN($BK$3:$BK$23), MAX($BK$3:$BK$23), N48)), $BL$3:$BL$23, "Error", 0)</f>
        <v>-10</v>
      </c>
      <c r="O77" s="30" cm="1">
        <f t="array" ref="O77">_xlfn.XLOOKUP(MIN(ABS($BK$3:$BK$23 - MEDIAN(MIN($BK$3:$BK$23), MAX($BK$3:$BK$23), O48))), ABS($BK$3:$BK$23 - MEDIAN(MIN($BK$3:$BK$23), MAX($BK$3:$BK$23), O48)), $BL$3:$BL$23, "Error", 0)</f>
        <v>-10</v>
      </c>
      <c r="P77" s="30" cm="1">
        <f t="array" ref="P77">_xlfn.XLOOKUP(MIN(ABS($BK$3:$BK$23 - MEDIAN(MIN($BK$3:$BK$23), MAX($BK$3:$BK$23), P48))), ABS($BK$3:$BK$23 - MEDIAN(MIN($BK$3:$BK$23), MAX($BK$3:$BK$23), P48)), $BL$3:$BL$23, "Error", 0)</f>
        <v>-10</v>
      </c>
      <c r="Q77" s="30" cm="1">
        <f t="array" ref="Q77">_xlfn.XLOOKUP(MIN(ABS($BK$3:$BK$23 - MEDIAN(MIN($BK$3:$BK$23), MAX($BK$3:$BK$23), Q48))), ABS($BK$3:$BK$23 - MEDIAN(MIN($BK$3:$BK$23), MAX($BK$3:$BK$23), Q48)), $BL$3:$BL$23, "Error", 0)</f>
        <v>-10</v>
      </c>
      <c r="R77" s="30" cm="1">
        <f t="array" ref="R77">_xlfn.XLOOKUP(MIN(ABS($BK$3:$BK$23 - MEDIAN(MIN($BK$3:$BK$23), MAX($BK$3:$BK$23), R48))), ABS($BK$3:$BK$23 - MEDIAN(MIN($BK$3:$BK$23), MAX($BK$3:$BK$23), R48)), $BL$3:$BL$23, "Error", 0)</f>
        <v>-10</v>
      </c>
      <c r="S77" s="30" cm="1">
        <f t="array" ref="S77">_xlfn.XLOOKUP(MIN(ABS($BK$3:$BK$23 - MEDIAN(MIN($BK$3:$BK$23), MAX($BK$3:$BK$23), S48))), ABS($BK$3:$BK$23 - MEDIAN(MIN($BK$3:$BK$23), MAX($BK$3:$BK$23), S48)), $BL$3:$BL$23, "Error", 0)</f>
        <v>-10</v>
      </c>
      <c r="T77" s="30" cm="1">
        <f t="array" ref="T77">_xlfn.XLOOKUP(MIN(ABS($BK$3:$BK$23 - MEDIAN(MIN($BK$3:$BK$23), MAX($BK$3:$BK$23), T48))), ABS($BK$3:$BK$23 - MEDIAN(MIN($BK$3:$BK$23), MAX($BK$3:$BK$23), T48)), $BL$3:$BL$23, "Error", 0)</f>
        <v>-10</v>
      </c>
      <c r="U77" s="30" cm="1">
        <f t="array" ref="U77">_xlfn.XLOOKUP(MIN(ABS($BK$3:$BK$23 - MEDIAN(MIN($BK$3:$BK$23), MAX($BK$3:$BK$23), U48))), ABS($BK$3:$BK$23 - MEDIAN(MIN($BK$3:$BK$23), MAX($BK$3:$BK$23), U48)), $BL$3:$BL$23, "Error", 0)</f>
        <v>-10</v>
      </c>
      <c r="V77" s="30" cm="1">
        <f t="array" ref="V77">_xlfn.XLOOKUP(MIN(ABS($BK$3:$BK$23 - MEDIAN(MIN($BK$3:$BK$23), MAX($BK$3:$BK$23), V48))), ABS($BK$3:$BK$23 - MEDIAN(MIN($BK$3:$BK$23), MAX($BK$3:$BK$23), V48)), $BL$3:$BL$23, "Error", 0)</f>
        <v>-5</v>
      </c>
      <c r="W77" s="30" cm="1">
        <f t="array" ref="W77">_xlfn.XLOOKUP(MIN(ABS($BK$3:$BK$23 - MEDIAN(MIN($BK$3:$BK$23), MAX($BK$3:$BK$23), W48))), ABS($BK$3:$BK$23 - MEDIAN(MIN($BK$3:$BK$23), MAX($BK$3:$BK$23), W48)), $BL$3:$BL$23, "Error", 0)</f>
        <v>10</v>
      </c>
      <c r="X77" s="30" cm="1">
        <f t="array" ref="X77">_xlfn.XLOOKUP(MIN(ABS($BK$3:$BK$23 - MEDIAN(MIN($BK$3:$BK$23), MAX($BK$3:$BK$23), X48))), ABS($BK$3:$BK$23 - MEDIAN(MIN($BK$3:$BK$23), MAX($BK$3:$BK$23), X48)), $BL$3:$BL$23, "Error", 0)</f>
        <v>10</v>
      </c>
      <c r="Y77" s="30" cm="1">
        <f t="array" ref="Y77">_xlfn.XLOOKUP(MIN(ABS($BK$3:$BK$23 - MEDIAN(MIN($BK$3:$BK$23), MAX($BK$3:$BK$23), Y48))), ABS($BK$3:$BK$23 - MEDIAN(MIN($BK$3:$BK$23), MAX($BK$3:$BK$23), Y48)), $BL$3:$BL$23, "Error", 0)</f>
        <v>10</v>
      </c>
      <c r="Z77" s="30" cm="1">
        <f t="array" ref="Z77">_xlfn.XLOOKUP(MIN(ABS($BK$3:$BK$23 - MEDIAN(MIN($BK$3:$BK$23), MAX($BK$3:$BK$23), Z48))), ABS($BK$3:$BK$23 - MEDIAN(MIN($BK$3:$BK$23), MAX($BK$3:$BK$23), Z48)), $BL$3:$BL$23, "Error", 0)</f>
        <v>10</v>
      </c>
      <c r="AA77" s="30" cm="1">
        <f t="array" ref="AA77">_xlfn.XLOOKUP(MIN(ABS($BK$3:$BK$23 - MEDIAN(MIN($BK$3:$BK$23), MAX($BK$3:$BK$23), AA48))), ABS($BK$3:$BK$23 - MEDIAN(MIN($BK$3:$BK$23), MAX($BK$3:$BK$23), AA48)), $BL$3:$BL$23, "Error", 0)</f>
        <v>10</v>
      </c>
      <c r="AB77" s="30" cm="1">
        <f t="array" ref="AB77">_xlfn.XLOOKUP(MIN(ABS($BK$3:$BK$23 - MEDIAN(MIN($BK$3:$BK$23), MAX($BK$3:$BK$23), AB48))), ABS($BK$3:$BK$23 - MEDIAN(MIN($BK$3:$BK$23), MAX($BK$3:$BK$23), AB48)), $BL$3:$BL$23, "Error", 0)</f>
        <v>10</v>
      </c>
      <c r="AC77" s="30" cm="1">
        <f t="array" ref="AC77">_xlfn.XLOOKUP(MIN(ABS($BK$3:$BK$23 - MEDIAN(MIN($BK$3:$BK$23), MAX($BK$3:$BK$23), AC48))), ABS($BK$3:$BK$23 - MEDIAN(MIN($BK$3:$BK$23), MAX($BK$3:$BK$23), AC48)), $BL$3:$BL$23, "Error", 0)</f>
        <v>6</v>
      </c>
      <c r="AD77" s="30" cm="1">
        <f t="array" ref="AD77">_xlfn.XLOOKUP(MIN(ABS($BK$3:$BK$23 - MEDIAN(MIN($BK$3:$BK$23), MAX($BK$3:$BK$23), AD48))), ABS($BK$3:$BK$23 - MEDIAN(MIN($BK$3:$BK$23), MAX($BK$3:$BK$23), AD48)), $BL$3:$BL$23, "Error", 0)</f>
        <v>-10</v>
      </c>
      <c r="AE77" s="30" cm="1">
        <f t="array" ref="AE77">_xlfn.XLOOKUP(MIN(ABS($BK$3:$BK$23 - MEDIAN(MIN($BK$3:$BK$23), MAX($BK$3:$BK$23), AE48))), ABS($BK$3:$BK$23 - MEDIAN(MIN($BK$3:$BK$23), MAX($BK$3:$BK$23), AE48)), $BL$3:$BL$23, "Error", 0)</f>
        <v>-9</v>
      </c>
      <c r="AF77" s="30" cm="1">
        <f t="array" ref="AF77">_xlfn.XLOOKUP(MIN(ABS($BK$3:$BK$23 - MEDIAN(MIN($BK$3:$BK$23), MAX($BK$3:$BK$23), AF48))), ABS($BK$3:$BK$23 - MEDIAN(MIN($BK$3:$BK$23), MAX($BK$3:$BK$23), AF48)), $BL$3:$BL$23, "Error", 0)</f>
        <v>-10</v>
      </c>
      <c r="AG77" s="30" cm="1">
        <f t="array" ref="AG77">_xlfn.XLOOKUP(MIN(ABS($BK$3:$BK$23 - MEDIAN(MIN($BK$3:$BK$23), MAX($BK$3:$BK$23), AG48))), ABS($BK$3:$BK$23 - MEDIAN(MIN($BK$3:$BK$23), MAX($BK$3:$BK$23), AG48)), $BL$3:$BL$23, "Error", 0)</f>
        <v>-10</v>
      </c>
      <c r="AH77" s="30" cm="1">
        <f t="array" ref="AH77">_xlfn.XLOOKUP(MIN(ABS($BK$3:$BK$23 - MEDIAN(MIN($BK$3:$BK$23), MAX($BK$3:$BK$23), AH48))), ABS($BK$3:$BK$23 - MEDIAN(MIN($BK$3:$BK$23), MAX($BK$3:$BK$23), AH48)), $BL$3:$BL$23, "Error", 0)</f>
        <v>-4</v>
      </c>
      <c r="AI77" s="30" cm="1">
        <f t="array" ref="AI77">_xlfn.XLOOKUP(MIN(ABS($BK$3:$BK$23 - MEDIAN(MIN($BK$3:$BK$23), MAX($BK$3:$BK$23), AI48))), ABS($BK$3:$BK$23 - MEDIAN(MIN($BK$3:$BK$23), MAX($BK$3:$BK$23), AI48)), $BL$3:$BL$23, "Error", 0)</f>
        <v>-9</v>
      </c>
      <c r="AJ77" s="30" cm="1">
        <f t="array" ref="AJ77">_xlfn.XLOOKUP(MIN(ABS($BK$3:$BK$23 - MEDIAN(MIN($BK$3:$BK$23), MAX($BK$3:$BK$23), AJ48))), ABS($BK$3:$BK$23 - MEDIAN(MIN($BK$3:$BK$23), MAX($BK$3:$BK$23), AJ48)), $BL$3:$BL$23, "Error", 0)</f>
        <v>-10</v>
      </c>
      <c r="AK77" s="30" cm="1">
        <f t="array" ref="AK77">_xlfn.XLOOKUP(MIN(ABS($BK$3:$BK$23 - MEDIAN(MIN($BK$3:$BK$23), MAX($BK$3:$BK$23), AK48))), ABS($BK$3:$BK$23 - MEDIAN(MIN($BK$3:$BK$23), MAX($BK$3:$BK$23), AK48)), $BL$3:$BL$23, "Error", 0)</f>
        <v>-10</v>
      </c>
      <c r="AL77" s="30" cm="1">
        <f t="array" ref="AL77">_xlfn.XLOOKUP(MIN(ABS($BK$3:$BK$23 - MEDIAN(MIN($BK$3:$BK$23), MAX($BK$3:$BK$23), AL48))), ABS($BK$3:$BK$23 - MEDIAN(MIN($BK$3:$BK$23), MAX($BK$3:$BK$23), AL48)), $BL$3:$BL$23, "Error", 0)</f>
        <v>-10</v>
      </c>
      <c r="AM77" s="30" cm="1">
        <f t="array" ref="AM77">_xlfn.XLOOKUP(MIN(ABS($BK$3:$BK$23 - MEDIAN(MIN($BK$3:$BK$23), MAX($BK$3:$BK$23), AM48))), ABS($BK$3:$BK$23 - MEDIAN(MIN($BK$3:$BK$23), MAX($BK$3:$BK$23), AM48)), $BL$3:$BL$23, "Error", 0)</f>
        <v>-10</v>
      </c>
      <c r="AN77" s="30" cm="1">
        <f t="array" ref="AN77">_xlfn.XLOOKUP(MIN(ABS($BK$3:$BK$23 - MEDIAN(MIN($BK$3:$BK$23), MAX($BK$3:$BK$23), AN48))), ABS($BK$3:$BK$23 - MEDIAN(MIN($BK$3:$BK$23), MAX($BK$3:$BK$23), AN48)), $BL$3:$BL$23, "Error", 0)</f>
        <v>-10</v>
      </c>
      <c r="AO77" s="30" cm="1">
        <f t="array" ref="AO77">_xlfn.XLOOKUP(MIN(ABS($BK$3:$BK$23 - MEDIAN(MIN($BK$3:$BK$23), MAX($BK$3:$BK$23), AO48))), ABS($BK$3:$BK$23 - MEDIAN(MIN($BK$3:$BK$23), MAX($BK$3:$BK$23), AO48)), $BL$3:$BL$23, "Error", 0)</f>
        <v>-10</v>
      </c>
      <c r="AP77" s="30" cm="1">
        <f t="array" ref="AP77">_xlfn.XLOOKUP(MIN(ABS($BK$3:$BK$23 - MEDIAN(MIN($BK$3:$BK$23), MAX($BK$3:$BK$23), AP48))), ABS($BK$3:$BK$23 - MEDIAN(MIN($BK$3:$BK$23), MAX($BK$3:$BK$23), AP48)), $BL$3:$BL$23, "Error", 0)</f>
        <v>10</v>
      </c>
      <c r="AQ77" s="30" cm="1">
        <f t="array" ref="AQ77">_xlfn.XLOOKUP(MIN(ABS($BK$3:$BK$23 - MEDIAN(MIN($BK$3:$BK$23), MAX($BK$3:$BK$23), AQ48))), ABS($BK$3:$BK$23 - MEDIAN(MIN($BK$3:$BK$23), MAX($BK$3:$BK$23), AQ48)), $BL$3:$BL$23, "Error", 0)</f>
        <v>10</v>
      </c>
      <c r="AR77" s="30" cm="1">
        <f t="array" ref="AR77">_xlfn.XLOOKUP(MIN(ABS($BK$3:$BK$23 - MEDIAN(MIN($BK$3:$BK$23), MAX($BK$3:$BK$23), AR48))), ABS($BK$3:$BK$23 - MEDIAN(MIN($BK$3:$BK$23), MAX($BK$3:$BK$23), AR48)), $BL$3:$BL$23, "Error", 0)</f>
        <v>10</v>
      </c>
      <c r="AS77" s="30" cm="1">
        <f t="array" ref="AS77">_xlfn.XLOOKUP(MIN(ABS($BK$3:$BK$23 - MEDIAN(MIN($BK$3:$BK$23), MAX($BK$3:$BK$23), AS48))), ABS($BK$3:$BK$23 - MEDIAN(MIN($BK$3:$BK$23), MAX($BK$3:$BK$23), AS48)), $BL$3:$BL$23, "Error", 0)</f>
        <v>10</v>
      </c>
      <c r="AT77" s="30" cm="1">
        <f t="array" ref="AT77">_xlfn.XLOOKUP(MIN(ABS($BK$3:$BK$23 - MEDIAN(MIN($BK$3:$BK$23), MAX($BK$3:$BK$23), AT48))), ABS($BK$3:$BK$23 - MEDIAN(MIN($BK$3:$BK$23), MAX($BK$3:$BK$23), AT48)), $BL$3:$BL$23, "Error", 0)</f>
        <v>10</v>
      </c>
      <c r="AU77" s="30" cm="1">
        <f t="array" ref="AU77">_xlfn.XLOOKUP(MIN(ABS($BK$3:$BK$23 - MEDIAN(MIN($BK$3:$BK$23), MAX($BK$3:$BK$23), AU48))), ABS($BK$3:$BK$23 - MEDIAN(MIN($BK$3:$BK$23), MAX($BK$3:$BK$23), AU48)), $BL$3:$BL$23, "Error", 0)</f>
        <v>10</v>
      </c>
      <c r="AV77" s="30" cm="1">
        <f t="array" ref="AV77">_xlfn.XLOOKUP(MIN(ABS($BK$3:$BK$23 - MEDIAN(MIN($BK$3:$BK$23), MAX($BK$3:$BK$23), AV48))), ABS($BK$3:$BK$23 - MEDIAN(MIN($BK$3:$BK$23), MAX($BK$3:$BK$23), AV48)), $BL$3:$BL$23, "Error", 0)</f>
        <v>10</v>
      </c>
      <c r="AW77" s="30" cm="1">
        <f t="array" ref="AW77">_xlfn.XLOOKUP(MIN(ABS($BK$3:$BK$23 - MEDIAN(MIN($BK$3:$BK$23), MAX($BK$3:$BK$23), AW48))), ABS($BK$3:$BK$23 - MEDIAN(MIN($BK$3:$BK$23), MAX($BK$3:$BK$23), AW48)), $BL$3:$BL$23, "Error", 0)</f>
        <v>10</v>
      </c>
      <c r="AX77" s="30" cm="1">
        <f t="array" ref="AX77">_xlfn.XLOOKUP(MIN(ABS($BK$3:$BK$23 - MEDIAN(MIN($BK$3:$BK$23), MAX($BK$3:$BK$23), AX48))), ABS($BK$3:$BK$23 - MEDIAN(MIN($BK$3:$BK$23), MAX($BK$3:$BK$23), AX48)), $BL$3:$BL$23, "Error", 0)</f>
        <v>10</v>
      </c>
      <c r="AY77" s="30" cm="1">
        <f t="array" ref="AY77">_xlfn.XLOOKUP(MIN(ABS($BK$3:$BK$23 - MEDIAN(MIN($BK$3:$BK$23), MAX($BK$3:$BK$23), AY48))), ABS($BK$3:$BK$23 - MEDIAN(MIN($BK$3:$BK$23), MAX($BK$3:$BK$23), AY48)), $BL$3:$BL$23, "Error", 0)</f>
        <v>10</v>
      </c>
      <c r="AZ77" s="30" cm="1">
        <f t="array" ref="AZ77">_xlfn.XLOOKUP(MIN(ABS($BK$3:$BK$23 - MEDIAN(MIN($BK$3:$BK$23), MAX($BK$3:$BK$23), AZ48))), ABS($BK$3:$BK$23 - MEDIAN(MIN($BK$3:$BK$23), MAX($BK$3:$BK$23), AZ48)), $BL$3:$BL$23, "Error", 0)</f>
        <v>10</v>
      </c>
      <c r="BA77" s="30" cm="1">
        <f t="array" ref="BA77">_xlfn.XLOOKUP(MIN(ABS($BK$3:$BK$23 - MEDIAN(MIN($BK$3:$BK$23), MAX($BK$3:$BK$23), BA48))), ABS($BK$3:$BK$23 - MEDIAN(MIN($BK$3:$BK$23), MAX($BK$3:$BK$23), BA48)), $BL$3:$BL$23, "Error", 0)</f>
        <v>10</v>
      </c>
      <c r="BB77" s="30" cm="1">
        <f t="array" ref="BB77">_xlfn.XLOOKUP(MIN(ABS($BK$3:$BK$23 - MEDIAN(MIN($BK$3:$BK$23), MAX($BK$3:$BK$23), BB48))), ABS($BK$3:$BK$23 - MEDIAN(MIN($BK$3:$BK$23), MAX($BK$3:$BK$23), BB48)), $BL$3:$BL$23, "Error", 0)</f>
        <v>-10</v>
      </c>
      <c r="BC77" s="30" cm="1">
        <f t="array" ref="BC77">_xlfn.XLOOKUP(MIN(ABS($BK$3:$BK$23 - MEDIAN(MIN($BK$3:$BK$23), MAX($BK$3:$BK$23), BC48))), ABS($BK$3:$BK$23 - MEDIAN(MIN($BK$3:$BK$23), MAX($BK$3:$BK$23), BC48)), $BL$3:$BL$23, "Error", 0)</f>
        <v>-10</v>
      </c>
      <c r="BD77" s="30" cm="1">
        <f t="array" ref="BD77">_xlfn.XLOOKUP(MIN(ABS($BK$3:$BK$23 - MEDIAN(MIN($BK$3:$BK$23), MAX($BK$3:$BK$23), BD48))), ABS($BK$3:$BK$23 - MEDIAN(MIN($BK$3:$BK$23), MAX($BK$3:$BK$23), BD48)), $BL$3:$BL$23, "Error", 0)</f>
        <v>-10</v>
      </c>
      <c r="BE77" s="30" cm="1">
        <f t="array" ref="BE77">_xlfn.XLOOKUP(MIN(ABS($BK$3:$BK$23 - MEDIAN(MIN($BK$3:$BK$23), MAX($BK$3:$BK$23), BE48))), ABS($BK$3:$BK$23 - MEDIAN(MIN($BK$3:$BK$23), MAX($BK$3:$BK$23), BE48)), $BL$3:$BL$23, "Error", 0)</f>
        <v>-10</v>
      </c>
      <c r="BF77" s="30" cm="1">
        <f t="array" ref="BF77">_xlfn.XLOOKUP(MIN(ABS($BK$3:$BK$23 - MEDIAN(MIN($BK$3:$BK$23), MAX($BK$3:$BK$23), BF48))), ABS($BK$3:$BK$23 - MEDIAN(MIN($BK$3:$BK$23), MAX($BK$3:$BK$23), BF48)), $BL$3:$BL$23, "Error", 0)</f>
        <v>-10</v>
      </c>
      <c r="BG77" s="30" cm="1">
        <f t="array" ref="BG77">_xlfn.XLOOKUP(MIN(ABS($BK$3:$BK$23 - MEDIAN(MIN($BK$3:$BK$23), MAX($BK$3:$BK$23), BG48))), ABS($BK$3:$BK$23 - MEDIAN(MIN($BK$3:$BK$23), MAX($BK$3:$BK$23), BG48)), $BL$3:$BL$23, "Error", 0)</f>
        <v>-10</v>
      </c>
      <c r="BH77" s="30" cm="1">
        <f t="array" ref="BH77">_xlfn.XLOOKUP(MIN(ABS($BK$3:$BK$23 - MEDIAN(MIN($BK$3:$BK$23), MAX($BK$3:$BK$23), BH48))), ABS($BK$3:$BK$23 - MEDIAN(MIN($BK$3:$BK$23), MAX($BK$3:$BK$23), BH48)), $BL$3:$BL$23, "Error", 0)</f>
        <v>-10</v>
      </c>
      <c r="BI77" s="30" cm="1">
        <f t="array" ref="BI77">_xlfn.XLOOKUP(MIN(ABS($BK$3:$BK$23 - MEDIAN(MIN($BK$3:$BK$23), MAX($BK$3:$BK$23), BI48))), ABS($BK$3:$BK$23 - MEDIAN(MIN($BK$3:$BK$23), MAX($BK$3:$BK$23), BI48)), $BL$3:$BL$23, "Error", 0)</f>
        <v>-10</v>
      </c>
    </row>
    <row r="78" spans="1:61" ht="25" customHeight="1">
      <c r="A78" s="48" t="s">
        <v>53</v>
      </c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30" cm="1">
        <f t="array" ref="N78">_xlfn.XLOOKUP(MIN(ABS($BK$3:$BK$23 - MEDIAN(MIN($BK$3:$BK$23), MAX($BK$3:$BK$23), N49))), ABS($BK$3:$BK$23 - MEDIAN(MIN($BK$3:$BK$23), MAX($BK$3:$BK$23), N49)), $BL$3:$BL$23, "Error", 0)</f>
        <v>-10</v>
      </c>
      <c r="O78" s="30" cm="1">
        <f t="array" ref="O78">_xlfn.XLOOKUP(MIN(ABS($BK$3:$BK$23 - MEDIAN(MIN($BK$3:$BK$23), MAX($BK$3:$BK$23), O49))), ABS($BK$3:$BK$23 - MEDIAN(MIN($BK$3:$BK$23), MAX($BK$3:$BK$23), O49)), $BL$3:$BL$23, "Error", 0)</f>
        <v>-10</v>
      </c>
      <c r="P78" s="30" cm="1">
        <f t="array" ref="P78">_xlfn.XLOOKUP(MIN(ABS($BK$3:$BK$23 - MEDIAN(MIN($BK$3:$BK$23), MAX($BK$3:$BK$23), P49))), ABS($BK$3:$BK$23 - MEDIAN(MIN($BK$3:$BK$23), MAX($BK$3:$BK$23), P49)), $BL$3:$BL$23, "Error", 0)</f>
        <v>-10</v>
      </c>
      <c r="Q78" s="30" cm="1">
        <f t="array" ref="Q78">_xlfn.XLOOKUP(MIN(ABS($BK$3:$BK$23 - MEDIAN(MIN($BK$3:$BK$23), MAX($BK$3:$BK$23), Q49))), ABS($BK$3:$BK$23 - MEDIAN(MIN($BK$3:$BK$23), MAX($BK$3:$BK$23), Q49)), $BL$3:$BL$23, "Error", 0)</f>
        <v>-10</v>
      </c>
      <c r="R78" s="30" cm="1">
        <f t="array" ref="R78">_xlfn.XLOOKUP(MIN(ABS($BK$3:$BK$23 - MEDIAN(MIN($BK$3:$BK$23), MAX($BK$3:$BK$23), R49))), ABS($BK$3:$BK$23 - MEDIAN(MIN($BK$3:$BK$23), MAX($BK$3:$BK$23), R49)), $BL$3:$BL$23, "Error", 0)</f>
        <v>-10</v>
      </c>
      <c r="S78" s="30" cm="1">
        <f t="array" ref="S78">_xlfn.XLOOKUP(MIN(ABS($BK$3:$BK$23 - MEDIAN(MIN($BK$3:$BK$23), MAX($BK$3:$BK$23), S49))), ABS($BK$3:$BK$23 - MEDIAN(MIN($BK$3:$BK$23), MAX($BK$3:$BK$23), S49)), $BL$3:$BL$23, "Error", 0)</f>
        <v>-10</v>
      </c>
      <c r="T78" s="30" cm="1">
        <f t="array" ref="T78">_xlfn.XLOOKUP(MIN(ABS($BK$3:$BK$23 - MEDIAN(MIN($BK$3:$BK$23), MAX($BK$3:$BK$23), T49))), ABS($BK$3:$BK$23 - MEDIAN(MIN($BK$3:$BK$23), MAX($BK$3:$BK$23), T49)), $BL$3:$BL$23, "Error", 0)</f>
        <v>-10</v>
      </c>
      <c r="U78" s="30" cm="1">
        <f t="array" ref="U78">_xlfn.XLOOKUP(MIN(ABS($BK$3:$BK$23 - MEDIAN(MIN($BK$3:$BK$23), MAX($BK$3:$BK$23), U49))), ABS($BK$3:$BK$23 - MEDIAN(MIN($BK$3:$BK$23), MAX($BK$3:$BK$23), U49)), $BL$3:$BL$23, "Error", 0)</f>
        <v>-10</v>
      </c>
      <c r="V78" s="30" cm="1">
        <f t="array" ref="V78">_xlfn.XLOOKUP(MIN(ABS($BK$3:$BK$23 - MEDIAN(MIN($BK$3:$BK$23), MAX($BK$3:$BK$23), V49))), ABS($BK$3:$BK$23 - MEDIAN(MIN($BK$3:$BK$23), MAX($BK$3:$BK$23), V49)), $BL$3:$BL$23, "Error", 0)</f>
        <v>-10</v>
      </c>
      <c r="W78" s="30" cm="1">
        <f t="array" ref="W78">_xlfn.XLOOKUP(MIN(ABS($BK$3:$BK$23 - MEDIAN(MIN($BK$3:$BK$23), MAX($BK$3:$BK$23), W49))), ABS($BK$3:$BK$23 - MEDIAN(MIN($BK$3:$BK$23), MAX($BK$3:$BK$23), W49)), $BL$3:$BL$23, "Error", 0)</f>
        <v>-10</v>
      </c>
      <c r="X78" s="30" cm="1">
        <f t="array" ref="X78">_xlfn.XLOOKUP(MIN(ABS($BK$3:$BK$23 - MEDIAN(MIN($BK$3:$BK$23), MAX($BK$3:$BK$23), X49))), ABS($BK$3:$BK$23 - MEDIAN(MIN($BK$3:$BK$23), MAX($BK$3:$BK$23), X49)), $BL$3:$BL$23, "Error", 0)</f>
        <v>-10</v>
      </c>
      <c r="Y78" s="30" cm="1">
        <f t="array" ref="Y78">_xlfn.XLOOKUP(MIN(ABS($BK$3:$BK$23 - MEDIAN(MIN($BK$3:$BK$23), MAX($BK$3:$BK$23), Y49))), ABS($BK$3:$BK$23 - MEDIAN(MIN($BK$3:$BK$23), MAX($BK$3:$BK$23), Y49)), $BL$3:$BL$23, "Error", 0)</f>
        <v>-10</v>
      </c>
      <c r="Z78" s="30" cm="1">
        <f t="array" ref="Z78">_xlfn.XLOOKUP(MIN(ABS($BK$3:$BK$23 - MEDIAN(MIN($BK$3:$BK$23), MAX($BK$3:$BK$23), Z49))), ABS($BK$3:$BK$23 - MEDIAN(MIN($BK$3:$BK$23), MAX($BK$3:$BK$23), Z49)), $BL$3:$BL$23, "Error", 0)</f>
        <v>-10</v>
      </c>
      <c r="AA78" s="30" cm="1">
        <f t="array" ref="AA78">_xlfn.XLOOKUP(MIN(ABS($BK$3:$BK$23 - MEDIAN(MIN($BK$3:$BK$23), MAX($BK$3:$BK$23), AA49))), ABS($BK$3:$BK$23 - MEDIAN(MIN($BK$3:$BK$23), MAX($BK$3:$BK$23), AA49)), $BL$3:$BL$23, "Error", 0)</f>
        <v>-10</v>
      </c>
      <c r="AB78" s="30" cm="1">
        <f t="array" ref="AB78">_xlfn.XLOOKUP(MIN(ABS($BK$3:$BK$23 - MEDIAN(MIN($BK$3:$BK$23), MAX($BK$3:$BK$23), AB49))), ABS($BK$3:$BK$23 - MEDIAN(MIN($BK$3:$BK$23), MAX($BK$3:$BK$23), AB49)), $BL$3:$BL$23, "Error", 0)</f>
        <v>-8</v>
      </c>
      <c r="AC78" s="30" cm="1">
        <f t="array" ref="AC78">_xlfn.XLOOKUP(MIN(ABS($BK$3:$BK$23 - MEDIAN(MIN($BK$3:$BK$23), MAX($BK$3:$BK$23), AC49))), ABS($BK$3:$BK$23 - MEDIAN(MIN($BK$3:$BK$23), MAX($BK$3:$BK$23), AC49)), $BL$3:$BL$23, "Error", 0)</f>
        <v>-10</v>
      </c>
      <c r="AD78" s="30" cm="1">
        <f t="array" ref="AD78">_xlfn.XLOOKUP(MIN(ABS($BK$3:$BK$23 - MEDIAN(MIN($BK$3:$BK$23), MAX($BK$3:$BK$23), AD49))), ABS($BK$3:$BK$23 - MEDIAN(MIN($BK$3:$BK$23), MAX($BK$3:$BK$23), AD49)), $BL$3:$BL$23, "Error", 0)</f>
        <v>-4</v>
      </c>
      <c r="AE78" s="30" cm="1">
        <f t="array" ref="AE78">_xlfn.XLOOKUP(MIN(ABS($BK$3:$BK$23 - MEDIAN(MIN($BK$3:$BK$23), MAX($BK$3:$BK$23), AE49))), ABS($BK$3:$BK$23 - MEDIAN(MIN($BK$3:$BK$23), MAX($BK$3:$BK$23), AE49)), $BL$3:$BL$23, "Error", 0)</f>
        <v>-5</v>
      </c>
      <c r="AF78" s="30" cm="1">
        <f t="array" ref="AF78">_xlfn.XLOOKUP(MIN(ABS($BK$3:$BK$23 - MEDIAN(MIN($BK$3:$BK$23), MAX($BK$3:$BK$23), AF49))), ABS($BK$3:$BK$23 - MEDIAN(MIN($BK$3:$BK$23), MAX($BK$3:$BK$23), AF49)), $BL$3:$BL$23, "Error", 0)</f>
        <v>1</v>
      </c>
      <c r="AG78" s="30" cm="1">
        <f t="array" ref="AG78">_xlfn.XLOOKUP(MIN(ABS($BK$3:$BK$23 - MEDIAN(MIN($BK$3:$BK$23), MAX($BK$3:$BK$23), AG49))), ABS($BK$3:$BK$23 - MEDIAN(MIN($BK$3:$BK$23), MAX($BK$3:$BK$23), AG49)), $BL$3:$BL$23, "Error", 0)</f>
        <v>10</v>
      </c>
      <c r="AH78" s="30" cm="1">
        <f t="array" ref="AH78">_xlfn.XLOOKUP(MIN(ABS($BK$3:$BK$23 - MEDIAN(MIN($BK$3:$BK$23), MAX($BK$3:$BK$23), AH49))), ABS($BK$3:$BK$23 - MEDIAN(MIN($BK$3:$BK$23), MAX($BK$3:$BK$23), AH49)), $BL$3:$BL$23, "Error", 0)</f>
        <v>10</v>
      </c>
      <c r="AI78" s="30" cm="1">
        <f t="array" ref="AI78">_xlfn.XLOOKUP(MIN(ABS($BK$3:$BK$23 - MEDIAN(MIN($BK$3:$BK$23), MAX($BK$3:$BK$23), AI49))), ABS($BK$3:$BK$23 - MEDIAN(MIN($BK$3:$BK$23), MAX($BK$3:$BK$23), AI49)), $BL$3:$BL$23, "Error", 0)</f>
        <v>10</v>
      </c>
      <c r="AJ78" s="30" cm="1">
        <f t="array" ref="AJ78">_xlfn.XLOOKUP(MIN(ABS($BK$3:$BK$23 - MEDIAN(MIN($BK$3:$BK$23), MAX($BK$3:$BK$23), AJ49))), ABS($BK$3:$BK$23 - MEDIAN(MIN($BK$3:$BK$23), MAX($BK$3:$BK$23), AJ49)), $BL$3:$BL$23, "Error", 0)</f>
        <v>10</v>
      </c>
      <c r="AK78" s="30" cm="1">
        <f t="array" ref="AK78">_xlfn.XLOOKUP(MIN(ABS($BK$3:$BK$23 - MEDIAN(MIN($BK$3:$BK$23), MAX($BK$3:$BK$23), AK49))), ABS($BK$3:$BK$23 - MEDIAN(MIN($BK$3:$BK$23), MAX($BK$3:$BK$23), AK49)), $BL$3:$BL$23, "Error", 0)</f>
        <v>10</v>
      </c>
      <c r="AL78" s="30" cm="1">
        <f t="array" ref="AL78">_xlfn.XLOOKUP(MIN(ABS($BK$3:$BK$23 - MEDIAN(MIN($BK$3:$BK$23), MAX($BK$3:$BK$23), AL49))), ABS($BK$3:$BK$23 - MEDIAN(MIN($BK$3:$BK$23), MAX($BK$3:$BK$23), AL49)), $BL$3:$BL$23, "Error", 0)</f>
        <v>10</v>
      </c>
      <c r="AM78" s="30" cm="1">
        <f t="array" ref="AM78">_xlfn.XLOOKUP(MIN(ABS($BK$3:$BK$23 - MEDIAN(MIN($BK$3:$BK$23), MAX($BK$3:$BK$23), AM49))), ABS($BK$3:$BK$23 - MEDIAN(MIN($BK$3:$BK$23), MAX($BK$3:$BK$23), AM49)), $BL$3:$BL$23, "Error", 0)</f>
        <v>10</v>
      </c>
      <c r="AN78" s="30" cm="1">
        <f t="array" ref="AN78">_xlfn.XLOOKUP(MIN(ABS($BK$3:$BK$23 - MEDIAN(MIN($BK$3:$BK$23), MAX($BK$3:$BK$23), AN49))), ABS($BK$3:$BK$23 - MEDIAN(MIN($BK$3:$BK$23), MAX($BK$3:$BK$23), AN49)), $BL$3:$BL$23, "Error", 0)</f>
        <v>10</v>
      </c>
      <c r="AO78" s="30" cm="1">
        <f t="array" ref="AO78">_xlfn.XLOOKUP(MIN(ABS($BK$3:$BK$23 - MEDIAN(MIN($BK$3:$BK$23), MAX($BK$3:$BK$23), AO49))), ABS($BK$3:$BK$23 - MEDIAN(MIN($BK$3:$BK$23), MAX($BK$3:$BK$23), AO49)), $BL$3:$BL$23, "Error", 0)</f>
        <v>10</v>
      </c>
      <c r="AP78" s="30" cm="1">
        <f t="array" ref="AP78">_xlfn.XLOOKUP(MIN(ABS($BK$3:$BK$23 - MEDIAN(MIN($BK$3:$BK$23), MAX($BK$3:$BK$23), AP49))), ABS($BK$3:$BK$23 - MEDIAN(MIN($BK$3:$BK$23), MAX($BK$3:$BK$23), AP49)), $BL$3:$BL$23, "Error", 0)</f>
        <v>10</v>
      </c>
      <c r="AQ78" s="30" cm="1">
        <f t="array" ref="AQ78">_xlfn.XLOOKUP(MIN(ABS($BK$3:$BK$23 - MEDIAN(MIN($BK$3:$BK$23), MAX($BK$3:$BK$23), AQ49))), ABS($BK$3:$BK$23 - MEDIAN(MIN($BK$3:$BK$23), MAX($BK$3:$BK$23), AQ49)), $BL$3:$BL$23, "Error", 0)</f>
        <v>10</v>
      </c>
      <c r="AR78" s="30" cm="1">
        <f t="array" ref="AR78">_xlfn.XLOOKUP(MIN(ABS($BK$3:$BK$23 - MEDIAN(MIN($BK$3:$BK$23), MAX($BK$3:$BK$23), AR49))), ABS($BK$3:$BK$23 - MEDIAN(MIN($BK$3:$BK$23), MAX($BK$3:$BK$23), AR49)), $BL$3:$BL$23, "Error", 0)</f>
        <v>10</v>
      </c>
      <c r="AS78" s="30" cm="1">
        <f t="array" ref="AS78">_xlfn.XLOOKUP(MIN(ABS($BK$3:$BK$23 - MEDIAN(MIN($BK$3:$BK$23), MAX($BK$3:$BK$23), AS49))), ABS($BK$3:$BK$23 - MEDIAN(MIN($BK$3:$BK$23), MAX($BK$3:$BK$23), AS49)), $BL$3:$BL$23, "Error", 0)</f>
        <v>10</v>
      </c>
      <c r="AT78" s="30" cm="1">
        <f t="array" ref="AT78">_xlfn.XLOOKUP(MIN(ABS($BK$3:$BK$23 - MEDIAN(MIN($BK$3:$BK$23), MAX($BK$3:$BK$23), AT49))), ABS($BK$3:$BK$23 - MEDIAN(MIN($BK$3:$BK$23), MAX($BK$3:$BK$23), AT49)), $BL$3:$BL$23, "Error", 0)</f>
        <v>10</v>
      </c>
      <c r="AU78" s="30" cm="1">
        <f t="array" ref="AU78">_xlfn.XLOOKUP(MIN(ABS($BK$3:$BK$23 - MEDIAN(MIN($BK$3:$BK$23), MAX($BK$3:$BK$23), AU49))), ABS($BK$3:$BK$23 - MEDIAN(MIN($BK$3:$BK$23), MAX($BK$3:$BK$23), AU49)), $BL$3:$BL$23, "Error", 0)</f>
        <v>10</v>
      </c>
      <c r="AV78" s="30" cm="1">
        <f t="array" ref="AV78">_xlfn.XLOOKUP(MIN(ABS($BK$3:$BK$23 - MEDIAN(MIN($BK$3:$BK$23), MAX($BK$3:$BK$23), AV49))), ABS($BK$3:$BK$23 - MEDIAN(MIN($BK$3:$BK$23), MAX($BK$3:$BK$23), AV49)), $BL$3:$BL$23, "Error", 0)</f>
        <v>10</v>
      </c>
      <c r="AW78" s="30" cm="1">
        <f t="array" ref="AW78">_xlfn.XLOOKUP(MIN(ABS($BK$3:$BK$23 - MEDIAN(MIN($BK$3:$BK$23), MAX($BK$3:$BK$23), AW49))), ABS($BK$3:$BK$23 - MEDIAN(MIN($BK$3:$BK$23), MAX($BK$3:$BK$23), AW49)), $BL$3:$BL$23, "Error", 0)</f>
        <v>10</v>
      </c>
      <c r="AX78" s="30" cm="1">
        <f t="array" ref="AX78">_xlfn.XLOOKUP(MIN(ABS($BK$3:$BK$23 - MEDIAN(MIN($BK$3:$BK$23), MAX($BK$3:$BK$23), AX49))), ABS($BK$3:$BK$23 - MEDIAN(MIN($BK$3:$BK$23), MAX($BK$3:$BK$23), AX49)), $BL$3:$BL$23, "Error", 0)</f>
        <v>10</v>
      </c>
      <c r="AY78" s="30" cm="1">
        <f t="array" ref="AY78">_xlfn.XLOOKUP(MIN(ABS($BK$3:$BK$23 - MEDIAN(MIN($BK$3:$BK$23), MAX($BK$3:$BK$23), AY49))), ABS($BK$3:$BK$23 - MEDIAN(MIN($BK$3:$BK$23), MAX($BK$3:$BK$23), AY49)), $BL$3:$BL$23, "Error", 0)</f>
        <v>10</v>
      </c>
      <c r="AZ78" s="30" cm="1">
        <f t="array" ref="AZ78">_xlfn.XLOOKUP(MIN(ABS($BK$3:$BK$23 - MEDIAN(MIN($BK$3:$BK$23), MAX($BK$3:$BK$23), AZ49))), ABS($BK$3:$BK$23 - MEDIAN(MIN($BK$3:$BK$23), MAX($BK$3:$BK$23), AZ49)), $BL$3:$BL$23, "Error", 0)</f>
        <v>10</v>
      </c>
      <c r="BA78" s="30" cm="1">
        <f t="array" ref="BA78">_xlfn.XLOOKUP(MIN(ABS($BK$3:$BK$23 - MEDIAN(MIN($BK$3:$BK$23), MAX($BK$3:$BK$23), BA49))), ABS($BK$3:$BK$23 - MEDIAN(MIN($BK$3:$BK$23), MAX($BK$3:$BK$23), BA49)), $BL$3:$BL$23, "Error", 0)</f>
        <v>10</v>
      </c>
      <c r="BB78" s="30" cm="1">
        <f t="array" ref="BB78">_xlfn.XLOOKUP(MIN(ABS($BK$3:$BK$23 - MEDIAN(MIN($BK$3:$BK$23), MAX($BK$3:$BK$23), BB49))), ABS($BK$3:$BK$23 - MEDIAN(MIN($BK$3:$BK$23), MAX($BK$3:$BK$23), BB49)), $BL$3:$BL$23, "Error", 0)</f>
        <v>10</v>
      </c>
      <c r="BC78" s="30" cm="1">
        <f t="array" ref="BC78">_xlfn.XLOOKUP(MIN(ABS($BK$3:$BK$23 - MEDIAN(MIN($BK$3:$BK$23), MAX($BK$3:$BK$23), BC49))), ABS($BK$3:$BK$23 - MEDIAN(MIN($BK$3:$BK$23), MAX($BK$3:$BK$23), BC49)), $BL$3:$BL$23, "Error", 0)</f>
        <v>10</v>
      </c>
      <c r="BD78" s="30" cm="1">
        <f t="array" ref="BD78">_xlfn.XLOOKUP(MIN(ABS($BK$3:$BK$23 - MEDIAN(MIN($BK$3:$BK$23), MAX($BK$3:$BK$23), BD49))), ABS($BK$3:$BK$23 - MEDIAN(MIN($BK$3:$BK$23), MAX($BK$3:$BK$23), BD49)), $BL$3:$BL$23, "Error", 0)</f>
        <v>10</v>
      </c>
      <c r="BE78" s="30" cm="1">
        <f t="array" ref="BE78">_xlfn.XLOOKUP(MIN(ABS($BK$3:$BK$23 - MEDIAN(MIN($BK$3:$BK$23), MAX($BK$3:$BK$23), BE49))), ABS($BK$3:$BK$23 - MEDIAN(MIN($BK$3:$BK$23), MAX($BK$3:$BK$23), BE49)), $BL$3:$BL$23, "Error", 0)</f>
        <v>10</v>
      </c>
      <c r="BF78" s="30" cm="1">
        <f t="array" ref="BF78">_xlfn.XLOOKUP(MIN(ABS($BK$3:$BK$23 - MEDIAN(MIN($BK$3:$BK$23), MAX($BK$3:$BK$23), BF49))), ABS($BK$3:$BK$23 - MEDIAN(MIN($BK$3:$BK$23), MAX($BK$3:$BK$23), BF49)), $BL$3:$BL$23, "Error", 0)</f>
        <v>10</v>
      </c>
      <c r="BG78" s="30" cm="1">
        <f t="array" ref="BG78">_xlfn.XLOOKUP(MIN(ABS($BK$3:$BK$23 - MEDIAN(MIN($BK$3:$BK$23), MAX($BK$3:$BK$23), BG49))), ABS($BK$3:$BK$23 - MEDIAN(MIN($BK$3:$BK$23), MAX($BK$3:$BK$23), BG49)), $BL$3:$BL$23, "Error", 0)</f>
        <v>10</v>
      </c>
      <c r="BH78" s="30" cm="1">
        <f t="array" ref="BH78">_xlfn.XLOOKUP(MIN(ABS($BK$3:$BK$23 - MEDIAN(MIN($BK$3:$BK$23), MAX($BK$3:$BK$23), BH49))), ABS($BK$3:$BK$23 - MEDIAN(MIN($BK$3:$BK$23), MAX($BK$3:$BK$23), BH49)), $BL$3:$BL$23, "Error", 0)</f>
        <v>10</v>
      </c>
      <c r="BI78" s="30" cm="1">
        <f t="array" ref="BI78">_xlfn.XLOOKUP(MIN(ABS($BK$3:$BK$23 - MEDIAN(MIN($BK$3:$BK$23), MAX($BK$3:$BK$23), BI49))), ABS($BK$3:$BK$23 - MEDIAN(MIN($BK$3:$BK$23), MAX($BK$3:$BK$23), BI49)), $BL$3:$BL$23, "Error", 0)</f>
        <v>10</v>
      </c>
    </row>
    <row r="79" spans="1:61" ht="25" customHeight="1">
      <c r="A79" s="48" t="s">
        <v>54</v>
      </c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30" cm="1">
        <f t="array" ref="N79">_xlfn.XLOOKUP(MIN(ABS($BK$3:$BK$23 - MEDIAN(MIN($BK$3:$BK$23), MAX($BK$3:$BK$23), N50))), ABS($BK$3:$BK$23 - MEDIAN(MIN($BK$3:$BK$23), MAX($BK$3:$BK$23), N50)), $BL$3:$BL$23, "Error", 0)</f>
        <v>7</v>
      </c>
      <c r="O79" s="30" cm="1">
        <f t="array" ref="O79">_xlfn.XLOOKUP(MIN(ABS($BK$3:$BK$23 - MEDIAN(MIN($BK$3:$BK$23), MAX($BK$3:$BK$23), O50))), ABS($BK$3:$BK$23 - MEDIAN(MIN($BK$3:$BK$23), MAX($BK$3:$BK$23), O50)), $BL$3:$BL$23, "Error", 0)</f>
        <v>10</v>
      </c>
      <c r="P79" s="30" cm="1">
        <f t="array" ref="P79">_xlfn.XLOOKUP(MIN(ABS($BK$3:$BK$23 - MEDIAN(MIN($BK$3:$BK$23), MAX($BK$3:$BK$23), P50))), ABS($BK$3:$BK$23 - MEDIAN(MIN($BK$3:$BK$23), MAX($BK$3:$BK$23), P50)), $BL$3:$BL$23, "Error", 0)</f>
        <v>10</v>
      </c>
      <c r="Q79" s="30" cm="1">
        <f t="array" ref="Q79">_xlfn.XLOOKUP(MIN(ABS($BK$3:$BK$23 - MEDIAN(MIN($BK$3:$BK$23), MAX($BK$3:$BK$23), Q50))), ABS($BK$3:$BK$23 - MEDIAN(MIN($BK$3:$BK$23), MAX($BK$3:$BK$23), Q50)), $BL$3:$BL$23, "Error", 0)</f>
        <v>6</v>
      </c>
      <c r="R79" s="30" cm="1">
        <f t="array" ref="R79">_xlfn.XLOOKUP(MIN(ABS($BK$3:$BK$23 - MEDIAN(MIN($BK$3:$BK$23), MAX($BK$3:$BK$23), R50))), ABS($BK$3:$BK$23 - MEDIAN(MIN($BK$3:$BK$23), MAX($BK$3:$BK$23), R50)), $BL$3:$BL$23, "Error", 0)</f>
        <v>6</v>
      </c>
      <c r="S79" s="30" cm="1">
        <f t="array" ref="S79">_xlfn.XLOOKUP(MIN(ABS($BK$3:$BK$23 - MEDIAN(MIN($BK$3:$BK$23), MAX($BK$3:$BK$23), S50))), ABS($BK$3:$BK$23 - MEDIAN(MIN($BK$3:$BK$23), MAX($BK$3:$BK$23), S50)), $BL$3:$BL$23, "Error", 0)</f>
        <v>5</v>
      </c>
      <c r="T79" s="30" cm="1">
        <f t="array" ref="T79">_xlfn.XLOOKUP(MIN(ABS($BK$3:$BK$23 - MEDIAN(MIN($BK$3:$BK$23), MAX($BK$3:$BK$23), T50))), ABS($BK$3:$BK$23 - MEDIAN(MIN($BK$3:$BK$23), MAX($BK$3:$BK$23), T50)), $BL$3:$BL$23, "Error", 0)</f>
        <v>2</v>
      </c>
      <c r="U79" s="30" cm="1">
        <f t="array" ref="U79">_xlfn.XLOOKUP(MIN(ABS($BK$3:$BK$23 - MEDIAN(MIN($BK$3:$BK$23), MAX($BK$3:$BK$23), U50))), ABS($BK$3:$BK$23 - MEDIAN(MIN($BK$3:$BK$23), MAX($BK$3:$BK$23), U50)), $BL$3:$BL$23, "Error", 0)</f>
        <v>2</v>
      </c>
      <c r="V79" s="30" cm="1">
        <f t="array" ref="V79">_xlfn.XLOOKUP(MIN(ABS($BK$3:$BK$23 - MEDIAN(MIN($BK$3:$BK$23), MAX($BK$3:$BK$23), V50))), ABS($BK$3:$BK$23 - MEDIAN(MIN($BK$3:$BK$23), MAX($BK$3:$BK$23), V50)), $BL$3:$BL$23, "Error", 0)</f>
        <v>1</v>
      </c>
      <c r="W79" s="30" cm="1">
        <f t="array" ref="W79">_xlfn.XLOOKUP(MIN(ABS($BK$3:$BK$23 - MEDIAN(MIN($BK$3:$BK$23), MAX($BK$3:$BK$23), W50))), ABS($BK$3:$BK$23 - MEDIAN(MIN($BK$3:$BK$23), MAX($BK$3:$BK$23), W50)), $BL$3:$BL$23, "Error", 0)</f>
        <v>2</v>
      </c>
      <c r="X79" s="30" cm="1">
        <f t="array" ref="X79">_xlfn.XLOOKUP(MIN(ABS($BK$3:$BK$23 - MEDIAN(MIN($BK$3:$BK$23), MAX($BK$3:$BK$23), X50))), ABS($BK$3:$BK$23 - MEDIAN(MIN($BK$3:$BK$23), MAX($BK$3:$BK$23), X50)), $BL$3:$BL$23, "Error", 0)</f>
        <v>4</v>
      </c>
      <c r="Y79" s="30" cm="1">
        <f t="array" ref="Y79">_xlfn.XLOOKUP(MIN(ABS($BK$3:$BK$23 - MEDIAN(MIN($BK$3:$BK$23), MAX($BK$3:$BK$23), Y50))), ABS($BK$3:$BK$23 - MEDIAN(MIN($BK$3:$BK$23), MAX($BK$3:$BK$23), Y50)), $BL$3:$BL$23, "Error", 0)</f>
        <v>5</v>
      </c>
      <c r="Z79" s="30" cm="1">
        <f t="array" ref="Z79">_xlfn.XLOOKUP(MIN(ABS($BK$3:$BK$23 - MEDIAN(MIN($BK$3:$BK$23), MAX($BK$3:$BK$23), Z50))), ABS($BK$3:$BK$23 - MEDIAN(MIN($BK$3:$BK$23), MAX($BK$3:$BK$23), Z50)), $BL$3:$BL$23, "Error", 0)</f>
        <v>4</v>
      </c>
      <c r="AA79" s="30" cm="1">
        <f t="array" ref="AA79">_xlfn.XLOOKUP(MIN(ABS($BK$3:$BK$23 - MEDIAN(MIN($BK$3:$BK$23), MAX($BK$3:$BK$23), AA50))), ABS($BK$3:$BK$23 - MEDIAN(MIN($BK$3:$BK$23), MAX($BK$3:$BK$23), AA50)), $BL$3:$BL$23, "Error", 0)</f>
        <v>2</v>
      </c>
      <c r="AB79" s="30" cm="1">
        <f t="array" ref="AB79">_xlfn.XLOOKUP(MIN(ABS($BK$3:$BK$23 - MEDIAN(MIN($BK$3:$BK$23), MAX($BK$3:$BK$23), AB50))), ABS($BK$3:$BK$23 - MEDIAN(MIN($BK$3:$BK$23), MAX($BK$3:$BK$23), AB50)), $BL$3:$BL$23, "Error", 0)</f>
        <v>3</v>
      </c>
      <c r="AC79" s="30" cm="1">
        <f t="array" ref="AC79">_xlfn.XLOOKUP(MIN(ABS($BK$3:$BK$23 - MEDIAN(MIN($BK$3:$BK$23), MAX($BK$3:$BK$23), AC50))), ABS($BK$3:$BK$23 - MEDIAN(MIN($BK$3:$BK$23), MAX($BK$3:$BK$23), AC50)), $BL$3:$BL$23, "Error", 0)</f>
        <v>6</v>
      </c>
      <c r="AD79" s="30" cm="1">
        <f t="array" ref="AD79">_xlfn.XLOOKUP(MIN(ABS($BK$3:$BK$23 - MEDIAN(MIN($BK$3:$BK$23), MAX($BK$3:$BK$23), AD50))), ABS($BK$3:$BK$23 - MEDIAN(MIN($BK$3:$BK$23), MAX($BK$3:$BK$23), AD50)), $BL$3:$BL$23, "Error", 0)</f>
        <v>4</v>
      </c>
      <c r="AE79" s="30" cm="1">
        <f t="array" ref="AE79">_xlfn.XLOOKUP(MIN(ABS($BK$3:$BK$23 - MEDIAN(MIN($BK$3:$BK$23), MAX($BK$3:$BK$23), AE50))), ABS($BK$3:$BK$23 - MEDIAN(MIN($BK$3:$BK$23), MAX($BK$3:$BK$23), AE50)), $BL$3:$BL$23, "Error", 0)</f>
        <v>5</v>
      </c>
      <c r="AF79" s="30" cm="1">
        <f t="array" ref="AF79">_xlfn.XLOOKUP(MIN(ABS($BK$3:$BK$23 - MEDIAN(MIN($BK$3:$BK$23), MAX($BK$3:$BK$23), AF50))), ABS($BK$3:$BK$23 - MEDIAN(MIN($BK$3:$BK$23), MAX($BK$3:$BK$23), AF50)), $BL$3:$BL$23, "Error", 0)</f>
        <v>6</v>
      </c>
      <c r="AG79" s="30" cm="1">
        <f t="array" ref="AG79">_xlfn.XLOOKUP(MIN(ABS($BK$3:$BK$23 - MEDIAN(MIN($BK$3:$BK$23), MAX($BK$3:$BK$23), AG50))), ABS($BK$3:$BK$23 - MEDIAN(MIN($BK$3:$BK$23), MAX($BK$3:$BK$23), AG50)), $BL$3:$BL$23, "Error", 0)</f>
        <v>5</v>
      </c>
      <c r="AH79" s="30" cm="1">
        <f t="array" ref="AH79">_xlfn.XLOOKUP(MIN(ABS($BK$3:$BK$23 - MEDIAN(MIN($BK$3:$BK$23), MAX($BK$3:$BK$23), AH50))), ABS($BK$3:$BK$23 - MEDIAN(MIN($BK$3:$BK$23), MAX($BK$3:$BK$23), AH50)), $BL$3:$BL$23, "Error", 0)</f>
        <v>5</v>
      </c>
      <c r="AI79" s="30" cm="1">
        <f t="array" ref="AI79">_xlfn.XLOOKUP(MIN(ABS($BK$3:$BK$23 - MEDIAN(MIN($BK$3:$BK$23), MAX($BK$3:$BK$23), AI50))), ABS($BK$3:$BK$23 - MEDIAN(MIN($BK$3:$BK$23), MAX($BK$3:$BK$23), AI50)), $BL$3:$BL$23, "Error", 0)</f>
        <v>4</v>
      </c>
      <c r="AJ79" s="30" cm="1">
        <f t="array" ref="AJ79">_xlfn.XLOOKUP(MIN(ABS($BK$3:$BK$23 - MEDIAN(MIN($BK$3:$BK$23), MAX($BK$3:$BK$23), AJ50))), ABS($BK$3:$BK$23 - MEDIAN(MIN($BK$3:$BK$23), MAX($BK$3:$BK$23), AJ50)), $BL$3:$BL$23, "Error", 0)</f>
        <v>3</v>
      </c>
      <c r="AK79" s="30" cm="1">
        <f t="array" ref="AK79">_xlfn.XLOOKUP(MIN(ABS($BK$3:$BK$23 - MEDIAN(MIN($BK$3:$BK$23), MAX($BK$3:$BK$23), AK50))), ABS($BK$3:$BK$23 - MEDIAN(MIN($BK$3:$BK$23), MAX($BK$3:$BK$23), AK50)), $BL$3:$BL$23, "Error", 0)</f>
        <v>4</v>
      </c>
      <c r="AL79" s="30" cm="1">
        <f t="array" ref="AL79">_xlfn.XLOOKUP(MIN(ABS($BK$3:$BK$23 - MEDIAN(MIN($BK$3:$BK$23), MAX($BK$3:$BK$23), AL50))), ABS($BK$3:$BK$23 - MEDIAN(MIN($BK$3:$BK$23), MAX($BK$3:$BK$23), AL50)), $BL$3:$BL$23, "Error", 0)</f>
        <v>2</v>
      </c>
      <c r="AM79" s="30" cm="1">
        <f t="array" ref="AM79">_xlfn.XLOOKUP(MIN(ABS($BK$3:$BK$23 - MEDIAN(MIN($BK$3:$BK$23), MAX($BK$3:$BK$23), AM50))), ABS($BK$3:$BK$23 - MEDIAN(MIN($BK$3:$BK$23), MAX($BK$3:$BK$23), AM50)), $BL$3:$BL$23, "Error", 0)</f>
        <v>2</v>
      </c>
      <c r="AN79" s="30" cm="1">
        <f t="array" ref="AN79">_xlfn.XLOOKUP(MIN(ABS($BK$3:$BK$23 - MEDIAN(MIN($BK$3:$BK$23), MAX($BK$3:$BK$23), AN50))), ABS($BK$3:$BK$23 - MEDIAN(MIN($BK$3:$BK$23), MAX($BK$3:$BK$23), AN50)), $BL$3:$BL$23, "Error", 0)</f>
        <v>3</v>
      </c>
      <c r="AO79" s="30" cm="1">
        <f t="array" ref="AO79">_xlfn.XLOOKUP(MIN(ABS($BK$3:$BK$23 - MEDIAN(MIN($BK$3:$BK$23), MAX($BK$3:$BK$23), AO50))), ABS($BK$3:$BK$23 - MEDIAN(MIN($BK$3:$BK$23), MAX($BK$3:$BK$23), AO50)), $BL$3:$BL$23, "Error", 0)</f>
        <v>-4</v>
      </c>
      <c r="AP79" s="30" cm="1">
        <f t="array" ref="AP79">_xlfn.XLOOKUP(MIN(ABS($BK$3:$BK$23 - MEDIAN(MIN($BK$3:$BK$23), MAX($BK$3:$BK$23), AP50))), ABS($BK$3:$BK$23 - MEDIAN(MIN($BK$3:$BK$23), MAX($BK$3:$BK$23), AP50)), $BL$3:$BL$23, "Error", 0)</f>
        <v>-3</v>
      </c>
      <c r="AQ79" s="30" cm="1">
        <f t="array" ref="AQ79">_xlfn.XLOOKUP(MIN(ABS($BK$3:$BK$23 - MEDIAN(MIN($BK$3:$BK$23), MAX($BK$3:$BK$23), AQ50))), ABS($BK$3:$BK$23 - MEDIAN(MIN($BK$3:$BK$23), MAX($BK$3:$BK$23), AQ50)), $BL$3:$BL$23, "Error", 0)</f>
        <v>-5</v>
      </c>
      <c r="AR79" s="30" cm="1">
        <f t="array" ref="AR79">_xlfn.XLOOKUP(MIN(ABS($BK$3:$BK$23 - MEDIAN(MIN($BK$3:$BK$23), MAX($BK$3:$BK$23), AR50))), ABS($BK$3:$BK$23 - MEDIAN(MIN($BK$3:$BK$23), MAX($BK$3:$BK$23), AR50)), $BL$3:$BL$23, "Error", 0)</f>
        <v>-3</v>
      </c>
      <c r="AS79" s="30" cm="1">
        <f t="array" ref="AS79">_xlfn.XLOOKUP(MIN(ABS($BK$3:$BK$23 - MEDIAN(MIN($BK$3:$BK$23), MAX($BK$3:$BK$23), AS50))), ABS($BK$3:$BK$23 - MEDIAN(MIN($BK$3:$BK$23), MAX($BK$3:$BK$23), AS50)), $BL$3:$BL$23, "Error", 0)</f>
        <v>-4</v>
      </c>
      <c r="AT79" s="30" cm="1">
        <f t="array" ref="AT79">_xlfn.XLOOKUP(MIN(ABS($BK$3:$BK$23 - MEDIAN(MIN($BK$3:$BK$23), MAX($BK$3:$BK$23), AT50))), ABS($BK$3:$BK$23 - MEDIAN(MIN($BK$3:$BK$23), MAX($BK$3:$BK$23), AT50)), $BL$3:$BL$23, "Error", 0)</f>
        <v>-7</v>
      </c>
      <c r="AU79" s="30" cm="1">
        <f t="array" ref="AU79">_xlfn.XLOOKUP(MIN(ABS($BK$3:$BK$23 - MEDIAN(MIN($BK$3:$BK$23), MAX($BK$3:$BK$23), AU50))), ABS($BK$3:$BK$23 - MEDIAN(MIN($BK$3:$BK$23), MAX($BK$3:$BK$23), AU50)), $BL$3:$BL$23, "Error", 0)</f>
        <v>-5</v>
      </c>
      <c r="AV79" s="30" cm="1">
        <f t="array" ref="AV79">_xlfn.XLOOKUP(MIN(ABS($BK$3:$BK$23 - MEDIAN(MIN($BK$3:$BK$23), MAX($BK$3:$BK$23), AV50))), ABS($BK$3:$BK$23 - MEDIAN(MIN($BK$3:$BK$23), MAX($BK$3:$BK$23), AV50)), $BL$3:$BL$23, "Error", 0)</f>
        <v>-6</v>
      </c>
      <c r="AW79" s="30" cm="1">
        <f t="array" ref="AW79">_xlfn.XLOOKUP(MIN(ABS($BK$3:$BK$23 - MEDIAN(MIN($BK$3:$BK$23), MAX($BK$3:$BK$23), AW50))), ABS($BK$3:$BK$23 - MEDIAN(MIN($BK$3:$BK$23), MAX($BK$3:$BK$23), AW50)), $BL$3:$BL$23, "Error", 0)</f>
        <v>-7</v>
      </c>
      <c r="AX79" s="30" cm="1">
        <f t="array" ref="AX79">_xlfn.XLOOKUP(MIN(ABS($BK$3:$BK$23 - MEDIAN(MIN($BK$3:$BK$23), MAX($BK$3:$BK$23), AX50))), ABS($BK$3:$BK$23 - MEDIAN(MIN($BK$3:$BK$23), MAX($BK$3:$BK$23), AX50)), $BL$3:$BL$23, "Error", 0)</f>
        <v>-5</v>
      </c>
      <c r="AY79" s="30" cm="1">
        <f t="array" ref="AY79">_xlfn.XLOOKUP(MIN(ABS($BK$3:$BK$23 - MEDIAN(MIN($BK$3:$BK$23), MAX($BK$3:$BK$23), AY50))), ABS($BK$3:$BK$23 - MEDIAN(MIN($BK$3:$BK$23), MAX($BK$3:$BK$23), AY50)), $BL$3:$BL$23, "Error", 0)</f>
        <v>-7</v>
      </c>
      <c r="AZ79" s="30" cm="1">
        <f t="array" ref="AZ79">_xlfn.XLOOKUP(MIN(ABS($BK$3:$BK$23 - MEDIAN(MIN($BK$3:$BK$23), MAX($BK$3:$BK$23), AZ50))), ABS($BK$3:$BK$23 - MEDIAN(MIN($BK$3:$BK$23), MAX($BK$3:$BK$23), AZ50)), $BL$3:$BL$23, "Error", 0)</f>
        <v>-9</v>
      </c>
      <c r="BA79" s="30" cm="1">
        <f t="array" ref="BA79">_xlfn.XLOOKUP(MIN(ABS($BK$3:$BK$23 - MEDIAN(MIN($BK$3:$BK$23), MAX($BK$3:$BK$23), BA50))), ABS($BK$3:$BK$23 - MEDIAN(MIN($BK$3:$BK$23), MAX($BK$3:$BK$23), BA50)), $BL$3:$BL$23, "Error", 0)</f>
        <v>-4</v>
      </c>
      <c r="BB79" s="30" cm="1">
        <f t="array" ref="BB79">_xlfn.XLOOKUP(MIN(ABS($BK$3:$BK$23 - MEDIAN(MIN($BK$3:$BK$23), MAX($BK$3:$BK$23), BB50))), ABS($BK$3:$BK$23 - MEDIAN(MIN($BK$3:$BK$23), MAX($BK$3:$BK$23), BB50)), $BL$3:$BL$23, "Error", 0)</f>
        <v>-5</v>
      </c>
      <c r="BC79" s="30" cm="1">
        <f t="array" ref="BC79">_xlfn.XLOOKUP(MIN(ABS($BK$3:$BK$23 - MEDIAN(MIN($BK$3:$BK$23), MAX($BK$3:$BK$23), BC50))), ABS($BK$3:$BK$23 - MEDIAN(MIN($BK$3:$BK$23), MAX($BK$3:$BK$23), BC50)), $BL$3:$BL$23, "Error", 0)</f>
        <v>-4</v>
      </c>
      <c r="BD79" s="30" cm="1">
        <f t="array" ref="BD79">_xlfn.XLOOKUP(MIN(ABS($BK$3:$BK$23 - MEDIAN(MIN($BK$3:$BK$23), MAX($BK$3:$BK$23), BD50))), ABS($BK$3:$BK$23 - MEDIAN(MIN($BK$3:$BK$23), MAX($BK$3:$BK$23), BD50)), $BL$3:$BL$23, "Error", 0)</f>
        <v>-4</v>
      </c>
      <c r="BE79" s="30" cm="1">
        <f t="array" ref="BE79">_xlfn.XLOOKUP(MIN(ABS($BK$3:$BK$23 - MEDIAN(MIN($BK$3:$BK$23), MAX($BK$3:$BK$23), BE50))), ABS($BK$3:$BK$23 - MEDIAN(MIN($BK$3:$BK$23), MAX($BK$3:$BK$23), BE50)), $BL$3:$BL$23, "Error", 0)</f>
        <v>-3</v>
      </c>
      <c r="BF79" s="30" cm="1">
        <f t="array" ref="BF79">_xlfn.XLOOKUP(MIN(ABS($BK$3:$BK$23 - MEDIAN(MIN($BK$3:$BK$23), MAX($BK$3:$BK$23), BF50))), ABS($BK$3:$BK$23 - MEDIAN(MIN($BK$3:$BK$23), MAX($BK$3:$BK$23), BF50)), $BL$3:$BL$23, "Error", 0)</f>
        <v>-1</v>
      </c>
      <c r="BG79" s="30" cm="1">
        <f t="array" ref="BG79">_xlfn.XLOOKUP(MIN(ABS($BK$3:$BK$23 - MEDIAN(MIN($BK$3:$BK$23), MAX($BK$3:$BK$23), BG50))), ABS($BK$3:$BK$23 - MEDIAN(MIN($BK$3:$BK$23), MAX($BK$3:$BK$23), BG50)), $BL$3:$BL$23, "Error", 0)</f>
        <v>9</v>
      </c>
      <c r="BH79" s="30" cm="1">
        <f t="array" ref="BH79">_xlfn.XLOOKUP(MIN(ABS($BK$3:$BK$23 - MEDIAN(MIN($BK$3:$BK$23), MAX($BK$3:$BK$23), BH50))), ABS($BK$3:$BK$23 - MEDIAN(MIN($BK$3:$BK$23), MAX($BK$3:$BK$23), BH50)), $BL$3:$BL$23, "Error", 0)</f>
        <v>10</v>
      </c>
      <c r="BI79" s="30" cm="1">
        <f t="array" ref="BI79">_xlfn.XLOOKUP(MIN(ABS($BK$3:$BK$23 - MEDIAN(MIN($BK$3:$BK$23), MAX($BK$3:$BK$23), BI50))), ABS($BK$3:$BK$23 - MEDIAN(MIN($BK$3:$BK$23), MAX($BK$3:$BK$23), BI50)), $BL$3:$BL$23, "Error", 0)</f>
        <v>10</v>
      </c>
    </row>
    <row r="80" spans="1:61" ht="25" customHeight="1">
      <c r="A80" s="48" t="s">
        <v>55</v>
      </c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30" cm="1">
        <f t="array" ref="N80">_xlfn.XLOOKUP(MIN(ABS($BK$3:$BK$23 - MEDIAN(MIN($BK$3:$BK$23), MAX($BK$3:$BK$23), N51))), ABS($BK$3:$BK$23 - MEDIAN(MIN($BK$3:$BK$23), MAX($BK$3:$BK$23), N51)), $BL$3:$BL$23, "Error", 0)</f>
        <v>6</v>
      </c>
      <c r="O80" s="30" cm="1">
        <f t="array" ref="O80">_xlfn.XLOOKUP(MIN(ABS($BK$3:$BK$23 - MEDIAN(MIN($BK$3:$BK$23), MAX($BK$3:$BK$23), O51))), ABS($BK$3:$BK$23 - MEDIAN(MIN($BK$3:$BK$23), MAX($BK$3:$BK$23), O51)), $BL$3:$BL$23, "Error", 0)</f>
        <v>7</v>
      </c>
      <c r="P80" s="30" cm="1">
        <f t="array" ref="P80">_xlfn.XLOOKUP(MIN(ABS($BK$3:$BK$23 - MEDIAN(MIN($BK$3:$BK$23), MAX($BK$3:$BK$23), P51))), ABS($BK$3:$BK$23 - MEDIAN(MIN($BK$3:$BK$23), MAX($BK$3:$BK$23), P51)), $BL$3:$BL$23, "Error", 0)</f>
        <v>8</v>
      </c>
      <c r="Q80" s="30" cm="1">
        <f t="array" ref="Q80">_xlfn.XLOOKUP(MIN(ABS($BK$3:$BK$23 - MEDIAN(MIN($BK$3:$BK$23), MAX($BK$3:$BK$23), Q51))), ABS($BK$3:$BK$23 - MEDIAN(MIN($BK$3:$BK$23), MAX($BK$3:$BK$23), Q51)), $BL$3:$BL$23, "Error", 0)</f>
        <v>5</v>
      </c>
      <c r="R80" s="30" cm="1">
        <f t="array" ref="R80">_xlfn.XLOOKUP(MIN(ABS($BK$3:$BK$23 - MEDIAN(MIN($BK$3:$BK$23), MAX($BK$3:$BK$23), R51))), ABS($BK$3:$BK$23 - MEDIAN(MIN($BK$3:$BK$23), MAX($BK$3:$BK$23), R51)), $BL$3:$BL$23, "Error", 0)</f>
        <v>4</v>
      </c>
      <c r="S80" s="30" cm="1">
        <f t="array" ref="S80">_xlfn.XLOOKUP(MIN(ABS($BK$3:$BK$23 - MEDIAN(MIN($BK$3:$BK$23), MAX($BK$3:$BK$23), S51))), ABS($BK$3:$BK$23 - MEDIAN(MIN($BK$3:$BK$23), MAX($BK$3:$BK$23), S51)), $BL$3:$BL$23, "Error", 0)</f>
        <v>3</v>
      </c>
      <c r="T80" s="30" cm="1">
        <f t="array" ref="T80">_xlfn.XLOOKUP(MIN(ABS($BK$3:$BK$23 - MEDIAN(MIN($BK$3:$BK$23), MAX($BK$3:$BK$23), T51))), ABS($BK$3:$BK$23 - MEDIAN(MIN($BK$3:$BK$23), MAX($BK$3:$BK$23), T51)), $BL$3:$BL$23, "Error", 0)</f>
        <v>0</v>
      </c>
      <c r="U80" s="30" cm="1">
        <f t="array" ref="U80">_xlfn.XLOOKUP(MIN(ABS($BK$3:$BK$23 - MEDIAN(MIN($BK$3:$BK$23), MAX($BK$3:$BK$23), U51))), ABS($BK$3:$BK$23 - MEDIAN(MIN($BK$3:$BK$23), MAX($BK$3:$BK$23), U51)), $BL$3:$BL$23, "Error", 0)</f>
        <v>0</v>
      </c>
      <c r="V80" s="30" cm="1">
        <f t="array" ref="V80">_xlfn.XLOOKUP(MIN(ABS($BK$3:$BK$23 - MEDIAN(MIN($BK$3:$BK$23), MAX($BK$3:$BK$23), V51))), ABS($BK$3:$BK$23 - MEDIAN(MIN($BK$3:$BK$23), MAX($BK$3:$BK$23), V51)), $BL$3:$BL$23, "Error", 0)</f>
        <v>-2</v>
      </c>
      <c r="W80" s="30" cm="1">
        <f t="array" ref="W80">_xlfn.XLOOKUP(MIN(ABS($BK$3:$BK$23 - MEDIAN(MIN($BK$3:$BK$23), MAX($BK$3:$BK$23), W51))), ABS($BK$3:$BK$23 - MEDIAN(MIN($BK$3:$BK$23), MAX($BK$3:$BK$23), W51)), $BL$3:$BL$23, "Error", 0)</f>
        <v>-1</v>
      </c>
      <c r="X80" s="30" cm="1">
        <f t="array" ref="X80">_xlfn.XLOOKUP(MIN(ABS($BK$3:$BK$23 - MEDIAN(MIN($BK$3:$BK$23), MAX($BK$3:$BK$23), X51))), ABS($BK$3:$BK$23 - MEDIAN(MIN($BK$3:$BK$23), MAX($BK$3:$BK$23), X51)), $BL$3:$BL$23, "Error", 0)</f>
        <v>0</v>
      </c>
      <c r="Y80" s="30" cm="1">
        <f t="array" ref="Y80">_xlfn.XLOOKUP(MIN(ABS($BK$3:$BK$23 - MEDIAN(MIN($BK$3:$BK$23), MAX($BK$3:$BK$23), Y51))), ABS($BK$3:$BK$23 - MEDIAN(MIN($BK$3:$BK$23), MAX($BK$3:$BK$23), Y51)), $BL$3:$BL$23, "Error", 0)</f>
        <v>2</v>
      </c>
      <c r="Z80" s="30" cm="1">
        <f t="array" ref="Z80">_xlfn.XLOOKUP(MIN(ABS($BK$3:$BK$23 - MEDIAN(MIN($BK$3:$BK$23), MAX($BK$3:$BK$23), Z51))), ABS($BK$3:$BK$23 - MEDIAN(MIN($BK$3:$BK$23), MAX($BK$3:$BK$23), Z51)), $BL$3:$BL$23, "Error", 0)</f>
        <v>0</v>
      </c>
      <c r="AA80" s="30" cm="1">
        <f t="array" ref="AA80">_xlfn.XLOOKUP(MIN(ABS($BK$3:$BK$23 - MEDIAN(MIN($BK$3:$BK$23), MAX($BK$3:$BK$23), AA51))), ABS($BK$3:$BK$23 - MEDIAN(MIN($BK$3:$BK$23), MAX($BK$3:$BK$23), AA51)), $BL$3:$BL$23, "Error", 0)</f>
        <v>-1</v>
      </c>
      <c r="AB80" s="30" cm="1">
        <f t="array" ref="AB80">_xlfn.XLOOKUP(MIN(ABS($BK$3:$BK$23 - MEDIAN(MIN($BK$3:$BK$23), MAX($BK$3:$BK$23), AB51))), ABS($BK$3:$BK$23 - MEDIAN(MIN($BK$3:$BK$23), MAX($BK$3:$BK$23), AB51)), $BL$3:$BL$23, "Error", 0)</f>
        <v>-1</v>
      </c>
      <c r="AC80" s="30" cm="1">
        <f t="array" ref="AC80">_xlfn.XLOOKUP(MIN(ABS($BK$3:$BK$23 - MEDIAN(MIN($BK$3:$BK$23), MAX($BK$3:$BK$23), AC51))), ABS($BK$3:$BK$23 - MEDIAN(MIN($BK$3:$BK$23), MAX($BK$3:$BK$23), AC51)), $BL$3:$BL$23, "Error", 0)</f>
        <v>1</v>
      </c>
      <c r="AD80" s="30" cm="1">
        <f t="array" ref="AD80">_xlfn.XLOOKUP(MIN(ABS($BK$3:$BK$23 - MEDIAN(MIN($BK$3:$BK$23), MAX($BK$3:$BK$23), AD51))), ABS($BK$3:$BK$23 - MEDIAN(MIN($BK$3:$BK$23), MAX($BK$3:$BK$23), AD51)), $BL$3:$BL$23, "Error", 0)</f>
        <v>0</v>
      </c>
      <c r="AE80" s="30" cm="1">
        <f t="array" ref="AE80">_xlfn.XLOOKUP(MIN(ABS($BK$3:$BK$23 - MEDIAN(MIN($BK$3:$BK$23), MAX($BK$3:$BK$23), AE51))), ABS($BK$3:$BK$23 - MEDIAN(MIN($BK$3:$BK$23), MAX($BK$3:$BK$23), AE51)), $BL$3:$BL$23, "Error", 0)</f>
        <v>2</v>
      </c>
      <c r="AF80" s="30" cm="1">
        <f t="array" ref="AF80">_xlfn.XLOOKUP(MIN(ABS($BK$3:$BK$23 - MEDIAN(MIN($BK$3:$BK$23), MAX($BK$3:$BK$23), AF51))), ABS($BK$3:$BK$23 - MEDIAN(MIN($BK$3:$BK$23), MAX($BK$3:$BK$23), AF51)), $BL$3:$BL$23, "Error", 0)</f>
        <v>1</v>
      </c>
      <c r="AG80" s="30" cm="1">
        <f t="array" ref="AG80">_xlfn.XLOOKUP(MIN(ABS($BK$3:$BK$23 - MEDIAN(MIN($BK$3:$BK$23), MAX($BK$3:$BK$23), AG51))), ABS($BK$3:$BK$23 - MEDIAN(MIN($BK$3:$BK$23), MAX($BK$3:$BK$23), AG51)), $BL$3:$BL$23, "Error", 0)</f>
        <v>1</v>
      </c>
      <c r="AH80" s="30" cm="1">
        <f t="array" ref="AH80">_xlfn.XLOOKUP(MIN(ABS($BK$3:$BK$23 - MEDIAN(MIN($BK$3:$BK$23), MAX($BK$3:$BK$23), AH51))), ABS($BK$3:$BK$23 - MEDIAN(MIN($BK$3:$BK$23), MAX($BK$3:$BK$23), AH51)), $BL$3:$BL$23, "Error", 0)</f>
        <v>1</v>
      </c>
      <c r="AI80" s="30" cm="1">
        <f t="array" ref="AI80">_xlfn.XLOOKUP(MIN(ABS($BK$3:$BK$23 - MEDIAN(MIN($BK$3:$BK$23), MAX($BK$3:$BK$23), AI51))), ABS($BK$3:$BK$23 - MEDIAN(MIN($BK$3:$BK$23), MAX($BK$3:$BK$23), AI51)), $BL$3:$BL$23, "Error", 0)</f>
        <v>1</v>
      </c>
      <c r="AJ80" s="30" cm="1">
        <f t="array" ref="AJ80">_xlfn.XLOOKUP(MIN(ABS($BK$3:$BK$23 - MEDIAN(MIN($BK$3:$BK$23), MAX($BK$3:$BK$23), AJ51))), ABS($BK$3:$BK$23 - MEDIAN(MIN($BK$3:$BK$23), MAX($BK$3:$BK$23), AJ51)), $BL$3:$BL$23, "Error", 0)</f>
        <v>1</v>
      </c>
      <c r="AK80" s="30" cm="1">
        <f t="array" ref="AK80">_xlfn.XLOOKUP(MIN(ABS($BK$3:$BK$23 - MEDIAN(MIN($BK$3:$BK$23), MAX($BK$3:$BK$23), AK51))), ABS($BK$3:$BK$23 - MEDIAN(MIN($BK$3:$BK$23), MAX($BK$3:$BK$23), AK51)), $BL$3:$BL$23, "Error", 0)</f>
        <v>2</v>
      </c>
      <c r="AL80" s="30" cm="1">
        <f t="array" ref="AL80">_xlfn.XLOOKUP(MIN(ABS($BK$3:$BK$23 - MEDIAN(MIN($BK$3:$BK$23), MAX($BK$3:$BK$23), AL51))), ABS($BK$3:$BK$23 - MEDIAN(MIN($BK$3:$BK$23), MAX($BK$3:$BK$23), AL51)), $BL$3:$BL$23, "Error", 0)</f>
        <v>4</v>
      </c>
      <c r="AM80" s="30" cm="1">
        <f t="array" ref="AM80">_xlfn.XLOOKUP(MIN(ABS($BK$3:$BK$23 - MEDIAN(MIN($BK$3:$BK$23), MAX($BK$3:$BK$23), AM51))), ABS($BK$3:$BK$23 - MEDIAN(MIN($BK$3:$BK$23), MAX($BK$3:$BK$23), AM51)), $BL$3:$BL$23, "Error", 0)</f>
        <v>3</v>
      </c>
      <c r="AN80" s="30" cm="1">
        <f t="array" ref="AN80">_xlfn.XLOOKUP(MIN(ABS($BK$3:$BK$23 - MEDIAN(MIN($BK$3:$BK$23), MAX($BK$3:$BK$23), AN51))), ABS($BK$3:$BK$23 - MEDIAN(MIN($BK$3:$BK$23), MAX($BK$3:$BK$23), AN51)), $BL$3:$BL$23, "Error", 0)</f>
        <v>3</v>
      </c>
      <c r="AO80" s="30" cm="1">
        <f t="array" ref="AO80">_xlfn.XLOOKUP(MIN(ABS($BK$3:$BK$23 - MEDIAN(MIN($BK$3:$BK$23), MAX($BK$3:$BK$23), AO51))), ABS($BK$3:$BK$23 - MEDIAN(MIN($BK$3:$BK$23), MAX($BK$3:$BK$23), AO51)), $BL$3:$BL$23, "Error", 0)</f>
        <v>-2</v>
      </c>
      <c r="AP80" s="30" cm="1">
        <f t="array" ref="AP80">_xlfn.XLOOKUP(MIN(ABS($BK$3:$BK$23 - MEDIAN(MIN($BK$3:$BK$23), MAX($BK$3:$BK$23), AP51))), ABS($BK$3:$BK$23 - MEDIAN(MIN($BK$3:$BK$23), MAX($BK$3:$BK$23), AP51)), $BL$3:$BL$23, "Error", 0)</f>
        <v>-1</v>
      </c>
      <c r="AQ80" s="30" cm="1">
        <f t="array" ref="AQ80">_xlfn.XLOOKUP(MIN(ABS($BK$3:$BK$23 - MEDIAN(MIN($BK$3:$BK$23), MAX($BK$3:$BK$23), AQ51))), ABS($BK$3:$BK$23 - MEDIAN(MIN($BK$3:$BK$23), MAX($BK$3:$BK$23), AQ51)), $BL$3:$BL$23, "Error", 0)</f>
        <v>-5</v>
      </c>
      <c r="AR80" s="30" cm="1">
        <f t="array" ref="AR80">_xlfn.XLOOKUP(MIN(ABS($BK$3:$BK$23 - MEDIAN(MIN($BK$3:$BK$23), MAX($BK$3:$BK$23), AR51))), ABS($BK$3:$BK$23 - MEDIAN(MIN($BK$3:$BK$23), MAX($BK$3:$BK$23), AR51)), $BL$3:$BL$23, "Error", 0)</f>
        <v>-3</v>
      </c>
      <c r="AS80" s="30" cm="1">
        <f t="array" ref="AS80">_xlfn.XLOOKUP(MIN(ABS($BK$3:$BK$23 - MEDIAN(MIN($BK$3:$BK$23), MAX($BK$3:$BK$23), AS51))), ABS($BK$3:$BK$23 - MEDIAN(MIN($BK$3:$BK$23), MAX($BK$3:$BK$23), AS51)), $BL$3:$BL$23, "Error", 0)</f>
        <v>-4</v>
      </c>
      <c r="AT80" s="30" cm="1">
        <f t="array" ref="AT80">_xlfn.XLOOKUP(MIN(ABS($BK$3:$BK$23 - MEDIAN(MIN($BK$3:$BK$23), MAX($BK$3:$BK$23), AT51))), ABS($BK$3:$BK$23 - MEDIAN(MIN($BK$3:$BK$23), MAX($BK$3:$BK$23), AT51)), $BL$3:$BL$23, "Error", 0)</f>
        <v>-5</v>
      </c>
      <c r="AU80" s="30" cm="1">
        <f t="array" ref="AU80">_xlfn.XLOOKUP(MIN(ABS($BK$3:$BK$23 - MEDIAN(MIN($BK$3:$BK$23), MAX($BK$3:$BK$23), AU51))), ABS($BK$3:$BK$23 - MEDIAN(MIN($BK$3:$BK$23), MAX($BK$3:$BK$23), AU51)), $BL$3:$BL$23, "Error", 0)</f>
        <v>-6</v>
      </c>
      <c r="AV80" s="30" cm="1">
        <f t="array" ref="AV80">_xlfn.XLOOKUP(MIN(ABS($BK$3:$BK$23 - MEDIAN(MIN($BK$3:$BK$23), MAX($BK$3:$BK$23), AV51))), ABS($BK$3:$BK$23 - MEDIAN(MIN($BK$3:$BK$23), MAX($BK$3:$BK$23), AV51)), $BL$3:$BL$23, "Error", 0)</f>
        <v>-6</v>
      </c>
      <c r="AW80" s="30" cm="1">
        <f t="array" ref="AW80">_xlfn.XLOOKUP(MIN(ABS($BK$3:$BK$23 - MEDIAN(MIN($BK$3:$BK$23), MAX($BK$3:$BK$23), AW51))), ABS($BK$3:$BK$23 - MEDIAN(MIN($BK$3:$BK$23), MAX($BK$3:$BK$23), AW51)), $BL$3:$BL$23, "Error", 0)</f>
        <v>-7</v>
      </c>
      <c r="AX80" s="30" cm="1">
        <f t="array" ref="AX80">_xlfn.XLOOKUP(MIN(ABS($BK$3:$BK$23 - MEDIAN(MIN($BK$3:$BK$23), MAX($BK$3:$BK$23), AX51))), ABS($BK$3:$BK$23 - MEDIAN(MIN($BK$3:$BK$23), MAX($BK$3:$BK$23), AX51)), $BL$3:$BL$23, "Error", 0)</f>
        <v>-9</v>
      </c>
      <c r="AY80" s="30" cm="1">
        <f t="array" ref="AY80">_xlfn.XLOOKUP(MIN(ABS($BK$3:$BK$23 - MEDIAN(MIN($BK$3:$BK$23), MAX($BK$3:$BK$23), AY51))), ABS($BK$3:$BK$23 - MEDIAN(MIN($BK$3:$BK$23), MAX($BK$3:$BK$23), AY51)), $BL$3:$BL$23, "Error", 0)</f>
        <v>-9</v>
      </c>
      <c r="AZ80" s="30" cm="1">
        <f t="array" ref="AZ80">_xlfn.XLOOKUP(MIN(ABS($BK$3:$BK$23 - MEDIAN(MIN($BK$3:$BK$23), MAX($BK$3:$BK$23), AZ51))), ABS($BK$3:$BK$23 - MEDIAN(MIN($BK$3:$BK$23), MAX($BK$3:$BK$23), AZ51)), $BL$3:$BL$23, "Error", 0)</f>
        <v>-8</v>
      </c>
      <c r="BA80" s="30" cm="1">
        <f t="array" ref="BA80">_xlfn.XLOOKUP(MIN(ABS($BK$3:$BK$23 - MEDIAN(MIN($BK$3:$BK$23), MAX($BK$3:$BK$23), BA51))), ABS($BK$3:$BK$23 - MEDIAN(MIN($BK$3:$BK$23), MAX($BK$3:$BK$23), BA51)), $BL$3:$BL$23, "Error", 0)</f>
        <v>-4</v>
      </c>
      <c r="BB80" s="30" cm="1">
        <f t="array" ref="BB80">_xlfn.XLOOKUP(MIN(ABS($BK$3:$BK$23 - MEDIAN(MIN($BK$3:$BK$23), MAX($BK$3:$BK$23), BB51))), ABS($BK$3:$BK$23 - MEDIAN(MIN($BK$3:$BK$23), MAX($BK$3:$BK$23), BB51)), $BL$3:$BL$23, "Error", 0)</f>
        <v>-6</v>
      </c>
      <c r="BC80" s="30" cm="1">
        <f t="array" ref="BC80">_xlfn.XLOOKUP(MIN(ABS($BK$3:$BK$23 - MEDIAN(MIN($BK$3:$BK$23), MAX($BK$3:$BK$23), BC51))), ABS($BK$3:$BK$23 - MEDIAN(MIN($BK$3:$BK$23), MAX($BK$3:$BK$23), BC51)), $BL$3:$BL$23, "Error", 0)</f>
        <v>-3</v>
      </c>
      <c r="BD80" s="30" cm="1">
        <f t="array" ref="BD80">_xlfn.XLOOKUP(MIN(ABS($BK$3:$BK$23 - MEDIAN(MIN($BK$3:$BK$23), MAX($BK$3:$BK$23), BD51))), ABS($BK$3:$BK$23 - MEDIAN(MIN($BK$3:$BK$23), MAX($BK$3:$BK$23), BD51)), $BL$3:$BL$23, "Error", 0)</f>
        <v>-1</v>
      </c>
      <c r="BE80" s="30" cm="1">
        <f t="array" ref="BE80">_xlfn.XLOOKUP(MIN(ABS($BK$3:$BK$23 - MEDIAN(MIN($BK$3:$BK$23), MAX($BK$3:$BK$23), BE51))), ABS($BK$3:$BK$23 - MEDIAN(MIN($BK$3:$BK$23), MAX($BK$3:$BK$23), BE51)), $BL$3:$BL$23, "Error", 0)</f>
        <v>0</v>
      </c>
      <c r="BF80" s="30" cm="1">
        <f t="array" ref="BF80">_xlfn.XLOOKUP(MIN(ABS($BK$3:$BK$23 - MEDIAN(MIN($BK$3:$BK$23), MAX($BK$3:$BK$23), BF51))), ABS($BK$3:$BK$23 - MEDIAN(MIN($BK$3:$BK$23), MAX($BK$3:$BK$23), BF51)), $BL$3:$BL$23, "Error", 0)</f>
        <v>0</v>
      </c>
      <c r="BG80" s="30" cm="1">
        <f t="array" ref="BG80">_xlfn.XLOOKUP(MIN(ABS($BK$3:$BK$23 - MEDIAN(MIN($BK$3:$BK$23), MAX($BK$3:$BK$23), BG51))), ABS($BK$3:$BK$23 - MEDIAN(MIN($BK$3:$BK$23), MAX($BK$3:$BK$23), BG51)), $BL$3:$BL$23, "Error", 0)</f>
        <v>10</v>
      </c>
      <c r="BH80" s="30" cm="1">
        <f t="array" ref="BH80">_xlfn.XLOOKUP(MIN(ABS($BK$3:$BK$23 - MEDIAN(MIN($BK$3:$BK$23), MAX($BK$3:$BK$23), BH51))), ABS($BK$3:$BK$23 - MEDIAN(MIN($BK$3:$BK$23), MAX($BK$3:$BK$23), BH51)), $BL$3:$BL$23, "Error", 0)</f>
        <v>10</v>
      </c>
      <c r="BI80" s="30" cm="1">
        <f t="array" ref="BI80">_xlfn.XLOOKUP(MIN(ABS($BK$3:$BK$23 - MEDIAN(MIN($BK$3:$BK$23), MAX($BK$3:$BK$23), BI51))), ABS($BK$3:$BK$23 - MEDIAN(MIN($BK$3:$BK$23), MAX($BK$3:$BK$23), BI51)), $BL$3:$BL$23, "Error", 0)</f>
        <v>10</v>
      </c>
    </row>
    <row r="81" spans="1:61" ht="25" customHeight="1">
      <c r="A81" s="48" t="s">
        <v>56</v>
      </c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30" cm="1">
        <f t="array" ref="N81">_xlfn.XLOOKUP(MIN(ABS($BK$3:$BK$23 - MEDIAN(MIN($BK$3:$BK$23), MAX($BK$3:$BK$23), N52))), ABS($BK$3:$BK$23 - MEDIAN(MIN($BK$3:$BK$23), MAX($BK$3:$BK$23), N52)), $BL$3:$BL$23, "Error", 0)</f>
        <v>5</v>
      </c>
      <c r="O81" s="30" cm="1">
        <f t="array" ref="O81">_xlfn.XLOOKUP(MIN(ABS($BK$3:$BK$23 - MEDIAN(MIN($BK$3:$BK$23), MAX($BK$3:$BK$23), O52))), ABS($BK$3:$BK$23 - MEDIAN(MIN($BK$3:$BK$23), MAX($BK$3:$BK$23), O52)), $BL$3:$BL$23, "Error", 0)</f>
        <v>8</v>
      </c>
      <c r="P81" s="30" cm="1">
        <f t="array" ref="P81">_xlfn.XLOOKUP(MIN(ABS($BK$3:$BK$23 - MEDIAN(MIN($BK$3:$BK$23), MAX($BK$3:$BK$23), P52))), ABS($BK$3:$BK$23 - MEDIAN(MIN($BK$3:$BK$23), MAX($BK$3:$BK$23), P52)), $BL$3:$BL$23, "Error", 0)</f>
        <v>7</v>
      </c>
      <c r="Q81" s="30" cm="1">
        <f t="array" ref="Q81">_xlfn.XLOOKUP(MIN(ABS($BK$3:$BK$23 - MEDIAN(MIN($BK$3:$BK$23), MAX($BK$3:$BK$23), Q52))), ABS($BK$3:$BK$23 - MEDIAN(MIN($BK$3:$BK$23), MAX($BK$3:$BK$23), Q52)), $BL$3:$BL$23, "Error", 0)</f>
        <v>5</v>
      </c>
      <c r="R81" s="30" cm="1">
        <f t="array" ref="R81">_xlfn.XLOOKUP(MIN(ABS($BK$3:$BK$23 - MEDIAN(MIN($BK$3:$BK$23), MAX($BK$3:$BK$23), R52))), ABS($BK$3:$BK$23 - MEDIAN(MIN($BK$3:$BK$23), MAX($BK$3:$BK$23), R52)), $BL$3:$BL$23, "Error", 0)</f>
        <v>4</v>
      </c>
      <c r="S81" s="30" cm="1">
        <f t="array" ref="S81">_xlfn.XLOOKUP(MIN(ABS($BK$3:$BK$23 - MEDIAN(MIN($BK$3:$BK$23), MAX($BK$3:$BK$23), S52))), ABS($BK$3:$BK$23 - MEDIAN(MIN($BK$3:$BK$23), MAX($BK$3:$BK$23), S52)), $BL$3:$BL$23, "Error", 0)</f>
        <v>2</v>
      </c>
      <c r="T81" s="30" cm="1">
        <f t="array" ref="T81">_xlfn.XLOOKUP(MIN(ABS($BK$3:$BK$23 - MEDIAN(MIN($BK$3:$BK$23), MAX($BK$3:$BK$23), T52))), ABS($BK$3:$BK$23 - MEDIAN(MIN($BK$3:$BK$23), MAX($BK$3:$BK$23), T52)), $BL$3:$BL$23, "Error", 0)</f>
        <v>1</v>
      </c>
      <c r="U81" s="30" cm="1">
        <f t="array" ref="U81">_xlfn.XLOOKUP(MIN(ABS($BK$3:$BK$23 - MEDIAN(MIN($BK$3:$BK$23), MAX($BK$3:$BK$23), U52))), ABS($BK$3:$BK$23 - MEDIAN(MIN($BK$3:$BK$23), MAX($BK$3:$BK$23), U52)), $BL$3:$BL$23, "Error", 0)</f>
        <v>1</v>
      </c>
      <c r="V81" s="30" cm="1">
        <f t="array" ref="V81">_xlfn.XLOOKUP(MIN(ABS($BK$3:$BK$23 - MEDIAN(MIN($BK$3:$BK$23), MAX($BK$3:$BK$23), V52))), ABS($BK$3:$BK$23 - MEDIAN(MIN($BK$3:$BK$23), MAX($BK$3:$BK$23), V52)), $BL$3:$BL$23, "Error", 0)</f>
        <v>0</v>
      </c>
      <c r="W81" s="30" cm="1">
        <f t="array" ref="W81">_xlfn.XLOOKUP(MIN(ABS($BK$3:$BK$23 - MEDIAN(MIN($BK$3:$BK$23), MAX($BK$3:$BK$23), W52))), ABS($BK$3:$BK$23 - MEDIAN(MIN($BK$3:$BK$23), MAX($BK$3:$BK$23), W52)), $BL$3:$BL$23, "Error", 0)</f>
        <v>2</v>
      </c>
      <c r="X81" s="30" cm="1">
        <f t="array" ref="X81">_xlfn.XLOOKUP(MIN(ABS($BK$3:$BK$23 - MEDIAN(MIN($BK$3:$BK$23), MAX($BK$3:$BK$23), X52))), ABS($BK$3:$BK$23 - MEDIAN(MIN($BK$3:$BK$23), MAX($BK$3:$BK$23), X52)), $BL$3:$BL$23, "Error", 0)</f>
        <v>3</v>
      </c>
      <c r="Y81" s="30" cm="1">
        <f t="array" ref="Y81">_xlfn.XLOOKUP(MIN(ABS($BK$3:$BK$23 - MEDIAN(MIN($BK$3:$BK$23), MAX($BK$3:$BK$23), Y52))), ABS($BK$3:$BK$23 - MEDIAN(MIN($BK$3:$BK$23), MAX($BK$3:$BK$23), Y52)), $BL$3:$BL$23, "Error", 0)</f>
        <v>1</v>
      </c>
      <c r="Z81" s="30" cm="1">
        <f t="array" ref="Z81">_xlfn.XLOOKUP(MIN(ABS($BK$3:$BK$23 - MEDIAN(MIN($BK$3:$BK$23), MAX($BK$3:$BK$23), Z52))), ABS($BK$3:$BK$23 - MEDIAN(MIN($BK$3:$BK$23), MAX($BK$3:$BK$23), Z52)), $BL$3:$BL$23, "Error", 0)</f>
        <v>3</v>
      </c>
      <c r="AA81" s="30" cm="1">
        <f t="array" ref="AA81">_xlfn.XLOOKUP(MIN(ABS($BK$3:$BK$23 - MEDIAN(MIN($BK$3:$BK$23), MAX($BK$3:$BK$23), AA52))), ABS($BK$3:$BK$23 - MEDIAN(MIN($BK$3:$BK$23), MAX($BK$3:$BK$23), AA52)), $BL$3:$BL$23, "Error", 0)</f>
        <v>0</v>
      </c>
      <c r="AB81" s="30" cm="1">
        <f t="array" ref="AB81">_xlfn.XLOOKUP(MIN(ABS($BK$3:$BK$23 - MEDIAN(MIN($BK$3:$BK$23), MAX($BK$3:$BK$23), AB52))), ABS($BK$3:$BK$23 - MEDIAN(MIN($BK$3:$BK$23), MAX($BK$3:$BK$23), AB52)), $BL$3:$BL$23, "Error", 0)</f>
        <v>0</v>
      </c>
      <c r="AC81" s="30" cm="1">
        <f t="array" ref="AC81">_xlfn.XLOOKUP(MIN(ABS($BK$3:$BK$23 - MEDIAN(MIN($BK$3:$BK$23), MAX($BK$3:$BK$23), AC52))), ABS($BK$3:$BK$23 - MEDIAN(MIN($BK$3:$BK$23), MAX($BK$3:$BK$23), AC52)), $BL$3:$BL$23, "Error", 0)</f>
        <v>4</v>
      </c>
      <c r="AD81" s="30" cm="1">
        <f t="array" ref="AD81">_xlfn.XLOOKUP(MIN(ABS($BK$3:$BK$23 - MEDIAN(MIN($BK$3:$BK$23), MAX($BK$3:$BK$23), AD52))), ABS($BK$3:$BK$23 - MEDIAN(MIN($BK$3:$BK$23), MAX($BK$3:$BK$23), AD52)), $BL$3:$BL$23, "Error", 0)</f>
        <v>1</v>
      </c>
      <c r="AE81" s="30" cm="1">
        <f t="array" ref="AE81">_xlfn.XLOOKUP(MIN(ABS($BK$3:$BK$23 - MEDIAN(MIN($BK$3:$BK$23), MAX($BK$3:$BK$23), AE52))), ABS($BK$3:$BK$23 - MEDIAN(MIN($BK$3:$BK$23), MAX($BK$3:$BK$23), AE52)), $BL$3:$BL$23, "Error", 0)</f>
        <v>4</v>
      </c>
      <c r="AF81" s="30" cm="1">
        <f t="array" ref="AF81">_xlfn.XLOOKUP(MIN(ABS($BK$3:$BK$23 - MEDIAN(MIN($BK$3:$BK$23), MAX($BK$3:$BK$23), AF52))), ABS($BK$3:$BK$23 - MEDIAN(MIN($BK$3:$BK$23), MAX($BK$3:$BK$23), AF52)), $BL$3:$BL$23, "Error", 0)</f>
        <v>3</v>
      </c>
      <c r="AG81" s="30" cm="1">
        <f t="array" ref="AG81">_xlfn.XLOOKUP(MIN(ABS($BK$3:$BK$23 - MEDIAN(MIN($BK$3:$BK$23), MAX($BK$3:$BK$23), AG52))), ABS($BK$3:$BK$23 - MEDIAN(MIN($BK$3:$BK$23), MAX($BK$3:$BK$23), AG52)), $BL$3:$BL$23, "Error", 0)</f>
        <v>2</v>
      </c>
      <c r="AH81" s="30" cm="1">
        <f t="array" ref="AH81">_xlfn.XLOOKUP(MIN(ABS($BK$3:$BK$23 - MEDIAN(MIN($BK$3:$BK$23), MAX($BK$3:$BK$23), AH52))), ABS($BK$3:$BK$23 - MEDIAN(MIN($BK$3:$BK$23), MAX($BK$3:$BK$23), AH52)), $BL$3:$BL$23, "Error", 0)</f>
        <v>0</v>
      </c>
      <c r="AI81" s="30" cm="1">
        <f t="array" ref="AI81">_xlfn.XLOOKUP(MIN(ABS($BK$3:$BK$23 - MEDIAN(MIN($BK$3:$BK$23), MAX($BK$3:$BK$23), AI52))), ABS($BK$3:$BK$23 - MEDIAN(MIN($BK$3:$BK$23), MAX($BK$3:$BK$23), AI52)), $BL$3:$BL$23, "Error", 0)</f>
        <v>3</v>
      </c>
      <c r="AJ81" s="30" cm="1">
        <f t="array" ref="AJ81">_xlfn.XLOOKUP(MIN(ABS($BK$3:$BK$23 - MEDIAN(MIN($BK$3:$BK$23), MAX($BK$3:$BK$23), AJ52))), ABS($BK$3:$BK$23 - MEDIAN(MIN($BK$3:$BK$23), MAX($BK$3:$BK$23), AJ52)), $BL$3:$BL$23, "Error", 0)</f>
        <v>2</v>
      </c>
      <c r="AK81" s="30" cm="1">
        <f t="array" ref="AK81">_xlfn.XLOOKUP(MIN(ABS($BK$3:$BK$23 - MEDIAN(MIN($BK$3:$BK$23), MAX($BK$3:$BK$23), AK52))), ABS($BK$3:$BK$23 - MEDIAN(MIN($BK$3:$BK$23), MAX($BK$3:$BK$23), AK52)), $BL$3:$BL$23, "Error", 0)</f>
        <v>5</v>
      </c>
      <c r="AL81" s="30" cm="1">
        <f t="array" ref="AL81">_xlfn.XLOOKUP(MIN(ABS($BK$3:$BK$23 - MEDIAN(MIN($BK$3:$BK$23), MAX($BK$3:$BK$23), AL52))), ABS($BK$3:$BK$23 - MEDIAN(MIN($BK$3:$BK$23), MAX($BK$3:$BK$23), AL52)), $BL$3:$BL$23, "Error", 0)</f>
        <v>5</v>
      </c>
      <c r="AM81" s="30" cm="1">
        <f t="array" ref="AM81">_xlfn.XLOOKUP(MIN(ABS($BK$3:$BK$23 - MEDIAN(MIN($BK$3:$BK$23), MAX($BK$3:$BK$23), AM52))), ABS($BK$3:$BK$23 - MEDIAN(MIN($BK$3:$BK$23), MAX($BK$3:$BK$23), AM52)), $BL$3:$BL$23, "Error", 0)</f>
        <v>4</v>
      </c>
      <c r="AN81" s="30" cm="1">
        <f t="array" ref="AN81">_xlfn.XLOOKUP(MIN(ABS($BK$3:$BK$23 - MEDIAN(MIN($BK$3:$BK$23), MAX($BK$3:$BK$23), AN52))), ABS($BK$3:$BK$23 - MEDIAN(MIN($BK$3:$BK$23), MAX($BK$3:$BK$23), AN52)), $BL$3:$BL$23, "Error", 0)</f>
        <v>4</v>
      </c>
      <c r="AO81" s="30" cm="1">
        <f t="array" ref="AO81">_xlfn.XLOOKUP(MIN(ABS($BK$3:$BK$23 - MEDIAN(MIN($BK$3:$BK$23), MAX($BK$3:$BK$23), AO52))), ABS($BK$3:$BK$23 - MEDIAN(MIN($BK$3:$BK$23), MAX($BK$3:$BK$23), AO52)), $BL$3:$BL$23, "Error", 0)</f>
        <v>-1</v>
      </c>
      <c r="AP81" s="30" cm="1">
        <f t="array" ref="AP81">_xlfn.XLOOKUP(MIN(ABS($BK$3:$BK$23 - MEDIAN(MIN($BK$3:$BK$23), MAX($BK$3:$BK$23), AP52))), ABS($BK$3:$BK$23 - MEDIAN(MIN($BK$3:$BK$23), MAX($BK$3:$BK$23), AP52)), $BL$3:$BL$23, "Error", 0)</f>
        <v>0</v>
      </c>
      <c r="AQ81" s="30" cm="1">
        <f t="array" ref="AQ81">_xlfn.XLOOKUP(MIN(ABS($BK$3:$BK$23 - MEDIAN(MIN($BK$3:$BK$23), MAX($BK$3:$BK$23), AQ52))), ABS($BK$3:$BK$23 - MEDIAN(MIN($BK$3:$BK$23), MAX($BK$3:$BK$23), AQ52)), $BL$3:$BL$23, "Error", 0)</f>
        <v>-2</v>
      </c>
      <c r="AR81" s="30" cm="1">
        <f t="array" ref="AR81">_xlfn.XLOOKUP(MIN(ABS($BK$3:$BK$23 - MEDIAN(MIN($BK$3:$BK$23), MAX($BK$3:$BK$23), AR52))), ABS($BK$3:$BK$23 - MEDIAN(MIN($BK$3:$BK$23), MAX($BK$3:$BK$23), AR52)), $BL$3:$BL$23, "Error", 0)</f>
        <v>-1</v>
      </c>
      <c r="AS81" s="30" cm="1">
        <f t="array" ref="AS81">_xlfn.XLOOKUP(MIN(ABS($BK$3:$BK$23 - MEDIAN(MIN($BK$3:$BK$23), MAX($BK$3:$BK$23), AS52))), ABS($BK$3:$BK$23 - MEDIAN(MIN($BK$3:$BK$23), MAX($BK$3:$BK$23), AS52)), $BL$3:$BL$23, "Error", 0)</f>
        <v>-1</v>
      </c>
      <c r="AT81" s="30" cm="1">
        <f t="array" ref="AT81">_xlfn.XLOOKUP(MIN(ABS($BK$3:$BK$23 - MEDIAN(MIN($BK$3:$BK$23), MAX($BK$3:$BK$23), AT52))), ABS($BK$3:$BK$23 - MEDIAN(MIN($BK$3:$BK$23), MAX($BK$3:$BK$23), AT52)), $BL$3:$BL$23, "Error", 0)</f>
        <v>-4</v>
      </c>
      <c r="AU81" s="30" cm="1">
        <f t="array" ref="AU81">_xlfn.XLOOKUP(MIN(ABS($BK$3:$BK$23 - MEDIAN(MIN($BK$3:$BK$23), MAX($BK$3:$BK$23), AU52))), ABS($BK$3:$BK$23 - MEDIAN(MIN($BK$3:$BK$23), MAX($BK$3:$BK$23), AU52)), $BL$3:$BL$23, "Error", 0)</f>
        <v>-5</v>
      </c>
      <c r="AV81" s="30" cm="1">
        <f t="array" ref="AV81">_xlfn.XLOOKUP(MIN(ABS($BK$3:$BK$23 - MEDIAN(MIN($BK$3:$BK$23), MAX($BK$3:$BK$23), AV52))), ABS($BK$3:$BK$23 - MEDIAN(MIN($BK$3:$BK$23), MAX($BK$3:$BK$23), AV52)), $BL$3:$BL$23, "Error", 0)</f>
        <v>-4</v>
      </c>
      <c r="AW81" s="30" cm="1">
        <f t="array" ref="AW81">_xlfn.XLOOKUP(MIN(ABS($BK$3:$BK$23 - MEDIAN(MIN($BK$3:$BK$23), MAX($BK$3:$BK$23), AW52))), ABS($BK$3:$BK$23 - MEDIAN(MIN($BK$3:$BK$23), MAX($BK$3:$BK$23), AW52)), $BL$3:$BL$23, "Error", 0)</f>
        <v>-6</v>
      </c>
      <c r="AX81" s="30" cm="1">
        <f t="array" ref="AX81">_xlfn.XLOOKUP(MIN(ABS($BK$3:$BK$23 - MEDIAN(MIN($BK$3:$BK$23), MAX($BK$3:$BK$23), AX52))), ABS($BK$3:$BK$23 - MEDIAN(MIN($BK$3:$BK$23), MAX($BK$3:$BK$23), AX52)), $BL$3:$BL$23, "Error", 0)</f>
        <v>-7</v>
      </c>
      <c r="AY81" s="30" cm="1">
        <f t="array" ref="AY81">_xlfn.XLOOKUP(MIN(ABS($BK$3:$BK$23 - MEDIAN(MIN($BK$3:$BK$23), MAX($BK$3:$BK$23), AY52))), ABS($BK$3:$BK$23 - MEDIAN(MIN($BK$3:$BK$23), MAX($BK$3:$BK$23), AY52)), $BL$3:$BL$23, "Error", 0)</f>
        <v>-9</v>
      </c>
      <c r="AZ81" s="30" cm="1">
        <f t="array" ref="AZ81">_xlfn.XLOOKUP(MIN(ABS($BK$3:$BK$23 - MEDIAN(MIN($BK$3:$BK$23), MAX($BK$3:$BK$23), AZ52))), ABS($BK$3:$BK$23 - MEDIAN(MIN($BK$3:$BK$23), MAX($BK$3:$BK$23), AZ52)), $BL$3:$BL$23, "Error", 0)</f>
        <v>-5</v>
      </c>
      <c r="BA81" s="30" cm="1">
        <f t="array" ref="BA81">_xlfn.XLOOKUP(MIN(ABS($BK$3:$BK$23 - MEDIAN(MIN($BK$3:$BK$23), MAX($BK$3:$BK$23), BA52))), ABS($BK$3:$BK$23 - MEDIAN(MIN($BK$3:$BK$23), MAX($BK$3:$BK$23), BA52)), $BL$3:$BL$23, "Error", 0)</f>
        <v>-3</v>
      </c>
      <c r="BB81" s="30" cm="1">
        <f t="array" ref="BB81">_xlfn.XLOOKUP(MIN(ABS($BK$3:$BK$23 - MEDIAN(MIN($BK$3:$BK$23), MAX($BK$3:$BK$23), BB52))), ABS($BK$3:$BK$23 - MEDIAN(MIN($BK$3:$BK$23), MAX($BK$3:$BK$23), BB52)), $BL$3:$BL$23, "Error", 0)</f>
        <v>-3</v>
      </c>
      <c r="BC81" s="30" cm="1">
        <f t="array" ref="BC81">_xlfn.XLOOKUP(MIN(ABS($BK$3:$BK$23 - MEDIAN(MIN($BK$3:$BK$23), MAX($BK$3:$BK$23), BC52))), ABS($BK$3:$BK$23 - MEDIAN(MIN($BK$3:$BK$23), MAX($BK$3:$BK$23), BC52)), $BL$3:$BL$23, "Error", 0)</f>
        <v>-3</v>
      </c>
      <c r="BD81" s="30" cm="1">
        <f t="array" ref="BD81">_xlfn.XLOOKUP(MIN(ABS($BK$3:$BK$23 - MEDIAN(MIN($BK$3:$BK$23), MAX($BK$3:$BK$23), BD52))), ABS($BK$3:$BK$23 - MEDIAN(MIN($BK$3:$BK$23), MAX($BK$3:$BK$23), BD52)), $BL$3:$BL$23, "Error", 0)</f>
        <v>-1</v>
      </c>
      <c r="BE81" s="30" cm="1">
        <f t="array" ref="BE81">_xlfn.XLOOKUP(MIN(ABS($BK$3:$BK$23 - MEDIAN(MIN($BK$3:$BK$23), MAX($BK$3:$BK$23), BE52))), ABS($BK$3:$BK$23 - MEDIAN(MIN($BK$3:$BK$23), MAX($BK$3:$BK$23), BE52)), $BL$3:$BL$23, "Error", 0)</f>
        <v>0</v>
      </c>
      <c r="BF81" s="30" cm="1">
        <f t="array" ref="BF81">_xlfn.XLOOKUP(MIN(ABS($BK$3:$BK$23 - MEDIAN(MIN($BK$3:$BK$23), MAX($BK$3:$BK$23), BF52))), ABS($BK$3:$BK$23 - MEDIAN(MIN($BK$3:$BK$23), MAX($BK$3:$BK$23), BF52)), $BL$3:$BL$23, "Error", 0)</f>
        <v>2</v>
      </c>
      <c r="BG81" s="30" cm="1">
        <f t="array" ref="BG81">_xlfn.XLOOKUP(MIN(ABS($BK$3:$BK$23 - MEDIAN(MIN($BK$3:$BK$23), MAX($BK$3:$BK$23), BG52))), ABS($BK$3:$BK$23 - MEDIAN(MIN($BK$3:$BK$23), MAX($BK$3:$BK$23), BG52)), $BL$3:$BL$23, "Error", 0)</f>
        <v>10</v>
      </c>
      <c r="BH81" s="30" cm="1">
        <f t="array" ref="BH81">_xlfn.XLOOKUP(MIN(ABS($BK$3:$BK$23 - MEDIAN(MIN($BK$3:$BK$23), MAX($BK$3:$BK$23), BH52))), ABS($BK$3:$BK$23 - MEDIAN(MIN($BK$3:$BK$23), MAX($BK$3:$BK$23), BH52)), $BL$3:$BL$23, "Error", 0)</f>
        <v>10</v>
      </c>
      <c r="BI81" s="30" cm="1">
        <f t="array" ref="BI81">_xlfn.XLOOKUP(MIN(ABS($BK$3:$BK$23 - MEDIAN(MIN($BK$3:$BK$23), MAX($BK$3:$BK$23), BI52))), ABS($BK$3:$BK$23 - MEDIAN(MIN($BK$3:$BK$23), MAX($BK$3:$BK$23), BI52)), $BL$3:$BL$23, "Error", 0)</f>
        <v>10</v>
      </c>
    </row>
    <row r="82" spans="1:61" ht="25" customHeight="1">
      <c r="A82" s="49" t="s">
        <v>57</v>
      </c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30" cm="1">
        <f t="array" ref="N82">_xlfn.XLOOKUP(MIN(ABS($BK$3:$BK$23 - MEDIAN(MIN($BK$3:$BK$23), MAX($BK$3:$BK$23), N53))), ABS($BK$3:$BK$23 - MEDIAN(MIN($BK$3:$BK$23), MAX($BK$3:$BK$23), N53)), $BL$3:$BL$23, "Error", 0)</f>
        <v>10</v>
      </c>
      <c r="O82" s="30" cm="1">
        <f t="array" ref="O82">_xlfn.XLOOKUP(MIN(ABS($BK$3:$BK$23 - MEDIAN(MIN($BK$3:$BK$23), MAX($BK$3:$BK$23), O53))), ABS($BK$3:$BK$23 - MEDIAN(MIN($BK$3:$BK$23), MAX($BK$3:$BK$23), O53)), $BL$3:$BL$23, "Error", 0)</f>
        <v>10</v>
      </c>
      <c r="P82" s="30" cm="1">
        <f t="array" ref="P82">_xlfn.XLOOKUP(MIN(ABS($BK$3:$BK$23 - MEDIAN(MIN($BK$3:$BK$23), MAX($BK$3:$BK$23), P53))), ABS($BK$3:$BK$23 - MEDIAN(MIN($BK$3:$BK$23), MAX($BK$3:$BK$23), P53)), $BL$3:$BL$23, "Error", 0)</f>
        <v>10</v>
      </c>
      <c r="Q82" s="30" cm="1">
        <f t="array" ref="Q82">_xlfn.XLOOKUP(MIN(ABS($BK$3:$BK$23 - MEDIAN(MIN($BK$3:$BK$23), MAX($BK$3:$BK$23), Q53))), ABS($BK$3:$BK$23 - MEDIAN(MIN($BK$3:$BK$23), MAX($BK$3:$BK$23), Q53)), $BL$3:$BL$23, "Error", 0)</f>
        <v>10</v>
      </c>
      <c r="R82" s="30" cm="1">
        <f t="array" ref="R82">_xlfn.XLOOKUP(MIN(ABS($BK$3:$BK$23 - MEDIAN(MIN($BK$3:$BK$23), MAX($BK$3:$BK$23), R53))), ABS($BK$3:$BK$23 - MEDIAN(MIN($BK$3:$BK$23), MAX($BK$3:$BK$23), R53)), $BL$3:$BL$23, "Error", 0)</f>
        <v>10</v>
      </c>
      <c r="S82" s="30" cm="1">
        <f t="array" ref="S82">_xlfn.XLOOKUP(MIN(ABS($BK$3:$BK$23 - MEDIAN(MIN($BK$3:$BK$23), MAX($BK$3:$BK$23), S53))), ABS($BK$3:$BK$23 - MEDIAN(MIN($BK$3:$BK$23), MAX($BK$3:$BK$23), S53)), $BL$3:$BL$23, "Error", 0)</f>
        <v>5</v>
      </c>
      <c r="T82" s="30" cm="1">
        <f t="array" ref="T82">_xlfn.XLOOKUP(MIN(ABS($BK$3:$BK$23 - MEDIAN(MIN($BK$3:$BK$23), MAX($BK$3:$BK$23), T53))), ABS($BK$3:$BK$23 - MEDIAN(MIN($BK$3:$BK$23), MAX($BK$3:$BK$23), T53)), $BL$3:$BL$23, "Error", 0)</f>
        <v>3</v>
      </c>
      <c r="U82" s="30" cm="1">
        <f t="array" ref="U82">_xlfn.XLOOKUP(MIN(ABS($BK$3:$BK$23 - MEDIAN(MIN($BK$3:$BK$23), MAX($BK$3:$BK$23), U53))), ABS($BK$3:$BK$23 - MEDIAN(MIN($BK$3:$BK$23), MAX($BK$3:$BK$23), U53)), $BL$3:$BL$23, "Error", 0)</f>
        <v>10</v>
      </c>
      <c r="V82" s="30" cm="1">
        <f t="array" ref="V82">_xlfn.XLOOKUP(MIN(ABS($BK$3:$BK$23 - MEDIAN(MIN($BK$3:$BK$23), MAX($BK$3:$BK$23), V53))), ABS($BK$3:$BK$23 - MEDIAN(MIN($BK$3:$BK$23), MAX($BK$3:$BK$23), V53)), $BL$3:$BL$23, "Error", 0)</f>
        <v>10</v>
      </c>
      <c r="W82" s="30" cm="1">
        <f t="array" ref="W82">_xlfn.XLOOKUP(MIN(ABS($BK$3:$BK$23 - MEDIAN(MIN($BK$3:$BK$23), MAX($BK$3:$BK$23), W53))), ABS($BK$3:$BK$23 - MEDIAN(MIN($BK$3:$BK$23), MAX($BK$3:$BK$23), W53)), $BL$3:$BL$23, "Error", 0)</f>
        <v>10</v>
      </c>
      <c r="X82" s="30" cm="1">
        <f t="array" ref="X82">_xlfn.XLOOKUP(MIN(ABS($BK$3:$BK$23 - MEDIAN(MIN($BK$3:$BK$23), MAX($BK$3:$BK$23), X53))), ABS($BK$3:$BK$23 - MEDIAN(MIN($BK$3:$BK$23), MAX($BK$3:$BK$23), X53)), $BL$3:$BL$23, "Error", 0)</f>
        <v>10</v>
      </c>
      <c r="Y82" s="30" cm="1">
        <f t="array" ref="Y82">_xlfn.XLOOKUP(MIN(ABS($BK$3:$BK$23 - MEDIAN(MIN($BK$3:$BK$23), MAX($BK$3:$BK$23), Y53))), ABS($BK$3:$BK$23 - MEDIAN(MIN($BK$3:$BK$23), MAX($BK$3:$BK$23), Y53)), $BL$3:$BL$23, "Error", 0)</f>
        <v>10</v>
      </c>
      <c r="Z82" s="30" cm="1">
        <f t="array" ref="Z82">_xlfn.XLOOKUP(MIN(ABS($BK$3:$BK$23 - MEDIAN(MIN($BK$3:$BK$23), MAX($BK$3:$BK$23), Z53))), ABS($BK$3:$BK$23 - MEDIAN(MIN($BK$3:$BK$23), MAX($BK$3:$BK$23), Z53)), $BL$3:$BL$23, "Error", 0)</f>
        <v>10</v>
      </c>
      <c r="AA82" s="30" cm="1">
        <f t="array" ref="AA82">_xlfn.XLOOKUP(MIN(ABS($BK$3:$BK$23 - MEDIAN(MIN($BK$3:$BK$23), MAX($BK$3:$BK$23), AA53))), ABS($BK$3:$BK$23 - MEDIAN(MIN($BK$3:$BK$23), MAX($BK$3:$BK$23), AA53)), $BL$3:$BL$23, "Error", 0)</f>
        <v>10</v>
      </c>
      <c r="AB82" s="30" cm="1">
        <f t="array" ref="AB82">_xlfn.XLOOKUP(MIN(ABS($BK$3:$BK$23 - MEDIAN(MIN($BK$3:$BK$23), MAX($BK$3:$BK$23), AB53))), ABS($BK$3:$BK$23 - MEDIAN(MIN($BK$3:$BK$23), MAX($BK$3:$BK$23), AB53)), $BL$3:$BL$23, "Error", 0)</f>
        <v>10</v>
      </c>
      <c r="AC82" s="30" cm="1">
        <f t="array" ref="AC82">_xlfn.XLOOKUP(MIN(ABS($BK$3:$BK$23 - MEDIAN(MIN($BK$3:$BK$23), MAX($BK$3:$BK$23), AC53))), ABS($BK$3:$BK$23 - MEDIAN(MIN($BK$3:$BK$23), MAX($BK$3:$BK$23), AC53)), $BL$3:$BL$23, "Error", 0)</f>
        <v>10</v>
      </c>
      <c r="AD82" s="30" cm="1">
        <f t="array" ref="AD82">_xlfn.XLOOKUP(MIN(ABS($BK$3:$BK$23 - MEDIAN(MIN($BK$3:$BK$23), MAX($BK$3:$BK$23), AD53))), ABS($BK$3:$BK$23 - MEDIAN(MIN($BK$3:$BK$23), MAX($BK$3:$BK$23), AD53)), $BL$3:$BL$23, "Error", 0)</f>
        <v>-9</v>
      </c>
      <c r="AE82" s="30" cm="1">
        <f t="array" ref="AE82">_xlfn.XLOOKUP(MIN(ABS($BK$3:$BK$23 - MEDIAN(MIN($BK$3:$BK$23), MAX($BK$3:$BK$23), AE53))), ABS($BK$3:$BK$23 - MEDIAN(MIN($BK$3:$BK$23), MAX($BK$3:$BK$23), AE53)), $BL$3:$BL$23, "Error", 0)</f>
        <v>-4</v>
      </c>
      <c r="AF82" s="30" cm="1">
        <f t="array" ref="AF82">_xlfn.XLOOKUP(MIN(ABS($BK$3:$BK$23 - MEDIAN(MIN($BK$3:$BK$23), MAX($BK$3:$BK$23), AF53))), ABS($BK$3:$BK$23 - MEDIAN(MIN($BK$3:$BK$23), MAX($BK$3:$BK$23), AF53)), $BL$3:$BL$23, "Error", 0)</f>
        <v>-10</v>
      </c>
      <c r="AG82" s="30" cm="1">
        <f t="array" ref="AG82">_xlfn.XLOOKUP(MIN(ABS($BK$3:$BK$23 - MEDIAN(MIN($BK$3:$BK$23), MAX($BK$3:$BK$23), AG53))), ABS($BK$3:$BK$23 - MEDIAN(MIN($BK$3:$BK$23), MAX($BK$3:$BK$23), AG53)), $BL$3:$BL$23, "Error", 0)</f>
        <v>-10</v>
      </c>
      <c r="AH82" s="30" cm="1">
        <f t="array" ref="AH82">_xlfn.XLOOKUP(MIN(ABS($BK$3:$BK$23 - MEDIAN(MIN($BK$3:$BK$23), MAX($BK$3:$BK$23), AH53))), ABS($BK$3:$BK$23 - MEDIAN(MIN($BK$3:$BK$23), MAX($BK$3:$BK$23), AH53)), $BL$3:$BL$23, "Error", 0)</f>
        <v>-10</v>
      </c>
      <c r="AI82" s="30" cm="1">
        <f t="array" ref="AI82">_xlfn.XLOOKUP(MIN(ABS($BK$3:$BK$23 - MEDIAN(MIN($BK$3:$BK$23), MAX($BK$3:$BK$23), AI53))), ABS($BK$3:$BK$23 - MEDIAN(MIN($BK$3:$BK$23), MAX($BK$3:$BK$23), AI53)), $BL$3:$BL$23, "Error", 0)</f>
        <v>-10</v>
      </c>
      <c r="AJ82" s="30" cm="1">
        <f t="array" ref="AJ82">_xlfn.XLOOKUP(MIN(ABS($BK$3:$BK$23 - MEDIAN(MIN($BK$3:$BK$23), MAX($BK$3:$BK$23), AJ53))), ABS($BK$3:$BK$23 - MEDIAN(MIN($BK$3:$BK$23), MAX($BK$3:$BK$23), AJ53)), $BL$3:$BL$23, "Error", 0)</f>
        <v>-10</v>
      </c>
      <c r="AK82" s="30" cm="1">
        <f t="array" ref="AK82">_xlfn.XLOOKUP(MIN(ABS($BK$3:$BK$23 - MEDIAN(MIN($BK$3:$BK$23), MAX($BK$3:$BK$23), AK53))), ABS($BK$3:$BK$23 - MEDIAN(MIN($BK$3:$BK$23), MAX($BK$3:$BK$23), AK53)), $BL$3:$BL$23, "Error", 0)</f>
        <v>-10</v>
      </c>
      <c r="AL82" s="30" cm="1">
        <f t="array" ref="AL82">_xlfn.XLOOKUP(MIN(ABS($BK$3:$BK$23 - MEDIAN(MIN($BK$3:$BK$23), MAX($BK$3:$BK$23), AL53))), ABS($BK$3:$BK$23 - MEDIAN(MIN($BK$3:$BK$23), MAX($BK$3:$BK$23), AL53)), $BL$3:$BL$23, "Error", 0)</f>
        <v>-10</v>
      </c>
      <c r="AM82" s="30" cm="1">
        <f t="array" ref="AM82">_xlfn.XLOOKUP(MIN(ABS($BK$3:$BK$23 - MEDIAN(MIN($BK$3:$BK$23), MAX($BK$3:$BK$23), AM53))), ABS($BK$3:$BK$23 - MEDIAN(MIN($BK$3:$BK$23), MAX($BK$3:$BK$23), AM53)), $BL$3:$BL$23, "Error", 0)</f>
        <v>-10</v>
      </c>
      <c r="AN82" s="30" cm="1">
        <f t="array" ref="AN82">_xlfn.XLOOKUP(MIN(ABS($BK$3:$BK$23 - MEDIAN(MIN($BK$3:$BK$23), MAX($BK$3:$BK$23), AN53))), ABS($BK$3:$BK$23 - MEDIAN(MIN($BK$3:$BK$23), MAX($BK$3:$BK$23), AN53)), $BL$3:$BL$23, "Error", 0)</f>
        <v>-10</v>
      </c>
      <c r="AO82" s="30" cm="1">
        <f t="array" ref="AO82">_xlfn.XLOOKUP(MIN(ABS($BK$3:$BK$23 - MEDIAN(MIN($BK$3:$BK$23), MAX($BK$3:$BK$23), AO53))), ABS($BK$3:$BK$23 - MEDIAN(MIN($BK$3:$BK$23), MAX($BK$3:$BK$23), AO53)), $BL$3:$BL$23, "Error", 0)</f>
        <v>-10</v>
      </c>
      <c r="AP82" s="30" cm="1">
        <f t="array" ref="AP82">_xlfn.XLOOKUP(MIN(ABS($BK$3:$BK$23 - MEDIAN(MIN($BK$3:$BK$23), MAX($BK$3:$BK$23), AP53))), ABS($BK$3:$BK$23 - MEDIAN(MIN($BK$3:$BK$23), MAX($BK$3:$BK$23), AP53)), $BL$3:$BL$23, "Error", 0)</f>
        <v>-9</v>
      </c>
      <c r="AQ82" s="30" cm="1">
        <f t="array" ref="AQ82">_xlfn.XLOOKUP(MIN(ABS($BK$3:$BK$23 - MEDIAN(MIN($BK$3:$BK$23), MAX($BK$3:$BK$23), AQ53))), ABS($BK$3:$BK$23 - MEDIAN(MIN($BK$3:$BK$23), MAX($BK$3:$BK$23), AQ53)), $BL$3:$BL$23, "Error", 0)</f>
        <v>-10</v>
      </c>
      <c r="AR82" s="30" cm="1">
        <f t="array" ref="AR82">_xlfn.XLOOKUP(MIN(ABS($BK$3:$BK$23 - MEDIAN(MIN($BK$3:$BK$23), MAX($BK$3:$BK$23), AR53))), ABS($BK$3:$BK$23 - MEDIAN(MIN($BK$3:$BK$23), MAX($BK$3:$BK$23), AR53)), $BL$3:$BL$23, "Error", 0)</f>
        <v>-8</v>
      </c>
      <c r="AS82" s="30" cm="1">
        <f t="array" ref="AS82">_xlfn.XLOOKUP(MIN(ABS($BK$3:$BK$23 - MEDIAN(MIN($BK$3:$BK$23), MAX($BK$3:$BK$23), AS53))), ABS($BK$3:$BK$23 - MEDIAN(MIN($BK$3:$BK$23), MAX($BK$3:$BK$23), AS53)), $BL$3:$BL$23, "Error", 0)</f>
        <v>-6</v>
      </c>
      <c r="AT82" s="30" cm="1">
        <f t="array" ref="AT82">_xlfn.XLOOKUP(MIN(ABS($BK$3:$BK$23 - MEDIAN(MIN($BK$3:$BK$23), MAX($BK$3:$BK$23), AT53))), ABS($BK$3:$BK$23 - MEDIAN(MIN($BK$3:$BK$23), MAX($BK$3:$BK$23), AT53)), $BL$3:$BL$23, "Error", 0)</f>
        <v>-5</v>
      </c>
      <c r="AU82" s="30" cm="1">
        <f t="array" ref="AU82">_xlfn.XLOOKUP(MIN(ABS($BK$3:$BK$23 - MEDIAN(MIN($BK$3:$BK$23), MAX($BK$3:$BK$23), AU53))), ABS($BK$3:$BK$23 - MEDIAN(MIN($BK$3:$BK$23), MAX($BK$3:$BK$23), AU53)), $BL$3:$BL$23, "Error", 0)</f>
        <v>0</v>
      </c>
      <c r="AV82" s="30" cm="1">
        <f t="array" ref="AV82">_xlfn.XLOOKUP(MIN(ABS($BK$3:$BK$23 - MEDIAN(MIN($BK$3:$BK$23), MAX($BK$3:$BK$23), AV53))), ABS($BK$3:$BK$23 - MEDIAN(MIN($BK$3:$BK$23), MAX($BK$3:$BK$23), AV53)), $BL$3:$BL$23, "Error", 0)</f>
        <v>-3</v>
      </c>
      <c r="AW82" s="30" cm="1">
        <f t="array" ref="AW82">_xlfn.XLOOKUP(MIN(ABS($BK$3:$BK$23 - MEDIAN(MIN($BK$3:$BK$23), MAX($BK$3:$BK$23), AW53))), ABS($BK$3:$BK$23 - MEDIAN(MIN($BK$3:$BK$23), MAX($BK$3:$BK$23), AW53)), $BL$3:$BL$23, "Error", 0)</f>
        <v>-8</v>
      </c>
      <c r="AX82" s="30" cm="1">
        <f t="array" ref="AX82">_xlfn.XLOOKUP(MIN(ABS($BK$3:$BK$23 - MEDIAN(MIN($BK$3:$BK$23), MAX($BK$3:$BK$23), AX53))), ABS($BK$3:$BK$23 - MEDIAN(MIN($BK$3:$BK$23), MAX($BK$3:$BK$23), AX53)), $BL$3:$BL$23, "Error", 0)</f>
        <v>-10</v>
      </c>
      <c r="AY82" s="30" cm="1">
        <f t="array" ref="AY82">_xlfn.XLOOKUP(MIN(ABS($BK$3:$BK$23 - MEDIAN(MIN($BK$3:$BK$23), MAX($BK$3:$BK$23), AY53))), ABS($BK$3:$BK$23 - MEDIAN(MIN($BK$3:$BK$23), MAX($BK$3:$BK$23), AY53)), $BL$3:$BL$23, "Error", 0)</f>
        <v>-10</v>
      </c>
      <c r="AZ82" s="30" cm="1">
        <f t="array" ref="AZ82">_xlfn.XLOOKUP(MIN(ABS($BK$3:$BK$23 - MEDIAN(MIN($BK$3:$BK$23), MAX($BK$3:$BK$23), AZ53))), ABS($BK$3:$BK$23 - MEDIAN(MIN($BK$3:$BK$23), MAX($BK$3:$BK$23), AZ53)), $BL$3:$BL$23, "Error", 0)</f>
        <v>-10</v>
      </c>
      <c r="BA82" s="30" cm="1">
        <f t="array" ref="BA82">_xlfn.XLOOKUP(MIN(ABS($BK$3:$BK$23 - MEDIAN(MIN($BK$3:$BK$23), MAX($BK$3:$BK$23), BA53))), ABS($BK$3:$BK$23 - MEDIAN(MIN($BK$3:$BK$23), MAX($BK$3:$BK$23), BA53)), $BL$3:$BL$23, "Error", 0)</f>
        <v>-10</v>
      </c>
      <c r="BB82" s="30" cm="1">
        <f t="array" ref="BB82">_xlfn.XLOOKUP(MIN(ABS($BK$3:$BK$23 - MEDIAN(MIN($BK$3:$BK$23), MAX($BK$3:$BK$23), BB53))), ABS($BK$3:$BK$23 - MEDIAN(MIN($BK$3:$BK$23), MAX($BK$3:$BK$23), BB53)), $BL$3:$BL$23, "Error", 0)</f>
        <v>-10</v>
      </c>
      <c r="BC82" s="30" cm="1">
        <f t="array" ref="BC82">_xlfn.XLOOKUP(MIN(ABS($BK$3:$BK$23 - MEDIAN(MIN($BK$3:$BK$23), MAX($BK$3:$BK$23), BC53))), ABS($BK$3:$BK$23 - MEDIAN(MIN($BK$3:$BK$23), MAX($BK$3:$BK$23), BC53)), $BL$3:$BL$23, "Error", 0)</f>
        <v>-10</v>
      </c>
      <c r="BD82" s="30" cm="1">
        <f t="array" ref="BD82">_xlfn.XLOOKUP(MIN(ABS($BK$3:$BK$23 - MEDIAN(MIN($BK$3:$BK$23), MAX($BK$3:$BK$23), BD53))), ABS($BK$3:$BK$23 - MEDIAN(MIN($BK$3:$BK$23), MAX($BK$3:$BK$23), BD53)), $BL$3:$BL$23, "Error", 0)</f>
        <v>-10</v>
      </c>
      <c r="BE82" s="30" cm="1">
        <f t="array" ref="BE82">_xlfn.XLOOKUP(MIN(ABS($BK$3:$BK$23 - MEDIAN(MIN($BK$3:$BK$23), MAX($BK$3:$BK$23), BE53))), ABS($BK$3:$BK$23 - MEDIAN(MIN($BK$3:$BK$23), MAX($BK$3:$BK$23), BE53)), $BL$3:$BL$23, "Error", 0)</f>
        <v>-10</v>
      </c>
      <c r="BF82" s="30" cm="1">
        <f t="array" ref="BF82">_xlfn.XLOOKUP(MIN(ABS($BK$3:$BK$23 - MEDIAN(MIN($BK$3:$BK$23), MAX($BK$3:$BK$23), BF53))), ABS($BK$3:$BK$23 - MEDIAN(MIN($BK$3:$BK$23), MAX($BK$3:$BK$23), BF53)), $BL$3:$BL$23, "Error", 0)</f>
        <v>-10</v>
      </c>
      <c r="BG82" s="30" cm="1">
        <f t="array" ref="BG82">_xlfn.XLOOKUP(MIN(ABS($BK$3:$BK$23 - MEDIAN(MIN($BK$3:$BK$23), MAX($BK$3:$BK$23), BG53))), ABS($BK$3:$BK$23 - MEDIAN(MIN($BK$3:$BK$23), MAX($BK$3:$BK$23), BG53)), $BL$3:$BL$23, "Error", 0)</f>
        <v>-10</v>
      </c>
      <c r="BH82" s="30" cm="1">
        <f t="array" ref="BH82">_xlfn.XLOOKUP(MIN(ABS($BK$3:$BK$23 - MEDIAN(MIN($BK$3:$BK$23), MAX($BK$3:$BK$23), BH53))), ABS($BK$3:$BK$23 - MEDIAN(MIN($BK$3:$BK$23), MAX($BK$3:$BK$23), BH53)), $BL$3:$BL$23, "Error", 0)</f>
        <v>-10</v>
      </c>
      <c r="BI82" s="30" cm="1">
        <f t="array" ref="BI82">_xlfn.XLOOKUP(MIN(ABS($BK$3:$BK$23 - MEDIAN(MIN($BK$3:$BK$23), MAX($BK$3:$BK$23), BI53))), ABS($BK$3:$BK$23 - MEDIAN(MIN($BK$3:$BK$23), MAX($BK$3:$BK$23), BI53)), $BL$3:$BL$23, "Error", 0)</f>
        <v>-10</v>
      </c>
    </row>
    <row r="83" spans="1:61" ht="25" customHeight="1">
      <c r="A83" s="50" t="s">
        <v>10</v>
      </c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30" cm="1">
        <f t="array" ref="N83">_xlfn.XLOOKUP(MIN(ABS($BK$3:$BK$23 - MEDIAN(MIN($BK$3:$BK$23), MAX($BK$3:$BK$23), N54))), ABS($BK$3:$BK$23 - MEDIAN(MIN($BK$3:$BK$23), MAX($BK$3:$BK$23), N54)), $BL$3:$BL$23, "Error", 0)</f>
        <v>-2</v>
      </c>
      <c r="O83" s="30" cm="1">
        <f t="array" ref="O83">_xlfn.XLOOKUP(MIN(ABS($BK$3:$BK$23 - MEDIAN(MIN($BK$3:$BK$23), MAX($BK$3:$BK$23), O54))), ABS($BK$3:$BK$23 - MEDIAN(MIN($BK$3:$BK$23), MAX($BK$3:$BK$23), O54)), $BL$3:$BL$23, "Error", 0)</f>
        <v>-1</v>
      </c>
      <c r="P83" s="30" cm="1">
        <f t="array" ref="P83">_xlfn.XLOOKUP(MIN(ABS($BK$3:$BK$23 - MEDIAN(MIN($BK$3:$BK$23), MAX($BK$3:$BK$23), P54))), ABS($BK$3:$BK$23 - MEDIAN(MIN($BK$3:$BK$23), MAX($BK$3:$BK$23), P54)), $BL$3:$BL$23, "Error", 0)</f>
        <v>-1</v>
      </c>
      <c r="Q83" s="30" cm="1">
        <f t="array" ref="Q83">_xlfn.XLOOKUP(MIN(ABS($BK$3:$BK$23 - MEDIAN(MIN($BK$3:$BK$23), MAX($BK$3:$BK$23), Q54))), ABS($BK$3:$BK$23 - MEDIAN(MIN($BK$3:$BK$23), MAX($BK$3:$BK$23), Q54)), $BL$3:$BL$23, "Error", 0)</f>
        <v>-1</v>
      </c>
      <c r="R83" s="30" cm="1">
        <f t="array" ref="R83">_xlfn.XLOOKUP(MIN(ABS($BK$3:$BK$23 - MEDIAN(MIN($BK$3:$BK$23), MAX($BK$3:$BK$23), R54))), ABS($BK$3:$BK$23 - MEDIAN(MIN($BK$3:$BK$23), MAX($BK$3:$BK$23), R54)), $BL$3:$BL$23, "Error", 0)</f>
        <v>-1</v>
      </c>
      <c r="S83" s="30" cm="1">
        <f t="array" ref="S83">_xlfn.XLOOKUP(MIN(ABS($BK$3:$BK$23 - MEDIAN(MIN($BK$3:$BK$23), MAX($BK$3:$BK$23), S54))), ABS($BK$3:$BK$23 - MEDIAN(MIN($BK$3:$BK$23), MAX($BK$3:$BK$23), S54)), $BL$3:$BL$23, "Error", 0)</f>
        <v>-1</v>
      </c>
      <c r="T83" s="30" cm="1">
        <f t="array" ref="T83">_xlfn.XLOOKUP(MIN(ABS($BK$3:$BK$23 - MEDIAN(MIN($BK$3:$BK$23), MAX($BK$3:$BK$23), T54))), ABS($BK$3:$BK$23 - MEDIAN(MIN($BK$3:$BK$23), MAX($BK$3:$BK$23), T54)), $BL$3:$BL$23, "Error", 0)</f>
        <v>-1</v>
      </c>
      <c r="U83" s="30" cm="1">
        <f t="array" ref="U83">_xlfn.XLOOKUP(MIN(ABS($BK$3:$BK$23 - MEDIAN(MIN($BK$3:$BK$23), MAX($BK$3:$BK$23), U54))), ABS($BK$3:$BK$23 - MEDIAN(MIN($BK$3:$BK$23), MAX($BK$3:$BK$23), U54)), $BL$3:$BL$23, "Error", 0)</f>
        <v>0</v>
      </c>
      <c r="V83" s="30" cm="1">
        <f t="array" ref="V83">_xlfn.XLOOKUP(MIN(ABS($BK$3:$BK$23 - MEDIAN(MIN($BK$3:$BK$23), MAX($BK$3:$BK$23), V54))), ABS($BK$3:$BK$23 - MEDIAN(MIN($BK$3:$BK$23), MAX($BK$3:$BK$23), V54)), $BL$3:$BL$23, "Error", 0)</f>
        <v>0</v>
      </c>
      <c r="W83" s="30" cm="1">
        <f t="array" ref="W83">_xlfn.XLOOKUP(MIN(ABS($BK$3:$BK$23 - MEDIAN(MIN($BK$3:$BK$23), MAX($BK$3:$BK$23), W54))), ABS($BK$3:$BK$23 - MEDIAN(MIN($BK$3:$BK$23), MAX($BK$3:$BK$23), W54)), $BL$3:$BL$23, "Error", 0)</f>
        <v>1</v>
      </c>
      <c r="X83" s="30" cm="1">
        <f t="array" ref="X83">_xlfn.XLOOKUP(MIN(ABS($BK$3:$BK$23 - MEDIAN(MIN($BK$3:$BK$23), MAX($BK$3:$BK$23), X54))), ABS($BK$3:$BK$23 - MEDIAN(MIN($BK$3:$BK$23), MAX($BK$3:$BK$23), X54)), $BL$3:$BL$23, "Error", 0)</f>
        <v>1</v>
      </c>
      <c r="Y83" s="30" cm="1">
        <f t="array" ref="Y83">_xlfn.XLOOKUP(MIN(ABS($BK$3:$BK$23 - MEDIAN(MIN($BK$3:$BK$23), MAX($BK$3:$BK$23), Y54))), ABS($BK$3:$BK$23 - MEDIAN(MIN($BK$3:$BK$23), MAX($BK$3:$BK$23), Y54)), $BL$3:$BL$23, "Error", 0)</f>
        <v>-1</v>
      </c>
      <c r="Z83" s="30" cm="1">
        <f t="array" ref="Z83">_xlfn.XLOOKUP(MIN(ABS($BK$3:$BK$23 - MEDIAN(MIN($BK$3:$BK$23), MAX($BK$3:$BK$23), Z54))), ABS($BK$3:$BK$23 - MEDIAN(MIN($BK$3:$BK$23), MAX($BK$3:$BK$23), Z54)), $BL$3:$BL$23, "Error", 0)</f>
        <v>1</v>
      </c>
      <c r="AA83" s="30" cm="1">
        <f t="array" ref="AA83">_xlfn.XLOOKUP(MIN(ABS($BK$3:$BK$23 - MEDIAN(MIN($BK$3:$BK$23), MAX($BK$3:$BK$23), AA54))), ABS($BK$3:$BK$23 - MEDIAN(MIN($BK$3:$BK$23), MAX($BK$3:$BK$23), AA54)), $BL$3:$BL$23, "Error", 0)</f>
        <v>0</v>
      </c>
      <c r="AB83" s="30" cm="1">
        <f t="array" ref="AB83">_xlfn.XLOOKUP(MIN(ABS($BK$3:$BK$23 - MEDIAN(MIN($BK$3:$BK$23), MAX($BK$3:$BK$23), AB54))), ABS($BK$3:$BK$23 - MEDIAN(MIN($BK$3:$BK$23), MAX($BK$3:$BK$23), AB54)), $BL$3:$BL$23, "Error", 0)</f>
        <v>0</v>
      </c>
      <c r="AC83" s="30" cm="1">
        <f t="array" ref="AC83">_xlfn.XLOOKUP(MIN(ABS($BK$3:$BK$23 - MEDIAN(MIN($BK$3:$BK$23), MAX($BK$3:$BK$23), AC54))), ABS($BK$3:$BK$23 - MEDIAN(MIN($BK$3:$BK$23), MAX($BK$3:$BK$23), AC54)), $BL$3:$BL$23, "Error", 0)</f>
        <v>1</v>
      </c>
      <c r="AD83" s="30" cm="1">
        <f t="array" ref="AD83">_xlfn.XLOOKUP(MIN(ABS($BK$3:$BK$23 - MEDIAN(MIN($BK$3:$BK$23), MAX($BK$3:$BK$23), AD54))), ABS($BK$3:$BK$23 - MEDIAN(MIN($BK$3:$BK$23), MAX($BK$3:$BK$23), AD54)), $BL$3:$BL$23, "Error", 0)</f>
        <v>0</v>
      </c>
      <c r="AE83" s="30" cm="1">
        <f t="array" ref="AE83">_xlfn.XLOOKUP(MIN(ABS($BK$3:$BK$23 - MEDIAN(MIN($BK$3:$BK$23), MAX($BK$3:$BK$23), AE54))), ABS($BK$3:$BK$23 - MEDIAN(MIN($BK$3:$BK$23), MAX($BK$3:$BK$23), AE54)), $BL$3:$BL$23, "Error", 0)</f>
        <v>-1</v>
      </c>
      <c r="AF83" s="30" cm="1">
        <f t="array" ref="AF83">_xlfn.XLOOKUP(MIN(ABS($BK$3:$BK$23 - MEDIAN(MIN($BK$3:$BK$23), MAX($BK$3:$BK$23), AF54))), ABS($BK$3:$BK$23 - MEDIAN(MIN($BK$3:$BK$23), MAX($BK$3:$BK$23), AF54)), $BL$3:$BL$23, "Error", 0)</f>
        <v>0</v>
      </c>
      <c r="AG83" s="30" cm="1">
        <f t="array" ref="AG83">_xlfn.XLOOKUP(MIN(ABS($BK$3:$BK$23 - MEDIAN(MIN($BK$3:$BK$23), MAX($BK$3:$BK$23), AG54))), ABS($BK$3:$BK$23 - MEDIAN(MIN($BK$3:$BK$23), MAX($BK$3:$BK$23), AG54)), $BL$3:$BL$23, "Error", 0)</f>
        <v>-1</v>
      </c>
      <c r="AH83" s="30" cm="1">
        <f t="array" ref="AH83">_xlfn.XLOOKUP(MIN(ABS($BK$3:$BK$23 - MEDIAN(MIN($BK$3:$BK$23), MAX($BK$3:$BK$23), AH54))), ABS($BK$3:$BK$23 - MEDIAN(MIN($BK$3:$BK$23), MAX($BK$3:$BK$23), AH54)), $BL$3:$BL$23, "Error", 0)</f>
        <v>-1</v>
      </c>
      <c r="AI83" s="30" cm="1">
        <f t="array" ref="AI83">_xlfn.XLOOKUP(MIN(ABS($BK$3:$BK$23 - MEDIAN(MIN($BK$3:$BK$23), MAX($BK$3:$BK$23), AI54))), ABS($BK$3:$BK$23 - MEDIAN(MIN($BK$3:$BK$23), MAX($BK$3:$BK$23), AI54)), $BL$3:$BL$23, "Error", 0)</f>
        <v>-1</v>
      </c>
      <c r="AJ83" s="30" cm="1">
        <f t="array" ref="AJ83">_xlfn.XLOOKUP(MIN(ABS($BK$3:$BK$23 - MEDIAN(MIN($BK$3:$BK$23), MAX($BK$3:$BK$23), AJ54))), ABS($BK$3:$BK$23 - MEDIAN(MIN($BK$3:$BK$23), MAX($BK$3:$BK$23), AJ54)), $BL$3:$BL$23, "Error", 0)</f>
        <v>-1</v>
      </c>
      <c r="AK83" s="30" cm="1">
        <f t="array" ref="AK83">_xlfn.XLOOKUP(MIN(ABS($BK$3:$BK$23 - MEDIAN(MIN($BK$3:$BK$23), MAX($BK$3:$BK$23), AK54))), ABS($BK$3:$BK$23 - MEDIAN(MIN($BK$3:$BK$23), MAX($BK$3:$BK$23), AK54)), $BL$3:$BL$23, "Error", 0)</f>
        <v>0</v>
      </c>
      <c r="AL83" s="30" cm="1">
        <f t="array" ref="AL83">_xlfn.XLOOKUP(MIN(ABS($BK$3:$BK$23 - MEDIAN(MIN($BK$3:$BK$23), MAX($BK$3:$BK$23), AL54))), ABS($BK$3:$BK$23 - MEDIAN(MIN($BK$3:$BK$23), MAX($BK$3:$BK$23), AL54)), $BL$3:$BL$23, "Error", 0)</f>
        <v>-3</v>
      </c>
      <c r="AM83" s="30" cm="1">
        <f t="array" ref="AM83">_xlfn.XLOOKUP(MIN(ABS($BK$3:$BK$23 - MEDIAN(MIN($BK$3:$BK$23), MAX($BK$3:$BK$23), AM54))), ABS($BK$3:$BK$23 - MEDIAN(MIN($BK$3:$BK$23), MAX($BK$3:$BK$23), AM54)), $BL$3:$BL$23, "Error", 0)</f>
        <v>-3</v>
      </c>
      <c r="AN83" s="30" cm="1">
        <f t="array" ref="AN83">_xlfn.XLOOKUP(MIN(ABS($BK$3:$BK$23 - MEDIAN(MIN($BK$3:$BK$23), MAX($BK$3:$BK$23), AN54))), ABS($BK$3:$BK$23 - MEDIAN(MIN($BK$3:$BK$23), MAX($BK$3:$BK$23), AN54)), $BL$3:$BL$23, "Error", 0)</f>
        <v>-3</v>
      </c>
      <c r="AO83" s="30" cm="1">
        <f t="array" ref="AO83">_xlfn.XLOOKUP(MIN(ABS($BK$3:$BK$23 - MEDIAN(MIN($BK$3:$BK$23), MAX($BK$3:$BK$23), AO54))), ABS($BK$3:$BK$23 - MEDIAN(MIN($BK$3:$BK$23), MAX($BK$3:$BK$23), AO54)), $BL$3:$BL$23, "Error", 0)</f>
        <v>-1</v>
      </c>
      <c r="AP83" s="30" cm="1">
        <f t="array" ref="AP83">_xlfn.XLOOKUP(MIN(ABS($BK$3:$BK$23 - MEDIAN(MIN($BK$3:$BK$23), MAX($BK$3:$BK$23), AP54))), ABS($BK$3:$BK$23 - MEDIAN(MIN($BK$3:$BK$23), MAX($BK$3:$BK$23), AP54)), $BL$3:$BL$23, "Error", 0)</f>
        <v>-1</v>
      </c>
      <c r="AQ83" s="30" cm="1">
        <f t="array" ref="AQ83">_xlfn.XLOOKUP(MIN(ABS($BK$3:$BK$23 - MEDIAN(MIN($BK$3:$BK$23), MAX($BK$3:$BK$23), AQ54))), ABS($BK$3:$BK$23 - MEDIAN(MIN($BK$3:$BK$23), MAX($BK$3:$BK$23), AQ54)), $BL$3:$BL$23, "Error", 0)</f>
        <v>1</v>
      </c>
      <c r="AR83" s="30" cm="1">
        <f t="array" ref="AR83">_xlfn.XLOOKUP(MIN(ABS($BK$3:$BK$23 - MEDIAN(MIN($BK$3:$BK$23), MAX($BK$3:$BK$23), AR54))), ABS($BK$3:$BK$23 - MEDIAN(MIN($BK$3:$BK$23), MAX($BK$3:$BK$23), AR54)), $BL$3:$BL$23, "Error", 0)</f>
        <v>0</v>
      </c>
      <c r="AS83" s="30" cm="1">
        <f t="array" ref="AS83">_xlfn.XLOOKUP(MIN(ABS($BK$3:$BK$23 - MEDIAN(MIN($BK$3:$BK$23), MAX($BK$3:$BK$23), AS54))), ABS($BK$3:$BK$23 - MEDIAN(MIN($BK$3:$BK$23), MAX($BK$3:$BK$23), AS54)), $BL$3:$BL$23, "Error", 0)</f>
        <v>1</v>
      </c>
      <c r="AT83" s="30" cm="1">
        <f t="array" ref="AT83">_xlfn.XLOOKUP(MIN(ABS($BK$3:$BK$23 - MEDIAN(MIN($BK$3:$BK$23), MAX($BK$3:$BK$23), AT54))), ABS($BK$3:$BK$23 - MEDIAN(MIN($BK$3:$BK$23), MAX($BK$3:$BK$23), AT54)), $BL$3:$BL$23, "Error", 0)</f>
        <v>0</v>
      </c>
      <c r="AU83" s="30" cm="1">
        <f t="array" ref="AU83">_xlfn.XLOOKUP(MIN(ABS($BK$3:$BK$23 - MEDIAN(MIN($BK$3:$BK$23), MAX($BK$3:$BK$23), AU54))), ABS($BK$3:$BK$23 - MEDIAN(MIN($BK$3:$BK$23), MAX($BK$3:$BK$23), AU54)), $BL$3:$BL$23, "Error", 0)</f>
        <v>0</v>
      </c>
      <c r="AV83" s="30" cm="1">
        <f t="array" ref="AV83">_xlfn.XLOOKUP(MIN(ABS($BK$3:$BK$23 - MEDIAN(MIN($BK$3:$BK$23), MAX($BK$3:$BK$23), AV54))), ABS($BK$3:$BK$23 - MEDIAN(MIN($BK$3:$BK$23), MAX($BK$3:$BK$23), AV54)), $BL$3:$BL$23, "Error", 0)</f>
        <v>0</v>
      </c>
      <c r="AW83" s="30" cm="1">
        <f t="array" ref="AW83">_xlfn.XLOOKUP(MIN(ABS($BK$3:$BK$23 - MEDIAN(MIN($BK$3:$BK$23), MAX($BK$3:$BK$23), AW54))), ABS($BK$3:$BK$23 - MEDIAN(MIN($BK$3:$BK$23), MAX($BK$3:$BK$23), AW54)), $BL$3:$BL$23, "Error", 0)</f>
        <v>-1</v>
      </c>
      <c r="AX83" s="30" cm="1">
        <f t="array" ref="AX83">_xlfn.XLOOKUP(MIN(ABS($BK$3:$BK$23 - MEDIAN(MIN($BK$3:$BK$23), MAX($BK$3:$BK$23), AX54))), ABS($BK$3:$BK$23 - MEDIAN(MIN($BK$3:$BK$23), MAX($BK$3:$BK$23), AX54)), $BL$3:$BL$23, "Error", 0)</f>
        <v>2</v>
      </c>
      <c r="AY83" s="30" cm="1">
        <f t="array" ref="AY83">_xlfn.XLOOKUP(MIN(ABS($BK$3:$BK$23 - MEDIAN(MIN($BK$3:$BK$23), MAX($BK$3:$BK$23), AY54))), ABS($BK$3:$BK$23 - MEDIAN(MIN($BK$3:$BK$23), MAX($BK$3:$BK$23), AY54)), $BL$3:$BL$23, "Error", 0)</f>
        <v>1</v>
      </c>
      <c r="AZ83" s="30" cm="1">
        <f t="array" ref="AZ83">_xlfn.XLOOKUP(MIN(ABS($BK$3:$BK$23 - MEDIAN(MIN($BK$3:$BK$23), MAX($BK$3:$BK$23), AZ54))), ABS($BK$3:$BK$23 - MEDIAN(MIN($BK$3:$BK$23), MAX($BK$3:$BK$23), AZ54)), $BL$3:$BL$23, "Error", 0)</f>
        <v>0</v>
      </c>
      <c r="BA83" s="30" cm="1">
        <f t="array" ref="BA83">_xlfn.XLOOKUP(MIN(ABS($BK$3:$BK$23 - MEDIAN(MIN($BK$3:$BK$23), MAX($BK$3:$BK$23), BA54))), ABS($BK$3:$BK$23 - MEDIAN(MIN($BK$3:$BK$23), MAX($BK$3:$BK$23), BA54)), $BL$3:$BL$23, "Error", 0)</f>
        <v>-1</v>
      </c>
      <c r="BB83" s="30" cm="1">
        <f t="array" ref="BB83">_xlfn.XLOOKUP(MIN(ABS($BK$3:$BK$23 - MEDIAN(MIN($BK$3:$BK$23), MAX($BK$3:$BK$23), BB54))), ABS($BK$3:$BK$23 - MEDIAN(MIN($BK$3:$BK$23), MAX($BK$3:$BK$23), BB54)), $BL$3:$BL$23, "Error", 0)</f>
        <v>1</v>
      </c>
      <c r="BC83" s="30" cm="1">
        <f t="array" ref="BC83">_xlfn.XLOOKUP(MIN(ABS($BK$3:$BK$23 - MEDIAN(MIN($BK$3:$BK$23), MAX($BK$3:$BK$23), BC54))), ABS($BK$3:$BK$23 - MEDIAN(MIN($BK$3:$BK$23), MAX($BK$3:$BK$23), BC54)), $BL$3:$BL$23, "Error", 0)</f>
        <v>-1</v>
      </c>
      <c r="BD83" s="30" cm="1">
        <f t="array" ref="BD83">_xlfn.XLOOKUP(MIN(ABS($BK$3:$BK$23 - MEDIAN(MIN($BK$3:$BK$23), MAX($BK$3:$BK$23), BD54))), ABS($BK$3:$BK$23 - MEDIAN(MIN($BK$3:$BK$23), MAX($BK$3:$BK$23), BD54)), $BL$3:$BL$23, "Error", 0)</f>
        <v>-2</v>
      </c>
      <c r="BE83" s="30" cm="1">
        <f t="array" ref="BE83">_xlfn.XLOOKUP(MIN(ABS($BK$3:$BK$23 - MEDIAN(MIN($BK$3:$BK$23), MAX($BK$3:$BK$23), BE54))), ABS($BK$3:$BK$23 - MEDIAN(MIN($BK$3:$BK$23), MAX($BK$3:$BK$23), BE54)), $BL$3:$BL$23, "Error", 0)</f>
        <v>-2</v>
      </c>
      <c r="BF83" s="30" cm="1">
        <f t="array" ref="BF83">_xlfn.XLOOKUP(MIN(ABS($BK$3:$BK$23 - MEDIAN(MIN($BK$3:$BK$23), MAX($BK$3:$BK$23), BF54))), ABS($BK$3:$BK$23 - MEDIAN(MIN($BK$3:$BK$23), MAX($BK$3:$BK$23), BF54)), $BL$3:$BL$23, "Error", 0)</f>
        <v>-2</v>
      </c>
      <c r="BG83" s="30" cm="1">
        <f t="array" ref="BG83">_xlfn.XLOOKUP(MIN(ABS($BK$3:$BK$23 - MEDIAN(MIN($BK$3:$BK$23), MAX($BK$3:$BK$23), BG54))), ABS($BK$3:$BK$23 - MEDIAN(MIN($BK$3:$BK$23), MAX($BK$3:$BK$23), BG54)), $BL$3:$BL$23, "Error", 0)</f>
        <v>1</v>
      </c>
      <c r="BH83" s="30" cm="1">
        <f t="array" ref="BH83">_xlfn.XLOOKUP(MIN(ABS($BK$3:$BK$23 - MEDIAN(MIN($BK$3:$BK$23), MAX($BK$3:$BK$23), BH54))), ABS($BK$3:$BK$23 - MEDIAN(MIN($BK$3:$BK$23), MAX($BK$3:$BK$23), BH54)), $BL$3:$BL$23, "Error", 0)</f>
        <v>2</v>
      </c>
      <c r="BI83" s="30" cm="1">
        <f t="array" ref="BI83">_xlfn.XLOOKUP(MIN(ABS($BK$3:$BK$23 - MEDIAN(MIN($BK$3:$BK$23), MAX($BK$3:$BK$23), BI54))), ABS($BK$3:$BK$23 - MEDIAN(MIN($BK$3:$BK$23), MAX($BK$3:$BK$23), BI54)), $BL$3:$BL$23, "Error", 0)</f>
        <v>3</v>
      </c>
    </row>
    <row r="84" spans="1:61" ht="25" customHeight="1">
      <c r="A84" s="50" t="s">
        <v>58</v>
      </c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30" cm="1">
        <f t="array" ref="N84">_xlfn.XLOOKUP(MIN(ABS($BK$3:$BK$23 - MEDIAN(MIN($BK$3:$BK$23), MAX($BK$3:$BK$23), N55))), ABS($BK$3:$BK$23 - MEDIAN(MIN($BK$3:$BK$23), MAX($BK$3:$BK$23), N55)), $BL$3:$BL$23, "Error", 0)</f>
        <v>-10</v>
      </c>
      <c r="O84" s="30" cm="1">
        <f t="array" ref="O84">_xlfn.XLOOKUP(MIN(ABS($BK$3:$BK$23 - MEDIAN(MIN($BK$3:$BK$23), MAX($BK$3:$BK$23), O55))), ABS($BK$3:$BK$23 - MEDIAN(MIN($BK$3:$BK$23), MAX($BK$3:$BK$23), O55)), $BL$3:$BL$23, "Error", 0)</f>
        <v>-10</v>
      </c>
      <c r="P84" s="30" cm="1">
        <f t="array" ref="P84">_xlfn.XLOOKUP(MIN(ABS($BK$3:$BK$23 - MEDIAN(MIN($BK$3:$BK$23), MAX($BK$3:$BK$23), P55))), ABS($BK$3:$BK$23 - MEDIAN(MIN($BK$3:$BK$23), MAX($BK$3:$BK$23), P55)), $BL$3:$BL$23, "Error", 0)</f>
        <v>-10</v>
      </c>
      <c r="Q84" s="30" cm="1">
        <f t="array" ref="Q84">_xlfn.XLOOKUP(MIN(ABS($BK$3:$BK$23 - MEDIAN(MIN($BK$3:$BK$23), MAX($BK$3:$BK$23), Q55))), ABS($BK$3:$BK$23 - MEDIAN(MIN($BK$3:$BK$23), MAX($BK$3:$BK$23), Q55)), $BL$3:$BL$23, "Error", 0)</f>
        <v>-10</v>
      </c>
      <c r="R84" s="30" cm="1">
        <f t="array" ref="R84">_xlfn.XLOOKUP(MIN(ABS($BK$3:$BK$23 - MEDIAN(MIN($BK$3:$BK$23), MAX($BK$3:$BK$23), R55))), ABS($BK$3:$BK$23 - MEDIAN(MIN($BK$3:$BK$23), MAX($BK$3:$BK$23), R55)), $BL$3:$BL$23, "Error", 0)</f>
        <v>-10</v>
      </c>
      <c r="S84" s="30" cm="1">
        <f t="array" ref="S84">_xlfn.XLOOKUP(MIN(ABS($BK$3:$BK$23 - MEDIAN(MIN($BK$3:$BK$23), MAX($BK$3:$BK$23), S55))), ABS($BK$3:$BK$23 - MEDIAN(MIN($BK$3:$BK$23), MAX($BK$3:$BK$23), S55)), $BL$3:$BL$23, "Error", 0)</f>
        <v>-10</v>
      </c>
      <c r="T84" s="30" cm="1">
        <f t="array" ref="T84">_xlfn.XLOOKUP(MIN(ABS($BK$3:$BK$23 - MEDIAN(MIN($BK$3:$BK$23), MAX($BK$3:$BK$23), T55))), ABS($BK$3:$BK$23 - MEDIAN(MIN($BK$3:$BK$23), MAX($BK$3:$BK$23), T55)), $BL$3:$BL$23, "Error", 0)</f>
        <v>-10</v>
      </c>
      <c r="U84" s="30" cm="1">
        <f t="array" ref="U84">_xlfn.XLOOKUP(MIN(ABS($BK$3:$BK$23 - MEDIAN(MIN($BK$3:$BK$23), MAX($BK$3:$BK$23), U55))), ABS($BK$3:$BK$23 - MEDIAN(MIN($BK$3:$BK$23), MAX($BK$3:$BK$23), U55)), $BL$3:$BL$23, "Error", 0)</f>
        <v>-10</v>
      </c>
      <c r="V84" s="30" cm="1">
        <f t="array" ref="V84">_xlfn.XLOOKUP(MIN(ABS($BK$3:$BK$23 - MEDIAN(MIN($BK$3:$BK$23), MAX($BK$3:$BK$23), V55))), ABS($BK$3:$BK$23 - MEDIAN(MIN($BK$3:$BK$23), MAX($BK$3:$BK$23), V55)), $BL$3:$BL$23, "Error", 0)</f>
        <v>-10</v>
      </c>
      <c r="W84" s="30" cm="1">
        <f t="array" ref="W84">_xlfn.XLOOKUP(MIN(ABS($BK$3:$BK$23 - MEDIAN(MIN($BK$3:$BK$23), MAX($BK$3:$BK$23), W55))), ABS($BK$3:$BK$23 - MEDIAN(MIN($BK$3:$BK$23), MAX($BK$3:$BK$23), W55)), $BL$3:$BL$23, "Error", 0)</f>
        <v>-10</v>
      </c>
      <c r="X84" s="30" cm="1">
        <f t="array" ref="X84">_xlfn.XLOOKUP(MIN(ABS($BK$3:$BK$23 - MEDIAN(MIN($BK$3:$BK$23), MAX($BK$3:$BK$23), X55))), ABS($BK$3:$BK$23 - MEDIAN(MIN($BK$3:$BK$23), MAX($BK$3:$BK$23), X55)), $BL$3:$BL$23, "Error", 0)</f>
        <v>-10</v>
      </c>
      <c r="Y84" s="30" cm="1">
        <f t="array" ref="Y84">_xlfn.XLOOKUP(MIN(ABS($BK$3:$BK$23 - MEDIAN(MIN($BK$3:$BK$23), MAX($BK$3:$BK$23), Y55))), ABS($BK$3:$BK$23 - MEDIAN(MIN($BK$3:$BK$23), MAX($BK$3:$BK$23), Y55)), $BL$3:$BL$23, "Error", 0)</f>
        <v>-10</v>
      </c>
      <c r="Z84" s="30" cm="1">
        <f t="array" ref="Z84">_xlfn.XLOOKUP(MIN(ABS($BK$3:$BK$23 - MEDIAN(MIN($BK$3:$BK$23), MAX($BK$3:$BK$23), Z55))), ABS($BK$3:$BK$23 - MEDIAN(MIN($BK$3:$BK$23), MAX($BK$3:$BK$23), Z55)), $BL$3:$BL$23, "Error", 0)</f>
        <v>-10</v>
      </c>
      <c r="AA84" s="30" cm="1">
        <f t="array" ref="AA84">_xlfn.XLOOKUP(MIN(ABS($BK$3:$BK$23 - MEDIAN(MIN($BK$3:$BK$23), MAX($BK$3:$BK$23), AA55))), ABS($BK$3:$BK$23 - MEDIAN(MIN($BK$3:$BK$23), MAX($BK$3:$BK$23), AA55)), $BL$3:$BL$23, "Error", 0)</f>
        <v>-10</v>
      </c>
      <c r="AB84" s="30" cm="1">
        <f t="array" ref="AB84">_xlfn.XLOOKUP(MIN(ABS($BK$3:$BK$23 - MEDIAN(MIN($BK$3:$BK$23), MAX($BK$3:$BK$23), AB55))), ABS($BK$3:$BK$23 - MEDIAN(MIN($BK$3:$BK$23), MAX($BK$3:$BK$23), AB55)), $BL$3:$BL$23, "Error", 0)</f>
        <v>-7</v>
      </c>
      <c r="AC84" s="30" cm="1">
        <f t="array" ref="AC84">_xlfn.XLOOKUP(MIN(ABS($BK$3:$BK$23 - MEDIAN(MIN($BK$3:$BK$23), MAX($BK$3:$BK$23), AC55))), ABS($BK$3:$BK$23 - MEDIAN(MIN($BK$3:$BK$23), MAX($BK$3:$BK$23), AC55)), $BL$3:$BL$23, "Error", 0)</f>
        <v>-10</v>
      </c>
      <c r="AD84" s="30" cm="1">
        <f t="array" ref="AD84">_xlfn.XLOOKUP(MIN(ABS($BK$3:$BK$23 - MEDIAN(MIN($BK$3:$BK$23), MAX($BK$3:$BK$23), AD55))), ABS($BK$3:$BK$23 - MEDIAN(MIN($BK$3:$BK$23), MAX($BK$3:$BK$23), AD55)), $BL$3:$BL$23, "Error", 0)</f>
        <v>-4</v>
      </c>
      <c r="AE84" s="30" cm="1">
        <f t="array" ref="AE84">_xlfn.XLOOKUP(MIN(ABS($BK$3:$BK$23 - MEDIAN(MIN($BK$3:$BK$23), MAX($BK$3:$BK$23), AE55))), ABS($BK$3:$BK$23 - MEDIAN(MIN($BK$3:$BK$23), MAX($BK$3:$BK$23), AE55)), $BL$3:$BL$23, "Error", 0)</f>
        <v>-7</v>
      </c>
      <c r="AF84" s="30" cm="1">
        <f t="array" ref="AF84">_xlfn.XLOOKUP(MIN(ABS($BK$3:$BK$23 - MEDIAN(MIN($BK$3:$BK$23), MAX($BK$3:$BK$23), AF55))), ABS($BK$3:$BK$23 - MEDIAN(MIN($BK$3:$BK$23), MAX($BK$3:$BK$23), AF55)), $BL$3:$BL$23, "Error", 0)</f>
        <v>0</v>
      </c>
      <c r="AG84" s="30" cm="1">
        <f t="array" ref="AG84">_xlfn.XLOOKUP(MIN(ABS($BK$3:$BK$23 - MEDIAN(MIN($BK$3:$BK$23), MAX($BK$3:$BK$23), AG55))), ABS($BK$3:$BK$23 - MEDIAN(MIN($BK$3:$BK$23), MAX($BK$3:$BK$23), AG55)), $BL$3:$BL$23, "Error", 0)</f>
        <v>10</v>
      </c>
      <c r="AH84" s="30" cm="1">
        <f t="array" ref="AH84">_xlfn.XLOOKUP(MIN(ABS($BK$3:$BK$23 - MEDIAN(MIN($BK$3:$BK$23), MAX($BK$3:$BK$23), AH55))), ABS($BK$3:$BK$23 - MEDIAN(MIN($BK$3:$BK$23), MAX($BK$3:$BK$23), AH55)), $BL$3:$BL$23, "Error", 0)</f>
        <v>10</v>
      </c>
      <c r="AI84" s="30" cm="1">
        <f t="array" ref="AI84">_xlfn.XLOOKUP(MIN(ABS($BK$3:$BK$23 - MEDIAN(MIN($BK$3:$BK$23), MAX($BK$3:$BK$23), AI55))), ABS($BK$3:$BK$23 - MEDIAN(MIN($BK$3:$BK$23), MAX($BK$3:$BK$23), AI55)), $BL$3:$BL$23, "Error", 0)</f>
        <v>10</v>
      </c>
      <c r="AJ84" s="30" cm="1">
        <f t="array" ref="AJ84">_xlfn.XLOOKUP(MIN(ABS($BK$3:$BK$23 - MEDIAN(MIN($BK$3:$BK$23), MAX($BK$3:$BK$23), AJ55))), ABS($BK$3:$BK$23 - MEDIAN(MIN($BK$3:$BK$23), MAX($BK$3:$BK$23), AJ55)), $BL$3:$BL$23, "Error", 0)</f>
        <v>10</v>
      </c>
      <c r="AK84" s="30" cm="1">
        <f t="array" ref="AK84">_xlfn.XLOOKUP(MIN(ABS($BK$3:$BK$23 - MEDIAN(MIN($BK$3:$BK$23), MAX($BK$3:$BK$23), AK55))), ABS($BK$3:$BK$23 - MEDIAN(MIN($BK$3:$BK$23), MAX($BK$3:$BK$23), AK55)), $BL$3:$BL$23, "Error", 0)</f>
        <v>10</v>
      </c>
      <c r="AL84" s="30" cm="1">
        <f t="array" ref="AL84">_xlfn.XLOOKUP(MIN(ABS($BK$3:$BK$23 - MEDIAN(MIN($BK$3:$BK$23), MAX($BK$3:$BK$23), AL55))), ABS($BK$3:$BK$23 - MEDIAN(MIN($BK$3:$BK$23), MAX($BK$3:$BK$23), AL55)), $BL$3:$BL$23, "Error", 0)</f>
        <v>10</v>
      </c>
      <c r="AM84" s="30" cm="1">
        <f t="array" ref="AM84">_xlfn.XLOOKUP(MIN(ABS($BK$3:$BK$23 - MEDIAN(MIN($BK$3:$BK$23), MAX($BK$3:$BK$23), AM55))), ABS($BK$3:$BK$23 - MEDIAN(MIN($BK$3:$BK$23), MAX($BK$3:$BK$23), AM55)), $BL$3:$BL$23, "Error", 0)</f>
        <v>10</v>
      </c>
      <c r="AN84" s="30" cm="1">
        <f t="array" ref="AN84">_xlfn.XLOOKUP(MIN(ABS($BK$3:$BK$23 - MEDIAN(MIN($BK$3:$BK$23), MAX($BK$3:$BK$23), AN55))), ABS($BK$3:$BK$23 - MEDIAN(MIN($BK$3:$BK$23), MAX($BK$3:$BK$23), AN55)), $BL$3:$BL$23, "Error", 0)</f>
        <v>9</v>
      </c>
      <c r="AO84" s="30" cm="1">
        <f t="array" ref="AO84">_xlfn.XLOOKUP(MIN(ABS($BK$3:$BK$23 - MEDIAN(MIN($BK$3:$BK$23), MAX($BK$3:$BK$23), AO55))), ABS($BK$3:$BK$23 - MEDIAN(MIN($BK$3:$BK$23), MAX($BK$3:$BK$23), AO55)), $BL$3:$BL$23, "Error", 0)</f>
        <v>10</v>
      </c>
      <c r="AP84" s="30" cm="1">
        <f t="array" ref="AP84">_xlfn.XLOOKUP(MIN(ABS($BK$3:$BK$23 - MEDIAN(MIN($BK$3:$BK$23), MAX($BK$3:$BK$23), AP55))), ABS($BK$3:$BK$23 - MEDIAN(MIN($BK$3:$BK$23), MAX($BK$3:$BK$23), AP55)), $BL$3:$BL$23, "Error", 0)</f>
        <v>10</v>
      </c>
      <c r="AQ84" s="30" cm="1">
        <f t="array" ref="AQ84">_xlfn.XLOOKUP(MIN(ABS($BK$3:$BK$23 - MEDIAN(MIN($BK$3:$BK$23), MAX($BK$3:$BK$23), AQ55))), ABS($BK$3:$BK$23 - MEDIAN(MIN($BK$3:$BK$23), MAX($BK$3:$BK$23), AQ55)), $BL$3:$BL$23, "Error", 0)</f>
        <v>10</v>
      </c>
      <c r="AR84" s="30" cm="1">
        <f t="array" ref="AR84">_xlfn.XLOOKUP(MIN(ABS($BK$3:$BK$23 - MEDIAN(MIN($BK$3:$BK$23), MAX($BK$3:$BK$23), AR55))), ABS($BK$3:$BK$23 - MEDIAN(MIN($BK$3:$BK$23), MAX($BK$3:$BK$23), AR55)), $BL$3:$BL$23, "Error", 0)</f>
        <v>10</v>
      </c>
      <c r="AS84" s="30" cm="1">
        <f t="array" ref="AS84">_xlfn.XLOOKUP(MIN(ABS($BK$3:$BK$23 - MEDIAN(MIN($BK$3:$BK$23), MAX($BK$3:$BK$23), AS55))), ABS($BK$3:$BK$23 - MEDIAN(MIN($BK$3:$BK$23), MAX($BK$3:$BK$23), AS55)), $BL$3:$BL$23, "Error", 0)</f>
        <v>10</v>
      </c>
      <c r="AT84" s="30" cm="1">
        <f t="array" ref="AT84">_xlfn.XLOOKUP(MIN(ABS($BK$3:$BK$23 - MEDIAN(MIN($BK$3:$BK$23), MAX($BK$3:$BK$23), AT55))), ABS($BK$3:$BK$23 - MEDIAN(MIN($BK$3:$BK$23), MAX($BK$3:$BK$23), AT55)), $BL$3:$BL$23, "Error", 0)</f>
        <v>10</v>
      </c>
      <c r="AU84" s="30" cm="1">
        <f t="array" ref="AU84">_xlfn.XLOOKUP(MIN(ABS($BK$3:$BK$23 - MEDIAN(MIN($BK$3:$BK$23), MAX($BK$3:$BK$23), AU55))), ABS($BK$3:$BK$23 - MEDIAN(MIN($BK$3:$BK$23), MAX($BK$3:$BK$23), AU55)), $BL$3:$BL$23, "Error", 0)</f>
        <v>10</v>
      </c>
      <c r="AV84" s="30" cm="1">
        <f t="array" ref="AV84">_xlfn.XLOOKUP(MIN(ABS($BK$3:$BK$23 - MEDIAN(MIN($BK$3:$BK$23), MAX($BK$3:$BK$23), AV55))), ABS($BK$3:$BK$23 - MEDIAN(MIN($BK$3:$BK$23), MAX($BK$3:$BK$23), AV55)), $BL$3:$BL$23, "Error", 0)</f>
        <v>10</v>
      </c>
      <c r="AW84" s="30" cm="1">
        <f t="array" ref="AW84">_xlfn.XLOOKUP(MIN(ABS($BK$3:$BK$23 - MEDIAN(MIN($BK$3:$BK$23), MAX($BK$3:$BK$23), AW55))), ABS($BK$3:$BK$23 - MEDIAN(MIN($BK$3:$BK$23), MAX($BK$3:$BK$23), AW55)), $BL$3:$BL$23, "Error", 0)</f>
        <v>10</v>
      </c>
      <c r="AX84" s="30" cm="1">
        <f t="array" ref="AX84">_xlfn.XLOOKUP(MIN(ABS($BK$3:$BK$23 - MEDIAN(MIN($BK$3:$BK$23), MAX($BK$3:$BK$23), AX55))), ABS($BK$3:$BK$23 - MEDIAN(MIN($BK$3:$BK$23), MAX($BK$3:$BK$23), AX55)), $BL$3:$BL$23, "Error", 0)</f>
        <v>10</v>
      </c>
      <c r="AY84" s="30" cm="1">
        <f t="array" ref="AY84">_xlfn.XLOOKUP(MIN(ABS($BK$3:$BK$23 - MEDIAN(MIN($BK$3:$BK$23), MAX($BK$3:$BK$23), AY55))), ABS($BK$3:$BK$23 - MEDIAN(MIN($BK$3:$BK$23), MAX($BK$3:$BK$23), AY55)), $BL$3:$BL$23, "Error", 0)</f>
        <v>10</v>
      </c>
      <c r="AZ84" s="30" cm="1">
        <f t="array" ref="AZ84">_xlfn.XLOOKUP(MIN(ABS($BK$3:$BK$23 - MEDIAN(MIN($BK$3:$BK$23), MAX($BK$3:$BK$23), AZ55))), ABS($BK$3:$BK$23 - MEDIAN(MIN($BK$3:$BK$23), MAX($BK$3:$BK$23), AZ55)), $BL$3:$BL$23, "Error", 0)</f>
        <v>10</v>
      </c>
      <c r="BA84" s="30" cm="1">
        <f t="array" ref="BA84">_xlfn.XLOOKUP(MIN(ABS($BK$3:$BK$23 - MEDIAN(MIN($BK$3:$BK$23), MAX($BK$3:$BK$23), BA55))), ABS($BK$3:$BK$23 - MEDIAN(MIN($BK$3:$BK$23), MAX($BK$3:$BK$23), BA55)), $BL$3:$BL$23, "Error", 0)</f>
        <v>10</v>
      </c>
      <c r="BB84" s="30" cm="1">
        <f t="array" ref="BB84">_xlfn.XLOOKUP(MIN(ABS($BK$3:$BK$23 - MEDIAN(MIN($BK$3:$BK$23), MAX($BK$3:$BK$23), BB55))), ABS($BK$3:$BK$23 - MEDIAN(MIN($BK$3:$BK$23), MAX($BK$3:$BK$23), BB55)), $BL$3:$BL$23, "Error", 0)</f>
        <v>10</v>
      </c>
      <c r="BC84" s="30" cm="1">
        <f t="array" ref="BC84">_xlfn.XLOOKUP(MIN(ABS($BK$3:$BK$23 - MEDIAN(MIN($BK$3:$BK$23), MAX($BK$3:$BK$23), BC55))), ABS($BK$3:$BK$23 - MEDIAN(MIN($BK$3:$BK$23), MAX($BK$3:$BK$23), BC55)), $BL$3:$BL$23, "Error", 0)</f>
        <v>10</v>
      </c>
      <c r="BD84" s="30" cm="1">
        <f t="array" ref="BD84">_xlfn.XLOOKUP(MIN(ABS($BK$3:$BK$23 - MEDIAN(MIN($BK$3:$BK$23), MAX($BK$3:$BK$23), BD55))), ABS($BK$3:$BK$23 - MEDIAN(MIN($BK$3:$BK$23), MAX($BK$3:$BK$23), BD55)), $BL$3:$BL$23, "Error", 0)</f>
        <v>10</v>
      </c>
      <c r="BE84" s="30" cm="1">
        <f t="array" ref="BE84">_xlfn.XLOOKUP(MIN(ABS($BK$3:$BK$23 - MEDIAN(MIN($BK$3:$BK$23), MAX($BK$3:$BK$23), BE55))), ABS($BK$3:$BK$23 - MEDIAN(MIN($BK$3:$BK$23), MAX($BK$3:$BK$23), BE55)), $BL$3:$BL$23, "Error", 0)</f>
        <v>10</v>
      </c>
      <c r="BF84" s="30" cm="1">
        <f t="array" ref="BF84">_xlfn.XLOOKUP(MIN(ABS($BK$3:$BK$23 - MEDIAN(MIN($BK$3:$BK$23), MAX($BK$3:$BK$23), BF55))), ABS($BK$3:$BK$23 - MEDIAN(MIN($BK$3:$BK$23), MAX($BK$3:$BK$23), BF55)), $BL$3:$BL$23, "Error", 0)</f>
        <v>10</v>
      </c>
      <c r="BG84" s="30" cm="1">
        <f t="array" ref="BG84">_xlfn.XLOOKUP(MIN(ABS($BK$3:$BK$23 - MEDIAN(MIN($BK$3:$BK$23), MAX($BK$3:$BK$23), BG55))), ABS($BK$3:$BK$23 - MEDIAN(MIN($BK$3:$BK$23), MAX($BK$3:$BK$23), BG55)), $BL$3:$BL$23, "Error", 0)</f>
        <v>10</v>
      </c>
      <c r="BH84" s="30" cm="1">
        <f t="array" ref="BH84">_xlfn.XLOOKUP(MIN(ABS($BK$3:$BK$23 - MEDIAN(MIN($BK$3:$BK$23), MAX($BK$3:$BK$23), BH55))), ABS($BK$3:$BK$23 - MEDIAN(MIN($BK$3:$BK$23), MAX($BK$3:$BK$23), BH55)), $BL$3:$BL$23, "Error", 0)</f>
        <v>10</v>
      </c>
      <c r="BI84" s="30" cm="1">
        <f t="array" ref="BI84">_xlfn.XLOOKUP(MIN(ABS($BK$3:$BK$23 - MEDIAN(MIN($BK$3:$BK$23), MAX($BK$3:$BK$23), BI55))), ABS($BK$3:$BK$23 - MEDIAN(MIN($BK$3:$BK$23), MAX($BK$3:$BK$23), BI55)), $BL$3:$BL$23, "Error", 0)</f>
        <v>10</v>
      </c>
    </row>
    <row r="85" spans="1:61" ht="25" customHeight="1">
      <c r="A85" s="50" t="s">
        <v>18</v>
      </c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30" cm="1">
        <f t="array" ref="N85">_xlfn.XLOOKUP(MIN(ABS($BK$3:$BK$23 - MEDIAN(MIN($BK$3:$BK$23), MAX($BK$3:$BK$23), N56))), ABS($BK$3:$BK$23 - MEDIAN(MIN($BK$3:$BK$23), MAX($BK$3:$BK$23), N56)), $BL$3:$BL$23, "Error", 0)</f>
        <v>-10</v>
      </c>
      <c r="O85" s="30" cm="1">
        <f t="array" ref="O85">_xlfn.XLOOKUP(MIN(ABS($BK$3:$BK$23 - MEDIAN(MIN($BK$3:$BK$23), MAX($BK$3:$BK$23), O56))), ABS($BK$3:$BK$23 - MEDIAN(MIN($BK$3:$BK$23), MAX($BK$3:$BK$23), O56)), $BL$3:$BL$23, "Error", 0)</f>
        <v>-10</v>
      </c>
      <c r="P85" s="30" cm="1">
        <f t="array" ref="P85">_xlfn.XLOOKUP(MIN(ABS($BK$3:$BK$23 - MEDIAN(MIN($BK$3:$BK$23), MAX($BK$3:$BK$23), P56))), ABS($BK$3:$BK$23 - MEDIAN(MIN($BK$3:$BK$23), MAX($BK$3:$BK$23), P56)), $BL$3:$BL$23, "Error", 0)</f>
        <v>-10</v>
      </c>
      <c r="Q85" s="30" cm="1">
        <f t="array" ref="Q85">_xlfn.XLOOKUP(MIN(ABS($BK$3:$BK$23 - MEDIAN(MIN($BK$3:$BK$23), MAX($BK$3:$BK$23), Q56))), ABS($BK$3:$BK$23 - MEDIAN(MIN($BK$3:$BK$23), MAX($BK$3:$BK$23), Q56)), $BL$3:$BL$23, "Error", 0)</f>
        <v>-10</v>
      </c>
      <c r="R85" s="30" cm="1">
        <f t="array" ref="R85">_xlfn.XLOOKUP(MIN(ABS($BK$3:$BK$23 - MEDIAN(MIN($BK$3:$BK$23), MAX($BK$3:$BK$23), R56))), ABS($BK$3:$BK$23 - MEDIAN(MIN($BK$3:$BK$23), MAX($BK$3:$BK$23), R56)), $BL$3:$BL$23, "Error", 0)</f>
        <v>-10</v>
      </c>
      <c r="S85" s="30" cm="1">
        <f t="array" ref="S85">_xlfn.XLOOKUP(MIN(ABS($BK$3:$BK$23 - MEDIAN(MIN($BK$3:$BK$23), MAX($BK$3:$BK$23), S56))), ABS($BK$3:$BK$23 - MEDIAN(MIN($BK$3:$BK$23), MAX($BK$3:$BK$23), S56)), $BL$3:$BL$23, "Error", 0)</f>
        <v>-10</v>
      </c>
      <c r="T85" s="30" cm="1">
        <f t="array" ref="T85">_xlfn.XLOOKUP(MIN(ABS($BK$3:$BK$23 - MEDIAN(MIN($BK$3:$BK$23), MAX($BK$3:$BK$23), T56))), ABS($BK$3:$BK$23 - MEDIAN(MIN($BK$3:$BK$23), MAX($BK$3:$BK$23), T56)), $BL$3:$BL$23, "Error", 0)</f>
        <v>-10</v>
      </c>
      <c r="U85" s="30" cm="1">
        <f t="array" ref="U85">_xlfn.XLOOKUP(MIN(ABS($BK$3:$BK$23 - MEDIAN(MIN($BK$3:$BK$23), MAX($BK$3:$BK$23), U56))), ABS($BK$3:$BK$23 - MEDIAN(MIN($BK$3:$BK$23), MAX($BK$3:$BK$23), U56)), $BL$3:$BL$23, "Error", 0)</f>
        <v>-10</v>
      </c>
      <c r="V85" s="30" cm="1">
        <f t="array" ref="V85">_xlfn.XLOOKUP(MIN(ABS($BK$3:$BK$23 - MEDIAN(MIN($BK$3:$BK$23), MAX($BK$3:$BK$23), V56))), ABS($BK$3:$BK$23 - MEDIAN(MIN($BK$3:$BK$23), MAX($BK$3:$BK$23), V56)), $BL$3:$BL$23, "Error", 0)</f>
        <v>-2</v>
      </c>
      <c r="W85" s="30" cm="1">
        <f t="array" ref="W85">_xlfn.XLOOKUP(MIN(ABS($BK$3:$BK$23 - MEDIAN(MIN($BK$3:$BK$23), MAX($BK$3:$BK$23), W56))), ABS($BK$3:$BK$23 - MEDIAN(MIN($BK$3:$BK$23), MAX($BK$3:$BK$23), W56)), $BL$3:$BL$23, "Error", 0)</f>
        <v>10</v>
      </c>
      <c r="X85" s="30" cm="1">
        <f t="array" ref="X85">_xlfn.XLOOKUP(MIN(ABS($BK$3:$BK$23 - MEDIAN(MIN($BK$3:$BK$23), MAX($BK$3:$BK$23), X56))), ABS($BK$3:$BK$23 - MEDIAN(MIN($BK$3:$BK$23), MAX($BK$3:$BK$23), X56)), $BL$3:$BL$23, "Error", 0)</f>
        <v>10</v>
      </c>
      <c r="Y85" s="30" cm="1">
        <f t="array" ref="Y85">_xlfn.XLOOKUP(MIN(ABS($BK$3:$BK$23 - MEDIAN(MIN($BK$3:$BK$23), MAX($BK$3:$BK$23), Y56))), ABS($BK$3:$BK$23 - MEDIAN(MIN($BK$3:$BK$23), MAX($BK$3:$BK$23), Y56)), $BL$3:$BL$23, "Error", 0)</f>
        <v>10</v>
      </c>
      <c r="Z85" s="30" cm="1">
        <f t="array" ref="Z85">_xlfn.XLOOKUP(MIN(ABS($BK$3:$BK$23 - MEDIAN(MIN($BK$3:$BK$23), MAX($BK$3:$BK$23), Z56))), ABS($BK$3:$BK$23 - MEDIAN(MIN($BK$3:$BK$23), MAX($BK$3:$BK$23), Z56)), $BL$3:$BL$23, "Error", 0)</f>
        <v>10</v>
      </c>
      <c r="AA85" s="30" cm="1">
        <f t="array" ref="AA85">_xlfn.XLOOKUP(MIN(ABS($BK$3:$BK$23 - MEDIAN(MIN($BK$3:$BK$23), MAX($BK$3:$BK$23), AA56))), ABS($BK$3:$BK$23 - MEDIAN(MIN($BK$3:$BK$23), MAX($BK$3:$BK$23), AA56)), $BL$3:$BL$23, "Error", 0)</f>
        <v>10</v>
      </c>
      <c r="AB85" s="30" cm="1">
        <f t="array" ref="AB85">_xlfn.XLOOKUP(MIN(ABS($BK$3:$BK$23 - MEDIAN(MIN($BK$3:$BK$23), MAX($BK$3:$BK$23), AB56))), ABS($BK$3:$BK$23 - MEDIAN(MIN($BK$3:$BK$23), MAX($BK$3:$BK$23), AB56)), $BL$3:$BL$23, "Error", 0)</f>
        <v>10</v>
      </c>
      <c r="AC85" s="30" cm="1">
        <f t="array" ref="AC85">_xlfn.XLOOKUP(MIN(ABS($BK$3:$BK$23 - MEDIAN(MIN($BK$3:$BK$23), MAX($BK$3:$BK$23), AC56))), ABS($BK$3:$BK$23 - MEDIAN(MIN($BK$3:$BK$23), MAX($BK$3:$BK$23), AC56)), $BL$3:$BL$23, "Error", 0)</f>
        <v>5</v>
      </c>
      <c r="AD85" s="30" cm="1">
        <f t="array" ref="AD85">_xlfn.XLOOKUP(MIN(ABS($BK$3:$BK$23 - MEDIAN(MIN($BK$3:$BK$23), MAX($BK$3:$BK$23), AD56))), ABS($BK$3:$BK$23 - MEDIAN(MIN($BK$3:$BK$23), MAX($BK$3:$BK$23), AD56)), $BL$3:$BL$23, "Error", 0)</f>
        <v>-10</v>
      </c>
      <c r="AE85" s="30" cm="1">
        <f t="array" ref="AE85">_xlfn.XLOOKUP(MIN(ABS($BK$3:$BK$23 - MEDIAN(MIN($BK$3:$BK$23), MAX($BK$3:$BK$23), AE56))), ABS($BK$3:$BK$23 - MEDIAN(MIN($BK$3:$BK$23), MAX($BK$3:$BK$23), AE56)), $BL$3:$BL$23, "Error", 0)</f>
        <v>-10</v>
      </c>
      <c r="AF85" s="30" cm="1">
        <f t="array" ref="AF85">_xlfn.XLOOKUP(MIN(ABS($BK$3:$BK$23 - MEDIAN(MIN($BK$3:$BK$23), MAX($BK$3:$BK$23), AF56))), ABS($BK$3:$BK$23 - MEDIAN(MIN($BK$3:$BK$23), MAX($BK$3:$BK$23), AF56)), $BL$3:$BL$23, "Error", 0)</f>
        <v>-10</v>
      </c>
      <c r="AG85" s="30" cm="1">
        <f t="array" ref="AG85">_xlfn.XLOOKUP(MIN(ABS($BK$3:$BK$23 - MEDIAN(MIN($BK$3:$BK$23), MAX($BK$3:$BK$23), AG56))), ABS($BK$3:$BK$23 - MEDIAN(MIN($BK$3:$BK$23), MAX($BK$3:$BK$23), AG56)), $BL$3:$BL$23, "Error", 0)</f>
        <v>-10</v>
      </c>
      <c r="AH85" s="30" cm="1">
        <f t="array" ref="AH85">_xlfn.XLOOKUP(MIN(ABS($BK$3:$BK$23 - MEDIAN(MIN($BK$3:$BK$23), MAX($BK$3:$BK$23), AH56))), ABS($BK$3:$BK$23 - MEDIAN(MIN($BK$3:$BK$23), MAX($BK$3:$BK$23), AH56)), $BL$3:$BL$23, "Error", 0)</f>
        <v>-5</v>
      </c>
      <c r="AI85" s="30" cm="1">
        <f t="array" ref="AI85">_xlfn.XLOOKUP(MIN(ABS($BK$3:$BK$23 - MEDIAN(MIN($BK$3:$BK$23), MAX($BK$3:$BK$23), AI56))), ABS($BK$3:$BK$23 - MEDIAN(MIN($BK$3:$BK$23), MAX($BK$3:$BK$23), AI56)), $BL$3:$BL$23, "Error", 0)</f>
        <v>-10</v>
      </c>
      <c r="AJ85" s="30" cm="1">
        <f t="array" ref="AJ85">_xlfn.XLOOKUP(MIN(ABS($BK$3:$BK$23 - MEDIAN(MIN($BK$3:$BK$23), MAX($BK$3:$BK$23), AJ56))), ABS($BK$3:$BK$23 - MEDIAN(MIN($BK$3:$BK$23), MAX($BK$3:$BK$23), AJ56)), $BL$3:$BL$23, "Error", 0)</f>
        <v>-10</v>
      </c>
      <c r="AK85" s="30" cm="1">
        <f t="array" ref="AK85">_xlfn.XLOOKUP(MIN(ABS($BK$3:$BK$23 - MEDIAN(MIN($BK$3:$BK$23), MAX($BK$3:$BK$23), AK56))), ABS($BK$3:$BK$23 - MEDIAN(MIN($BK$3:$BK$23), MAX($BK$3:$BK$23), AK56)), $BL$3:$BL$23, "Error", 0)</f>
        <v>-10</v>
      </c>
      <c r="AL85" s="30" cm="1">
        <f t="array" ref="AL85">_xlfn.XLOOKUP(MIN(ABS($BK$3:$BK$23 - MEDIAN(MIN($BK$3:$BK$23), MAX($BK$3:$BK$23), AL56))), ABS($BK$3:$BK$23 - MEDIAN(MIN($BK$3:$BK$23), MAX($BK$3:$BK$23), AL56)), $BL$3:$BL$23, "Error", 0)</f>
        <v>-10</v>
      </c>
      <c r="AM85" s="30" cm="1">
        <f t="array" ref="AM85">_xlfn.XLOOKUP(MIN(ABS($BK$3:$BK$23 - MEDIAN(MIN($BK$3:$BK$23), MAX($BK$3:$BK$23), AM56))), ABS($BK$3:$BK$23 - MEDIAN(MIN($BK$3:$BK$23), MAX($BK$3:$BK$23), AM56)), $BL$3:$BL$23, "Error", 0)</f>
        <v>-10</v>
      </c>
      <c r="AN85" s="30" cm="1">
        <f t="array" ref="AN85">_xlfn.XLOOKUP(MIN(ABS($BK$3:$BK$23 - MEDIAN(MIN($BK$3:$BK$23), MAX($BK$3:$BK$23), AN56))), ABS($BK$3:$BK$23 - MEDIAN(MIN($BK$3:$BK$23), MAX($BK$3:$BK$23), AN56)), $BL$3:$BL$23, "Error", 0)</f>
        <v>-10</v>
      </c>
      <c r="AO85" s="30" cm="1">
        <f t="array" ref="AO85">_xlfn.XLOOKUP(MIN(ABS($BK$3:$BK$23 - MEDIAN(MIN($BK$3:$BK$23), MAX($BK$3:$BK$23), AO56))), ABS($BK$3:$BK$23 - MEDIAN(MIN($BK$3:$BK$23), MAX($BK$3:$BK$23), AO56)), $BL$3:$BL$23, "Error", 0)</f>
        <v>-8</v>
      </c>
      <c r="AP85" s="30" cm="1">
        <f t="array" ref="AP85">_xlfn.XLOOKUP(MIN(ABS($BK$3:$BK$23 - MEDIAN(MIN($BK$3:$BK$23), MAX($BK$3:$BK$23), AP56))), ABS($BK$3:$BK$23 - MEDIAN(MIN($BK$3:$BK$23), MAX($BK$3:$BK$23), AP56)), $BL$3:$BL$23, "Error", 0)</f>
        <v>10</v>
      </c>
      <c r="AQ85" s="30" cm="1">
        <f t="array" ref="AQ85">_xlfn.XLOOKUP(MIN(ABS($BK$3:$BK$23 - MEDIAN(MIN($BK$3:$BK$23), MAX($BK$3:$BK$23), AQ56))), ABS($BK$3:$BK$23 - MEDIAN(MIN($BK$3:$BK$23), MAX($BK$3:$BK$23), AQ56)), $BL$3:$BL$23, "Error", 0)</f>
        <v>10</v>
      </c>
      <c r="AR85" s="30" cm="1">
        <f t="array" ref="AR85">_xlfn.XLOOKUP(MIN(ABS($BK$3:$BK$23 - MEDIAN(MIN($BK$3:$BK$23), MAX($BK$3:$BK$23), AR56))), ABS($BK$3:$BK$23 - MEDIAN(MIN($BK$3:$BK$23), MAX($BK$3:$BK$23), AR56)), $BL$3:$BL$23, "Error", 0)</f>
        <v>10</v>
      </c>
      <c r="AS85" s="30" cm="1">
        <f t="array" ref="AS85">_xlfn.XLOOKUP(MIN(ABS($BK$3:$BK$23 - MEDIAN(MIN($BK$3:$BK$23), MAX($BK$3:$BK$23), AS56))), ABS($BK$3:$BK$23 - MEDIAN(MIN($BK$3:$BK$23), MAX($BK$3:$BK$23), AS56)), $BL$3:$BL$23, "Error", 0)</f>
        <v>10</v>
      </c>
      <c r="AT85" s="30" cm="1">
        <f t="array" ref="AT85">_xlfn.XLOOKUP(MIN(ABS($BK$3:$BK$23 - MEDIAN(MIN($BK$3:$BK$23), MAX($BK$3:$BK$23), AT56))), ABS($BK$3:$BK$23 - MEDIAN(MIN($BK$3:$BK$23), MAX($BK$3:$BK$23), AT56)), $BL$3:$BL$23, "Error", 0)</f>
        <v>10</v>
      </c>
      <c r="AU85" s="30" cm="1">
        <f t="array" ref="AU85">_xlfn.XLOOKUP(MIN(ABS($BK$3:$BK$23 - MEDIAN(MIN($BK$3:$BK$23), MAX($BK$3:$BK$23), AU56))), ABS($BK$3:$BK$23 - MEDIAN(MIN($BK$3:$BK$23), MAX($BK$3:$BK$23), AU56)), $BL$3:$BL$23, "Error", 0)</f>
        <v>10</v>
      </c>
      <c r="AV85" s="30" cm="1">
        <f t="array" ref="AV85">_xlfn.XLOOKUP(MIN(ABS($BK$3:$BK$23 - MEDIAN(MIN($BK$3:$BK$23), MAX($BK$3:$BK$23), AV56))), ABS($BK$3:$BK$23 - MEDIAN(MIN($BK$3:$BK$23), MAX($BK$3:$BK$23), AV56)), $BL$3:$BL$23, "Error", 0)</f>
        <v>10</v>
      </c>
      <c r="AW85" s="30" cm="1">
        <f t="array" ref="AW85">_xlfn.XLOOKUP(MIN(ABS($BK$3:$BK$23 - MEDIAN(MIN($BK$3:$BK$23), MAX($BK$3:$BK$23), AW56))), ABS($BK$3:$BK$23 - MEDIAN(MIN($BK$3:$BK$23), MAX($BK$3:$BK$23), AW56)), $BL$3:$BL$23, "Error", 0)</f>
        <v>10</v>
      </c>
      <c r="AX85" s="30" cm="1">
        <f t="array" ref="AX85">_xlfn.XLOOKUP(MIN(ABS($BK$3:$BK$23 - MEDIAN(MIN($BK$3:$BK$23), MAX($BK$3:$BK$23), AX56))), ABS($BK$3:$BK$23 - MEDIAN(MIN($BK$3:$BK$23), MAX($BK$3:$BK$23), AX56)), $BL$3:$BL$23, "Error", 0)</f>
        <v>10</v>
      </c>
      <c r="AY85" s="30" cm="1">
        <f t="array" ref="AY85">_xlfn.XLOOKUP(MIN(ABS($BK$3:$BK$23 - MEDIAN(MIN($BK$3:$BK$23), MAX($BK$3:$BK$23), AY56))), ABS($BK$3:$BK$23 - MEDIAN(MIN($BK$3:$BK$23), MAX($BK$3:$BK$23), AY56)), $BL$3:$BL$23, "Error", 0)</f>
        <v>10</v>
      </c>
      <c r="AZ85" s="30" cm="1">
        <f t="array" ref="AZ85">_xlfn.XLOOKUP(MIN(ABS($BK$3:$BK$23 - MEDIAN(MIN($BK$3:$BK$23), MAX($BK$3:$BK$23), AZ56))), ABS($BK$3:$BK$23 - MEDIAN(MIN($BK$3:$BK$23), MAX($BK$3:$BK$23), AZ56)), $BL$3:$BL$23, "Error", 0)</f>
        <v>10</v>
      </c>
      <c r="BA85" s="30" cm="1">
        <f t="array" ref="BA85">_xlfn.XLOOKUP(MIN(ABS($BK$3:$BK$23 - MEDIAN(MIN($BK$3:$BK$23), MAX($BK$3:$BK$23), BA56))), ABS($BK$3:$BK$23 - MEDIAN(MIN($BK$3:$BK$23), MAX($BK$3:$BK$23), BA56)), $BL$3:$BL$23, "Error", 0)</f>
        <v>10</v>
      </c>
      <c r="BB85" s="30" cm="1">
        <f t="array" ref="BB85">_xlfn.XLOOKUP(MIN(ABS($BK$3:$BK$23 - MEDIAN(MIN($BK$3:$BK$23), MAX($BK$3:$BK$23), BB56))), ABS($BK$3:$BK$23 - MEDIAN(MIN($BK$3:$BK$23), MAX($BK$3:$BK$23), BB56)), $BL$3:$BL$23, "Error", 0)</f>
        <v>-10</v>
      </c>
      <c r="BC85" s="30" cm="1">
        <f t="array" ref="BC85">_xlfn.XLOOKUP(MIN(ABS($BK$3:$BK$23 - MEDIAN(MIN($BK$3:$BK$23), MAX($BK$3:$BK$23), BC56))), ABS($BK$3:$BK$23 - MEDIAN(MIN($BK$3:$BK$23), MAX($BK$3:$BK$23), BC56)), $BL$3:$BL$23, "Error", 0)</f>
        <v>-10</v>
      </c>
      <c r="BD85" s="30" cm="1">
        <f t="array" ref="BD85">_xlfn.XLOOKUP(MIN(ABS($BK$3:$BK$23 - MEDIAN(MIN($BK$3:$BK$23), MAX($BK$3:$BK$23), BD56))), ABS($BK$3:$BK$23 - MEDIAN(MIN($BK$3:$BK$23), MAX($BK$3:$BK$23), BD56)), $BL$3:$BL$23, "Error", 0)</f>
        <v>-10</v>
      </c>
      <c r="BE85" s="30" cm="1">
        <f t="array" ref="BE85">_xlfn.XLOOKUP(MIN(ABS($BK$3:$BK$23 - MEDIAN(MIN($BK$3:$BK$23), MAX($BK$3:$BK$23), BE56))), ABS($BK$3:$BK$23 - MEDIAN(MIN($BK$3:$BK$23), MAX($BK$3:$BK$23), BE56)), $BL$3:$BL$23, "Error", 0)</f>
        <v>-10</v>
      </c>
      <c r="BF85" s="30" cm="1">
        <f t="array" ref="BF85">_xlfn.XLOOKUP(MIN(ABS($BK$3:$BK$23 - MEDIAN(MIN($BK$3:$BK$23), MAX($BK$3:$BK$23), BF56))), ABS($BK$3:$BK$23 - MEDIAN(MIN($BK$3:$BK$23), MAX($BK$3:$BK$23), BF56)), $BL$3:$BL$23, "Error", 0)</f>
        <v>-10</v>
      </c>
      <c r="BG85" s="30" cm="1">
        <f t="array" ref="BG85">_xlfn.XLOOKUP(MIN(ABS($BK$3:$BK$23 - MEDIAN(MIN($BK$3:$BK$23), MAX($BK$3:$BK$23), BG56))), ABS($BK$3:$BK$23 - MEDIAN(MIN($BK$3:$BK$23), MAX($BK$3:$BK$23), BG56)), $BL$3:$BL$23, "Error", 0)</f>
        <v>-10</v>
      </c>
      <c r="BH85" s="30" cm="1">
        <f t="array" ref="BH85">_xlfn.XLOOKUP(MIN(ABS($BK$3:$BK$23 - MEDIAN(MIN($BK$3:$BK$23), MAX($BK$3:$BK$23), BH56))), ABS($BK$3:$BK$23 - MEDIAN(MIN($BK$3:$BK$23), MAX($BK$3:$BK$23), BH56)), $BL$3:$BL$23, "Error", 0)</f>
        <v>-10</v>
      </c>
      <c r="BI85" s="30" cm="1">
        <f t="array" ref="BI85">_xlfn.XLOOKUP(MIN(ABS($BK$3:$BK$23 - MEDIAN(MIN($BK$3:$BK$23), MAX($BK$3:$BK$23), BI56))), ABS($BK$3:$BK$23 - MEDIAN(MIN($BK$3:$BK$23), MAX($BK$3:$BK$23), BI56)), $BL$3:$BL$23, "Error", 0)</f>
        <v>-10</v>
      </c>
    </row>
    <row r="86" spans="1:61" ht="25" customHeight="1">
      <c r="A86" s="50" t="s">
        <v>59</v>
      </c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30" cm="1">
        <f t="array" ref="N86">_xlfn.XLOOKUP(MIN(ABS($BK$3:$BK$23 - MEDIAN(MIN($BK$3:$BK$23), MAX($BK$3:$BK$23), N57))), ABS($BK$3:$BK$23 - MEDIAN(MIN($BK$3:$BK$23), MAX($BK$3:$BK$23), N57)), $BL$3:$BL$23, "Error", 0)</f>
        <v>-1</v>
      </c>
      <c r="O86" s="30" cm="1">
        <f t="array" ref="O86">_xlfn.XLOOKUP(MIN(ABS($BK$3:$BK$23 - MEDIAN(MIN($BK$3:$BK$23), MAX($BK$3:$BK$23), O57))), ABS($BK$3:$BK$23 - MEDIAN(MIN($BK$3:$BK$23), MAX($BK$3:$BK$23), O57)), $BL$3:$BL$23, "Error", 0)</f>
        <v>1</v>
      </c>
      <c r="P86" s="30" cm="1">
        <f t="array" ref="P86">_xlfn.XLOOKUP(MIN(ABS($BK$3:$BK$23 - MEDIAN(MIN($BK$3:$BK$23), MAX($BK$3:$BK$23), P57))), ABS($BK$3:$BK$23 - MEDIAN(MIN($BK$3:$BK$23), MAX($BK$3:$BK$23), P57)), $BL$3:$BL$23, "Error", 0)</f>
        <v>-1</v>
      </c>
      <c r="Q86" s="30" cm="1">
        <f t="array" ref="Q86">_xlfn.XLOOKUP(MIN(ABS($BK$3:$BK$23 - MEDIAN(MIN($BK$3:$BK$23), MAX($BK$3:$BK$23), Q57))), ABS($BK$3:$BK$23 - MEDIAN(MIN($BK$3:$BK$23), MAX($BK$3:$BK$23), Q57)), $BL$3:$BL$23, "Error", 0)</f>
        <v>0</v>
      </c>
      <c r="R86" s="30" cm="1">
        <f t="array" ref="R86">_xlfn.XLOOKUP(MIN(ABS($BK$3:$BK$23 - MEDIAN(MIN($BK$3:$BK$23), MAX($BK$3:$BK$23), R57))), ABS($BK$3:$BK$23 - MEDIAN(MIN($BK$3:$BK$23), MAX($BK$3:$BK$23), R57)), $BL$3:$BL$23, "Error", 0)</f>
        <v>0</v>
      </c>
      <c r="S86" s="30" cm="1">
        <f t="array" ref="S86">_xlfn.XLOOKUP(MIN(ABS($BK$3:$BK$23 - MEDIAN(MIN($BK$3:$BK$23), MAX($BK$3:$BK$23), S57))), ABS($BK$3:$BK$23 - MEDIAN(MIN($BK$3:$BK$23), MAX($BK$3:$BK$23), S57)), $BL$3:$BL$23, "Error", 0)</f>
        <v>-1</v>
      </c>
      <c r="T86" s="30" cm="1">
        <f t="array" ref="T86">_xlfn.XLOOKUP(MIN(ABS($BK$3:$BK$23 - MEDIAN(MIN($BK$3:$BK$23), MAX($BK$3:$BK$23), T57))), ABS($BK$3:$BK$23 - MEDIAN(MIN($BK$3:$BK$23), MAX($BK$3:$BK$23), T57)), $BL$3:$BL$23, "Error", 0)</f>
        <v>0</v>
      </c>
      <c r="U86" s="30" cm="1">
        <f t="array" ref="U86">_xlfn.XLOOKUP(MIN(ABS($BK$3:$BK$23 - MEDIAN(MIN($BK$3:$BK$23), MAX($BK$3:$BK$23), U57))), ABS($BK$3:$BK$23 - MEDIAN(MIN($BK$3:$BK$23), MAX($BK$3:$BK$23), U57)), $BL$3:$BL$23, "Error", 0)</f>
        <v>1</v>
      </c>
      <c r="V86" s="30" cm="1">
        <f t="array" ref="V86">_xlfn.XLOOKUP(MIN(ABS($BK$3:$BK$23 - MEDIAN(MIN($BK$3:$BK$23), MAX($BK$3:$BK$23), V57))), ABS($BK$3:$BK$23 - MEDIAN(MIN($BK$3:$BK$23), MAX($BK$3:$BK$23), V57)), $BL$3:$BL$23, "Error", 0)</f>
        <v>2</v>
      </c>
      <c r="W86" s="30" cm="1">
        <f t="array" ref="W86">_xlfn.XLOOKUP(MIN(ABS($BK$3:$BK$23 - MEDIAN(MIN($BK$3:$BK$23), MAX($BK$3:$BK$23), W57))), ABS($BK$3:$BK$23 - MEDIAN(MIN($BK$3:$BK$23), MAX($BK$3:$BK$23), W57)), $BL$3:$BL$23, "Error", 0)</f>
        <v>3</v>
      </c>
      <c r="X86" s="30" cm="1">
        <f t="array" ref="X86">_xlfn.XLOOKUP(MIN(ABS($BK$3:$BK$23 - MEDIAN(MIN($BK$3:$BK$23), MAX($BK$3:$BK$23), X57))), ABS($BK$3:$BK$23 - MEDIAN(MIN($BK$3:$BK$23), MAX($BK$3:$BK$23), X57)), $BL$3:$BL$23, "Error", 0)</f>
        <v>2</v>
      </c>
      <c r="Y86" s="30" cm="1">
        <f t="array" ref="Y86">_xlfn.XLOOKUP(MIN(ABS($BK$3:$BK$23 - MEDIAN(MIN($BK$3:$BK$23), MAX($BK$3:$BK$23), Y57))), ABS($BK$3:$BK$23 - MEDIAN(MIN($BK$3:$BK$23), MAX($BK$3:$BK$23), Y57)), $BL$3:$BL$23, "Error", 0)</f>
        <v>-1</v>
      </c>
      <c r="Z86" s="30" cm="1">
        <f t="array" ref="Z86">_xlfn.XLOOKUP(MIN(ABS($BK$3:$BK$23 - MEDIAN(MIN($BK$3:$BK$23), MAX($BK$3:$BK$23), Z57))), ABS($BK$3:$BK$23 - MEDIAN(MIN($BK$3:$BK$23), MAX($BK$3:$BK$23), Z57)), $BL$3:$BL$23, "Error", 0)</f>
        <v>3</v>
      </c>
      <c r="AA86" s="30" cm="1">
        <f t="array" ref="AA86">_xlfn.XLOOKUP(MIN(ABS($BK$3:$BK$23 - MEDIAN(MIN($BK$3:$BK$23), MAX($BK$3:$BK$23), AA57))), ABS($BK$3:$BK$23 - MEDIAN(MIN($BK$3:$BK$23), MAX($BK$3:$BK$23), AA57)), $BL$3:$BL$23, "Error", 0)</f>
        <v>1</v>
      </c>
      <c r="AB86" s="30" cm="1">
        <f t="array" ref="AB86">_xlfn.XLOOKUP(MIN(ABS($BK$3:$BK$23 - MEDIAN(MIN($BK$3:$BK$23), MAX($BK$3:$BK$23), AB57))), ABS($BK$3:$BK$23 - MEDIAN(MIN($BK$3:$BK$23), MAX($BK$3:$BK$23), AB57)), $BL$3:$BL$23, "Error", 0)</f>
        <v>2</v>
      </c>
      <c r="AC86" s="30" cm="1">
        <f t="array" ref="AC86">_xlfn.XLOOKUP(MIN(ABS($BK$3:$BK$23 - MEDIAN(MIN($BK$3:$BK$23), MAX($BK$3:$BK$23), AC57))), ABS($BK$3:$BK$23 - MEDIAN(MIN($BK$3:$BK$23), MAX($BK$3:$BK$23), AC57)), $BL$3:$BL$23, "Error", 0)</f>
        <v>3</v>
      </c>
      <c r="AD86" s="30" cm="1">
        <f t="array" ref="AD86">_xlfn.XLOOKUP(MIN(ABS($BK$3:$BK$23 - MEDIAN(MIN($BK$3:$BK$23), MAX($BK$3:$BK$23), AD57))), ABS($BK$3:$BK$23 - MEDIAN(MIN($BK$3:$BK$23), MAX($BK$3:$BK$23), AD57)), $BL$3:$BL$23, "Error", 0)</f>
        <v>1</v>
      </c>
      <c r="AE86" s="30" cm="1">
        <f t="array" ref="AE86">_xlfn.XLOOKUP(MIN(ABS($BK$3:$BK$23 - MEDIAN(MIN($BK$3:$BK$23), MAX($BK$3:$BK$23), AE57))), ABS($BK$3:$BK$23 - MEDIAN(MIN($BK$3:$BK$23), MAX($BK$3:$BK$23), AE57)), $BL$3:$BL$23, "Error", 0)</f>
        <v>2</v>
      </c>
      <c r="AF86" s="30" cm="1">
        <f t="array" ref="AF86">_xlfn.XLOOKUP(MIN(ABS($BK$3:$BK$23 - MEDIAN(MIN($BK$3:$BK$23), MAX($BK$3:$BK$23), AF57))), ABS($BK$3:$BK$23 - MEDIAN(MIN($BK$3:$BK$23), MAX($BK$3:$BK$23), AF57)), $BL$3:$BL$23, "Error", 0)</f>
        <v>2</v>
      </c>
      <c r="AG86" s="30" cm="1">
        <f t="array" ref="AG86">_xlfn.XLOOKUP(MIN(ABS($BK$3:$BK$23 - MEDIAN(MIN($BK$3:$BK$23), MAX($BK$3:$BK$23), AG57))), ABS($BK$3:$BK$23 - MEDIAN(MIN($BK$3:$BK$23), MAX($BK$3:$BK$23), AG57)), $BL$3:$BL$23, "Error", 0)</f>
        <v>1</v>
      </c>
      <c r="AH86" s="30" cm="1">
        <f t="array" ref="AH86">_xlfn.XLOOKUP(MIN(ABS($BK$3:$BK$23 - MEDIAN(MIN($BK$3:$BK$23), MAX($BK$3:$BK$23), AH57))), ABS($BK$3:$BK$23 - MEDIAN(MIN($BK$3:$BK$23), MAX($BK$3:$BK$23), AH57)), $BL$3:$BL$23, "Error", 0)</f>
        <v>0</v>
      </c>
      <c r="AI86" s="30" cm="1">
        <f t="array" ref="AI86">_xlfn.XLOOKUP(MIN(ABS($BK$3:$BK$23 - MEDIAN(MIN($BK$3:$BK$23), MAX($BK$3:$BK$23), AI57))), ABS($BK$3:$BK$23 - MEDIAN(MIN($BK$3:$BK$23), MAX($BK$3:$BK$23), AI57)), $BL$3:$BL$23, "Error", 0)</f>
        <v>2</v>
      </c>
      <c r="AJ86" s="30" cm="1">
        <f t="array" ref="AJ86">_xlfn.XLOOKUP(MIN(ABS($BK$3:$BK$23 - MEDIAN(MIN($BK$3:$BK$23), MAX($BK$3:$BK$23), AJ57))), ABS($BK$3:$BK$23 - MEDIAN(MIN($BK$3:$BK$23), MAX($BK$3:$BK$23), AJ57)), $BL$3:$BL$23, "Error", 0)</f>
        <v>1</v>
      </c>
      <c r="AK86" s="30" cm="1">
        <f t="array" ref="AK86">_xlfn.XLOOKUP(MIN(ABS($BK$3:$BK$23 - MEDIAN(MIN($BK$3:$BK$23), MAX($BK$3:$BK$23), AK57))), ABS($BK$3:$BK$23 - MEDIAN(MIN($BK$3:$BK$23), MAX($BK$3:$BK$23), AK57)), $BL$3:$BL$23, "Error", 0)</f>
        <v>3</v>
      </c>
      <c r="AL86" s="30" cm="1">
        <f t="array" ref="AL86">_xlfn.XLOOKUP(MIN(ABS($BK$3:$BK$23 - MEDIAN(MIN($BK$3:$BK$23), MAX($BK$3:$BK$23), AL57))), ABS($BK$3:$BK$23 - MEDIAN(MIN($BK$3:$BK$23), MAX($BK$3:$BK$23), AL57)), $BL$3:$BL$23, "Error", 0)</f>
        <v>1</v>
      </c>
      <c r="AM86" s="30" cm="1">
        <f t="array" ref="AM86">_xlfn.XLOOKUP(MIN(ABS($BK$3:$BK$23 - MEDIAN(MIN($BK$3:$BK$23), MAX($BK$3:$BK$23), AM57))), ABS($BK$3:$BK$23 - MEDIAN(MIN($BK$3:$BK$23), MAX($BK$3:$BK$23), AM57)), $BL$3:$BL$23, "Error", 0)</f>
        <v>1</v>
      </c>
      <c r="AN86" s="30" cm="1">
        <f t="array" ref="AN86">_xlfn.XLOOKUP(MIN(ABS($BK$3:$BK$23 - MEDIAN(MIN($BK$3:$BK$23), MAX($BK$3:$BK$23), AN57))), ABS($BK$3:$BK$23 - MEDIAN(MIN($BK$3:$BK$23), MAX($BK$3:$BK$23), AN57)), $BL$3:$BL$23, "Error", 0)</f>
        <v>1</v>
      </c>
      <c r="AO86" s="30" cm="1">
        <f t="array" ref="AO86">_xlfn.XLOOKUP(MIN(ABS($BK$3:$BK$23 - MEDIAN(MIN($BK$3:$BK$23), MAX($BK$3:$BK$23), AO57))), ABS($BK$3:$BK$23 - MEDIAN(MIN($BK$3:$BK$23), MAX($BK$3:$BK$23), AO57)), $BL$3:$BL$23, "Error", 0)</f>
        <v>1</v>
      </c>
      <c r="AP86" s="30" cm="1">
        <f t="array" ref="AP86">_xlfn.XLOOKUP(MIN(ABS($BK$3:$BK$23 - MEDIAN(MIN($BK$3:$BK$23), MAX($BK$3:$BK$23), AP57))), ABS($BK$3:$BK$23 - MEDIAN(MIN($BK$3:$BK$23), MAX($BK$3:$BK$23), AP57)), $BL$3:$BL$23, "Error", 0)</f>
        <v>2</v>
      </c>
      <c r="AQ86" s="30" cm="1">
        <f t="array" ref="AQ86">_xlfn.XLOOKUP(MIN(ABS($BK$3:$BK$23 - MEDIAN(MIN($BK$3:$BK$23), MAX($BK$3:$BK$23), AQ57))), ABS($BK$3:$BK$23 - MEDIAN(MIN($BK$3:$BK$23), MAX($BK$3:$BK$23), AQ57)), $BL$3:$BL$23, "Error", 0)</f>
        <v>3</v>
      </c>
      <c r="AR86" s="30" cm="1">
        <f t="array" ref="AR86">_xlfn.XLOOKUP(MIN(ABS($BK$3:$BK$23 - MEDIAN(MIN($BK$3:$BK$23), MAX($BK$3:$BK$23), AR57))), ABS($BK$3:$BK$23 - MEDIAN(MIN($BK$3:$BK$23), MAX($BK$3:$BK$23), AR57)), $BL$3:$BL$23, "Error", 0)</f>
        <v>2</v>
      </c>
      <c r="AS86" s="30" cm="1">
        <f t="array" ref="AS86">_xlfn.XLOOKUP(MIN(ABS($BK$3:$BK$23 - MEDIAN(MIN($BK$3:$BK$23), MAX($BK$3:$BK$23), AS57))), ABS($BK$3:$BK$23 - MEDIAN(MIN($BK$3:$BK$23), MAX($BK$3:$BK$23), AS57)), $BL$3:$BL$23, "Error", 0)</f>
        <v>3</v>
      </c>
      <c r="AT86" s="30" cm="1">
        <f t="array" ref="AT86">_xlfn.XLOOKUP(MIN(ABS($BK$3:$BK$23 - MEDIAN(MIN($BK$3:$BK$23), MAX($BK$3:$BK$23), AT57))), ABS($BK$3:$BK$23 - MEDIAN(MIN($BK$3:$BK$23), MAX($BK$3:$BK$23), AT57)), $BL$3:$BL$23, "Error", 0)</f>
        <v>2</v>
      </c>
      <c r="AU86" s="30" cm="1">
        <f t="array" ref="AU86">_xlfn.XLOOKUP(MIN(ABS($BK$3:$BK$23 - MEDIAN(MIN($BK$3:$BK$23), MAX($BK$3:$BK$23), AU57))), ABS($BK$3:$BK$23 - MEDIAN(MIN($BK$3:$BK$23), MAX($BK$3:$BK$23), AU57)), $BL$3:$BL$23, "Error", 0)</f>
        <v>1</v>
      </c>
      <c r="AV86" s="30" cm="1">
        <f t="array" ref="AV86">_xlfn.XLOOKUP(MIN(ABS($BK$3:$BK$23 - MEDIAN(MIN($BK$3:$BK$23), MAX($BK$3:$BK$23), AV57))), ABS($BK$3:$BK$23 - MEDIAN(MIN($BK$3:$BK$23), MAX($BK$3:$BK$23), AV57)), $BL$3:$BL$23, "Error", 0)</f>
        <v>2</v>
      </c>
      <c r="AW86" s="30" cm="1">
        <f t="array" ref="AW86">_xlfn.XLOOKUP(MIN(ABS($BK$3:$BK$23 - MEDIAN(MIN($BK$3:$BK$23), MAX($BK$3:$BK$23), AW57))), ABS($BK$3:$BK$23 - MEDIAN(MIN($BK$3:$BK$23), MAX($BK$3:$BK$23), AW57)), $BL$3:$BL$23, "Error", 0)</f>
        <v>0</v>
      </c>
      <c r="AX86" s="30" cm="1">
        <f t="array" ref="AX86">_xlfn.XLOOKUP(MIN(ABS($BK$3:$BK$23 - MEDIAN(MIN($BK$3:$BK$23), MAX($BK$3:$BK$23), AX57))), ABS($BK$3:$BK$23 - MEDIAN(MIN($BK$3:$BK$23), MAX($BK$3:$BK$23), AX57)), $BL$3:$BL$23, "Error", 0)</f>
        <v>2</v>
      </c>
      <c r="AY86" s="30" cm="1">
        <f t="array" ref="AY86">_xlfn.XLOOKUP(MIN(ABS($BK$3:$BK$23 - MEDIAN(MIN($BK$3:$BK$23), MAX($BK$3:$BK$23), AY57))), ABS($BK$3:$BK$23 - MEDIAN(MIN($BK$3:$BK$23), MAX($BK$3:$BK$23), AY57)), $BL$3:$BL$23, "Error", 0)</f>
        <v>0</v>
      </c>
      <c r="AZ86" s="30" cm="1">
        <f t="array" ref="AZ86">_xlfn.XLOOKUP(MIN(ABS($BK$3:$BK$23 - MEDIAN(MIN($BK$3:$BK$23), MAX($BK$3:$BK$23), AZ57))), ABS($BK$3:$BK$23 - MEDIAN(MIN($BK$3:$BK$23), MAX($BK$3:$BK$23), AZ57)), $BL$3:$BL$23, "Error", 0)</f>
        <v>3</v>
      </c>
      <c r="BA86" s="30" cm="1">
        <f t="array" ref="BA86">_xlfn.XLOOKUP(MIN(ABS($BK$3:$BK$23 - MEDIAN(MIN($BK$3:$BK$23), MAX($BK$3:$BK$23), BA57))), ABS($BK$3:$BK$23 - MEDIAN(MIN($BK$3:$BK$23), MAX($BK$3:$BK$23), BA57)), $BL$3:$BL$23, "Error", 0)</f>
        <v>1</v>
      </c>
      <c r="BB86" s="30" cm="1">
        <f t="array" ref="BB86">_xlfn.XLOOKUP(MIN(ABS($BK$3:$BK$23 - MEDIAN(MIN($BK$3:$BK$23), MAX($BK$3:$BK$23), BB57))), ABS($BK$3:$BK$23 - MEDIAN(MIN($BK$3:$BK$23), MAX($BK$3:$BK$23), BB57)), $BL$3:$BL$23, "Error", 0)</f>
        <v>2</v>
      </c>
      <c r="BC86" s="30" cm="1">
        <f t="array" ref="BC86">_xlfn.XLOOKUP(MIN(ABS($BK$3:$BK$23 - MEDIAN(MIN($BK$3:$BK$23), MAX($BK$3:$BK$23), BC57))), ABS($BK$3:$BK$23 - MEDIAN(MIN($BK$3:$BK$23), MAX($BK$3:$BK$23), BC57)), $BL$3:$BL$23, "Error", 0)</f>
        <v>0</v>
      </c>
      <c r="BD86" s="30" cm="1">
        <f t="array" ref="BD86">_xlfn.XLOOKUP(MIN(ABS($BK$3:$BK$23 - MEDIAN(MIN($BK$3:$BK$23), MAX($BK$3:$BK$23), BD57))), ABS($BK$3:$BK$23 - MEDIAN(MIN($BK$3:$BK$23), MAX($BK$3:$BK$23), BD57)), $BL$3:$BL$23, "Error", 0)</f>
        <v>-1</v>
      </c>
      <c r="BE86" s="30" cm="1">
        <f t="array" ref="BE86">_xlfn.XLOOKUP(MIN(ABS($BK$3:$BK$23 - MEDIAN(MIN($BK$3:$BK$23), MAX($BK$3:$BK$23), BE57))), ABS($BK$3:$BK$23 - MEDIAN(MIN($BK$3:$BK$23), MAX($BK$3:$BK$23), BE57)), $BL$3:$BL$23, "Error", 0)</f>
        <v>0</v>
      </c>
      <c r="BF86" s="30" cm="1">
        <f t="array" ref="BF86">_xlfn.XLOOKUP(MIN(ABS($BK$3:$BK$23 - MEDIAN(MIN($BK$3:$BK$23), MAX($BK$3:$BK$23), BF57))), ABS($BK$3:$BK$23 - MEDIAN(MIN($BK$3:$BK$23), MAX($BK$3:$BK$23), BF57)), $BL$3:$BL$23, "Error", 0)</f>
        <v>1</v>
      </c>
      <c r="BG86" s="30" cm="1">
        <f t="array" ref="BG86">_xlfn.XLOOKUP(MIN(ABS($BK$3:$BK$23 - MEDIAN(MIN($BK$3:$BK$23), MAX($BK$3:$BK$23), BG57))), ABS($BK$3:$BK$23 - MEDIAN(MIN($BK$3:$BK$23), MAX($BK$3:$BK$23), BG57)), $BL$3:$BL$23, "Error", 0)</f>
        <v>7</v>
      </c>
      <c r="BH86" s="30" cm="1">
        <f t="array" ref="BH86">_xlfn.XLOOKUP(MIN(ABS($BK$3:$BK$23 - MEDIAN(MIN($BK$3:$BK$23), MAX($BK$3:$BK$23), BH57))), ABS($BK$3:$BK$23 - MEDIAN(MIN($BK$3:$BK$23), MAX($BK$3:$BK$23), BH57)), $BL$3:$BL$23, "Error", 0)</f>
        <v>6</v>
      </c>
      <c r="BI86" s="30" cm="1">
        <f t="array" ref="BI86">_xlfn.XLOOKUP(MIN(ABS($BK$3:$BK$23 - MEDIAN(MIN($BK$3:$BK$23), MAX($BK$3:$BK$23), BI57))), ABS($BK$3:$BK$23 - MEDIAN(MIN($BK$3:$BK$23), MAX($BK$3:$BK$23), BI57)), $BL$3:$BL$23, "Error", 0)</f>
        <v>8</v>
      </c>
    </row>
    <row r="87" spans="1:61" ht="25" customHeight="1">
      <c r="A87" s="50" t="s">
        <v>20</v>
      </c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30" cm="1">
        <f t="array" ref="N87">_xlfn.XLOOKUP(MIN(ABS($BK$3:$BK$23 - MEDIAN(MIN($BK$3:$BK$23), MAX($BK$3:$BK$23), N58))), ABS($BK$3:$BK$23 - MEDIAN(MIN($BK$3:$BK$23), MAX($BK$3:$BK$23), N58)), $BL$3:$BL$23, "Error", 0)</f>
        <v>2</v>
      </c>
      <c r="O87" s="30" cm="1">
        <f t="array" ref="O87">_xlfn.XLOOKUP(MIN(ABS($BK$3:$BK$23 - MEDIAN(MIN($BK$3:$BK$23), MAX($BK$3:$BK$23), O58))), ABS($BK$3:$BK$23 - MEDIAN(MIN($BK$3:$BK$23), MAX($BK$3:$BK$23), O58)), $BL$3:$BL$23, "Error", 0)</f>
        <v>3</v>
      </c>
      <c r="P87" s="30" cm="1">
        <f t="array" ref="P87">_xlfn.XLOOKUP(MIN(ABS($BK$3:$BK$23 - MEDIAN(MIN($BK$3:$BK$23), MAX($BK$3:$BK$23), P58))), ABS($BK$3:$BK$23 - MEDIAN(MIN($BK$3:$BK$23), MAX($BK$3:$BK$23), P58)), $BL$3:$BL$23, "Error", 0)</f>
        <v>3</v>
      </c>
      <c r="Q87" s="30" cm="1">
        <f t="array" ref="Q87">_xlfn.XLOOKUP(MIN(ABS($BK$3:$BK$23 - MEDIAN(MIN($BK$3:$BK$23), MAX($BK$3:$BK$23), Q58))), ABS($BK$3:$BK$23 - MEDIAN(MIN($BK$3:$BK$23), MAX($BK$3:$BK$23), Q58)), $BL$3:$BL$23, "Error", 0)</f>
        <v>2</v>
      </c>
      <c r="R87" s="30" cm="1">
        <f t="array" ref="R87">_xlfn.XLOOKUP(MIN(ABS($BK$3:$BK$23 - MEDIAN(MIN($BK$3:$BK$23), MAX($BK$3:$BK$23), R58))), ABS($BK$3:$BK$23 - MEDIAN(MIN($BK$3:$BK$23), MAX($BK$3:$BK$23), R58)), $BL$3:$BL$23, "Error", 0)</f>
        <v>2</v>
      </c>
      <c r="S87" s="30" cm="1">
        <f t="array" ref="S87">_xlfn.XLOOKUP(MIN(ABS($BK$3:$BK$23 - MEDIAN(MIN($BK$3:$BK$23), MAX($BK$3:$BK$23), S58))), ABS($BK$3:$BK$23 - MEDIAN(MIN($BK$3:$BK$23), MAX($BK$3:$BK$23), S58)), $BL$3:$BL$23, "Error", 0)</f>
        <v>2</v>
      </c>
      <c r="T87" s="30" cm="1">
        <f t="array" ref="T87">_xlfn.XLOOKUP(MIN(ABS($BK$3:$BK$23 - MEDIAN(MIN($BK$3:$BK$23), MAX($BK$3:$BK$23), T58))), ABS($BK$3:$BK$23 - MEDIAN(MIN($BK$3:$BK$23), MAX($BK$3:$BK$23), T58)), $BL$3:$BL$23, "Error", 0)</f>
        <v>2</v>
      </c>
      <c r="U87" s="30" cm="1">
        <f t="array" ref="U87">_xlfn.XLOOKUP(MIN(ABS($BK$3:$BK$23 - MEDIAN(MIN($BK$3:$BK$23), MAX($BK$3:$BK$23), U58))), ABS($BK$3:$BK$23 - MEDIAN(MIN($BK$3:$BK$23), MAX($BK$3:$BK$23), U58)), $BL$3:$BL$23, "Error", 0)</f>
        <v>1</v>
      </c>
      <c r="V87" s="30" cm="1">
        <f t="array" ref="V87">_xlfn.XLOOKUP(MIN(ABS($BK$3:$BK$23 - MEDIAN(MIN($BK$3:$BK$23), MAX($BK$3:$BK$23), V58))), ABS($BK$3:$BK$23 - MEDIAN(MIN($BK$3:$BK$23), MAX($BK$3:$BK$23), V58)), $BL$3:$BL$23, "Error", 0)</f>
        <v>3</v>
      </c>
      <c r="W87" s="30" cm="1">
        <f t="array" ref="W87">_xlfn.XLOOKUP(MIN(ABS($BK$3:$BK$23 - MEDIAN(MIN($BK$3:$BK$23), MAX($BK$3:$BK$23), W58))), ABS($BK$3:$BK$23 - MEDIAN(MIN($BK$3:$BK$23), MAX($BK$3:$BK$23), W58)), $BL$3:$BL$23, "Error", 0)</f>
        <v>3</v>
      </c>
      <c r="X87" s="30" cm="1">
        <f t="array" ref="X87">_xlfn.XLOOKUP(MIN(ABS($BK$3:$BK$23 - MEDIAN(MIN($BK$3:$BK$23), MAX($BK$3:$BK$23), X58))), ABS($BK$3:$BK$23 - MEDIAN(MIN($BK$3:$BK$23), MAX($BK$3:$BK$23), X58)), $BL$3:$BL$23, "Error", 0)</f>
        <v>4</v>
      </c>
      <c r="Y87" s="30" cm="1">
        <f t="array" ref="Y87">_xlfn.XLOOKUP(MIN(ABS($BK$3:$BK$23 - MEDIAN(MIN($BK$3:$BK$23), MAX($BK$3:$BK$23), Y58))), ABS($BK$3:$BK$23 - MEDIAN(MIN($BK$3:$BK$23), MAX($BK$3:$BK$23), Y58)), $BL$3:$BL$23, "Error", 0)</f>
        <v>3</v>
      </c>
      <c r="Z87" s="30" cm="1">
        <f t="array" ref="Z87">_xlfn.XLOOKUP(MIN(ABS($BK$3:$BK$23 - MEDIAN(MIN($BK$3:$BK$23), MAX($BK$3:$BK$23), Z58))), ABS($BK$3:$BK$23 - MEDIAN(MIN($BK$3:$BK$23), MAX($BK$3:$BK$23), Z58)), $BL$3:$BL$23, "Error", 0)</f>
        <v>4</v>
      </c>
      <c r="AA87" s="30" cm="1">
        <f t="array" ref="AA87">_xlfn.XLOOKUP(MIN(ABS($BK$3:$BK$23 - MEDIAN(MIN($BK$3:$BK$23), MAX($BK$3:$BK$23), AA58))), ABS($BK$3:$BK$23 - MEDIAN(MIN($BK$3:$BK$23), MAX($BK$3:$BK$23), AA58)), $BL$3:$BL$23, "Error", 0)</f>
        <v>3</v>
      </c>
      <c r="AB87" s="30" cm="1">
        <f t="array" ref="AB87">_xlfn.XLOOKUP(MIN(ABS($BK$3:$BK$23 - MEDIAN(MIN($BK$3:$BK$23), MAX($BK$3:$BK$23), AB58))), ABS($BK$3:$BK$23 - MEDIAN(MIN($BK$3:$BK$23), MAX($BK$3:$BK$23), AB58)), $BL$3:$BL$23, "Error", 0)</f>
        <v>4</v>
      </c>
      <c r="AC87" s="30" cm="1">
        <f t="array" ref="AC87">_xlfn.XLOOKUP(MIN(ABS($BK$3:$BK$23 - MEDIAN(MIN($BK$3:$BK$23), MAX($BK$3:$BK$23), AC58))), ABS($BK$3:$BK$23 - MEDIAN(MIN($BK$3:$BK$23), MAX($BK$3:$BK$23), AC58)), $BL$3:$BL$23, "Error", 0)</f>
        <v>5</v>
      </c>
      <c r="AD87" s="30" cm="1">
        <f t="array" ref="AD87">_xlfn.XLOOKUP(MIN(ABS($BK$3:$BK$23 - MEDIAN(MIN($BK$3:$BK$23), MAX($BK$3:$BK$23), AD58))), ABS($BK$3:$BK$23 - MEDIAN(MIN($BK$3:$BK$23), MAX($BK$3:$BK$23), AD58)), $BL$3:$BL$23, "Error", 0)</f>
        <v>4</v>
      </c>
      <c r="AE87" s="30" cm="1">
        <f t="array" ref="AE87">_xlfn.XLOOKUP(MIN(ABS($BK$3:$BK$23 - MEDIAN(MIN($BK$3:$BK$23), MAX($BK$3:$BK$23), AE58))), ABS($BK$3:$BK$23 - MEDIAN(MIN($BK$3:$BK$23), MAX($BK$3:$BK$23), AE58)), $BL$3:$BL$23, "Error", 0)</f>
        <v>3</v>
      </c>
      <c r="AF87" s="30" cm="1">
        <f t="array" ref="AF87">_xlfn.XLOOKUP(MIN(ABS($BK$3:$BK$23 - MEDIAN(MIN($BK$3:$BK$23), MAX($BK$3:$BK$23), AF58))), ABS($BK$3:$BK$23 - MEDIAN(MIN($BK$3:$BK$23), MAX($BK$3:$BK$23), AF58)), $BL$3:$BL$23, "Error", 0)</f>
        <v>5</v>
      </c>
      <c r="AG87" s="30" cm="1">
        <f t="array" ref="AG87">_xlfn.XLOOKUP(MIN(ABS($BK$3:$BK$23 - MEDIAN(MIN($BK$3:$BK$23), MAX($BK$3:$BK$23), AG58))), ABS($BK$3:$BK$23 - MEDIAN(MIN($BK$3:$BK$23), MAX($BK$3:$BK$23), AG58)), $BL$3:$BL$23, "Error", 0)</f>
        <v>4</v>
      </c>
      <c r="AH87" s="30" cm="1">
        <f t="array" ref="AH87">_xlfn.XLOOKUP(MIN(ABS($BK$3:$BK$23 - MEDIAN(MIN($BK$3:$BK$23), MAX($BK$3:$BK$23), AH58))), ABS($BK$3:$BK$23 - MEDIAN(MIN($BK$3:$BK$23), MAX($BK$3:$BK$23), AH58)), $BL$3:$BL$23, "Error", 0)</f>
        <v>4</v>
      </c>
      <c r="AI87" s="30" cm="1">
        <f t="array" ref="AI87">_xlfn.XLOOKUP(MIN(ABS($BK$3:$BK$23 - MEDIAN(MIN($BK$3:$BK$23), MAX($BK$3:$BK$23), AI58))), ABS($BK$3:$BK$23 - MEDIAN(MIN($BK$3:$BK$23), MAX($BK$3:$BK$23), AI58)), $BL$3:$BL$23, "Error", 0)</f>
        <v>3</v>
      </c>
      <c r="AJ87" s="30" cm="1">
        <f t="array" ref="AJ87">_xlfn.XLOOKUP(MIN(ABS($BK$3:$BK$23 - MEDIAN(MIN($BK$3:$BK$23), MAX($BK$3:$BK$23), AJ58))), ABS($BK$3:$BK$23 - MEDIAN(MIN($BK$3:$BK$23), MAX($BK$3:$BK$23), AJ58)), $BL$3:$BL$23, "Error", 0)</f>
        <v>2</v>
      </c>
      <c r="AK87" s="30" cm="1">
        <f t="array" ref="AK87">_xlfn.XLOOKUP(MIN(ABS($BK$3:$BK$23 - MEDIAN(MIN($BK$3:$BK$23), MAX($BK$3:$BK$23), AK58))), ABS($BK$3:$BK$23 - MEDIAN(MIN($BK$3:$BK$23), MAX($BK$3:$BK$23), AK58)), $BL$3:$BL$23, "Error", 0)</f>
        <v>2</v>
      </c>
      <c r="AL87" s="30" cm="1">
        <f t="array" ref="AL87">_xlfn.XLOOKUP(MIN(ABS($BK$3:$BK$23 - MEDIAN(MIN($BK$3:$BK$23), MAX($BK$3:$BK$23), AL58))), ABS($BK$3:$BK$23 - MEDIAN(MIN($BK$3:$BK$23), MAX($BK$3:$BK$23), AL58)), $BL$3:$BL$23, "Error", 0)</f>
        <v>-2</v>
      </c>
      <c r="AM87" s="30" cm="1">
        <f t="array" ref="AM87">_xlfn.XLOOKUP(MIN(ABS($BK$3:$BK$23 - MEDIAN(MIN($BK$3:$BK$23), MAX($BK$3:$BK$23), AM58))), ABS($BK$3:$BK$23 - MEDIAN(MIN($BK$3:$BK$23), MAX($BK$3:$BK$23), AM58)), $BL$3:$BL$23, "Error", 0)</f>
        <v>-1</v>
      </c>
      <c r="AN87" s="30" cm="1">
        <f t="array" ref="AN87">_xlfn.XLOOKUP(MIN(ABS($BK$3:$BK$23 - MEDIAN(MIN($BK$3:$BK$23), MAX($BK$3:$BK$23), AN58))), ABS($BK$3:$BK$23 - MEDIAN(MIN($BK$3:$BK$23), MAX($BK$3:$BK$23), AN58)), $BL$3:$BL$23, "Error", 0)</f>
        <v>0</v>
      </c>
      <c r="AO87" s="30" cm="1">
        <f t="array" ref="AO87">_xlfn.XLOOKUP(MIN(ABS($BK$3:$BK$23 - MEDIAN(MIN($BK$3:$BK$23), MAX($BK$3:$BK$23), AO58))), ABS($BK$3:$BK$23 - MEDIAN(MIN($BK$3:$BK$23), MAX($BK$3:$BK$23), AO58)), $BL$3:$BL$23, "Error", 0)</f>
        <v>-2</v>
      </c>
      <c r="AP87" s="30" cm="1">
        <f t="array" ref="AP87">_xlfn.XLOOKUP(MIN(ABS($BK$3:$BK$23 - MEDIAN(MIN($BK$3:$BK$23), MAX($BK$3:$BK$23), AP58))), ABS($BK$3:$BK$23 - MEDIAN(MIN($BK$3:$BK$23), MAX($BK$3:$BK$23), AP58)), $BL$3:$BL$23, "Error", 0)</f>
        <v>-2</v>
      </c>
      <c r="AQ87" s="30" cm="1">
        <f t="array" ref="AQ87">_xlfn.XLOOKUP(MIN(ABS($BK$3:$BK$23 - MEDIAN(MIN($BK$3:$BK$23), MAX($BK$3:$BK$23), AQ58))), ABS($BK$3:$BK$23 - MEDIAN(MIN($BK$3:$BK$23), MAX($BK$3:$BK$23), AQ58)), $BL$3:$BL$23, "Error", 0)</f>
        <v>1</v>
      </c>
      <c r="AR87" s="30" cm="1">
        <f t="array" ref="AR87">_xlfn.XLOOKUP(MIN(ABS($BK$3:$BK$23 - MEDIAN(MIN($BK$3:$BK$23), MAX($BK$3:$BK$23), AR58))), ABS($BK$3:$BK$23 - MEDIAN(MIN($BK$3:$BK$23), MAX($BK$3:$BK$23), AR58)), $BL$3:$BL$23, "Error", 0)</f>
        <v>0</v>
      </c>
      <c r="AS87" s="30" cm="1">
        <f t="array" ref="AS87">_xlfn.XLOOKUP(MIN(ABS($BK$3:$BK$23 - MEDIAN(MIN($BK$3:$BK$23), MAX($BK$3:$BK$23), AS58))), ABS($BK$3:$BK$23 - MEDIAN(MIN($BK$3:$BK$23), MAX($BK$3:$BK$23), AS58)), $BL$3:$BL$23, "Error", 0)</f>
        <v>0</v>
      </c>
      <c r="AT87" s="30" cm="1">
        <f t="array" ref="AT87">_xlfn.XLOOKUP(MIN(ABS($BK$3:$BK$23 - MEDIAN(MIN($BK$3:$BK$23), MAX($BK$3:$BK$23), AT58))), ABS($BK$3:$BK$23 - MEDIAN(MIN($BK$3:$BK$23), MAX($BK$3:$BK$23), AT58)), $BL$3:$BL$23, "Error", 0)</f>
        <v>-2</v>
      </c>
      <c r="AU87" s="30" cm="1">
        <f t="array" ref="AU87">_xlfn.XLOOKUP(MIN(ABS($BK$3:$BK$23 - MEDIAN(MIN($BK$3:$BK$23), MAX($BK$3:$BK$23), AU58))), ABS($BK$3:$BK$23 - MEDIAN(MIN($BK$3:$BK$23), MAX($BK$3:$BK$23), AU58)), $BL$3:$BL$23, "Error", 0)</f>
        <v>1</v>
      </c>
      <c r="AV87" s="30" cm="1">
        <f t="array" ref="AV87">_xlfn.XLOOKUP(MIN(ABS($BK$3:$BK$23 - MEDIAN(MIN($BK$3:$BK$23), MAX($BK$3:$BK$23), AV58))), ABS($BK$3:$BK$23 - MEDIAN(MIN($BK$3:$BK$23), MAX($BK$3:$BK$23), AV58)), $BL$3:$BL$23, "Error", 0)</f>
        <v>0</v>
      </c>
      <c r="AW87" s="30" cm="1">
        <f t="array" ref="AW87">_xlfn.XLOOKUP(MIN(ABS($BK$3:$BK$23 - MEDIAN(MIN($BK$3:$BK$23), MAX($BK$3:$BK$23), AW58))), ABS($BK$3:$BK$23 - MEDIAN(MIN($BK$3:$BK$23), MAX($BK$3:$BK$23), AW58)), $BL$3:$BL$23, "Error", 0)</f>
        <v>0</v>
      </c>
      <c r="AX87" s="30" cm="1">
        <f t="array" ref="AX87">_xlfn.XLOOKUP(MIN(ABS($BK$3:$BK$23 - MEDIAN(MIN($BK$3:$BK$23), MAX($BK$3:$BK$23), AX58))), ABS($BK$3:$BK$23 - MEDIAN(MIN($BK$3:$BK$23), MAX($BK$3:$BK$23), AX58)), $BL$3:$BL$23, "Error", 0)</f>
        <v>4</v>
      </c>
      <c r="AY87" s="30" cm="1">
        <f t="array" ref="AY87">_xlfn.XLOOKUP(MIN(ABS($BK$3:$BK$23 - MEDIAN(MIN($BK$3:$BK$23), MAX($BK$3:$BK$23), AY58))), ABS($BK$3:$BK$23 - MEDIAN(MIN($BK$3:$BK$23), MAX($BK$3:$BK$23), AY58)), $BL$3:$BL$23, "Error", 0)</f>
        <v>3</v>
      </c>
      <c r="AZ87" s="30" cm="1">
        <f t="array" ref="AZ87">_xlfn.XLOOKUP(MIN(ABS($BK$3:$BK$23 - MEDIAN(MIN($BK$3:$BK$23), MAX($BK$3:$BK$23), AZ58))), ABS($BK$3:$BK$23 - MEDIAN(MIN($BK$3:$BK$23), MAX($BK$3:$BK$23), AZ58)), $BL$3:$BL$23, "Error", 0)</f>
        <v>-1</v>
      </c>
      <c r="BA87" s="30" cm="1">
        <f t="array" ref="BA87">_xlfn.XLOOKUP(MIN(ABS($BK$3:$BK$23 - MEDIAN(MIN($BK$3:$BK$23), MAX($BK$3:$BK$23), BA58))), ABS($BK$3:$BK$23 - MEDIAN(MIN($BK$3:$BK$23), MAX($BK$3:$BK$23), BA58)), $BL$3:$BL$23, "Error", 0)</f>
        <v>0</v>
      </c>
      <c r="BB87" s="30" cm="1">
        <f t="array" ref="BB87">_xlfn.XLOOKUP(MIN(ABS($BK$3:$BK$23 - MEDIAN(MIN($BK$3:$BK$23), MAX($BK$3:$BK$23), BB58))), ABS($BK$3:$BK$23 - MEDIAN(MIN($BK$3:$BK$23), MAX($BK$3:$BK$23), BB58)), $BL$3:$BL$23, "Error", 0)</f>
        <v>1</v>
      </c>
      <c r="BC87" s="30" cm="1">
        <f t="array" ref="BC87">_xlfn.XLOOKUP(MIN(ABS($BK$3:$BK$23 - MEDIAN(MIN($BK$3:$BK$23), MAX($BK$3:$BK$23), BC58))), ABS($BK$3:$BK$23 - MEDIAN(MIN($BK$3:$BK$23), MAX($BK$3:$BK$23), BC58)), $BL$3:$BL$23, "Error", 0)</f>
        <v>-1</v>
      </c>
      <c r="BD87" s="30" cm="1">
        <f t="array" ref="BD87">_xlfn.XLOOKUP(MIN(ABS($BK$3:$BK$23 - MEDIAN(MIN($BK$3:$BK$23), MAX($BK$3:$BK$23), BD58))), ABS($BK$3:$BK$23 - MEDIAN(MIN($BK$3:$BK$23), MAX($BK$3:$BK$23), BD58)), $BL$3:$BL$23, "Error", 0)</f>
        <v>-3</v>
      </c>
      <c r="BE87" s="30" cm="1">
        <f t="array" ref="BE87">_xlfn.XLOOKUP(MIN(ABS($BK$3:$BK$23 - MEDIAN(MIN($BK$3:$BK$23), MAX($BK$3:$BK$23), BE58))), ABS($BK$3:$BK$23 - MEDIAN(MIN($BK$3:$BK$23), MAX($BK$3:$BK$23), BE58)), $BL$3:$BL$23, "Error", 0)</f>
        <v>-3</v>
      </c>
      <c r="BF87" s="30" cm="1">
        <f t="array" ref="BF87">_xlfn.XLOOKUP(MIN(ABS($BK$3:$BK$23 - MEDIAN(MIN($BK$3:$BK$23), MAX($BK$3:$BK$23), BF58))), ABS($BK$3:$BK$23 - MEDIAN(MIN($BK$3:$BK$23), MAX($BK$3:$BK$23), BF58)), $BL$3:$BL$23, "Error", 0)</f>
        <v>-2</v>
      </c>
      <c r="BG87" s="30" cm="1">
        <f t="array" ref="BG87">_xlfn.XLOOKUP(MIN(ABS($BK$3:$BK$23 - MEDIAN(MIN($BK$3:$BK$23), MAX($BK$3:$BK$23), BG58))), ABS($BK$3:$BK$23 - MEDIAN(MIN($BK$3:$BK$23), MAX($BK$3:$BK$23), BG58)), $BL$3:$BL$23, "Error", 0)</f>
        <v>-10</v>
      </c>
      <c r="BH87" s="30" cm="1">
        <f t="array" ref="BH87">_xlfn.XLOOKUP(MIN(ABS($BK$3:$BK$23 - MEDIAN(MIN($BK$3:$BK$23), MAX($BK$3:$BK$23), BH58))), ABS($BK$3:$BK$23 - MEDIAN(MIN($BK$3:$BK$23), MAX($BK$3:$BK$23), BH58)), $BL$3:$BL$23, "Error", 0)</f>
        <v>-10</v>
      </c>
      <c r="BI87" s="30" cm="1">
        <f t="array" ref="BI87">_xlfn.XLOOKUP(MIN(ABS($BK$3:$BK$23 - MEDIAN(MIN($BK$3:$BK$23), MAX($BK$3:$BK$23), BI58))), ABS($BK$3:$BK$23 - MEDIAN(MIN($BK$3:$BK$23), MAX($BK$3:$BK$23), BI58)), $BL$3:$BL$23, "Error", 0)</f>
        <v>-10</v>
      </c>
    </row>
    <row r="88" spans="1:61" ht="25" customHeight="1">
      <c r="A88" s="51" t="s">
        <v>19</v>
      </c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30" cm="1">
        <f t="array" ref="N88">_xlfn.XLOOKUP(MIN(ABS($BK$3:$BK$23 - MEDIAN(MIN($BK$3:$BK$23), MAX($BK$3:$BK$23), N59))), ABS($BK$3:$BK$23 - MEDIAN(MIN($BK$3:$BK$23), MAX($BK$3:$BK$23), N59)), $BL$3:$BL$23, "Error", 0)</f>
        <v>-10</v>
      </c>
      <c r="O88" s="30" cm="1">
        <f t="array" ref="O88">_xlfn.XLOOKUP(MIN(ABS($BK$3:$BK$23 - MEDIAN(MIN($BK$3:$BK$23), MAX($BK$3:$BK$23), O59))), ABS($BK$3:$BK$23 - MEDIAN(MIN($BK$3:$BK$23), MAX($BK$3:$BK$23), O59)), $BL$3:$BL$23, "Error", 0)</f>
        <v>-10</v>
      </c>
      <c r="P88" s="30" cm="1">
        <f t="array" ref="P88">_xlfn.XLOOKUP(MIN(ABS($BK$3:$BK$23 - MEDIAN(MIN($BK$3:$BK$23), MAX($BK$3:$BK$23), P59))), ABS($BK$3:$BK$23 - MEDIAN(MIN($BK$3:$BK$23), MAX($BK$3:$BK$23), P59)), $BL$3:$BL$23, "Error", 0)</f>
        <v>-10</v>
      </c>
      <c r="Q88" s="30" cm="1">
        <f t="array" ref="Q88">_xlfn.XLOOKUP(MIN(ABS($BK$3:$BK$23 - MEDIAN(MIN($BK$3:$BK$23), MAX($BK$3:$BK$23), Q59))), ABS($BK$3:$BK$23 - MEDIAN(MIN($BK$3:$BK$23), MAX($BK$3:$BK$23), Q59)), $BL$3:$BL$23, "Error", 0)</f>
        <v>-10</v>
      </c>
      <c r="R88" s="30" cm="1">
        <f t="array" ref="R88">_xlfn.XLOOKUP(MIN(ABS($BK$3:$BK$23 - MEDIAN(MIN($BK$3:$BK$23), MAX($BK$3:$BK$23), R59))), ABS($BK$3:$BK$23 - MEDIAN(MIN($BK$3:$BK$23), MAX($BK$3:$BK$23), R59)), $BL$3:$BL$23, "Error", 0)</f>
        <v>-10</v>
      </c>
      <c r="S88" s="30" cm="1">
        <f t="array" ref="S88">_xlfn.XLOOKUP(MIN(ABS($BK$3:$BK$23 - MEDIAN(MIN($BK$3:$BK$23), MAX($BK$3:$BK$23), S59))), ABS($BK$3:$BK$23 - MEDIAN(MIN($BK$3:$BK$23), MAX($BK$3:$BK$23), S59)), $BL$3:$BL$23, "Error", 0)</f>
        <v>-10</v>
      </c>
      <c r="T88" s="30" cm="1">
        <f t="array" ref="T88">_xlfn.XLOOKUP(MIN(ABS($BK$3:$BK$23 - MEDIAN(MIN($BK$3:$BK$23), MAX($BK$3:$BK$23), T59))), ABS($BK$3:$BK$23 - MEDIAN(MIN($BK$3:$BK$23), MAX($BK$3:$BK$23), T59)), $BL$3:$BL$23, "Error", 0)</f>
        <v>-10</v>
      </c>
      <c r="U88" s="30" cm="1">
        <f t="array" ref="U88">_xlfn.XLOOKUP(MIN(ABS($BK$3:$BK$23 - MEDIAN(MIN($BK$3:$BK$23), MAX($BK$3:$BK$23), U59))), ABS($BK$3:$BK$23 - MEDIAN(MIN($BK$3:$BK$23), MAX($BK$3:$BK$23), U59)), $BL$3:$BL$23, "Error", 0)</f>
        <v>-10</v>
      </c>
      <c r="V88" s="30" cm="1">
        <f t="array" ref="V88">_xlfn.XLOOKUP(MIN(ABS($BK$3:$BK$23 - MEDIAN(MIN($BK$3:$BK$23), MAX($BK$3:$BK$23), V59))), ABS($BK$3:$BK$23 - MEDIAN(MIN($BK$3:$BK$23), MAX($BK$3:$BK$23), V59)), $BL$3:$BL$23, "Error", 0)</f>
        <v>-6</v>
      </c>
      <c r="W88" s="30" cm="1">
        <f t="array" ref="W88">_xlfn.XLOOKUP(MIN(ABS($BK$3:$BK$23 - MEDIAN(MIN($BK$3:$BK$23), MAX($BK$3:$BK$23), W59))), ABS($BK$3:$BK$23 - MEDIAN(MIN($BK$3:$BK$23), MAX($BK$3:$BK$23), W59)), $BL$3:$BL$23, "Error", 0)</f>
        <v>10</v>
      </c>
      <c r="X88" s="30" cm="1">
        <f t="array" ref="X88">_xlfn.XLOOKUP(MIN(ABS($BK$3:$BK$23 - MEDIAN(MIN($BK$3:$BK$23), MAX($BK$3:$BK$23), X59))), ABS($BK$3:$BK$23 - MEDIAN(MIN($BK$3:$BK$23), MAX($BK$3:$BK$23), X59)), $BL$3:$BL$23, "Error", 0)</f>
        <v>10</v>
      </c>
      <c r="Y88" s="30" cm="1">
        <f t="array" ref="Y88">_xlfn.XLOOKUP(MIN(ABS($BK$3:$BK$23 - MEDIAN(MIN($BK$3:$BK$23), MAX($BK$3:$BK$23), Y59))), ABS($BK$3:$BK$23 - MEDIAN(MIN($BK$3:$BK$23), MAX($BK$3:$BK$23), Y59)), $BL$3:$BL$23, "Error", 0)</f>
        <v>10</v>
      </c>
      <c r="Z88" s="30" cm="1">
        <f t="array" ref="Z88">_xlfn.XLOOKUP(MIN(ABS($BK$3:$BK$23 - MEDIAN(MIN($BK$3:$BK$23), MAX($BK$3:$BK$23), Z59))), ABS($BK$3:$BK$23 - MEDIAN(MIN($BK$3:$BK$23), MAX($BK$3:$BK$23), Z59)), $BL$3:$BL$23, "Error", 0)</f>
        <v>10</v>
      </c>
      <c r="AA88" s="30" cm="1">
        <f t="array" ref="AA88">_xlfn.XLOOKUP(MIN(ABS($BK$3:$BK$23 - MEDIAN(MIN($BK$3:$BK$23), MAX($BK$3:$BK$23), AA59))), ABS($BK$3:$BK$23 - MEDIAN(MIN($BK$3:$BK$23), MAX($BK$3:$BK$23), AA59)), $BL$3:$BL$23, "Error", 0)</f>
        <v>10</v>
      </c>
      <c r="AB88" s="30" cm="1">
        <f t="array" ref="AB88">_xlfn.XLOOKUP(MIN(ABS($BK$3:$BK$23 - MEDIAN(MIN($BK$3:$BK$23), MAX($BK$3:$BK$23), AB59))), ABS($BK$3:$BK$23 - MEDIAN(MIN($BK$3:$BK$23), MAX($BK$3:$BK$23), AB59)), $BL$3:$BL$23, "Error", 0)</f>
        <v>9</v>
      </c>
      <c r="AC88" s="30" cm="1">
        <f t="array" ref="AC88">_xlfn.XLOOKUP(MIN(ABS($BK$3:$BK$23 - MEDIAN(MIN($BK$3:$BK$23), MAX($BK$3:$BK$23), AC59))), ABS($BK$3:$BK$23 - MEDIAN(MIN($BK$3:$BK$23), MAX($BK$3:$BK$23), AC59)), $BL$3:$BL$23, "Error", 0)</f>
        <v>0</v>
      </c>
      <c r="AD88" s="30" cm="1">
        <f t="array" ref="AD88">_xlfn.XLOOKUP(MIN(ABS($BK$3:$BK$23 - MEDIAN(MIN($BK$3:$BK$23), MAX($BK$3:$BK$23), AD59))), ABS($BK$3:$BK$23 - MEDIAN(MIN($BK$3:$BK$23), MAX($BK$3:$BK$23), AD59)), $BL$3:$BL$23, "Error", 0)</f>
        <v>-10</v>
      </c>
      <c r="AE88" s="30" cm="1">
        <f t="array" ref="AE88">_xlfn.XLOOKUP(MIN(ABS($BK$3:$BK$23 - MEDIAN(MIN($BK$3:$BK$23), MAX($BK$3:$BK$23), AE59))), ABS($BK$3:$BK$23 - MEDIAN(MIN($BK$3:$BK$23), MAX($BK$3:$BK$23), AE59)), $BL$3:$BL$23, "Error", 0)</f>
        <v>-10</v>
      </c>
      <c r="AF88" s="30" cm="1">
        <f t="array" ref="AF88">_xlfn.XLOOKUP(MIN(ABS($BK$3:$BK$23 - MEDIAN(MIN($BK$3:$BK$23), MAX($BK$3:$BK$23), AF59))), ABS($BK$3:$BK$23 - MEDIAN(MIN($BK$3:$BK$23), MAX($BK$3:$BK$23), AF59)), $BL$3:$BL$23, "Error", 0)</f>
        <v>-10</v>
      </c>
      <c r="AG88" s="30" cm="1">
        <f t="array" ref="AG88">_xlfn.XLOOKUP(MIN(ABS($BK$3:$BK$23 - MEDIAN(MIN($BK$3:$BK$23), MAX($BK$3:$BK$23), AG59))), ABS($BK$3:$BK$23 - MEDIAN(MIN($BK$3:$BK$23), MAX($BK$3:$BK$23), AG59)), $BL$3:$BL$23, "Error", 0)</f>
        <v>-10</v>
      </c>
      <c r="AH88" s="30" cm="1">
        <f t="array" ref="AH88">_xlfn.XLOOKUP(MIN(ABS($BK$3:$BK$23 - MEDIAN(MIN($BK$3:$BK$23), MAX($BK$3:$BK$23), AH59))), ABS($BK$3:$BK$23 - MEDIAN(MIN($BK$3:$BK$23), MAX($BK$3:$BK$23), AH59)), $BL$3:$BL$23, "Error", 0)</f>
        <v>-9</v>
      </c>
      <c r="AI88" s="30" cm="1">
        <f t="array" ref="AI88">_xlfn.XLOOKUP(MIN(ABS($BK$3:$BK$23 - MEDIAN(MIN($BK$3:$BK$23), MAX($BK$3:$BK$23), AI59))), ABS($BK$3:$BK$23 - MEDIAN(MIN($BK$3:$BK$23), MAX($BK$3:$BK$23), AI59)), $BL$3:$BL$23, "Error", 0)</f>
        <v>-10</v>
      </c>
      <c r="AJ88" s="30" cm="1">
        <f t="array" ref="AJ88">_xlfn.XLOOKUP(MIN(ABS($BK$3:$BK$23 - MEDIAN(MIN($BK$3:$BK$23), MAX($BK$3:$BK$23), AJ59))), ABS($BK$3:$BK$23 - MEDIAN(MIN($BK$3:$BK$23), MAX($BK$3:$BK$23), AJ59)), $BL$3:$BL$23, "Error", 0)</f>
        <v>-10</v>
      </c>
      <c r="AK88" s="30" cm="1">
        <f t="array" ref="AK88">_xlfn.XLOOKUP(MIN(ABS($BK$3:$BK$23 - MEDIAN(MIN($BK$3:$BK$23), MAX($BK$3:$BK$23), AK59))), ABS($BK$3:$BK$23 - MEDIAN(MIN($BK$3:$BK$23), MAX($BK$3:$BK$23), AK59)), $BL$3:$BL$23, "Error", 0)</f>
        <v>-10</v>
      </c>
      <c r="AL88" s="30" cm="1">
        <f t="array" ref="AL88">_xlfn.XLOOKUP(MIN(ABS($BK$3:$BK$23 - MEDIAN(MIN($BK$3:$BK$23), MAX($BK$3:$BK$23), AL59))), ABS($BK$3:$BK$23 - MEDIAN(MIN($BK$3:$BK$23), MAX($BK$3:$BK$23), AL59)), $BL$3:$BL$23, "Error", 0)</f>
        <v>-10</v>
      </c>
      <c r="AM88" s="30" cm="1">
        <f t="array" ref="AM88">_xlfn.XLOOKUP(MIN(ABS($BK$3:$BK$23 - MEDIAN(MIN($BK$3:$BK$23), MAX($BK$3:$BK$23), AM59))), ABS($BK$3:$BK$23 - MEDIAN(MIN($BK$3:$BK$23), MAX($BK$3:$BK$23), AM59)), $BL$3:$BL$23, "Error", 0)</f>
        <v>-10</v>
      </c>
      <c r="AN88" s="30" cm="1">
        <f t="array" ref="AN88">_xlfn.XLOOKUP(MIN(ABS($BK$3:$BK$23 - MEDIAN(MIN($BK$3:$BK$23), MAX($BK$3:$BK$23), AN59))), ABS($BK$3:$BK$23 - MEDIAN(MIN($BK$3:$BK$23), MAX($BK$3:$BK$23), AN59)), $BL$3:$BL$23, "Error", 0)</f>
        <v>-10</v>
      </c>
      <c r="AO88" s="30" cm="1">
        <f t="array" ref="AO88">_xlfn.XLOOKUP(MIN(ABS($BK$3:$BK$23 - MEDIAN(MIN($BK$3:$BK$23), MAX($BK$3:$BK$23), AO59))), ABS($BK$3:$BK$23 - MEDIAN(MIN($BK$3:$BK$23), MAX($BK$3:$BK$23), AO59)), $BL$3:$BL$23, "Error", 0)</f>
        <v>-6</v>
      </c>
      <c r="AP88" s="30" cm="1">
        <f t="array" ref="AP88">_xlfn.XLOOKUP(MIN(ABS($BK$3:$BK$23 - MEDIAN(MIN($BK$3:$BK$23), MAX($BK$3:$BK$23), AP59))), ABS($BK$3:$BK$23 - MEDIAN(MIN($BK$3:$BK$23), MAX($BK$3:$BK$23), AP59)), $BL$3:$BL$23, "Error", 0)</f>
        <v>10</v>
      </c>
      <c r="AQ88" s="30" cm="1">
        <f t="array" ref="AQ88">_xlfn.XLOOKUP(MIN(ABS($BK$3:$BK$23 - MEDIAN(MIN($BK$3:$BK$23), MAX($BK$3:$BK$23), AQ59))), ABS($BK$3:$BK$23 - MEDIAN(MIN($BK$3:$BK$23), MAX($BK$3:$BK$23), AQ59)), $BL$3:$BL$23, "Error", 0)</f>
        <v>10</v>
      </c>
      <c r="AR88" s="30" cm="1">
        <f t="array" ref="AR88">_xlfn.XLOOKUP(MIN(ABS($BK$3:$BK$23 - MEDIAN(MIN($BK$3:$BK$23), MAX($BK$3:$BK$23), AR59))), ABS($BK$3:$BK$23 - MEDIAN(MIN($BK$3:$BK$23), MAX($BK$3:$BK$23), AR59)), $BL$3:$BL$23, "Error", 0)</f>
        <v>10</v>
      </c>
      <c r="AS88" s="30" cm="1">
        <f t="array" ref="AS88">_xlfn.XLOOKUP(MIN(ABS($BK$3:$BK$23 - MEDIAN(MIN($BK$3:$BK$23), MAX($BK$3:$BK$23), AS59))), ABS($BK$3:$BK$23 - MEDIAN(MIN($BK$3:$BK$23), MAX($BK$3:$BK$23), AS59)), $BL$3:$BL$23, "Error", 0)</f>
        <v>10</v>
      </c>
      <c r="AT88" s="30" cm="1">
        <f t="array" ref="AT88">_xlfn.XLOOKUP(MIN(ABS($BK$3:$BK$23 - MEDIAN(MIN($BK$3:$BK$23), MAX($BK$3:$BK$23), AT59))), ABS($BK$3:$BK$23 - MEDIAN(MIN($BK$3:$BK$23), MAX($BK$3:$BK$23), AT59)), $BL$3:$BL$23, "Error", 0)</f>
        <v>10</v>
      </c>
      <c r="AU88" s="30" cm="1">
        <f t="array" ref="AU88">_xlfn.XLOOKUP(MIN(ABS($BK$3:$BK$23 - MEDIAN(MIN($BK$3:$BK$23), MAX($BK$3:$BK$23), AU59))), ABS($BK$3:$BK$23 - MEDIAN(MIN($BK$3:$BK$23), MAX($BK$3:$BK$23), AU59)), $BL$3:$BL$23, "Error", 0)</f>
        <v>10</v>
      </c>
      <c r="AV88" s="30" cm="1">
        <f t="array" ref="AV88">_xlfn.XLOOKUP(MIN(ABS($BK$3:$BK$23 - MEDIAN(MIN($BK$3:$BK$23), MAX($BK$3:$BK$23), AV59))), ABS($BK$3:$BK$23 - MEDIAN(MIN($BK$3:$BK$23), MAX($BK$3:$BK$23), AV59)), $BL$3:$BL$23, "Error", 0)</f>
        <v>10</v>
      </c>
      <c r="AW88" s="30" cm="1">
        <f t="array" ref="AW88">_xlfn.XLOOKUP(MIN(ABS($BK$3:$BK$23 - MEDIAN(MIN($BK$3:$BK$23), MAX($BK$3:$BK$23), AW59))), ABS($BK$3:$BK$23 - MEDIAN(MIN($BK$3:$BK$23), MAX($BK$3:$BK$23), AW59)), $BL$3:$BL$23, "Error", 0)</f>
        <v>10</v>
      </c>
      <c r="AX88" s="30" cm="1">
        <f t="array" ref="AX88">_xlfn.XLOOKUP(MIN(ABS($BK$3:$BK$23 - MEDIAN(MIN($BK$3:$BK$23), MAX($BK$3:$BK$23), AX59))), ABS($BK$3:$BK$23 - MEDIAN(MIN($BK$3:$BK$23), MAX($BK$3:$BK$23), AX59)), $BL$3:$BL$23, "Error", 0)</f>
        <v>10</v>
      </c>
      <c r="AY88" s="30" cm="1">
        <f t="array" ref="AY88">_xlfn.XLOOKUP(MIN(ABS($BK$3:$BK$23 - MEDIAN(MIN($BK$3:$BK$23), MAX($BK$3:$BK$23), AY59))), ABS($BK$3:$BK$23 - MEDIAN(MIN($BK$3:$BK$23), MAX($BK$3:$BK$23), AY59)), $BL$3:$BL$23, "Error", 0)</f>
        <v>10</v>
      </c>
      <c r="AZ88" s="30" cm="1">
        <f t="array" ref="AZ88">_xlfn.XLOOKUP(MIN(ABS($BK$3:$BK$23 - MEDIAN(MIN($BK$3:$BK$23), MAX($BK$3:$BK$23), AZ59))), ABS($BK$3:$BK$23 - MEDIAN(MIN($BK$3:$BK$23), MAX($BK$3:$BK$23), AZ59)), $BL$3:$BL$23, "Error", 0)</f>
        <v>10</v>
      </c>
      <c r="BA88" s="30" cm="1">
        <f t="array" ref="BA88">_xlfn.XLOOKUP(MIN(ABS($BK$3:$BK$23 - MEDIAN(MIN($BK$3:$BK$23), MAX($BK$3:$BK$23), BA59))), ABS($BK$3:$BK$23 - MEDIAN(MIN($BK$3:$BK$23), MAX($BK$3:$BK$23), BA59)), $BL$3:$BL$23, "Error", 0)</f>
        <v>10</v>
      </c>
      <c r="BB88" s="30" cm="1">
        <f t="array" ref="BB88">_xlfn.XLOOKUP(MIN(ABS($BK$3:$BK$23 - MEDIAN(MIN($BK$3:$BK$23), MAX($BK$3:$BK$23), BB59))), ABS($BK$3:$BK$23 - MEDIAN(MIN($BK$3:$BK$23), MAX($BK$3:$BK$23), BB59)), $BL$3:$BL$23, "Error", 0)</f>
        <v>-10</v>
      </c>
      <c r="BC88" s="30" cm="1">
        <f t="array" ref="BC88">_xlfn.XLOOKUP(MIN(ABS($BK$3:$BK$23 - MEDIAN(MIN($BK$3:$BK$23), MAX($BK$3:$BK$23), BC59))), ABS($BK$3:$BK$23 - MEDIAN(MIN($BK$3:$BK$23), MAX($BK$3:$BK$23), BC59)), $BL$3:$BL$23, "Error", 0)</f>
        <v>-10</v>
      </c>
      <c r="BD88" s="30" cm="1">
        <f t="array" ref="BD88">_xlfn.XLOOKUP(MIN(ABS($BK$3:$BK$23 - MEDIAN(MIN($BK$3:$BK$23), MAX($BK$3:$BK$23), BD59))), ABS($BK$3:$BK$23 - MEDIAN(MIN($BK$3:$BK$23), MAX($BK$3:$BK$23), BD59)), $BL$3:$BL$23, "Error", 0)</f>
        <v>-10</v>
      </c>
      <c r="BE88" s="30" cm="1">
        <f t="array" ref="BE88">_xlfn.XLOOKUP(MIN(ABS($BK$3:$BK$23 - MEDIAN(MIN($BK$3:$BK$23), MAX($BK$3:$BK$23), BE59))), ABS($BK$3:$BK$23 - MEDIAN(MIN($BK$3:$BK$23), MAX($BK$3:$BK$23), BE59)), $BL$3:$BL$23, "Error", 0)</f>
        <v>-10</v>
      </c>
      <c r="BF88" s="30" cm="1">
        <f t="array" ref="BF88">_xlfn.XLOOKUP(MIN(ABS($BK$3:$BK$23 - MEDIAN(MIN($BK$3:$BK$23), MAX($BK$3:$BK$23), BF59))), ABS($BK$3:$BK$23 - MEDIAN(MIN($BK$3:$BK$23), MAX($BK$3:$BK$23), BF59)), $BL$3:$BL$23, "Error", 0)</f>
        <v>-10</v>
      </c>
      <c r="BG88" s="30" cm="1">
        <f t="array" ref="BG88">_xlfn.XLOOKUP(MIN(ABS($BK$3:$BK$23 - MEDIAN(MIN($BK$3:$BK$23), MAX($BK$3:$BK$23), BG59))), ABS($BK$3:$BK$23 - MEDIAN(MIN($BK$3:$BK$23), MAX($BK$3:$BK$23), BG59)), $BL$3:$BL$23, "Error", 0)</f>
        <v>-10</v>
      </c>
      <c r="BH88" s="30" cm="1">
        <f t="array" ref="BH88">_xlfn.XLOOKUP(MIN(ABS($BK$3:$BK$23 - MEDIAN(MIN($BK$3:$BK$23), MAX($BK$3:$BK$23), BH59))), ABS($BK$3:$BK$23 - MEDIAN(MIN($BK$3:$BK$23), MAX($BK$3:$BK$23), BH59)), $BL$3:$BL$23, "Error", 0)</f>
        <v>-10</v>
      </c>
      <c r="BI88" s="30" cm="1">
        <f t="array" ref="BI88">_xlfn.XLOOKUP(MIN(ABS($BK$3:$BK$23 - MEDIAN(MIN($BK$3:$BK$23), MAX($BK$3:$BK$23), BI59))), ABS($BK$3:$BK$23 - MEDIAN(MIN($BK$3:$BK$23), MAX($BK$3:$BK$23), BI59)), $BL$3:$BL$23, "Error", 0)</f>
        <v>-10</v>
      </c>
    </row>
  </sheetData>
  <autoFilter ref="A24:A88" xr:uid="{00000000-0001-0000-0000-000000000000}"/>
  <mergeCells count="4">
    <mergeCell ref="A12:BI12"/>
    <mergeCell ref="A23:BI23"/>
    <mergeCell ref="A35:BI35"/>
    <mergeCell ref="A63:BI63"/>
  </mergeCells>
  <hyperlinks>
    <hyperlink ref="A24" r:id="rId1" display="source : IMF" xr:uid="{137AD86B-2833-3E4F-BD1F-FC83279637A4}"/>
    <hyperlink ref="A32" r:id="rId2" xr:uid="{240D4043-558D-A549-9847-806F59B6793A}"/>
    <hyperlink ref="A2" r:id="rId3" display="source : IMF" xr:uid="{393563B5-4B37-664E-8867-0D7863EC93E7}"/>
    <hyperlink ref="A10" r:id="rId4" xr:uid="{CC041B19-AF0E-6549-AA33-D7B464417384}"/>
    <hyperlink ref="A13" r:id="rId5" display="source : IMF" xr:uid="{4DBFAE21-9AA1-C641-B200-2263FA00CEF0}"/>
    <hyperlink ref="A21" r:id="rId6" xr:uid="{D7D7F43D-EA09-A546-9E91-1A22F75C1660}"/>
  </hyperlinks>
  <pageMargins left="1.18" right="0.79" top="0.79" bottom="0.79" header="0" footer="0"/>
  <pageSetup paperSize="9" fitToWidth="0" fitToHeight="0" orientation="portrait" r:id="rId7"/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F05BB-1BFA-CC43-835D-3DD49486FDA7}">
  <dimension ref="A1:CU68"/>
  <sheetViews>
    <sheetView zoomScale="125" zoomScaleNormal="50" workbookViewId="0">
      <pane xSplit="2" ySplit="2" topLeftCell="AM3" activePane="bottomRight" state="frozen"/>
      <selection pane="topRight" activeCell="C1" sqref="C1"/>
      <selection pane="bottomLeft" activeCell="A8" sqref="A8"/>
      <selection pane="bottomRight" activeCell="AT10" sqref="AT10"/>
    </sheetView>
  </sheetViews>
  <sheetFormatPr baseColWidth="10" defaultColWidth="10.1640625" defaultRowHeight="14.5" customHeight="1"/>
  <cols>
    <col min="1" max="1" width="3.33203125" style="133" customWidth="1"/>
    <col min="2" max="2" width="25.5" style="133" customWidth="1"/>
    <col min="3" max="15" width="9.5" style="133" customWidth="1"/>
    <col min="16" max="16" width="11.5" style="133" customWidth="1"/>
    <col min="17" max="19" width="14.1640625" style="133" customWidth="1"/>
    <col min="20" max="20" width="11.83203125" style="133" customWidth="1"/>
    <col min="21" max="16384" width="10.1640625" style="133"/>
  </cols>
  <sheetData>
    <row r="1" spans="1:99" ht="19.5" customHeight="1">
      <c r="A1" s="131"/>
      <c r="B1" s="132" t="s">
        <v>72</v>
      </c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1"/>
      <c r="P1" s="131"/>
      <c r="Q1" s="131"/>
      <c r="R1" s="131"/>
      <c r="S1" s="131"/>
    </row>
    <row r="2" spans="1:99" ht="14.25" customHeight="1" thickBot="1">
      <c r="A2" s="131"/>
      <c r="B2" s="134" t="s">
        <v>73</v>
      </c>
      <c r="C2" s="135">
        <v>44927</v>
      </c>
      <c r="D2" s="135">
        <v>44958</v>
      </c>
      <c r="E2" s="135">
        <v>44986</v>
      </c>
      <c r="F2" s="135">
        <v>45017</v>
      </c>
      <c r="G2" s="135">
        <v>45047</v>
      </c>
      <c r="H2" s="135">
        <v>45078</v>
      </c>
      <c r="I2" s="135">
        <v>45108</v>
      </c>
      <c r="J2" s="135">
        <v>45139</v>
      </c>
      <c r="K2" s="135">
        <v>45170</v>
      </c>
      <c r="L2" s="135">
        <v>45200</v>
      </c>
      <c r="M2" s="135">
        <v>45231</v>
      </c>
      <c r="N2" s="135">
        <v>45261</v>
      </c>
      <c r="O2" s="135">
        <v>45292</v>
      </c>
      <c r="P2" s="135">
        <v>45323</v>
      </c>
      <c r="Q2" s="135">
        <v>45352</v>
      </c>
      <c r="R2" s="135">
        <v>45383</v>
      </c>
      <c r="S2" s="135">
        <v>45413</v>
      </c>
      <c r="T2" s="135">
        <v>45444</v>
      </c>
      <c r="U2" s="135">
        <v>45474</v>
      </c>
      <c r="V2" s="135">
        <v>45505</v>
      </c>
      <c r="W2" s="135">
        <v>45536</v>
      </c>
      <c r="X2" s="135">
        <v>45566</v>
      </c>
      <c r="Y2" s="135">
        <v>45597</v>
      </c>
      <c r="Z2" s="135">
        <v>45627</v>
      </c>
      <c r="AA2" s="135">
        <v>45658</v>
      </c>
      <c r="AB2" s="135">
        <v>45689</v>
      </c>
      <c r="AC2" s="135">
        <v>45717</v>
      </c>
      <c r="AD2" s="135">
        <v>45748</v>
      </c>
      <c r="AE2" s="135">
        <v>45778</v>
      </c>
      <c r="AF2" s="135">
        <v>45809</v>
      </c>
      <c r="AG2" s="135">
        <v>45839</v>
      </c>
      <c r="AH2" s="135">
        <v>45870</v>
      </c>
      <c r="AI2" s="135">
        <v>45901</v>
      </c>
      <c r="AJ2" s="135">
        <v>45931</v>
      </c>
      <c r="AK2" s="135">
        <v>45962</v>
      </c>
      <c r="AL2" s="135">
        <v>45992</v>
      </c>
      <c r="AM2" s="135">
        <v>46023</v>
      </c>
      <c r="AN2" s="135">
        <v>46054</v>
      </c>
      <c r="AO2" s="135">
        <v>46082</v>
      </c>
      <c r="AP2" s="135">
        <v>46113</v>
      </c>
      <c r="AQ2" s="135">
        <v>46143</v>
      </c>
      <c r="AR2" s="135">
        <v>46174</v>
      </c>
      <c r="AS2" s="135">
        <v>46204</v>
      </c>
      <c r="AT2" s="135">
        <v>46235</v>
      </c>
      <c r="AU2" s="135">
        <v>46266</v>
      </c>
      <c r="AV2" s="135">
        <v>46296</v>
      </c>
      <c r="AW2" s="135">
        <v>46327</v>
      </c>
      <c r="AX2" s="135">
        <v>46357</v>
      </c>
      <c r="AY2" s="136"/>
      <c r="AZ2" s="136"/>
      <c r="BA2" s="135"/>
      <c r="BB2" s="135"/>
      <c r="BC2" s="135"/>
      <c r="BD2" s="136"/>
      <c r="BE2" s="136"/>
      <c r="BF2" s="136"/>
      <c r="BG2" s="136"/>
      <c r="BH2" s="136"/>
      <c r="BI2" s="136"/>
      <c r="BJ2" s="136"/>
      <c r="BK2" s="136"/>
      <c r="BL2" s="136"/>
      <c r="BM2" s="135"/>
      <c r="BN2" s="135"/>
      <c r="BO2" s="135"/>
      <c r="BP2" s="136"/>
      <c r="BQ2" s="136"/>
      <c r="BR2" s="136"/>
      <c r="BS2" s="136"/>
      <c r="BT2" s="136"/>
      <c r="BU2" s="136"/>
      <c r="BV2" s="136"/>
      <c r="BW2" s="136"/>
      <c r="BX2" s="136"/>
      <c r="BY2" s="135"/>
      <c r="BZ2" s="135"/>
      <c r="CA2" s="135"/>
      <c r="CB2" s="136"/>
      <c r="CC2" s="136"/>
      <c r="CD2" s="136"/>
      <c r="CE2" s="136"/>
      <c r="CF2" s="136"/>
      <c r="CG2" s="136"/>
      <c r="CH2" s="136"/>
      <c r="CI2" s="136"/>
      <c r="CJ2" s="136"/>
      <c r="CK2" s="135"/>
      <c r="CL2" s="135"/>
      <c r="CM2" s="135"/>
      <c r="CN2" s="136"/>
      <c r="CO2" s="136"/>
      <c r="CP2" s="136"/>
      <c r="CQ2" s="136"/>
      <c r="CR2" s="136"/>
      <c r="CS2" s="136"/>
      <c r="CT2" s="136"/>
      <c r="CU2" s="136"/>
    </row>
    <row r="3" spans="1:99" ht="30" customHeight="1">
      <c r="A3" s="131"/>
      <c r="B3" s="137" t="s">
        <v>38</v>
      </c>
      <c r="C3" s="227">
        <v>3.1</v>
      </c>
      <c r="D3" s="227">
        <v>3.35</v>
      </c>
      <c r="E3" s="227">
        <v>3.6</v>
      </c>
      <c r="F3" s="227">
        <v>3.6</v>
      </c>
      <c r="G3" s="227">
        <v>3.85</v>
      </c>
      <c r="H3" s="227">
        <v>4.0999999999999996</v>
      </c>
      <c r="I3" s="227">
        <v>4.0999999999999996</v>
      </c>
      <c r="J3" s="227">
        <v>4.0999999999999996</v>
      </c>
      <c r="K3" s="227">
        <v>4.0999999999999996</v>
      </c>
      <c r="L3" s="227">
        <v>4.0999999999999996</v>
      </c>
      <c r="M3" s="227">
        <v>4.3499999999999996</v>
      </c>
      <c r="N3" s="227">
        <v>4.3499999999999996</v>
      </c>
      <c r="O3" s="138">
        <v>4.3499999999999996</v>
      </c>
      <c r="P3" s="138">
        <v>4.3499999999999996</v>
      </c>
      <c r="Q3" s="138">
        <v>4.3499999999999996</v>
      </c>
      <c r="R3" s="138">
        <v>4.3499999999999996</v>
      </c>
      <c r="S3" s="138">
        <v>4.3499999999999996</v>
      </c>
      <c r="T3" s="138">
        <v>4.3499999999999996</v>
      </c>
      <c r="U3" s="138">
        <v>4.3499999999999996</v>
      </c>
      <c r="V3" s="138">
        <v>4.3499999999999996</v>
      </c>
      <c r="W3" s="138">
        <v>4.3499999999999996</v>
      </c>
      <c r="X3" s="138">
        <v>4.3499999999999996</v>
      </c>
      <c r="Y3" s="138">
        <v>4.3499999999999996</v>
      </c>
      <c r="Z3" s="138">
        <v>4.3499999999999996</v>
      </c>
      <c r="AA3" s="138">
        <v>4.3499999999999996</v>
      </c>
      <c r="AB3" s="138">
        <v>4.0999999999999996</v>
      </c>
      <c r="AC3" s="138">
        <v>4.0999999999999996</v>
      </c>
      <c r="AD3" s="138">
        <v>4.0999999999999996</v>
      </c>
      <c r="AE3" s="138">
        <v>3.85</v>
      </c>
      <c r="AF3" s="138">
        <v>3.85</v>
      </c>
      <c r="AG3" s="138">
        <v>3.85</v>
      </c>
      <c r="AH3" s="138">
        <v>3.6</v>
      </c>
      <c r="AI3" s="138">
        <v>3.6</v>
      </c>
      <c r="AJ3" s="138">
        <v>3.6</v>
      </c>
      <c r="AK3" s="138">
        <v>3.6</v>
      </c>
      <c r="AL3" s="138">
        <v>3.6</v>
      </c>
      <c r="AM3" s="138">
        <v>3.6</v>
      </c>
      <c r="AN3" s="138">
        <v>3.85</v>
      </c>
      <c r="AO3" s="138">
        <v>3.85</v>
      </c>
      <c r="AP3" s="138">
        <v>4.0999999999999996</v>
      </c>
      <c r="AQ3" s="138">
        <v>4.3499999999999996</v>
      </c>
      <c r="AR3" s="138">
        <v>4.3499999999999996</v>
      </c>
      <c r="AS3" s="139">
        <v>4.3499999999999996</v>
      </c>
      <c r="AT3" s="139">
        <v>4.3499999999999996</v>
      </c>
      <c r="AU3" s="139">
        <v>4.3499999999999996</v>
      </c>
      <c r="AV3" s="139">
        <v>4.3499999999999996</v>
      </c>
      <c r="AW3" s="139">
        <v>4.5999999999999996</v>
      </c>
      <c r="AX3" s="2" t="s">
        <v>99</v>
      </c>
      <c r="AZ3" s="140">
        <v>7</v>
      </c>
      <c r="BA3" s="141">
        <v>3</v>
      </c>
    </row>
    <row r="4" spans="1:99" ht="30" customHeight="1">
      <c r="A4" s="131"/>
      <c r="B4" s="142" t="s">
        <v>39</v>
      </c>
      <c r="C4" s="228">
        <v>4.5</v>
      </c>
      <c r="D4" s="228">
        <v>4.5</v>
      </c>
      <c r="E4" s="228">
        <v>4.5</v>
      </c>
      <c r="F4" s="228">
        <v>4.5</v>
      </c>
      <c r="G4" s="228">
        <v>4.5</v>
      </c>
      <c r="H4" s="228">
        <v>4.75</v>
      </c>
      <c r="I4" s="228">
        <v>5</v>
      </c>
      <c r="J4" s="228">
        <v>5</v>
      </c>
      <c r="K4" s="228">
        <v>5</v>
      </c>
      <c r="L4" s="228">
        <v>5</v>
      </c>
      <c r="M4" s="228">
        <v>5</v>
      </c>
      <c r="N4" s="228">
        <v>5</v>
      </c>
      <c r="O4" s="138">
        <v>5</v>
      </c>
      <c r="P4" s="138">
        <v>5</v>
      </c>
      <c r="Q4" s="138">
        <v>5</v>
      </c>
      <c r="R4" s="138">
        <v>5</v>
      </c>
      <c r="S4" s="138">
        <v>5</v>
      </c>
      <c r="T4" s="138">
        <v>4.75</v>
      </c>
      <c r="U4" s="138">
        <v>4.5</v>
      </c>
      <c r="V4" s="138">
        <v>4.5</v>
      </c>
      <c r="W4" s="138">
        <v>4.25</v>
      </c>
      <c r="X4" s="138">
        <v>3.75</v>
      </c>
      <c r="Y4" s="138">
        <v>3.75</v>
      </c>
      <c r="Z4" s="138">
        <v>3.25</v>
      </c>
      <c r="AA4" s="138">
        <v>3</v>
      </c>
      <c r="AB4" s="138">
        <v>3</v>
      </c>
      <c r="AC4" s="138">
        <v>2.75</v>
      </c>
      <c r="AD4" s="138">
        <v>2.75</v>
      </c>
      <c r="AE4" s="138">
        <v>2.75</v>
      </c>
      <c r="AF4" s="138">
        <v>2.75</v>
      </c>
      <c r="AG4" s="138">
        <v>2.75</v>
      </c>
      <c r="AH4" s="138">
        <v>2.75</v>
      </c>
      <c r="AI4" s="138">
        <v>2.5</v>
      </c>
      <c r="AJ4" s="138">
        <v>2.25</v>
      </c>
      <c r="AK4" s="138">
        <v>2.25</v>
      </c>
      <c r="AL4" s="138">
        <v>2.25</v>
      </c>
      <c r="AM4" s="138">
        <v>2.25</v>
      </c>
      <c r="AN4" s="138">
        <v>2.25</v>
      </c>
      <c r="AO4" s="138">
        <v>2.25</v>
      </c>
      <c r="AP4" s="138">
        <v>2.25</v>
      </c>
      <c r="AQ4" s="138">
        <v>2.25</v>
      </c>
      <c r="AR4" s="138">
        <v>2.25</v>
      </c>
      <c r="AS4" s="138">
        <v>2.25</v>
      </c>
      <c r="AT4" s="139">
        <v>2.25</v>
      </c>
      <c r="AU4" s="139">
        <v>2.25</v>
      </c>
      <c r="AV4" s="139">
        <v>2.25</v>
      </c>
      <c r="AW4" s="139">
        <v>2.25</v>
      </c>
      <c r="AX4" s="2" t="s">
        <v>100</v>
      </c>
      <c r="AZ4" s="143">
        <v>6.5</v>
      </c>
      <c r="BA4" s="144">
        <v>4</v>
      </c>
    </row>
    <row r="5" spans="1:99" ht="30" customHeight="1">
      <c r="A5" s="131"/>
      <c r="B5" s="142" t="s">
        <v>40</v>
      </c>
      <c r="C5" s="138">
        <v>-0.1</v>
      </c>
      <c r="D5" s="138">
        <v>-0.1</v>
      </c>
      <c r="E5" s="138">
        <v>-0.1</v>
      </c>
      <c r="F5" s="138">
        <v>-0.1</v>
      </c>
      <c r="G5" s="138">
        <v>-0.1</v>
      </c>
      <c r="H5" s="138">
        <v>-0.1</v>
      </c>
      <c r="I5" s="138">
        <v>-0.1</v>
      </c>
      <c r="J5" s="138">
        <v>-0.1</v>
      </c>
      <c r="K5" s="138">
        <v>-0.1</v>
      </c>
      <c r="L5" s="138">
        <v>-0.1</v>
      </c>
      <c r="M5" s="138">
        <v>-0.1</v>
      </c>
      <c r="N5" s="138">
        <v>-0.1</v>
      </c>
      <c r="O5" s="138">
        <v>-0.1</v>
      </c>
      <c r="P5" s="138">
        <v>-0.1</v>
      </c>
      <c r="Q5" s="138">
        <v>0.1</v>
      </c>
      <c r="R5" s="138">
        <v>0.1</v>
      </c>
      <c r="S5" s="138">
        <v>0.1</v>
      </c>
      <c r="T5" s="138">
        <v>0.1</v>
      </c>
      <c r="U5" s="138">
        <v>0.25</v>
      </c>
      <c r="V5" s="138">
        <v>0.25</v>
      </c>
      <c r="W5" s="138">
        <v>0.25</v>
      </c>
      <c r="X5" s="138">
        <v>0.25</v>
      </c>
      <c r="Y5" s="138">
        <v>0.25</v>
      </c>
      <c r="Z5" s="138">
        <v>0.25</v>
      </c>
      <c r="AA5" s="138">
        <v>0.5</v>
      </c>
      <c r="AB5" s="138">
        <v>0.5</v>
      </c>
      <c r="AC5" s="138">
        <v>0.5</v>
      </c>
      <c r="AD5" s="138">
        <v>0.5</v>
      </c>
      <c r="AE5" s="138">
        <v>0.5</v>
      </c>
      <c r="AF5" s="138">
        <v>0.5</v>
      </c>
      <c r="AG5" s="138">
        <v>0.5</v>
      </c>
      <c r="AH5" s="138">
        <v>0.5</v>
      </c>
      <c r="AI5" s="138">
        <v>0.5</v>
      </c>
      <c r="AJ5" s="138">
        <v>0.5</v>
      </c>
      <c r="AK5" s="138">
        <v>0.5</v>
      </c>
      <c r="AL5" s="138">
        <v>0.75</v>
      </c>
      <c r="AM5" s="138">
        <v>0.75</v>
      </c>
      <c r="AN5" s="138">
        <v>0.75</v>
      </c>
      <c r="AO5" s="138">
        <v>0.75</v>
      </c>
      <c r="AP5" s="138">
        <v>0.75</v>
      </c>
      <c r="AQ5" s="138">
        <v>0.75</v>
      </c>
      <c r="AR5" s="138">
        <v>1</v>
      </c>
      <c r="AS5" s="138">
        <v>1</v>
      </c>
      <c r="AT5" s="139">
        <v>1</v>
      </c>
      <c r="AU5" s="139">
        <v>1</v>
      </c>
      <c r="AV5" s="139">
        <v>1</v>
      </c>
      <c r="AW5" s="139">
        <v>1.25</v>
      </c>
      <c r="AX5" s="2" t="s">
        <v>99</v>
      </c>
      <c r="AZ5" s="143">
        <v>6</v>
      </c>
      <c r="BA5" s="144">
        <v>5</v>
      </c>
    </row>
    <row r="6" spans="1:99" ht="30" customHeight="1">
      <c r="A6" s="131"/>
      <c r="B6" s="142" t="s">
        <v>41</v>
      </c>
      <c r="C6" s="228">
        <v>1</v>
      </c>
      <c r="D6" s="228">
        <v>1</v>
      </c>
      <c r="E6" s="228">
        <v>1.5</v>
      </c>
      <c r="F6" s="228">
        <v>1.5</v>
      </c>
      <c r="G6" s="228">
        <v>1.5</v>
      </c>
      <c r="H6" s="228">
        <v>1.75</v>
      </c>
      <c r="I6" s="228">
        <v>1.75</v>
      </c>
      <c r="J6" s="228">
        <v>1.75</v>
      </c>
      <c r="K6" s="228">
        <v>1.75</v>
      </c>
      <c r="L6" s="228">
        <v>1.75</v>
      </c>
      <c r="M6" s="228">
        <v>1.75</v>
      </c>
      <c r="N6" s="228">
        <v>1.75</v>
      </c>
      <c r="O6" s="145">
        <v>1.75</v>
      </c>
      <c r="P6" s="145">
        <v>1.75</v>
      </c>
      <c r="Q6" s="146">
        <v>1.5</v>
      </c>
      <c r="R6" s="146">
        <v>1.5</v>
      </c>
      <c r="S6" s="146">
        <v>1.5</v>
      </c>
      <c r="T6" s="146">
        <v>1.25</v>
      </c>
      <c r="U6" s="146">
        <v>1.25</v>
      </c>
      <c r="V6" s="146">
        <v>1.25</v>
      </c>
      <c r="W6" s="146">
        <v>1</v>
      </c>
      <c r="X6" s="146">
        <v>1</v>
      </c>
      <c r="Y6" s="146">
        <v>1</v>
      </c>
      <c r="Z6" s="146">
        <v>0.5</v>
      </c>
      <c r="AA6" s="146">
        <v>0.5</v>
      </c>
      <c r="AB6" s="146">
        <v>0.5</v>
      </c>
      <c r="AC6" s="146">
        <v>0.25</v>
      </c>
      <c r="AD6" s="146">
        <v>0.25</v>
      </c>
      <c r="AE6" s="146">
        <v>0.25</v>
      </c>
      <c r="AF6" s="146">
        <v>0</v>
      </c>
      <c r="AG6" s="146">
        <v>0</v>
      </c>
      <c r="AH6" s="146">
        <v>0</v>
      </c>
      <c r="AI6" s="146">
        <v>0</v>
      </c>
      <c r="AJ6" s="146">
        <v>0</v>
      </c>
      <c r="AK6" s="146">
        <v>0</v>
      </c>
      <c r="AL6" s="146">
        <v>0</v>
      </c>
      <c r="AM6" s="146">
        <v>0</v>
      </c>
      <c r="AN6" s="146">
        <v>0</v>
      </c>
      <c r="AO6" s="190">
        <v>0</v>
      </c>
      <c r="AP6" s="190">
        <v>0</v>
      </c>
      <c r="AQ6" s="190">
        <v>0</v>
      </c>
      <c r="AR6" s="190">
        <v>0</v>
      </c>
      <c r="AS6" s="190">
        <v>0</v>
      </c>
      <c r="AT6" s="147">
        <v>0</v>
      </c>
      <c r="AU6" s="147">
        <v>0</v>
      </c>
      <c r="AV6" s="147">
        <v>0</v>
      </c>
      <c r="AW6" s="147">
        <v>0</v>
      </c>
      <c r="AX6" s="2" t="s">
        <v>100</v>
      </c>
      <c r="AZ6" s="143">
        <v>5.5</v>
      </c>
      <c r="BA6" s="144">
        <v>6</v>
      </c>
    </row>
    <row r="7" spans="1:99" ht="30" customHeight="1">
      <c r="A7" s="131"/>
      <c r="B7" s="142" t="s">
        <v>74</v>
      </c>
      <c r="C7" s="228">
        <v>4.25</v>
      </c>
      <c r="D7" s="228">
        <v>4.75</v>
      </c>
      <c r="E7" s="228">
        <v>4.75</v>
      </c>
      <c r="F7" s="228">
        <v>5.25</v>
      </c>
      <c r="G7" s="228">
        <v>5.5</v>
      </c>
      <c r="H7" s="228">
        <v>5.5</v>
      </c>
      <c r="I7" s="228">
        <v>5.5</v>
      </c>
      <c r="J7" s="228">
        <v>5.5</v>
      </c>
      <c r="K7" s="228">
        <v>5.5</v>
      </c>
      <c r="L7" s="228">
        <v>5.5</v>
      </c>
      <c r="M7" s="228">
        <v>5.5</v>
      </c>
      <c r="N7" s="228">
        <v>5.5</v>
      </c>
      <c r="O7" s="145">
        <v>5.5</v>
      </c>
      <c r="P7" s="145">
        <v>5.5</v>
      </c>
      <c r="Q7" s="145">
        <v>5.5</v>
      </c>
      <c r="R7" s="145">
        <v>5.5</v>
      </c>
      <c r="S7" s="145">
        <v>5.5</v>
      </c>
      <c r="T7" s="145">
        <v>5.5</v>
      </c>
      <c r="U7" s="145">
        <v>5.5</v>
      </c>
      <c r="V7" s="145">
        <v>5.25</v>
      </c>
      <c r="W7" s="145">
        <v>4.75</v>
      </c>
      <c r="X7" s="145">
        <v>4.75</v>
      </c>
      <c r="Y7" s="146">
        <v>4.25</v>
      </c>
      <c r="Z7" s="146">
        <v>4.25</v>
      </c>
      <c r="AA7" s="146">
        <v>4.25</v>
      </c>
      <c r="AB7" s="146">
        <v>3.75</v>
      </c>
      <c r="AC7" s="146">
        <v>3.75</v>
      </c>
      <c r="AD7" s="146">
        <v>3.5</v>
      </c>
      <c r="AE7" s="146">
        <v>3.25</v>
      </c>
      <c r="AF7" s="146">
        <v>3.25</v>
      </c>
      <c r="AG7" s="146">
        <v>3.25</v>
      </c>
      <c r="AH7" s="146">
        <v>3</v>
      </c>
      <c r="AI7" s="146">
        <v>3</v>
      </c>
      <c r="AJ7" s="146">
        <v>2.5</v>
      </c>
      <c r="AK7" s="146">
        <v>2.25</v>
      </c>
      <c r="AL7" s="146">
        <v>2.25</v>
      </c>
      <c r="AM7" s="146">
        <v>2.25</v>
      </c>
      <c r="AN7" s="146">
        <v>2.25</v>
      </c>
      <c r="AO7" s="146">
        <v>2.25</v>
      </c>
      <c r="AP7" s="146">
        <v>2.25</v>
      </c>
      <c r="AQ7" s="190">
        <v>2.25</v>
      </c>
      <c r="AR7" s="190">
        <v>2.25</v>
      </c>
      <c r="AS7" s="190">
        <v>2.5</v>
      </c>
      <c r="AT7" s="147">
        <v>2.5</v>
      </c>
      <c r="AU7" s="147">
        <v>2.75</v>
      </c>
      <c r="AV7" s="147">
        <v>2.75</v>
      </c>
      <c r="AW7" s="147">
        <v>3</v>
      </c>
      <c r="AX7" s="2" t="s">
        <v>99</v>
      </c>
      <c r="AZ7" s="143">
        <v>5</v>
      </c>
      <c r="BA7" s="144">
        <v>10</v>
      </c>
    </row>
    <row r="8" spans="1:99" ht="30" customHeight="1">
      <c r="A8" s="131"/>
      <c r="B8" s="142" t="s">
        <v>43</v>
      </c>
      <c r="C8" s="229">
        <v>3.5</v>
      </c>
      <c r="D8" s="229">
        <v>4</v>
      </c>
      <c r="E8" s="229">
        <v>4.25</v>
      </c>
      <c r="F8" s="229">
        <v>4.25</v>
      </c>
      <c r="G8" s="229">
        <v>4.5</v>
      </c>
      <c r="H8" s="229">
        <v>5</v>
      </c>
      <c r="I8" s="229">
        <v>5</v>
      </c>
      <c r="J8" s="229">
        <v>5.25</v>
      </c>
      <c r="K8" s="229">
        <v>5.25</v>
      </c>
      <c r="L8" s="229">
        <v>5.25</v>
      </c>
      <c r="M8" s="229">
        <v>5.25</v>
      </c>
      <c r="N8" s="229">
        <v>5.25</v>
      </c>
      <c r="O8" s="145">
        <v>5.25</v>
      </c>
      <c r="P8" s="145">
        <v>5.25</v>
      </c>
      <c r="Q8" s="145">
        <v>5.25</v>
      </c>
      <c r="R8" s="145">
        <v>5.25</v>
      </c>
      <c r="S8" s="145">
        <v>5.25</v>
      </c>
      <c r="T8" s="145">
        <v>5.25</v>
      </c>
      <c r="U8" s="145">
        <v>5.25</v>
      </c>
      <c r="V8" s="138">
        <v>5</v>
      </c>
      <c r="W8" s="138">
        <v>5</v>
      </c>
      <c r="X8" s="138">
        <v>5</v>
      </c>
      <c r="Y8" s="138">
        <v>4.75</v>
      </c>
      <c r="Z8" s="138">
        <v>4.75</v>
      </c>
      <c r="AA8" s="138">
        <v>4.75</v>
      </c>
      <c r="AB8" s="138">
        <v>4.5</v>
      </c>
      <c r="AC8" s="138">
        <v>4.5</v>
      </c>
      <c r="AD8" s="138">
        <v>4.5</v>
      </c>
      <c r="AE8" s="138">
        <v>4.25</v>
      </c>
      <c r="AF8" s="138">
        <v>4.25</v>
      </c>
      <c r="AG8" s="138">
        <v>4.25</v>
      </c>
      <c r="AH8" s="138">
        <v>4</v>
      </c>
      <c r="AI8" s="138">
        <v>4</v>
      </c>
      <c r="AJ8" s="138">
        <v>4</v>
      </c>
      <c r="AK8" s="138">
        <v>4</v>
      </c>
      <c r="AL8" s="138">
        <v>3.75</v>
      </c>
      <c r="AM8" s="138">
        <v>3.75</v>
      </c>
      <c r="AN8" s="138">
        <v>3.75</v>
      </c>
      <c r="AO8" s="138">
        <v>3.75</v>
      </c>
      <c r="AP8" s="138">
        <v>3.75</v>
      </c>
      <c r="AQ8" s="138">
        <v>3.75</v>
      </c>
      <c r="AR8" s="138">
        <v>3.75</v>
      </c>
      <c r="AS8" s="138">
        <v>3.75</v>
      </c>
      <c r="AT8" s="139">
        <v>3.75</v>
      </c>
      <c r="AU8" s="139">
        <v>3.75</v>
      </c>
      <c r="AV8" s="139">
        <v>3.75</v>
      </c>
      <c r="AW8" s="139">
        <v>3.75</v>
      </c>
      <c r="AX8" s="2" t="s">
        <v>99</v>
      </c>
      <c r="AZ8" s="143">
        <v>4.5</v>
      </c>
      <c r="BA8" s="144">
        <v>9</v>
      </c>
    </row>
    <row r="9" spans="1:99" ht="30" customHeight="1">
      <c r="A9" s="131"/>
      <c r="B9" s="148" t="s">
        <v>44</v>
      </c>
      <c r="C9" s="229">
        <v>4.5</v>
      </c>
      <c r="D9" s="229">
        <v>4.75</v>
      </c>
      <c r="E9" s="229">
        <v>5</v>
      </c>
      <c r="F9" s="229">
        <v>5</v>
      </c>
      <c r="G9" s="229">
        <v>5.25</v>
      </c>
      <c r="H9" s="229">
        <v>5.25</v>
      </c>
      <c r="I9" s="229">
        <v>5.5</v>
      </c>
      <c r="J9" s="229">
        <v>5.5</v>
      </c>
      <c r="K9" s="229">
        <v>5.5</v>
      </c>
      <c r="L9" s="229">
        <v>5.5</v>
      </c>
      <c r="M9" s="229">
        <v>5.5</v>
      </c>
      <c r="N9" s="229">
        <v>5.5</v>
      </c>
      <c r="O9" s="138">
        <v>5.5</v>
      </c>
      <c r="P9" s="138">
        <v>5.5</v>
      </c>
      <c r="Q9" s="138">
        <v>5.5</v>
      </c>
      <c r="R9" s="138">
        <v>5.5</v>
      </c>
      <c r="S9" s="138">
        <v>5.5</v>
      </c>
      <c r="T9" s="138">
        <v>5.5</v>
      </c>
      <c r="U9" s="138">
        <v>5.5</v>
      </c>
      <c r="V9" s="138">
        <v>5.5</v>
      </c>
      <c r="W9" s="138">
        <v>5</v>
      </c>
      <c r="X9" s="138">
        <v>5</v>
      </c>
      <c r="Y9" s="138">
        <v>4.75</v>
      </c>
      <c r="Z9" s="138">
        <v>4.5</v>
      </c>
      <c r="AA9" s="138">
        <v>4.5</v>
      </c>
      <c r="AB9" s="138">
        <v>4.5</v>
      </c>
      <c r="AC9" s="138">
        <v>4.5</v>
      </c>
      <c r="AD9" s="138">
        <v>4.5</v>
      </c>
      <c r="AE9" s="138">
        <v>4.5</v>
      </c>
      <c r="AF9" s="138">
        <v>4.5</v>
      </c>
      <c r="AG9" s="138">
        <v>4.5</v>
      </c>
      <c r="AH9" s="138">
        <v>4.5</v>
      </c>
      <c r="AI9" s="138">
        <v>4.25</v>
      </c>
      <c r="AJ9" s="138">
        <v>4</v>
      </c>
      <c r="AK9" s="138">
        <v>4</v>
      </c>
      <c r="AL9" s="138">
        <v>3.75</v>
      </c>
      <c r="AM9" s="138">
        <v>3.75</v>
      </c>
      <c r="AN9" s="138">
        <v>3.75</v>
      </c>
      <c r="AO9" s="138">
        <v>3.75</v>
      </c>
      <c r="AP9" s="138">
        <v>3.75</v>
      </c>
      <c r="AQ9" s="138">
        <v>3.75</v>
      </c>
      <c r="AR9" s="138">
        <v>3.75</v>
      </c>
      <c r="AS9" s="138">
        <v>3.75</v>
      </c>
      <c r="AT9" s="139">
        <v>3.75</v>
      </c>
      <c r="AU9" s="139">
        <v>3.75</v>
      </c>
      <c r="AV9" s="139">
        <v>4</v>
      </c>
      <c r="AW9" s="139">
        <v>4</v>
      </c>
      <c r="AX9" s="2" t="s">
        <v>99</v>
      </c>
      <c r="AZ9" s="143">
        <v>4</v>
      </c>
      <c r="BA9" s="144">
        <v>8</v>
      </c>
    </row>
    <row r="10" spans="1:99" ht="30" customHeight="1">
      <c r="A10" s="131"/>
      <c r="B10" s="149" t="s">
        <v>13</v>
      </c>
      <c r="C10" s="229">
        <v>2.5</v>
      </c>
      <c r="D10" s="229">
        <v>3</v>
      </c>
      <c r="E10" s="229">
        <v>3.5</v>
      </c>
      <c r="F10" s="229">
        <v>3.5</v>
      </c>
      <c r="G10" s="229">
        <v>3.75</v>
      </c>
      <c r="H10" s="229">
        <v>4</v>
      </c>
      <c r="I10" s="229">
        <v>4.25</v>
      </c>
      <c r="J10" s="229">
        <v>4.25</v>
      </c>
      <c r="K10" s="229">
        <v>4.5</v>
      </c>
      <c r="L10" s="229">
        <v>4.5</v>
      </c>
      <c r="M10" s="229">
        <v>4.5</v>
      </c>
      <c r="N10" s="229">
        <v>4.5</v>
      </c>
      <c r="O10" s="150">
        <v>4.5</v>
      </c>
      <c r="P10" s="150">
        <v>4.5</v>
      </c>
      <c r="Q10" s="150">
        <v>4.5</v>
      </c>
      <c r="R10" s="150">
        <v>4.5</v>
      </c>
      <c r="S10" s="150">
        <v>4.5</v>
      </c>
      <c r="T10" s="150">
        <v>4.25</v>
      </c>
      <c r="U10" s="150">
        <v>4.25</v>
      </c>
      <c r="V10" s="150">
        <v>4.25</v>
      </c>
      <c r="W10" s="150">
        <v>3.65</v>
      </c>
      <c r="X10" s="150">
        <v>3.4</v>
      </c>
      <c r="Y10" s="150">
        <v>3.4</v>
      </c>
      <c r="Z10" s="150">
        <v>3.15</v>
      </c>
      <c r="AA10" s="150">
        <v>2.9</v>
      </c>
      <c r="AB10" s="150">
        <v>2.9</v>
      </c>
      <c r="AC10" s="150">
        <v>2.65</v>
      </c>
      <c r="AD10" s="150">
        <v>2.4</v>
      </c>
      <c r="AE10" s="150">
        <v>2.4</v>
      </c>
      <c r="AF10" s="150">
        <v>2.15</v>
      </c>
      <c r="AG10" s="150">
        <v>2.15</v>
      </c>
      <c r="AH10" s="150">
        <v>2.15</v>
      </c>
      <c r="AI10" s="150">
        <v>2.15</v>
      </c>
      <c r="AJ10" s="150">
        <v>2.15</v>
      </c>
      <c r="AK10" s="150">
        <v>2.15</v>
      </c>
      <c r="AL10" s="150">
        <v>2.15</v>
      </c>
      <c r="AM10" s="150">
        <v>2.15</v>
      </c>
      <c r="AN10" s="150">
        <v>2.15</v>
      </c>
      <c r="AO10" s="150">
        <v>2.15</v>
      </c>
      <c r="AP10" s="150">
        <v>2.15</v>
      </c>
      <c r="AQ10" s="150">
        <v>2.15</v>
      </c>
      <c r="AR10" s="150">
        <v>2.4</v>
      </c>
      <c r="AS10" s="150">
        <v>2.4</v>
      </c>
      <c r="AT10" s="151">
        <v>2.4</v>
      </c>
      <c r="AU10" s="151">
        <v>2.65</v>
      </c>
      <c r="AV10" s="151">
        <v>2.65</v>
      </c>
      <c r="AW10" s="151">
        <v>2.65</v>
      </c>
      <c r="AX10" s="2" t="s">
        <v>99</v>
      </c>
      <c r="AZ10" s="143">
        <v>3.5</v>
      </c>
      <c r="BA10" s="144">
        <v>7</v>
      </c>
    </row>
    <row r="11" spans="1:99" ht="14.5" customHeight="1">
      <c r="AZ11" s="143">
        <v>3</v>
      </c>
      <c r="BA11" s="144">
        <v>6</v>
      </c>
    </row>
    <row r="12" spans="1:99" ht="14.5" customHeight="1">
      <c r="AA12" s="82"/>
      <c r="AB12" s="82"/>
      <c r="AC12" s="82"/>
      <c r="AD12" s="82"/>
      <c r="AE12" s="82"/>
      <c r="AF12" s="152"/>
      <c r="AZ12" s="143">
        <v>2.5</v>
      </c>
      <c r="BA12" s="144">
        <v>5</v>
      </c>
    </row>
    <row r="13" spans="1:99" ht="14.5" customHeight="1">
      <c r="AZ13" s="143">
        <v>2</v>
      </c>
      <c r="BA13" s="144">
        <v>4</v>
      </c>
    </row>
    <row r="14" spans="1:99" ht="24" customHeight="1">
      <c r="B14" s="153" t="s">
        <v>75</v>
      </c>
      <c r="C14" s="135">
        <v>44927</v>
      </c>
      <c r="D14" s="135">
        <v>44958</v>
      </c>
      <c r="E14" s="135">
        <v>44986</v>
      </c>
      <c r="F14" s="135">
        <v>45017</v>
      </c>
      <c r="G14" s="135">
        <v>45047</v>
      </c>
      <c r="H14" s="135">
        <v>45078</v>
      </c>
      <c r="I14" s="135">
        <v>45108</v>
      </c>
      <c r="J14" s="135">
        <v>45139</v>
      </c>
      <c r="K14" s="135">
        <v>45170</v>
      </c>
      <c r="L14" s="135">
        <v>45200</v>
      </c>
      <c r="M14" s="135">
        <v>45231</v>
      </c>
      <c r="N14" s="135">
        <v>45261</v>
      </c>
      <c r="O14" s="135">
        <v>45292</v>
      </c>
      <c r="P14" s="135">
        <v>45323</v>
      </c>
      <c r="Q14" s="135">
        <v>45352</v>
      </c>
      <c r="AZ14" s="143">
        <v>1.5</v>
      </c>
      <c r="BA14" s="144">
        <v>3</v>
      </c>
    </row>
    <row r="15" spans="1:99" ht="25" customHeight="1">
      <c r="B15" s="154" t="s">
        <v>16</v>
      </c>
      <c r="C15" s="155">
        <f t="shared" ref="C15:N15" si="0">C9-C5</f>
        <v>4.5999999999999996</v>
      </c>
      <c r="D15" s="155">
        <f t="shared" si="0"/>
        <v>4.8499999999999996</v>
      </c>
      <c r="E15" s="155">
        <f t="shared" si="0"/>
        <v>5.0999999999999996</v>
      </c>
      <c r="F15" s="155">
        <f t="shared" si="0"/>
        <v>5.0999999999999996</v>
      </c>
      <c r="G15" s="155">
        <f t="shared" si="0"/>
        <v>5.35</v>
      </c>
      <c r="H15" s="155">
        <f t="shared" si="0"/>
        <v>5.35</v>
      </c>
      <c r="I15" s="155">
        <f t="shared" si="0"/>
        <v>5.6</v>
      </c>
      <c r="J15" s="155">
        <f t="shared" si="0"/>
        <v>5.6</v>
      </c>
      <c r="K15" s="155">
        <f t="shared" si="0"/>
        <v>5.6</v>
      </c>
      <c r="L15" s="155">
        <f t="shared" si="0"/>
        <v>5.6</v>
      </c>
      <c r="M15" s="155">
        <f t="shared" si="0"/>
        <v>5.6</v>
      </c>
      <c r="N15" s="155">
        <f t="shared" si="0"/>
        <v>5.6</v>
      </c>
      <c r="O15" s="155">
        <f>O9-O5</f>
        <v>5.6</v>
      </c>
      <c r="P15" s="155">
        <f t="shared" ref="P15:AX15" si="1">P9-P5</f>
        <v>5.6</v>
      </c>
      <c r="Q15" s="155">
        <f t="shared" si="1"/>
        <v>5.4</v>
      </c>
      <c r="R15" s="155">
        <f t="shared" si="1"/>
        <v>5.4</v>
      </c>
      <c r="S15" s="155">
        <f t="shared" si="1"/>
        <v>5.4</v>
      </c>
      <c r="T15" s="155">
        <f t="shared" si="1"/>
        <v>5.4</v>
      </c>
      <c r="U15" s="155">
        <f t="shared" si="1"/>
        <v>5.25</v>
      </c>
      <c r="V15" s="155">
        <f t="shared" si="1"/>
        <v>5.25</v>
      </c>
      <c r="W15" s="155">
        <f t="shared" si="1"/>
        <v>4.75</v>
      </c>
      <c r="X15" s="155">
        <f t="shared" si="1"/>
        <v>4.75</v>
      </c>
      <c r="Y15" s="155">
        <f t="shared" si="1"/>
        <v>4.5</v>
      </c>
      <c r="Z15" s="155">
        <f t="shared" si="1"/>
        <v>4.25</v>
      </c>
      <c r="AA15" s="155">
        <f t="shared" si="1"/>
        <v>4</v>
      </c>
      <c r="AB15" s="155">
        <f t="shared" si="1"/>
        <v>4</v>
      </c>
      <c r="AC15" s="155">
        <f t="shared" si="1"/>
        <v>4</v>
      </c>
      <c r="AD15" s="155">
        <f t="shared" si="1"/>
        <v>4</v>
      </c>
      <c r="AE15" s="155">
        <f t="shared" si="1"/>
        <v>4</v>
      </c>
      <c r="AF15" s="155">
        <f t="shared" si="1"/>
        <v>4</v>
      </c>
      <c r="AG15" s="155">
        <f t="shared" si="1"/>
        <v>4</v>
      </c>
      <c r="AH15" s="155">
        <f t="shared" si="1"/>
        <v>4</v>
      </c>
      <c r="AI15" s="155">
        <f t="shared" si="1"/>
        <v>3.75</v>
      </c>
      <c r="AJ15" s="155">
        <f t="shared" si="1"/>
        <v>3.5</v>
      </c>
      <c r="AK15" s="155">
        <f t="shared" si="1"/>
        <v>3.5</v>
      </c>
      <c r="AL15" s="155">
        <f t="shared" si="1"/>
        <v>3</v>
      </c>
      <c r="AM15" s="155">
        <f t="shared" si="1"/>
        <v>3</v>
      </c>
      <c r="AN15" s="155">
        <f t="shared" si="1"/>
        <v>3</v>
      </c>
      <c r="AO15" s="156">
        <f t="shared" si="1"/>
        <v>3</v>
      </c>
      <c r="AP15" s="156">
        <f t="shared" si="1"/>
        <v>3</v>
      </c>
      <c r="AQ15" s="156">
        <f t="shared" si="1"/>
        <v>3</v>
      </c>
      <c r="AR15" s="156">
        <f t="shared" si="1"/>
        <v>2.75</v>
      </c>
      <c r="AS15" s="156">
        <f t="shared" si="1"/>
        <v>2.75</v>
      </c>
      <c r="AT15" s="156">
        <f t="shared" si="1"/>
        <v>2.75</v>
      </c>
      <c r="AU15" s="156">
        <f t="shared" si="1"/>
        <v>2.75</v>
      </c>
      <c r="AV15" s="156">
        <f t="shared" si="1"/>
        <v>3</v>
      </c>
      <c r="AW15" s="156">
        <f t="shared" si="1"/>
        <v>2.75</v>
      </c>
      <c r="AX15" s="156" t="e">
        <f t="shared" si="1"/>
        <v>#VALUE!</v>
      </c>
      <c r="AZ15" s="143">
        <v>1</v>
      </c>
      <c r="BA15" s="144">
        <v>2</v>
      </c>
    </row>
    <row r="16" spans="1:99" ht="25" customHeight="1">
      <c r="B16" s="157" t="s">
        <v>46</v>
      </c>
      <c r="C16" s="155">
        <f t="shared" ref="C16:N16" si="2">C9-C6</f>
        <v>3.5</v>
      </c>
      <c r="D16" s="155">
        <f t="shared" si="2"/>
        <v>3.75</v>
      </c>
      <c r="E16" s="155">
        <f t="shared" si="2"/>
        <v>3.5</v>
      </c>
      <c r="F16" s="155">
        <f t="shared" si="2"/>
        <v>3.5</v>
      </c>
      <c r="G16" s="155">
        <f t="shared" si="2"/>
        <v>3.75</v>
      </c>
      <c r="H16" s="155">
        <f t="shared" si="2"/>
        <v>3.5</v>
      </c>
      <c r="I16" s="155">
        <f t="shared" si="2"/>
        <v>3.75</v>
      </c>
      <c r="J16" s="155">
        <f t="shared" si="2"/>
        <v>3.75</v>
      </c>
      <c r="K16" s="155">
        <f t="shared" si="2"/>
        <v>3.75</v>
      </c>
      <c r="L16" s="155">
        <f t="shared" si="2"/>
        <v>3.75</v>
      </c>
      <c r="M16" s="155">
        <f t="shared" si="2"/>
        <v>3.75</v>
      </c>
      <c r="N16" s="155">
        <f t="shared" si="2"/>
        <v>3.75</v>
      </c>
      <c r="O16" s="155">
        <f>O9-O6</f>
        <v>3.75</v>
      </c>
      <c r="P16" s="155">
        <f t="shared" ref="P16:AX16" si="3">P9-P6</f>
        <v>3.75</v>
      </c>
      <c r="Q16" s="155">
        <f t="shared" si="3"/>
        <v>4</v>
      </c>
      <c r="R16" s="155">
        <f t="shared" si="3"/>
        <v>4</v>
      </c>
      <c r="S16" s="155">
        <f t="shared" si="3"/>
        <v>4</v>
      </c>
      <c r="T16" s="155">
        <f t="shared" si="3"/>
        <v>4.25</v>
      </c>
      <c r="U16" s="155">
        <f t="shared" si="3"/>
        <v>4.25</v>
      </c>
      <c r="V16" s="155">
        <f t="shared" si="3"/>
        <v>4.25</v>
      </c>
      <c r="W16" s="155">
        <f t="shared" si="3"/>
        <v>4</v>
      </c>
      <c r="X16" s="155">
        <f t="shared" si="3"/>
        <v>4</v>
      </c>
      <c r="Y16" s="155">
        <f t="shared" si="3"/>
        <v>3.75</v>
      </c>
      <c r="Z16" s="155">
        <f t="shared" si="3"/>
        <v>4</v>
      </c>
      <c r="AA16" s="155">
        <f t="shared" si="3"/>
        <v>4</v>
      </c>
      <c r="AB16" s="155">
        <f t="shared" si="3"/>
        <v>4</v>
      </c>
      <c r="AC16" s="155">
        <f t="shared" si="3"/>
        <v>4.25</v>
      </c>
      <c r="AD16" s="155">
        <f t="shared" si="3"/>
        <v>4.25</v>
      </c>
      <c r="AE16" s="155">
        <f t="shared" si="3"/>
        <v>4.25</v>
      </c>
      <c r="AF16" s="155">
        <f t="shared" si="3"/>
        <v>4.5</v>
      </c>
      <c r="AG16" s="155">
        <f t="shared" si="3"/>
        <v>4.5</v>
      </c>
      <c r="AH16" s="155">
        <f t="shared" si="3"/>
        <v>4.5</v>
      </c>
      <c r="AI16" s="155">
        <f t="shared" si="3"/>
        <v>4.25</v>
      </c>
      <c r="AJ16" s="155">
        <f t="shared" si="3"/>
        <v>4</v>
      </c>
      <c r="AK16" s="155">
        <f t="shared" si="3"/>
        <v>4</v>
      </c>
      <c r="AL16" s="155">
        <f t="shared" si="3"/>
        <v>3.75</v>
      </c>
      <c r="AM16" s="155">
        <f t="shared" si="3"/>
        <v>3.75</v>
      </c>
      <c r="AN16" s="155">
        <f t="shared" si="3"/>
        <v>3.75</v>
      </c>
      <c r="AO16" s="156">
        <f t="shared" si="3"/>
        <v>3.75</v>
      </c>
      <c r="AP16" s="156">
        <f t="shared" si="3"/>
        <v>3.75</v>
      </c>
      <c r="AQ16" s="156">
        <f t="shared" si="3"/>
        <v>3.75</v>
      </c>
      <c r="AR16" s="156">
        <f t="shared" si="3"/>
        <v>3.75</v>
      </c>
      <c r="AS16" s="156">
        <f t="shared" si="3"/>
        <v>3.75</v>
      </c>
      <c r="AT16" s="156">
        <f t="shared" si="3"/>
        <v>3.75</v>
      </c>
      <c r="AU16" s="156">
        <f t="shared" si="3"/>
        <v>3.75</v>
      </c>
      <c r="AV16" s="156">
        <f t="shared" si="3"/>
        <v>4</v>
      </c>
      <c r="AW16" s="156">
        <f t="shared" si="3"/>
        <v>4</v>
      </c>
      <c r="AX16" s="156" t="e">
        <f t="shared" si="3"/>
        <v>#VALUE!</v>
      </c>
      <c r="AZ16" s="143">
        <v>0.5</v>
      </c>
      <c r="BA16" s="144">
        <v>1</v>
      </c>
    </row>
    <row r="17" spans="2:53" ht="25" customHeight="1">
      <c r="B17" s="157" t="s">
        <v>17</v>
      </c>
      <c r="C17" s="155">
        <f t="shared" ref="C17:N17" si="4">C9-C4</f>
        <v>0</v>
      </c>
      <c r="D17" s="155">
        <f t="shared" si="4"/>
        <v>0.25</v>
      </c>
      <c r="E17" s="155">
        <f t="shared" si="4"/>
        <v>0.5</v>
      </c>
      <c r="F17" s="155">
        <f t="shared" si="4"/>
        <v>0.5</v>
      </c>
      <c r="G17" s="155">
        <f t="shared" si="4"/>
        <v>0.75</v>
      </c>
      <c r="H17" s="155">
        <f t="shared" si="4"/>
        <v>0.5</v>
      </c>
      <c r="I17" s="155">
        <f t="shared" si="4"/>
        <v>0.5</v>
      </c>
      <c r="J17" s="155">
        <f t="shared" si="4"/>
        <v>0.5</v>
      </c>
      <c r="K17" s="155">
        <f t="shared" si="4"/>
        <v>0.5</v>
      </c>
      <c r="L17" s="155">
        <f t="shared" si="4"/>
        <v>0.5</v>
      </c>
      <c r="M17" s="155">
        <f t="shared" si="4"/>
        <v>0.5</v>
      </c>
      <c r="N17" s="155">
        <f t="shared" si="4"/>
        <v>0.5</v>
      </c>
      <c r="O17" s="155">
        <f>O9-O4</f>
        <v>0.5</v>
      </c>
      <c r="P17" s="155">
        <f t="shared" ref="P17:AX17" si="5">P9-P4</f>
        <v>0.5</v>
      </c>
      <c r="Q17" s="155">
        <f t="shared" si="5"/>
        <v>0.5</v>
      </c>
      <c r="R17" s="155">
        <f t="shared" si="5"/>
        <v>0.5</v>
      </c>
      <c r="S17" s="155">
        <f t="shared" si="5"/>
        <v>0.5</v>
      </c>
      <c r="T17" s="155">
        <f t="shared" si="5"/>
        <v>0.75</v>
      </c>
      <c r="U17" s="155">
        <f t="shared" si="5"/>
        <v>1</v>
      </c>
      <c r="V17" s="155">
        <f t="shared" si="5"/>
        <v>1</v>
      </c>
      <c r="W17" s="155">
        <f t="shared" si="5"/>
        <v>0.75</v>
      </c>
      <c r="X17" s="155">
        <f t="shared" si="5"/>
        <v>1.25</v>
      </c>
      <c r="Y17" s="155">
        <f t="shared" si="5"/>
        <v>1</v>
      </c>
      <c r="Z17" s="155">
        <f t="shared" si="5"/>
        <v>1.25</v>
      </c>
      <c r="AA17" s="155">
        <f t="shared" si="5"/>
        <v>1.5</v>
      </c>
      <c r="AB17" s="155">
        <f t="shared" si="5"/>
        <v>1.5</v>
      </c>
      <c r="AC17" s="155">
        <f t="shared" si="5"/>
        <v>1.75</v>
      </c>
      <c r="AD17" s="155">
        <f t="shared" si="5"/>
        <v>1.75</v>
      </c>
      <c r="AE17" s="155">
        <f t="shared" si="5"/>
        <v>1.75</v>
      </c>
      <c r="AF17" s="155">
        <f t="shared" si="5"/>
        <v>1.75</v>
      </c>
      <c r="AG17" s="155">
        <f t="shared" si="5"/>
        <v>1.75</v>
      </c>
      <c r="AH17" s="155">
        <f t="shared" si="5"/>
        <v>1.75</v>
      </c>
      <c r="AI17" s="155">
        <f t="shared" si="5"/>
        <v>1.75</v>
      </c>
      <c r="AJ17" s="155">
        <f t="shared" si="5"/>
        <v>1.75</v>
      </c>
      <c r="AK17" s="155">
        <f t="shared" si="5"/>
        <v>1.75</v>
      </c>
      <c r="AL17" s="155">
        <f t="shared" si="5"/>
        <v>1.5</v>
      </c>
      <c r="AM17" s="155">
        <f t="shared" si="5"/>
        <v>1.5</v>
      </c>
      <c r="AN17" s="155">
        <f t="shared" si="5"/>
        <v>1.5</v>
      </c>
      <c r="AO17" s="156">
        <f t="shared" si="5"/>
        <v>1.5</v>
      </c>
      <c r="AP17" s="156">
        <f t="shared" si="5"/>
        <v>1.5</v>
      </c>
      <c r="AQ17" s="156">
        <f t="shared" si="5"/>
        <v>1.5</v>
      </c>
      <c r="AR17" s="156">
        <f t="shared" si="5"/>
        <v>1.5</v>
      </c>
      <c r="AS17" s="156">
        <f t="shared" si="5"/>
        <v>1.5</v>
      </c>
      <c r="AT17" s="156">
        <f t="shared" si="5"/>
        <v>1.5</v>
      </c>
      <c r="AU17" s="156">
        <f t="shared" si="5"/>
        <v>1.5</v>
      </c>
      <c r="AV17" s="156">
        <f t="shared" si="5"/>
        <v>1.75</v>
      </c>
      <c r="AW17" s="156">
        <f t="shared" si="5"/>
        <v>1.75</v>
      </c>
      <c r="AX17" s="156" t="e">
        <f t="shared" si="5"/>
        <v>#VALUE!</v>
      </c>
      <c r="AZ17" s="158">
        <v>0</v>
      </c>
      <c r="BA17" s="159">
        <v>0</v>
      </c>
    </row>
    <row r="18" spans="2:53" ht="25" customHeight="1">
      <c r="B18" s="160" t="s">
        <v>47</v>
      </c>
      <c r="C18" s="155">
        <f t="shared" ref="C18:N18" si="6">C10-C9</f>
        <v>-2</v>
      </c>
      <c r="D18" s="155">
        <f t="shared" si="6"/>
        <v>-1.75</v>
      </c>
      <c r="E18" s="155">
        <f t="shared" si="6"/>
        <v>-1.5</v>
      </c>
      <c r="F18" s="155">
        <f t="shared" si="6"/>
        <v>-1.5</v>
      </c>
      <c r="G18" s="155">
        <f t="shared" si="6"/>
        <v>-1.5</v>
      </c>
      <c r="H18" s="155">
        <f t="shared" si="6"/>
        <v>-1.25</v>
      </c>
      <c r="I18" s="155">
        <f t="shared" si="6"/>
        <v>-1.25</v>
      </c>
      <c r="J18" s="155">
        <f t="shared" si="6"/>
        <v>-1.25</v>
      </c>
      <c r="K18" s="155">
        <f t="shared" si="6"/>
        <v>-1</v>
      </c>
      <c r="L18" s="155">
        <f t="shared" si="6"/>
        <v>-1</v>
      </c>
      <c r="M18" s="155">
        <f t="shared" si="6"/>
        <v>-1</v>
      </c>
      <c r="N18" s="155">
        <f t="shared" si="6"/>
        <v>-1</v>
      </c>
      <c r="O18" s="155">
        <f>O10-O9</f>
        <v>-1</v>
      </c>
      <c r="P18" s="155">
        <f t="shared" ref="P18:AX18" si="7">P10-P9</f>
        <v>-1</v>
      </c>
      <c r="Q18" s="155">
        <f t="shared" si="7"/>
        <v>-1</v>
      </c>
      <c r="R18" s="155">
        <f t="shared" si="7"/>
        <v>-1</v>
      </c>
      <c r="S18" s="155">
        <f t="shared" si="7"/>
        <v>-1</v>
      </c>
      <c r="T18" s="155">
        <f t="shared" si="7"/>
        <v>-1.25</v>
      </c>
      <c r="U18" s="155">
        <f t="shared" si="7"/>
        <v>-1.25</v>
      </c>
      <c r="V18" s="155">
        <f t="shared" si="7"/>
        <v>-1.25</v>
      </c>
      <c r="W18" s="155">
        <f t="shared" si="7"/>
        <v>-1.35</v>
      </c>
      <c r="X18" s="155">
        <f t="shared" si="7"/>
        <v>-1.6</v>
      </c>
      <c r="Y18" s="155">
        <f t="shared" si="7"/>
        <v>-1.35</v>
      </c>
      <c r="Z18" s="155">
        <f t="shared" si="7"/>
        <v>-1.35</v>
      </c>
      <c r="AA18" s="155">
        <f t="shared" si="7"/>
        <v>-1.6</v>
      </c>
      <c r="AB18" s="155">
        <f t="shared" si="7"/>
        <v>-1.6</v>
      </c>
      <c r="AC18" s="155">
        <f t="shared" si="7"/>
        <v>-1.85</v>
      </c>
      <c r="AD18" s="155">
        <f t="shared" si="7"/>
        <v>-2.1</v>
      </c>
      <c r="AE18" s="155">
        <f t="shared" si="7"/>
        <v>-2.1</v>
      </c>
      <c r="AF18" s="155">
        <f t="shared" si="7"/>
        <v>-2.35</v>
      </c>
      <c r="AG18" s="155">
        <f t="shared" si="7"/>
        <v>-2.35</v>
      </c>
      <c r="AH18" s="155">
        <f t="shared" si="7"/>
        <v>-2.35</v>
      </c>
      <c r="AI18" s="155">
        <f t="shared" si="7"/>
        <v>-2.1</v>
      </c>
      <c r="AJ18" s="155">
        <f t="shared" si="7"/>
        <v>-1.85</v>
      </c>
      <c r="AK18" s="155">
        <f t="shared" si="7"/>
        <v>-1.85</v>
      </c>
      <c r="AL18" s="155">
        <f t="shared" si="7"/>
        <v>-1.6</v>
      </c>
      <c r="AM18" s="155">
        <f t="shared" si="7"/>
        <v>-1.6</v>
      </c>
      <c r="AN18" s="155">
        <f t="shared" si="7"/>
        <v>-1.6</v>
      </c>
      <c r="AO18" s="156">
        <f t="shared" si="7"/>
        <v>-1.6</v>
      </c>
      <c r="AP18" s="156">
        <f t="shared" si="7"/>
        <v>-1.6</v>
      </c>
      <c r="AQ18" s="156">
        <f t="shared" si="7"/>
        <v>-1.6</v>
      </c>
      <c r="AR18" s="156">
        <f t="shared" si="7"/>
        <v>-1.35</v>
      </c>
      <c r="AS18" s="156">
        <f t="shared" si="7"/>
        <v>-1.35</v>
      </c>
      <c r="AT18" s="156">
        <f t="shared" si="7"/>
        <v>-1.35</v>
      </c>
      <c r="AU18" s="156">
        <f t="shared" si="7"/>
        <v>-1.1000000000000001</v>
      </c>
      <c r="AV18" s="156">
        <f t="shared" si="7"/>
        <v>-1.35</v>
      </c>
      <c r="AW18" s="156">
        <f t="shared" si="7"/>
        <v>-1.35</v>
      </c>
      <c r="AX18" s="156" t="e">
        <f t="shared" si="7"/>
        <v>#VALUE!</v>
      </c>
      <c r="AZ18" s="143">
        <v>-0.5</v>
      </c>
      <c r="BA18" s="161">
        <v>-1</v>
      </c>
    </row>
    <row r="19" spans="2:53" ht="25" customHeight="1">
      <c r="B19" s="160" t="s">
        <v>14</v>
      </c>
      <c r="C19" s="155">
        <f t="shared" ref="C19:N19" si="8">C10-C5</f>
        <v>2.6</v>
      </c>
      <c r="D19" s="155">
        <f t="shared" si="8"/>
        <v>3.1</v>
      </c>
      <c r="E19" s="155">
        <f t="shared" si="8"/>
        <v>3.6</v>
      </c>
      <c r="F19" s="155">
        <f t="shared" si="8"/>
        <v>3.6</v>
      </c>
      <c r="G19" s="155">
        <f t="shared" si="8"/>
        <v>3.85</v>
      </c>
      <c r="H19" s="155">
        <f t="shared" si="8"/>
        <v>4.0999999999999996</v>
      </c>
      <c r="I19" s="155">
        <f t="shared" si="8"/>
        <v>4.3499999999999996</v>
      </c>
      <c r="J19" s="155">
        <f t="shared" si="8"/>
        <v>4.3499999999999996</v>
      </c>
      <c r="K19" s="155">
        <f t="shared" si="8"/>
        <v>4.5999999999999996</v>
      </c>
      <c r="L19" s="155">
        <f t="shared" si="8"/>
        <v>4.5999999999999996</v>
      </c>
      <c r="M19" s="155">
        <f t="shared" si="8"/>
        <v>4.5999999999999996</v>
      </c>
      <c r="N19" s="155">
        <f t="shared" si="8"/>
        <v>4.5999999999999996</v>
      </c>
      <c r="O19" s="155">
        <f>O10-O5</f>
        <v>4.5999999999999996</v>
      </c>
      <c r="P19" s="155">
        <f t="shared" ref="P19:AX19" si="9">P10-P5</f>
        <v>4.5999999999999996</v>
      </c>
      <c r="Q19" s="155">
        <f t="shared" si="9"/>
        <v>4.4000000000000004</v>
      </c>
      <c r="R19" s="155">
        <f t="shared" si="9"/>
        <v>4.4000000000000004</v>
      </c>
      <c r="S19" s="155">
        <f t="shared" si="9"/>
        <v>4.4000000000000004</v>
      </c>
      <c r="T19" s="155">
        <f t="shared" si="9"/>
        <v>4.1500000000000004</v>
      </c>
      <c r="U19" s="155">
        <f t="shared" si="9"/>
        <v>4</v>
      </c>
      <c r="V19" s="155">
        <f t="shared" si="9"/>
        <v>4</v>
      </c>
      <c r="W19" s="155">
        <f t="shared" si="9"/>
        <v>3.4</v>
      </c>
      <c r="X19" s="155">
        <f t="shared" si="9"/>
        <v>3.15</v>
      </c>
      <c r="Y19" s="155">
        <f t="shared" si="9"/>
        <v>3.15</v>
      </c>
      <c r="Z19" s="155">
        <f t="shared" si="9"/>
        <v>2.9</v>
      </c>
      <c r="AA19" s="155">
        <f t="shared" si="9"/>
        <v>2.4</v>
      </c>
      <c r="AB19" s="155">
        <f t="shared" si="9"/>
        <v>2.4</v>
      </c>
      <c r="AC19" s="155">
        <f t="shared" si="9"/>
        <v>2.15</v>
      </c>
      <c r="AD19" s="155">
        <f t="shared" si="9"/>
        <v>1.9</v>
      </c>
      <c r="AE19" s="155">
        <f t="shared" si="9"/>
        <v>1.9</v>
      </c>
      <c r="AF19" s="155">
        <f t="shared" si="9"/>
        <v>1.65</v>
      </c>
      <c r="AG19" s="155">
        <f t="shared" si="9"/>
        <v>1.65</v>
      </c>
      <c r="AH19" s="155">
        <f t="shared" si="9"/>
        <v>1.65</v>
      </c>
      <c r="AI19" s="155">
        <f t="shared" si="9"/>
        <v>1.65</v>
      </c>
      <c r="AJ19" s="155">
        <f t="shared" si="9"/>
        <v>1.65</v>
      </c>
      <c r="AK19" s="155">
        <f t="shared" si="9"/>
        <v>1.65</v>
      </c>
      <c r="AL19" s="155">
        <f t="shared" si="9"/>
        <v>1.4</v>
      </c>
      <c r="AM19" s="155">
        <f t="shared" si="9"/>
        <v>1.4</v>
      </c>
      <c r="AN19" s="155">
        <f t="shared" si="9"/>
        <v>1.4</v>
      </c>
      <c r="AO19" s="156">
        <f t="shared" si="9"/>
        <v>1.4</v>
      </c>
      <c r="AP19" s="156">
        <f t="shared" si="9"/>
        <v>1.4</v>
      </c>
      <c r="AQ19" s="156">
        <f t="shared" si="9"/>
        <v>1.4</v>
      </c>
      <c r="AR19" s="156">
        <f t="shared" si="9"/>
        <v>1.4</v>
      </c>
      <c r="AS19" s="156">
        <f t="shared" si="9"/>
        <v>1.4</v>
      </c>
      <c r="AT19" s="156">
        <f t="shared" si="9"/>
        <v>1.4</v>
      </c>
      <c r="AU19" s="156">
        <f t="shared" si="9"/>
        <v>1.65</v>
      </c>
      <c r="AV19" s="156">
        <f t="shared" si="9"/>
        <v>1.65</v>
      </c>
      <c r="AW19" s="156">
        <f t="shared" si="9"/>
        <v>1.4</v>
      </c>
      <c r="AX19" s="156" t="e">
        <f t="shared" si="9"/>
        <v>#VALUE!</v>
      </c>
      <c r="AZ19" s="143">
        <v>-1</v>
      </c>
      <c r="BA19" s="161">
        <v>-2</v>
      </c>
    </row>
    <row r="20" spans="2:53" ht="25" customHeight="1">
      <c r="B20" s="160" t="s">
        <v>48</v>
      </c>
      <c r="C20" s="155">
        <f t="shared" ref="C20:N20" si="10">C10-C6</f>
        <v>1.5</v>
      </c>
      <c r="D20" s="155">
        <f t="shared" si="10"/>
        <v>2</v>
      </c>
      <c r="E20" s="155">
        <f t="shared" si="10"/>
        <v>2</v>
      </c>
      <c r="F20" s="155">
        <f t="shared" si="10"/>
        <v>2</v>
      </c>
      <c r="G20" s="155">
        <f t="shared" si="10"/>
        <v>2.25</v>
      </c>
      <c r="H20" s="155">
        <f t="shared" si="10"/>
        <v>2.25</v>
      </c>
      <c r="I20" s="155">
        <f t="shared" si="10"/>
        <v>2.5</v>
      </c>
      <c r="J20" s="155">
        <f t="shared" si="10"/>
        <v>2.5</v>
      </c>
      <c r="K20" s="155">
        <f t="shared" si="10"/>
        <v>2.75</v>
      </c>
      <c r="L20" s="155">
        <f t="shared" si="10"/>
        <v>2.75</v>
      </c>
      <c r="M20" s="155">
        <f t="shared" si="10"/>
        <v>2.75</v>
      </c>
      <c r="N20" s="155">
        <f t="shared" si="10"/>
        <v>2.75</v>
      </c>
      <c r="O20" s="155">
        <f>O10-O6</f>
        <v>2.75</v>
      </c>
      <c r="P20" s="155">
        <f t="shared" ref="P20:AX20" si="11">P10-P6</f>
        <v>2.75</v>
      </c>
      <c r="Q20" s="155">
        <f t="shared" si="11"/>
        <v>3</v>
      </c>
      <c r="R20" s="155">
        <f t="shared" si="11"/>
        <v>3</v>
      </c>
      <c r="S20" s="155">
        <f t="shared" si="11"/>
        <v>3</v>
      </c>
      <c r="T20" s="155">
        <f t="shared" si="11"/>
        <v>3</v>
      </c>
      <c r="U20" s="155">
        <f t="shared" si="11"/>
        <v>3</v>
      </c>
      <c r="V20" s="155">
        <f t="shared" si="11"/>
        <v>3</v>
      </c>
      <c r="W20" s="155">
        <f t="shared" si="11"/>
        <v>2.65</v>
      </c>
      <c r="X20" s="155">
        <f t="shared" si="11"/>
        <v>2.4</v>
      </c>
      <c r="Y20" s="155">
        <f t="shared" si="11"/>
        <v>2.4</v>
      </c>
      <c r="Z20" s="155">
        <f t="shared" si="11"/>
        <v>2.65</v>
      </c>
      <c r="AA20" s="155">
        <f t="shared" si="11"/>
        <v>2.4</v>
      </c>
      <c r="AB20" s="155">
        <f t="shared" si="11"/>
        <v>2.4</v>
      </c>
      <c r="AC20" s="155">
        <f t="shared" si="11"/>
        <v>2.4</v>
      </c>
      <c r="AD20" s="155">
        <f t="shared" si="11"/>
        <v>2.15</v>
      </c>
      <c r="AE20" s="155">
        <f t="shared" si="11"/>
        <v>2.15</v>
      </c>
      <c r="AF20" s="155">
        <f t="shared" si="11"/>
        <v>2.15</v>
      </c>
      <c r="AG20" s="155">
        <f t="shared" si="11"/>
        <v>2.15</v>
      </c>
      <c r="AH20" s="155">
        <f t="shared" si="11"/>
        <v>2.15</v>
      </c>
      <c r="AI20" s="155">
        <f t="shared" si="11"/>
        <v>2.15</v>
      </c>
      <c r="AJ20" s="155">
        <f t="shared" si="11"/>
        <v>2.15</v>
      </c>
      <c r="AK20" s="155">
        <f t="shared" si="11"/>
        <v>2.15</v>
      </c>
      <c r="AL20" s="155">
        <f t="shared" si="11"/>
        <v>2.15</v>
      </c>
      <c r="AM20" s="155">
        <f t="shared" si="11"/>
        <v>2.15</v>
      </c>
      <c r="AN20" s="155">
        <f t="shared" si="11"/>
        <v>2.15</v>
      </c>
      <c r="AO20" s="156">
        <f t="shared" si="11"/>
        <v>2.15</v>
      </c>
      <c r="AP20" s="156">
        <f t="shared" si="11"/>
        <v>2.15</v>
      </c>
      <c r="AQ20" s="156">
        <f t="shared" si="11"/>
        <v>2.15</v>
      </c>
      <c r="AR20" s="156">
        <f t="shared" si="11"/>
        <v>2.4</v>
      </c>
      <c r="AS20" s="156">
        <f t="shared" si="11"/>
        <v>2.4</v>
      </c>
      <c r="AT20" s="156">
        <f t="shared" si="11"/>
        <v>2.4</v>
      </c>
      <c r="AU20" s="156">
        <f t="shared" si="11"/>
        <v>2.65</v>
      </c>
      <c r="AV20" s="156">
        <f t="shared" si="11"/>
        <v>2.65</v>
      </c>
      <c r="AW20" s="156">
        <f t="shared" si="11"/>
        <v>2.65</v>
      </c>
      <c r="AX20" s="156" t="e">
        <f t="shared" si="11"/>
        <v>#VALUE!</v>
      </c>
      <c r="AZ20" s="143">
        <v>-1.5</v>
      </c>
      <c r="BA20" s="161">
        <v>-3</v>
      </c>
    </row>
    <row r="21" spans="2:53" ht="25" customHeight="1">
      <c r="B21" s="160" t="s">
        <v>49</v>
      </c>
      <c r="C21" s="155">
        <f t="shared" ref="C21:N21" si="12">C10-C8</f>
        <v>-1</v>
      </c>
      <c r="D21" s="155">
        <f t="shared" si="12"/>
        <v>-1</v>
      </c>
      <c r="E21" s="155">
        <f t="shared" si="12"/>
        <v>-0.75</v>
      </c>
      <c r="F21" s="155">
        <f t="shared" si="12"/>
        <v>-0.75</v>
      </c>
      <c r="G21" s="155">
        <f t="shared" si="12"/>
        <v>-0.75</v>
      </c>
      <c r="H21" s="155">
        <f t="shared" si="12"/>
        <v>-1</v>
      </c>
      <c r="I21" s="155">
        <f t="shared" si="12"/>
        <v>-0.75</v>
      </c>
      <c r="J21" s="155">
        <f t="shared" si="12"/>
        <v>-1</v>
      </c>
      <c r="K21" s="155">
        <f t="shared" si="12"/>
        <v>-0.75</v>
      </c>
      <c r="L21" s="155">
        <f t="shared" si="12"/>
        <v>-0.75</v>
      </c>
      <c r="M21" s="155">
        <f t="shared" si="12"/>
        <v>-0.75</v>
      </c>
      <c r="N21" s="155">
        <f t="shared" si="12"/>
        <v>-0.75</v>
      </c>
      <c r="O21" s="155">
        <f>O10-O8</f>
        <v>-0.75</v>
      </c>
      <c r="P21" s="155">
        <f t="shared" ref="P21:AX21" si="13">P10-P8</f>
        <v>-0.75</v>
      </c>
      <c r="Q21" s="155">
        <f t="shared" si="13"/>
        <v>-0.75</v>
      </c>
      <c r="R21" s="155">
        <f t="shared" si="13"/>
        <v>-0.75</v>
      </c>
      <c r="S21" s="155">
        <f t="shared" si="13"/>
        <v>-0.75</v>
      </c>
      <c r="T21" s="155">
        <f t="shared" si="13"/>
        <v>-1</v>
      </c>
      <c r="U21" s="155">
        <f t="shared" si="13"/>
        <v>-1</v>
      </c>
      <c r="V21" s="155">
        <f t="shared" si="13"/>
        <v>-0.75</v>
      </c>
      <c r="W21" s="155">
        <f t="shared" si="13"/>
        <v>-1.35</v>
      </c>
      <c r="X21" s="155">
        <f t="shared" si="13"/>
        <v>-1.6</v>
      </c>
      <c r="Y21" s="155">
        <f t="shared" si="13"/>
        <v>-1.35</v>
      </c>
      <c r="Z21" s="155">
        <f t="shared" si="13"/>
        <v>-1.6</v>
      </c>
      <c r="AA21" s="155">
        <f t="shared" si="13"/>
        <v>-1.85</v>
      </c>
      <c r="AB21" s="155">
        <f t="shared" si="13"/>
        <v>-1.6</v>
      </c>
      <c r="AC21" s="155">
        <f t="shared" si="13"/>
        <v>-1.85</v>
      </c>
      <c r="AD21" s="155">
        <f t="shared" si="13"/>
        <v>-2.1</v>
      </c>
      <c r="AE21" s="155">
        <f t="shared" si="13"/>
        <v>-1.85</v>
      </c>
      <c r="AF21" s="155">
        <f t="shared" si="13"/>
        <v>-2.1</v>
      </c>
      <c r="AG21" s="155">
        <f t="shared" si="13"/>
        <v>-2.1</v>
      </c>
      <c r="AH21" s="155">
        <f t="shared" si="13"/>
        <v>-1.85</v>
      </c>
      <c r="AI21" s="155">
        <f t="shared" si="13"/>
        <v>-1.85</v>
      </c>
      <c r="AJ21" s="155">
        <f t="shared" si="13"/>
        <v>-1.85</v>
      </c>
      <c r="AK21" s="155">
        <f t="shared" si="13"/>
        <v>-1.85</v>
      </c>
      <c r="AL21" s="155">
        <f t="shared" si="13"/>
        <v>-1.6</v>
      </c>
      <c r="AM21" s="155">
        <f t="shared" si="13"/>
        <v>-1.6</v>
      </c>
      <c r="AN21" s="155">
        <f t="shared" si="13"/>
        <v>-1.6</v>
      </c>
      <c r="AO21" s="156">
        <f t="shared" si="13"/>
        <v>-1.6</v>
      </c>
      <c r="AP21" s="156">
        <f t="shared" si="13"/>
        <v>-1.6</v>
      </c>
      <c r="AQ21" s="156">
        <f t="shared" si="13"/>
        <v>-1.6</v>
      </c>
      <c r="AR21" s="156">
        <f t="shared" si="13"/>
        <v>-1.35</v>
      </c>
      <c r="AS21" s="156">
        <f t="shared" si="13"/>
        <v>-1.35</v>
      </c>
      <c r="AT21" s="156">
        <f t="shared" si="13"/>
        <v>-1.35</v>
      </c>
      <c r="AU21" s="156">
        <f t="shared" si="13"/>
        <v>-1.1000000000000001</v>
      </c>
      <c r="AV21" s="156">
        <f t="shared" si="13"/>
        <v>-1.1000000000000001</v>
      </c>
      <c r="AW21" s="156">
        <f t="shared" si="13"/>
        <v>-1.1000000000000001</v>
      </c>
      <c r="AX21" s="156" t="e">
        <f t="shared" si="13"/>
        <v>#VALUE!</v>
      </c>
      <c r="AZ21" s="143">
        <v>-2</v>
      </c>
      <c r="BA21" s="161">
        <v>-4</v>
      </c>
    </row>
    <row r="22" spans="2:53" ht="25" customHeight="1">
      <c r="B22" s="162" t="s">
        <v>15</v>
      </c>
      <c r="C22" s="155">
        <f t="shared" ref="C22:N22" si="14">C10-C4</f>
        <v>-2</v>
      </c>
      <c r="D22" s="155">
        <f t="shared" si="14"/>
        <v>-1.5</v>
      </c>
      <c r="E22" s="155">
        <f t="shared" si="14"/>
        <v>-1</v>
      </c>
      <c r="F22" s="155">
        <f t="shared" si="14"/>
        <v>-1</v>
      </c>
      <c r="G22" s="155">
        <f t="shared" si="14"/>
        <v>-0.75</v>
      </c>
      <c r="H22" s="155">
        <f t="shared" si="14"/>
        <v>-0.75</v>
      </c>
      <c r="I22" s="155">
        <f t="shared" si="14"/>
        <v>-0.75</v>
      </c>
      <c r="J22" s="155">
        <f t="shared" si="14"/>
        <v>-0.75</v>
      </c>
      <c r="K22" s="155">
        <f t="shared" si="14"/>
        <v>-0.5</v>
      </c>
      <c r="L22" s="155">
        <f t="shared" si="14"/>
        <v>-0.5</v>
      </c>
      <c r="M22" s="155">
        <f t="shared" si="14"/>
        <v>-0.5</v>
      </c>
      <c r="N22" s="155">
        <f t="shared" si="14"/>
        <v>-0.5</v>
      </c>
      <c r="O22" s="155">
        <f>O10-O4</f>
        <v>-0.5</v>
      </c>
      <c r="P22" s="155">
        <f t="shared" ref="P22:AX22" si="15">P10-P4</f>
        <v>-0.5</v>
      </c>
      <c r="Q22" s="155">
        <f t="shared" si="15"/>
        <v>-0.5</v>
      </c>
      <c r="R22" s="155">
        <f t="shared" si="15"/>
        <v>-0.5</v>
      </c>
      <c r="S22" s="155">
        <f t="shared" si="15"/>
        <v>-0.5</v>
      </c>
      <c r="T22" s="155">
        <f t="shared" si="15"/>
        <v>-0.5</v>
      </c>
      <c r="U22" s="155">
        <f t="shared" si="15"/>
        <v>-0.25</v>
      </c>
      <c r="V22" s="155">
        <f t="shared" si="15"/>
        <v>-0.25</v>
      </c>
      <c r="W22" s="155">
        <f t="shared" si="15"/>
        <v>-0.60000000000000009</v>
      </c>
      <c r="X22" s="155">
        <f t="shared" si="15"/>
        <v>-0.35000000000000009</v>
      </c>
      <c r="Y22" s="155">
        <f t="shared" si="15"/>
        <v>-0.35000000000000009</v>
      </c>
      <c r="Z22" s="155">
        <f t="shared" si="15"/>
        <v>-0.10000000000000009</v>
      </c>
      <c r="AA22" s="155">
        <f t="shared" si="15"/>
        <v>-0.10000000000000009</v>
      </c>
      <c r="AB22" s="155">
        <f t="shared" si="15"/>
        <v>-0.10000000000000009</v>
      </c>
      <c r="AC22" s="155">
        <f t="shared" si="15"/>
        <v>-0.10000000000000009</v>
      </c>
      <c r="AD22" s="155">
        <f t="shared" si="15"/>
        <v>-0.35000000000000009</v>
      </c>
      <c r="AE22" s="155">
        <f t="shared" si="15"/>
        <v>-0.35000000000000009</v>
      </c>
      <c r="AF22" s="155">
        <f t="shared" si="15"/>
        <v>-0.60000000000000009</v>
      </c>
      <c r="AG22" s="155">
        <f t="shared" si="15"/>
        <v>-0.60000000000000009</v>
      </c>
      <c r="AH22" s="155">
        <f t="shared" si="15"/>
        <v>-0.60000000000000009</v>
      </c>
      <c r="AI22" s="155">
        <f t="shared" si="15"/>
        <v>-0.35000000000000009</v>
      </c>
      <c r="AJ22" s="155">
        <f t="shared" si="15"/>
        <v>-0.10000000000000009</v>
      </c>
      <c r="AK22" s="155">
        <f t="shared" si="15"/>
        <v>-0.10000000000000009</v>
      </c>
      <c r="AL22" s="155">
        <f t="shared" si="15"/>
        <v>-0.10000000000000009</v>
      </c>
      <c r="AM22" s="155">
        <f t="shared" si="15"/>
        <v>-0.10000000000000009</v>
      </c>
      <c r="AN22" s="155">
        <f t="shared" si="15"/>
        <v>-0.10000000000000009</v>
      </c>
      <c r="AO22" s="156">
        <f t="shared" si="15"/>
        <v>-0.10000000000000009</v>
      </c>
      <c r="AP22" s="156">
        <f t="shared" si="15"/>
        <v>-0.10000000000000009</v>
      </c>
      <c r="AQ22" s="156">
        <f t="shared" si="15"/>
        <v>-0.10000000000000009</v>
      </c>
      <c r="AR22" s="156">
        <f t="shared" si="15"/>
        <v>0.14999999999999991</v>
      </c>
      <c r="AS22" s="156">
        <f t="shared" si="15"/>
        <v>0.14999999999999991</v>
      </c>
      <c r="AT22" s="156">
        <f t="shared" si="15"/>
        <v>0.14999999999999991</v>
      </c>
      <c r="AU22" s="156">
        <f t="shared" si="15"/>
        <v>0.39999999999999991</v>
      </c>
      <c r="AV22" s="156">
        <f t="shared" si="15"/>
        <v>0.39999999999999991</v>
      </c>
      <c r="AW22" s="156">
        <f t="shared" si="15"/>
        <v>0.39999999999999991</v>
      </c>
      <c r="AX22" s="156" t="e">
        <f t="shared" si="15"/>
        <v>#VALUE!</v>
      </c>
      <c r="AZ22" s="143">
        <v>-2.5</v>
      </c>
      <c r="BA22" s="161">
        <v>-5</v>
      </c>
    </row>
    <row r="23" spans="2:53" ht="25" customHeight="1">
      <c r="B23" s="160" t="s">
        <v>12</v>
      </c>
      <c r="C23" s="155">
        <f t="shared" ref="C23:N23" si="16">C10-C3</f>
        <v>-0.60000000000000009</v>
      </c>
      <c r="D23" s="155">
        <f t="shared" si="16"/>
        <v>-0.35000000000000009</v>
      </c>
      <c r="E23" s="155">
        <f t="shared" si="16"/>
        <v>-0.10000000000000009</v>
      </c>
      <c r="F23" s="155">
        <f t="shared" si="16"/>
        <v>-0.10000000000000009</v>
      </c>
      <c r="G23" s="155">
        <f t="shared" si="16"/>
        <v>-0.10000000000000009</v>
      </c>
      <c r="H23" s="155">
        <f t="shared" si="16"/>
        <v>-9.9999999999999645E-2</v>
      </c>
      <c r="I23" s="155">
        <f t="shared" si="16"/>
        <v>0.15000000000000036</v>
      </c>
      <c r="J23" s="155">
        <f t="shared" si="16"/>
        <v>0.15000000000000036</v>
      </c>
      <c r="K23" s="155">
        <f t="shared" si="16"/>
        <v>0.40000000000000036</v>
      </c>
      <c r="L23" s="155">
        <f t="shared" si="16"/>
        <v>0.40000000000000036</v>
      </c>
      <c r="M23" s="155">
        <f t="shared" si="16"/>
        <v>0.15000000000000036</v>
      </c>
      <c r="N23" s="155">
        <f t="shared" si="16"/>
        <v>0.15000000000000036</v>
      </c>
      <c r="O23" s="155">
        <f>O10-O3</f>
        <v>0.15000000000000036</v>
      </c>
      <c r="P23" s="155">
        <f t="shared" ref="P23:AX23" si="17">P10-P3</f>
        <v>0.15000000000000036</v>
      </c>
      <c r="Q23" s="155">
        <f t="shared" si="17"/>
        <v>0.15000000000000036</v>
      </c>
      <c r="R23" s="155">
        <f t="shared" si="17"/>
        <v>0.15000000000000036</v>
      </c>
      <c r="S23" s="155">
        <f t="shared" si="17"/>
        <v>0.15000000000000036</v>
      </c>
      <c r="T23" s="155">
        <f t="shared" si="17"/>
        <v>-9.9999999999999645E-2</v>
      </c>
      <c r="U23" s="155">
        <f t="shared" si="17"/>
        <v>-9.9999999999999645E-2</v>
      </c>
      <c r="V23" s="155">
        <f t="shared" si="17"/>
        <v>-9.9999999999999645E-2</v>
      </c>
      <c r="W23" s="155">
        <f t="shared" si="17"/>
        <v>-0.69999999999999973</v>
      </c>
      <c r="X23" s="155">
        <f t="shared" si="17"/>
        <v>-0.94999999999999973</v>
      </c>
      <c r="Y23" s="155">
        <f t="shared" si="17"/>
        <v>-0.94999999999999973</v>
      </c>
      <c r="Z23" s="155">
        <f t="shared" si="17"/>
        <v>-1.1999999999999997</v>
      </c>
      <c r="AA23" s="155">
        <f t="shared" si="17"/>
        <v>-1.4499999999999997</v>
      </c>
      <c r="AB23" s="155">
        <f t="shared" si="17"/>
        <v>-1.1999999999999997</v>
      </c>
      <c r="AC23" s="155">
        <f t="shared" si="17"/>
        <v>-1.4499999999999997</v>
      </c>
      <c r="AD23" s="155">
        <f t="shared" si="17"/>
        <v>-1.6999999999999997</v>
      </c>
      <c r="AE23" s="155">
        <f t="shared" si="17"/>
        <v>-1.4500000000000002</v>
      </c>
      <c r="AF23" s="155">
        <f t="shared" si="17"/>
        <v>-1.7000000000000002</v>
      </c>
      <c r="AG23" s="155">
        <f t="shared" si="17"/>
        <v>-1.7000000000000002</v>
      </c>
      <c r="AH23" s="155">
        <f t="shared" si="17"/>
        <v>-1.4500000000000002</v>
      </c>
      <c r="AI23" s="155">
        <f t="shared" si="17"/>
        <v>-1.4500000000000002</v>
      </c>
      <c r="AJ23" s="155">
        <f t="shared" si="17"/>
        <v>-1.4500000000000002</v>
      </c>
      <c r="AK23" s="155">
        <f t="shared" si="17"/>
        <v>-1.4500000000000002</v>
      </c>
      <c r="AL23" s="155">
        <f t="shared" si="17"/>
        <v>-1.4500000000000002</v>
      </c>
      <c r="AM23" s="155">
        <f t="shared" si="17"/>
        <v>-1.4500000000000002</v>
      </c>
      <c r="AN23" s="155">
        <f t="shared" si="17"/>
        <v>-1.7000000000000002</v>
      </c>
      <c r="AO23" s="156">
        <f t="shared" si="17"/>
        <v>-1.7000000000000002</v>
      </c>
      <c r="AP23" s="156">
        <f t="shared" si="17"/>
        <v>-1.9499999999999997</v>
      </c>
      <c r="AQ23" s="156">
        <f t="shared" si="17"/>
        <v>-2.1999999999999997</v>
      </c>
      <c r="AR23" s="156">
        <f t="shared" si="17"/>
        <v>-1.9499999999999997</v>
      </c>
      <c r="AS23" s="156">
        <f t="shared" si="17"/>
        <v>-1.9499999999999997</v>
      </c>
      <c r="AT23" s="156">
        <f t="shared" si="17"/>
        <v>-1.9499999999999997</v>
      </c>
      <c r="AU23" s="156">
        <f t="shared" si="17"/>
        <v>-1.6999999999999997</v>
      </c>
      <c r="AV23" s="156">
        <f t="shared" si="17"/>
        <v>-1.6999999999999997</v>
      </c>
      <c r="AW23" s="156">
        <f t="shared" si="17"/>
        <v>-1.9499999999999997</v>
      </c>
      <c r="AX23" s="156" t="e">
        <f t="shared" si="17"/>
        <v>#VALUE!</v>
      </c>
      <c r="AZ23" s="143">
        <v>-3</v>
      </c>
      <c r="BA23" s="161">
        <v>-6</v>
      </c>
    </row>
    <row r="24" spans="2:53" ht="25" customHeight="1">
      <c r="B24" s="162" t="s">
        <v>50</v>
      </c>
      <c r="C24" s="155">
        <f t="shared" ref="C24:N24" si="18">C10-C7</f>
        <v>-1.75</v>
      </c>
      <c r="D24" s="155">
        <f t="shared" si="18"/>
        <v>-1.75</v>
      </c>
      <c r="E24" s="155">
        <f t="shared" si="18"/>
        <v>-1.25</v>
      </c>
      <c r="F24" s="155">
        <f t="shared" si="18"/>
        <v>-1.75</v>
      </c>
      <c r="G24" s="155">
        <f t="shared" si="18"/>
        <v>-1.75</v>
      </c>
      <c r="H24" s="155">
        <f t="shared" si="18"/>
        <v>-1.5</v>
      </c>
      <c r="I24" s="155">
        <f t="shared" si="18"/>
        <v>-1.25</v>
      </c>
      <c r="J24" s="155">
        <f t="shared" si="18"/>
        <v>-1.25</v>
      </c>
      <c r="K24" s="155">
        <f t="shared" si="18"/>
        <v>-1</v>
      </c>
      <c r="L24" s="155">
        <f t="shared" si="18"/>
        <v>-1</v>
      </c>
      <c r="M24" s="155">
        <f t="shared" si="18"/>
        <v>-1</v>
      </c>
      <c r="N24" s="155">
        <f t="shared" si="18"/>
        <v>-1</v>
      </c>
      <c r="O24" s="155">
        <f>O10-O7</f>
        <v>-1</v>
      </c>
      <c r="P24" s="155">
        <f t="shared" ref="P24:AX24" si="19">P10-P7</f>
        <v>-1</v>
      </c>
      <c r="Q24" s="155">
        <f t="shared" si="19"/>
        <v>-1</v>
      </c>
      <c r="R24" s="155">
        <f t="shared" si="19"/>
        <v>-1</v>
      </c>
      <c r="S24" s="155">
        <f t="shared" si="19"/>
        <v>-1</v>
      </c>
      <c r="T24" s="155">
        <f t="shared" si="19"/>
        <v>-1.25</v>
      </c>
      <c r="U24" s="155">
        <f t="shared" si="19"/>
        <v>-1.25</v>
      </c>
      <c r="V24" s="155">
        <f t="shared" si="19"/>
        <v>-1</v>
      </c>
      <c r="W24" s="155">
        <f t="shared" si="19"/>
        <v>-1.1000000000000001</v>
      </c>
      <c r="X24" s="155">
        <f t="shared" si="19"/>
        <v>-1.35</v>
      </c>
      <c r="Y24" s="155">
        <f t="shared" si="19"/>
        <v>-0.85000000000000009</v>
      </c>
      <c r="Z24" s="155">
        <f t="shared" si="19"/>
        <v>-1.1000000000000001</v>
      </c>
      <c r="AA24" s="155">
        <f t="shared" si="19"/>
        <v>-1.35</v>
      </c>
      <c r="AB24" s="155">
        <f t="shared" si="19"/>
        <v>-0.85000000000000009</v>
      </c>
      <c r="AC24" s="155">
        <f t="shared" si="19"/>
        <v>-1.1000000000000001</v>
      </c>
      <c r="AD24" s="155">
        <f t="shared" si="19"/>
        <v>-1.1000000000000001</v>
      </c>
      <c r="AE24" s="155">
        <f t="shared" si="19"/>
        <v>-0.85000000000000009</v>
      </c>
      <c r="AF24" s="155">
        <f t="shared" si="19"/>
        <v>-1.1000000000000001</v>
      </c>
      <c r="AG24" s="155">
        <f t="shared" si="19"/>
        <v>-1.1000000000000001</v>
      </c>
      <c r="AH24" s="155">
        <f t="shared" si="19"/>
        <v>-0.85000000000000009</v>
      </c>
      <c r="AI24" s="155">
        <f t="shared" si="19"/>
        <v>-0.85000000000000009</v>
      </c>
      <c r="AJ24" s="155">
        <f t="shared" si="19"/>
        <v>-0.35000000000000009</v>
      </c>
      <c r="AK24" s="155">
        <f t="shared" si="19"/>
        <v>-0.10000000000000009</v>
      </c>
      <c r="AL24" s="155">
        <f t="shared" si="19"/>
        <v>-0.10000000000000009</v>
      </c>
      <c r="AM24" s="155">
        <f t="shared" si="19"/>
        <v>-0.10000000000000009</v>
      </c>
      <c r="AN24" s="155">
        <f t="shared" si="19"/>
        <v>-0.10000000000000009</v>
      </c>
      <c r="AO24" s="156">
        <f t="shared" si="19"/>
        <v>-0.10000000000000009</v>
      </c>
      <c r="AP24" s="156">
        <f t="shared" si="19"/>
        <v>-0.10000000000000009</v>
      </c>
      <c r="AQ24" s="156">
        <f t="shared" si="19"/>
        <v>-0.10000000000000009</v>
      </c>
      <c r="AR24" s="156">
        <f t="shared" si="19"/>
        <v>0.14999999999999991</v>
      </c>
      <c r="AS24" s="156">
        <f t="shared" si="19"/>
        <v>-0.10000000000000009</v>
      </c>
      <c r="AT24" s="156">
        <f t="shared" si="19"/>
        <v>-0.10000000000000009</v>
      </c>
      <c r="AU24" s="156">
        <f t="shared" si="19"/>
        <v>-0.10000000000000009</v>
      </c>
      <c r="AV24" s="156">
        <f t="shared" si="19"/>
        <v>-0.10000000000000009</v>
      </c>
      <c r="AW24" s="156">
        <f t="shared" si="19"/>
        <v>-0.35000000000000009</v>
      </c>
      <c r="AX24" s="156" t="e">
        <f t="shared" si="19"/>
        <v>#VALUE!</v>
      </c>
      <c r="AZ24" s="143">
        <v>-3.5</v>
      </c>
      <c r="BA24" s="161">
        <v>-7</v>
      </c>
    </row>
    <row r="25" spans="2:53" ht="25" customHeight="1">
      <c r="B25" s="163" t="s">
        <v>51</v>
      </c>
      <c r="C25" s="155">
        <f t="shared" ref="C25:N25" si="20">C8-C9</f>
        <v>-1</v>
      </c>
      <c r="D25" s="155">
        <f t="shared" si="20"/>
        <v>-0.75</v>
      </c>
      <c r="E25" s="155">
        <f t="shared" si="20"/>
        <v>-0.75</v>
      </c>
      <c r="F25" s="155">
        <f t="shared" si="20"/>
        <v>-0.75</v>
      </c>
      <c r="G25" s="155">
        <f t="shared" si="20"/>
        <v>-0.75</v>
      </c>
      <c r="H25" s="155">
        <f t="shared" si="20"/>
        <v>-0.25</v>
      </c>
      <c r="I25" s="155">
        <f t="shared" si="20"/>
        <v>-0.5</v>
      </c>
      <c r="J25" s="155">
        <f t="shared" si="20"/>
        <v>-0.25</v>
      </c>
      <c r="K25" s="155">
        <f t="shared" si="20"/>
        <v>-0.25</v>
      </c>
      <c r="L25" s="155">
        <f t="shared" si="20"/>
        <v>-0.25</v>
      </c>
      <c r="M25" s="155">
        <f t="shared" si="20"/>
        <v>-0.25</v>
      </c>
      <c r="N25" s="155">
        <f t="shared" si="20"/>
        <v>-0.25</v>
      </c>
      <c r="O25" s="155">
        <f>O8-O9</f>
        <v>-0.25</v>
      </c>
      <c r="P25" s="155">
        <f t="shared" ref="P25:AX25" si="21">P8-P9</f>
        <v>-0.25</v>
      </c>
      <c r="Q25" s="155">
        <f t="shared" si="21"/>
        <v>-0.25</v>
      </c>
      <c r="R25" s="155">
        <f t="shared" si="21"/>
        <v>-0.25</v>
      </c>
      <c r="S25" s="155">
        <f t="shared" si="21"/>
        <v>-0.25</v>
      </c>
      <c r="T25" s="155">
        <f t="shared" si="21"/>
        <v>-0.25</v>
      </c>
      <c r="U25" s="155">
        <f t="shared" si="21"/>
        <v>-0.25</v>
      </c>
      <c r="V25" s="155">
        <f t="shared" si="21"/>
        <v>-0.5</v>
      </c>
      <c r="W25" s="155">
        <f t="shared" si="21"/>
        <v>0</v>
      </c>
      <c r="X25" s="155">
        <f t="shared" si="21"/>
        <v>0</v>
      </c>
      <c r="Y25" s="155">
        <f t="shared" si="21"/>
        <v>0</v>
      </c>
      <c r="Z25" s="155">
        <f t="shared" si="21"/>
        <v>0.25</v>
      </c>
      <c r="AA25" s="155">
        <f t="shared" si="21"/>
        <v>0.25</v>
      </c>
      <c r="AB25" s="155">
        <f t="shared" si="21"/>
        <v>0</v>
      </c>
      <c r="AC25" s="155">
        <f t="shared" si="21"/>
        <v>0</v>
      </c>
      <c r="AD25" s="155">
        <f t="shared" si="21"/>
        <v>0</v>
      </c>
      <c r="AE25" s="155">
        <f t="shared" si="21"/>
        <v>-0.25</v>
      </c>
      <c r="AF25" s="155">
        <f t="shared" si="21"/>
        <v>-0.25</v>
      </c>
      <c r="AG25" s="155">
        <f t="shared" si="21"/>
        <v>-0.25</v>
      </c>
      <c r="AH25" s="155">
        <f t="shared" si="21"/>
        <v>-0.5</v>
      </c>
      <c r="AI25" s="155">
        <f t="shared" si="21"/>
        <v>-0.25</v>
      </c>
      <c r="AJ25" s="155">
        <f t="shared" si="21"/>
        <v>0</v>
      </c>
      <c r="AK25" s="155">
        <f t="shared" si="21"/>
        <v>0</v>
      </c>
      <c r="AL25" s="155">
        <f t="shared" si="21"/>
        <v>0</v>
      </c>
      <c r="AM25" s="155">
        <f t="shared" si="21"/>
        <v>0</v>
      </c>
      <c r="AN25" s="155">
        <f t="shared" si="21"/>
        <v>0</v>
      </c>
      <c r="AO25" s="156">
        <f t="shared" si="21"/>
        <v>0</v>
      </c>
      <c r="AP25" s="156">
        <f t="shared" si="21"/>
        <v>0</v>
      </c>
      <c r="AQ25" s="156">
        <f t="shared" si="21"/>
        <v>0</v>
      </c>
      <c r="AR25" s="156">
        <f t="shared" si="21"/>
        <v>0</v>
      </c>
      <c r="AS25" s="156">
        <f t="shared" si="21"/>
        <v>0</v>
      </c>
      <c r="AT25" s="156">
        <f t="shared" si="21"/>
        <v>0</v>
      </c>
      <c r="AU25" s="156">
        <f t="shared" si="21"/>
        <v>0</v>
      </c>
      <c r="AV25" s="156">
        <f t="shared" si="21"/>
        <v>-0.25</v>
      </c>
      <c r="AW25" s="156">
        <f t="shared" si="21"/>
        <v>-0.25</v>
      </c>
      <c r="AX25" s="156" t="e">
        <f t="shared" si="21"/>
        <v>#VALUE!</v>
      </c>
      <c r="AZ25" s="143">
        <v>-4</v>
      </c>
      <c r="BA25" s="161">
        <v>-8</v>
      </c>
    </row>
    <row r="26" spans="2:53" ht="25" customHeight="1">
      <c r="B26" s="163" t="s">
        <v>52</v>
      </c>
      <c r="C26" s="155">
        <f t="shared" ref="C26:N26" si="22">C8-C5</f>
        <v>3.6</v>
      </c>
      <c r="D26" s="155">
        <f t="shared" si="22"/>
        <v>4.0999999999999996</v>
      </c>
      <c r="E26" s="155">
        <f t="shared" si="22"/>
        <v>4.3499999999999996</v>
      </c>
      <c r="F26" s="155">
        <f t="shared" si="22"/>
        <v>4.3499999999999996</v>
      </c>
      <c r="G26" s="155">
        <f t="shared" si="22"/>
        <v>4.5999999999999996</v>
      </c>
      <c r="H26" s="155">
        <f t="shared" si="22"/>
        <v>5.0999999999999996</v>
      </c>
      <c r="I26" s="155">
        <f t="shared" si="22"/>
        <v>5.0999999999999996</v>
      </c>
      <c r="J26" s="155">
        <f t="shared" si="22"/>
        <v>5.35</v>
      </c>
      <c r="K26" s="155">
        <f t="shared" si="22"/>
        <v>5.35</v>
      </c>
      <c r="L26" s="155">
        <f t="shared" si="22"/>
        <v>5.35</v>
      </c>
      <c r="M26" s="155">
        <f t="shared" si="22"/>
        <v>5.35</v>
      </c>
      <c r="N26" s="155">
        <f t="shared" si="22"/>
        <v>5.35</v>
      </c>
      <c r="O26" s="155">
        <f>O8-O5</f>
        <v>5.35</v>
      </c>
      <c r="P26" s="155">
        <f t="shared" ref="P26:AX26" si="23">P8-P5</f>
        <v>5.35</v>
      </c>
      <c r="Q26" s="155">
        <f t="shared" si="23"/>
        <v>5.15</v>
      </c>
      <c r="R26" s="155">
        <f t="shared" si="23"/>
        <v>5.15</v>
      </c>
      <c r="S26" s="155">
        <f t="shared" si="23"/>
        <v>5.15</v>
      </c>
      <c r="T26" s="155">
        <f t="shared" si="23"/>
        <v>5.15</v>
      </c>
      <c r="U26" s="155">
        <f t="shared" si="23"/>
        <v>5</v>
      </c>
      <c r="V26" s="155">
        <f t="shared" si="23"/>
        <v>4.75</v>
      </c>
      <c r="W26" s="155">
        <f t="shared" si="23"/>
        <v>4.75</v>
      </c>
      <c r="X26" s="155">
        <f t="shared" si="23"/>
        <v>4.75</v>
      </c>
      <c r="Y26" s="155">
        <f t="shared" si="23"/>
        <v>4.5</v>
      </c>
      <c r="Z26" s="155">
        <f t="shared" si="23"/>
        <v>4.5</v>
      </c>
      <c r="AA26" s="155">
        <f t="shared" si="23"/>
        <v>4.25</v>
      </c>
      <c r="AB26" s="155">
        <f t="shared" si="23"/>
        <v>4</v>
      </c>
      <c r="AC26" s="155">
        <f t="shared" si="23"/>
        <v>4</v>
      </c>
      <c r="AD26" s="155">
        <f t="shared" si="23"/>
        <v>4</v>
      </c>
      <c r="AE26" s="155">
        <f t="shared" si="23"/>
        <v>3.75</v>
      </c>
      <c r="AF26" s="155">
        <f t="shared" si="23"/>
        <v>3.75</v>
      </c>
      <c r="AG26" s="155">
        <f t="shared" si="23"/>
        <v>3.75</v>
      </c>
      <c r="AH26" s="155">
        <f t="shared" si="23"/>
        <v>3.5</v>
      </c>
      <c r="AI26" s="155">
        <f t="shared" si="23"/>
        <v>3.5</v>
      </c>
      <c r="AJ26" s="155">
        <f t="shared" si="23"/>
        <v>3.5</v>
      </c>
      <c r="AK26" s="155">
        <f t="shared" si="23"/>
        <v>3.5</v>
      </c>
      <c r="AL26" s="155">
        <f t="shared" si="23"/>
        <v>3</v>
      </c>
      <c r="AM26" s="155">
        <f t="shared" si="23"/>
        <v>3</v>
      </c>
      <c r="AN26" s="155">
        <f t="shared" si="23"/>
        <v>3</v>
      </c>
      <c r="AO26" s="156">
        <f t="shared" si="23"/>
        <v>3</v>
      </c>
      <c r="AP26" s="156">
        <f t="shared" si="23"/>
        <v>3</v>
      </c>
      <c r="AQ26" s="156">
        <f t="shared" si="23"/>
        <v>3</v>
      </c>
      <c r="AR26" s="156">
        <f t="shared" si="23"/>
        <v>2.75</v>
      </c>
      <c r="AS26" s="156">
        <f t="shared" si="23"/>
        <v>2.75</v>
      </c>
      <c r="AT26" s="156">
        <f t="shared" si="23"/>
        <v>2.75</v>
      </c>
      <c r="AU26" s="156">
        <f t="shared" si="23"/>
        <v>2.75</v>
      </c>
      <c r="AV26" s="156">
        <f t="shared" si="23"/>
        <v>2.75</v>
      </c>
      <c r="AW26" s="156">
        <f t="shared" si="23"/>
        <v>2.5</v>
      </c>
      <c r="AX26" s="156" t="e">
        <f t="shared" si="23"/>
        <v>#VALUE!</v>
      </c>
      <c r="AZ26" s="143">
        <v>-4.5</v>
      </c>
      <c r="BA26" s="161">
        <v>-9</v>
      </c>
    </row>
    <row r="27" spans="2:53" ht="25" customHeight="1">
      <c r="B27" s="163" t="s">
        <v>53</v>
      </c>
      <c r="C27" s="155">
        <f t="shared" ref="C27:N27" si="24">C8-C6</f>
        <v>2.5</v>
      </c>
      <c r="D27" s="155">
        <f t="shared" si="24"/>
        <v>3</v>
      </c>
      <c r="E27" s="155">
        <f t="shared" si="24"/>
        <v>2.75</v>
      </c>
      <c r="F27" s="155">
        <f t="shared" si="24"/>
        <v>2.75</v>
      </c>
      <c r="G27" s="155">
        <f t="shared" si="24"/>
        <v>3</v>
      </c>
      <c r="H27" s="155">
        <f t="shared" si="24"/>
        <v>3.25</v>
      </c>
      <c r="I27" s="155">
        <f t="shared" si="24"/>
        <v>3.25</v>
      </c>
      <c r="J27" s="155">
        <f t="shared" si="24"/>
        <v>3.5</v>
      </c>
      <c r="K27" s="155">
        <f t="shared" si="24"/>
        <v>3.5</v>
      </c>
      <c r="L27" s="155">
        <f t="shared" si="24"/>
        <v>3.5</v>
      </c>
      <c r="M27" s="155">
        <f t="shared" si="24"/>
        <v>3.5</v>
      </c>
      <c r="N27" s="155">
        <f t="shared" si="24"/>
        <v>3.5</v>
      </c>
      <c r="O27" s="155">
        <f>O8-O6</f>
        <v>3.5</v>
      </c>
      <c r="P27" s="155">
        <f t="shared" ref="P27:AX27" si="25">P8-P6</f>
        <v>3.5</v>
      </c>
      <c r="Q27" s="155">
        <f t="shared" si="25"/>
        <v>3.75</v>
      </c>
      <c r="R27" s="155">
        <f t="shared" si="25"/>
        <v>3.75</v>
      </c>
      <c r="S27" s="155">
        <f t="shared" si="25"/>
        <v>3.75</v>
      </c>
      <c r="T27" s="155">
        <f t="shared" si="25"/>
        <v>4</v>
      </c>
      <c r="U27" s="155">
        <f t="shared" si="25"/>
        <v>4</v>
      </c>
      <c r="V27" s="155">
        <f t="shared" si="25"/>
        <v>3.75</v>
      </c>
      <c r="W27" s="155">
        <f t="shared" si="25"/>
        <v>4</v>
      </c>
      <c r="X27" s="155">
        <f t="shared" si="25"/>
        <v>4</v>
      </c>
      <c r="Y27" s="155">
        <f t="shared" si="25"/>
        <v>3.75</v>
      </c>
      <c r="Z27" s="155">
        <f t="shared" si="25"/>
        <v>4.25</v>
      </c>
      <c r="AA27" s="155">
        <f t="shared" si="25"/>
        <v>4.25</v>
      </c>
      <c r="AB27" s="155">
        <f t="shared" si="25"/>
        <v>4</v>
      </c>
      <c r="AC27" s="155">
        <f t="shared" si="25"/>
        <v>4.25</v>
      </c>
      <c r="AD27" s="155">
        <f t="shared" si="25"/>
        <v>4.25</v>
      </c>
      <c r="AE27" s="155">
        <f t="shared" si="25"/>
        <v>4</v>
      </c>
      <c r="AF27" s="155">
        <f t="shared" si="25"/>
        <v>4.25</v>
      </c>
      <c r="AG27" s="155">
        <f t="shared" si="25"/>
        <v>4.25</v>
      </c>
      <c r="AH27" s="155">
        <f t="shared" si="25"/>
        <v>4</v>
      </c>
      <c r="AI27" s="155">
        <f t="shared" si="25"/>
        <v>4</v>
      </c>
      <c r="AJ27" s="155">
        <f t="shared" si="25"/>
        <v>4</v>
      </c>
      <c r="AK27" s="155">
        <f t="shared" si="25"/>
        <v>4</v>
      </c>
      <c r="AL27" s="155">
        <f t="shared" si="25"/>
        <v>3.75</v>
      </c>
      <c r="AM27" s="155">
        <f t="shared" si="25"/>
        <v>3.75</v>
      </c>
      <c r="AN27" s="155">
        <f t="shared" si="25"/>
        <v>3.75</v>
      </c>
      <c r="AO27" s="156">
        <f t="shared" si="25"/>
        <v>3.75</v>
      </c>
      <c r="AP27" s="156">
        <f t="shared" si="25"/>
        <v>3.75</v>
      </c>
      <c r="AQ27" s="156">
        <f t="shared" si="25"/>
        <v>3.75</v>
      </c>
      <c r="AR27" s="156">
        <f t="shared" si="25"/>
        <v>3.75</v>
      </c>
      <c r="AS27" s="156">
        <f t="shared" si="25"/>
        <v>3.75</v>
      </c>
      <c r="AT27" s="156">
        <f t="shared" si="25"/>
        <v>3.75</v>
      </c>
      <c r="AU27" s="156">
        <f t="shared" si="25"/>
        <v>3.75</v>
      </c>
      <c r="AV27" s="156">
        <f t="shared" si="25"/>
        <v>3.75</v>
      </c>
      <c r="AW27" s="156">
        <f t="shared" si="25"/>
        <v>3.75</v>
      </c>
      <c r="AX27" s="156" t="e">
        <f t="shared" si="25"/>
        <v>#VALUE!</v>
      </c>
      <c r="AZ27" s="143">
        <v>-5</v>
      </c>
      <c r="BA27" s="161">
        <v>-10</v>
      </c>
    </row>
    <row r="28" spans="2:53" ht="25" customHeight="1">
      <c r="B28" s="163" t="s">
        <v>54</v>
      </c>
      <c r="C28" s="155">
        <f t="shared" ref="C28:N28" si="26">C8-C4</f>
        <v>-1</v>
      </c>
      <c r="D28" s="155">
        <f t="shared" si="26"/>
        <v>-0.5</v>
      </c>
      <c r="E28" s="155">
        <f t="shared" si="26"/>
        <v>-0.25</v>
      </c>
      <c r="F28" s="155">
        <f t="shared" si="26"/>
        <v>-0.25</v>
      </c>
      <c r="G28" s="155">
        <f t="shared" si="26"/>
        <v>0</v>
      </c>
      <c r="H28" s="155">
        <f t="shared" si="26"/>
        <v>0.25</v>
      </c>
      <c r="I28" s="155">
        <f t="shared" si="26"/>
        <v>0</v>
      </c>
      <c r="J28" s="155">
        <f t="shared" si="26"/>
        <v>0.25</v>
      </c>
      <c r="K28" s="155">
        <f t="shared" si="26"/>
        <v>0.25</v>
      </c>
      <c r="L28" s="155">
        <f t="shared" si="26"/>
        <v>0.25</v>
      </c>
      <c r="M28" s="155">
        <f t="shared" si="26"/>
        <v>0.25</v>
      </c>
      <c r="N28" s="155">
        <f t="shared" si="26"/>
        <v>0.25</v>
      </c>
      <c r="O28" s="155">
        <f>O8-O4</f>
        <v>0.25</v>
      </c>
      <c r="P28" s="155">
        <f t="shared" ref="P28:AX28" si="27">P8-P4</f>
        <v>0.25</v>
      </c>
      <c r="Q28" s="155">
        <f t="shared" si="27"/>
        <v>0.25</v>
      </c>
      <c r="R28" s="155">
        <f t="shared" si="27"/>
        <v>0.25</v>
      </c>
      <c r="S28" s="155">
        <f t="shared" si="27"/>
        <v>0.25</v>
      </c>
      <c r="T28" s="155">
        <f t="shared" si="27"/>
        <v>0.5</v>
      </c>
      <c r="U28" s="155">
        <f t="shared" si="27"/>
        <v>0.75</v>
      </c>
      <c r="V28" s="155">
        <f t="shared" si="27"/>
        <v>0.5</v>
      </c>
      <c r="W28" s="155">
        <f t="shared" si="27"/>
        <v>0.75</v>
      </c>
      <c r="X28" s="155">
        <f t="shared" si="27"/>
        <v>1.25</v>
      </c>
      <c r="Y28" s="155">
        <f t="shared" si="27"/>
        <v>1</v>
      </c>
      <c r="Z28" s="155">
        <f t="shared" si="27"/>
        <v>1.5</v>
      </c>
      <c r="AA28" s="155">
        <f t="shared" si="27"/>
        <v>1.75</v>
      </c>
      <c r="AB28" s="155">
        <f t="shared" si="27"/>
        <v>1.5</v>
      </c>
      <c r="AC28" s="155">
        <f t="shared" si="27"/>
        <v>1.75</v>
      </c>
      <c r="AD28" s="155">
        <f t="shared" si="27"/>
        <v>1.75</v>
      </c>
      <c r="AE28" s="155">
        <f t="shared" si="27"/>
        <v>1.5</v>
      </c>
      <c r="AF28" s="155">
        <f t="shared" si="27"/>
        <v>1.5</v>
      </c>
      <c r="AG28" s="155">
        <f t="shared" si="27"/>
        <v>1.5</v>
      </c>
      <c r="AH28" s="155">
        <f t="shared" si="27"/>
        <v>1.25</v>
      </c>
      <c r="AI28" s="155">
        <f t="shared" si="27"/>
        <v>1.5</v>
      </c>
      <c r="AJ28" s="155">
        <f t="shared" si="27"/>
        <v>1.75</v>
      </c>
      <c r="AK28" s="155">
        <f t="shared" si="27"/>
        <v>1.75</v>
      </c>
      <c r="AL28" s="155">
        <f t="shared" si="27"/>
        <v>1.5</v>
      </c>
      <c r="AM28" s="155">
        <f t="shared" si="27"/>
        <v>1.5</v>
      </c>
      <c r="AN28" s="155">
        <f t="shared" si="27"/>
        <v>1.5</v>
      </c>
      <c r="AO28" s="156">
        <f t="shared" si="27"/>
        <v>1.5</v>
      </c>
      <c r="AP28" s="156">
        <f t="shared" si="27"/>
        <v>1.5</v>
      </c>
      <c r="AQ28" s="156">
        <f t="shared" si="27"/>
        <v>1.5</v>
      </c>
      <c r="AR28" s="156">
        <f t="shared" si="27"/>
        <v>1.5</v>
      </c>
      <c r="AS28" s="156">
        <f t="shared" si="27"/>
        <v>1.5</v>
      </c>
      <c r="AT28" s="156">
        <f t="shared" si="27"/>
        <v>1.5</v>
      </c>
      <c r="AU28" s="156">
        <f t="shared" si="27"/>
        <v>1.5</v>
      </c>
      <c r="AV28" s="156">
        <f t="shared" si="27"/>
        <v>1.5</v>
      </c>
      <c r="AW28" s="156">
        <f t="shared" si="27"/>
        <v>1.5</v>
      </c>
      <c r="AX28" s="156" t="e">
        <f t="shared" si="27"/>
        <v>#VALUE!</v>
      </c>
      <c r="AZ28" s="143">
        <v>-5.5</v>
      </c>
      <c r="BA28" s="161">
        <v>-6</v>
      </c>
    </row>
    <row r="29" spans="2:53" ht="25" customHeight="1">
      <c r="B29" s="163" t="s">
        <v>55</v>
      </c>
      <c r="C29" s="155">
        <f t="shared" ref="C29:N29" si="28">C8-C3</f>
        <v>0.39999999999999991</v>
      </c>
      <c r="D29" s="155">
        <f t="shared" si="28"/>
        <v>0.64999999999999991</v>
      </c>
      <c r="E29" s="155">
        <f t="shared" si="28"/>
        <v>0.64999999999999991</v>
      </c>
      <c r="F29" s="155">
        <f t="shared" si="28"/>
        <v>0.64999999999999991</v>
      </c>
      <c r="G29" s="155">
        <f t="shared" si="28"/>
        <v>0.64999999999999991</v>
      </c>
      <c r="H29" s="155">
        <f t="shared" si="28"/>
        <v>0.90000000000000036</v>
      </c>
      <c r="I29" s="155">
        <f t="shared" si="28"/>
        <v>0.90000000000000036</v>
      </c>
      <c r="J29" s="155">
        <f t="shared" si="28"/>
        <v>1.1500000000000004</v>
      </c>
      <c r="K29" s="155">
        <f t="shared" si="28"/>
        <v>1.1500000000000004</v>
      </c>
      <c r="L29" s="155">
        <f t="shared" si="28"/>
        <v>1.1500000000000004</v>
      </c>
      <c r="M29" s="155">
        <f t="shared" si="28"/>
        <v>0.90000000000000036</v>
      </c>
      <c r="N29" s="155">
        <f t="shared" si="28"/>
        <v>0.90000000000000036</v>
      </c>
      <c r="O29" s="155">
        <f>O8-O3</f>
        <v>0.90000000000000036</v>
      </c>
      <c r="P29" s="155">
        <f t="shared" ref="P29:AX29" si="29">P8-P3</f>
        <v>0.90000000000000036</v>
      </c>
      <c r="Q29" s="155">
        <f t="shared" si="29"/>
        <v>0.90000000000000036</v>
      </c>
      <c r="R29" s="155">
        <f t="shared" si="29"/>
        <v>0.90000000000000036</v>
      </c>
      <c r="S29" s="155">
        <f t="shared" si="29"/>
        <v>0.90000000000000036</v>
      </c>
      <c r="T29" s="155">
        <f t="shared" si="29"/>
        <v>0.90000000000000036</v>
      </c>
      <c r="U29" s="155">
        <f t="shared" si="29"/>
        <v>0.90000000000000036</v>
      </c>
      <c r="V29" s="155">
        <f t="shared" si="29"/>
        <v>0.65000000000000036</v>
      </c>
      <c r="W29" s="155">
        <f t="shared" si="29"/>
        <v>0.65000000000000036</v>
      </c>
      <c r="X29" s="155">
        <f t="shared" si="29"/>
        <v>0.65000000000000036</v>
      </c>
      <c r="Y29" s="155">
        <f t="shared" si="29"/>
        <v>0.40000000000000036</v>
      </c>
      <c r="Z29" s="155">
        <f t="shared" si="29"/>
        <v>0.40000000000000036</v>
      </c>
      <c r="AA29" s="155">
        <f t="shared" si="29"/>
        <v>0.40000000000000036</v>
      </c>
      <c r="AB29" s="155">
        <f t="shared" si="29"/>
        <v>0.40000000000000036</v>
      </c>
      <c r="AC29" s="155">
        <f t="shared" si="29"/>
        <v>0.40000000000000036</v>
      </c>
      <c r="AD29" s="155">
        <f t="shared" si="29"/>
        <v>0.40000000000000036</v>
      </c>
      <c r="AE29" s="155">
        <f t="shared" si="29"/>
        <v>0.39999999999999991</v>
      </c>
      <c r="AF29" s="155">
        <f t="shared" si="29"/>
        <v>0.39999999999999991</v>
      </c>
      <c r="AG29" s="155">
        <f t="shared" si="29"/>
        <v>0.39999999999999991</v>
      </c>
      <c r="AH29" s="155">
        <f t="shared" si="29"/>
        <v>0.39999999999999991</v>
      </c>
      <c r="AI29" s="155">
        <f t="shared" si="29"/>
        <v>0.39999999999999991</v>
      </c>
      <c r="AJ29" s="155">
        <f t="shared" si="29"/>
        <v>0.39999999999999991</v>
      </c>
      <c r="AK29" s="155">
        <f t="shared" si="29"/>
        <v>0.39999999999999991</v>
      </c>
      <c r="AL29" s="155">
        <f t="shared" si="29"/>
        <v>0.14999999999999991</v>
      </c>
      <c r="AM29" s="155">
        <f t="shared" si="29"/>
        <v>0.14999999999999991</v>
      </c>
      <c r="AN29" s="155">
        <f t="shared" si="29"/>
        <v>-0.10000000000000009</v>
      </c>
      <c r="AO29" s="156">
        <f t="shared" si="29"/>
        <v>-0.10000000000000009</v>
      </c>
      <c r="AP29" s="156">
        <f t="shared" si="29"/>
        <v>-0.34999999999999964</v>
      </c>
      <c r="AQ29" s="156">
        <f t="shared" si="29"/>
        <v>-0.59999999999999964</v>
      </c>
      <c r="AR29" s="156">
        <f t="shared" si="29"/>
        <v>-0.59999999999999964</v>
      </c>
      <c r="AS29" s="156">
        <f t="shared" si="29"/>
        <v>-0.59999999999999964</v>
      </c>
      <c r="AT29" s="156">
        <f t="shared" si="29"/>
        <v>-0.59999999999999964</v>
      </c>
      <c r="AU29" s="156">
        <f t="shared" si="29"/>
        <v>-0.59999999999999964</v>
      </c>
      <c r="AV29" s="156">
        <f t="shared" si="29"/>
        <v>-0.59999999999999964</v>
      </c>
      <c r="AW29" s="156">
        <f t="shared" si="29"/>
        <v>-0.84999999999999964</v>
      </c>
      <c r="AX29" s="156" t="e">
        <f t="shared" si="29"/>
        <v>#VALUE!</v>
      </c>
      <c r="AZ29" s="143">
        <v>-6</v>
      </c>
      <c r="BA29" s="161">
        <v>-5</v>
      </c>
    </row>
    <row r="30" spans="2:53" ht="25" customHeight="1">
      <c r="B30" s="164" t="s">
        <v>56</v>
      </c>
      <c r="C30" s="155">
        <f t="shared" ref="C30:N30" si="30">C8-C7</f>
        <v>-0.75</v>
      </c>
      <c r="D30" s="155">
        <f t="shared" si="30"/>
        <v>-0.75</v>
      </c>
      <c r="E30" s="155">
        <f t="shared" si="30"/>
        <v>-0.5</v>
      </c>
      <c r="F30" s="155">
        <f t="shared" si="30"/>
        <v>-1</v>
      </c>
      <c r="G30" s="155">
        <f t="shared" si="30"/>
        <v>-1</v>
      </c>
      <c r="H30" s="155">
        <f t="shared" si="30"/>
        <v>-0.5</v>
      </c>
      <c r="I30" s="155">
        <f t="shared" si="30"/>
        <v>-0.5</v>
      </c>
      <c r="J30" s="155">
        <f t="shared" si="30"/>
        <v>-0.25</v>
      </c>
      <c r="K30" s="155">
        <f t="shared" si="30"/>
        <v>-0.25</v>
      </c>
      <c r="L30" s="155">
        <f t="shared" si="30"/>
        <v>-0.25</v>
      </c>
      <c r="M30" s="155">
        <f t="shared" si="30"/>
        <v>-0.25</v>
      </c>
      <c r="N30" s="155">
        <f t="shared" si="30"/>
        <v>-0.25</v>
      </c>
      <c r="O30" s="155">
        <f>O8-O7</f>
        <v>-0.25</v>
      </c>
      <c r="P30" s="155">
        <f t="shared" ref="P30:AX30" si="31">P8-P7</f>
        <v>-0.25</v>
      </c>
      <c r="Q30" s="155">
        <f t="shared" si="31"/>
        <v>-0.25</v>
      </c>
      <c r="R30" s="155">
        <f t="shared" si="31"/>
        <v>-0.25</v>
      </c>
      <c r="S30" s="155">
        <f t="shared" si="31"/>
        <v>-0.25</v>
      </c>
      <c r="T30" s="155">
        <f t="shared" si="31"/>
        <v>-0.25</v>
      </c>
      <c r="U30" s="155">
        <f t="shared" si="31"/>
        <v>-0.25</v>
      </c>
      <c r="V30" s="155">
        <f t="shared" si="31"/>
        <v>-0.25</v>
      </c>
      <c r="W30" s="155">
        <f t="shared" si="31"/>
        <v>0.25</v>
      </c>
      <c r="X30" s="155">
        <f t="shared" si="31"/>
        <v>0.25</v>
      </c>
      <c r="Y30" s="155">
        <f t="shared" si="31"/>
        <v>0.5</v>
      </c>
      <c r="Z30" s="155">
        <f t="shared" si="31"/>
        <v>0.5</v>
      </c>
      <c r="AA30" s="155">
        <f t="shared" si="31"/>
        <v>0.5</v>
      </c>
      <c r="AB30" s="155">
        <f t="shared" si="31"/>
        <v>0.75</v>
      </c>
      <c r="AC30" s="155">
        <f t="shared" si="31"/>
        <v>0.75</v>
      </c>
      <c r="AD30" s="155">
        <f t="shared" si="31"/>
        <v>1</v>
      </c>
      <c r="AE30" s="155">
        <f t="shared" si="31"/>
        <v>1</v>
      </c>
      <c r="AF30" s="155">
        <f t="shared" si="31"/>
        <v>1</v>
      </c>
      <c r="AG30" s="155">
        <f t="shared" si="31"/>
        <v>1</v>
      </c>
      <c r="AH30" s="155">
        <f t="shared" si="31"/>
        <v>1</v>
      </c>
      <c r="AI30" s="155">
        <f t="shared" si="31"/>
        <v>1</v>
      </c>
      <c r="AJ30" s="155">
        <f t="shared" si="31"/>
        <v>1.5</v>
      </c>
      <c r="AK30" s="155">
        <f t="shared" si="31"/>
        <v>1.75</v>
      </c>
      <c r="AL30" s="155">
        <f t="shared" si="31"/>
        <v>1.5</v>
      </c>
      <c r="AM30" s="155">
        <f t="shared" si="31"/>
        <v>1.5</v>
      </c>
      <c r="AN30" s="155">
        <f t="shared" si="31"/>
        <v>1.5</v>
      </c>
      <c r="AO30" s="156">
        <f t="shared" si="31"/>
        <v>1.5</v>
      </c>
      <c r="AP30" s="156">
        <f t="shared" si="31"/>
        <v>1.5</v>
      </c>
      <c r="AQ30" s="156">
        <f t="shared" si="31"/>
        <v>1.5</v>
      </c>
      <c r="AR30" s="156">
        <f t="shared" si="31"/>
        <v>1.5</v>
      </c>
      <c r="AS30" s="156">
        <f t="shared" si="31"/>
        <v>1.25</v>
      </c>
      <c r="AT30" s="156">
        <f t="shared" si="31"/>
        <v>1.25</v>
      </c>
      <c r="AU30" s="156">
        <f t="shared" si="31"/>
        <v>1</v>
      </c>
      <c r="AV30" s="156">
        <f t="shared" si="31"/>
        <v>1</v>
      </c>
      <c r="AW30" s="156">
        <f t="shared" si="31"/>
        <v>0.75</v>
      </c>
      <c r="AX30" s="156" t="e">
        <f t="shared" si="31"/>
        <v>#VALUE!</v>
      </c>
      <c r="AZ30" s="143">
        <v>-6.5</v>
      </c>
      <c r="BA30" s="161">
        <v>-4</v>
      </c>
    </row>
    <row r="31" spans="2:53" ht="25" customHeight="1" thickBot="1">
      <c r="B31" s="165" t="s">
        <v>57</v>
      </c>
      <c r="C31" s="155">
        <f t="shared" ref="C31:N31" si="32">C6-C5</f>
        <v>1.1000000000000001</v>
      </c>
      <c r="D31" s="155">
        <f t="shared" si="32"/>
        <v>1.1000000000000001</v>
      </c>
      <c r="E31" s="155">
        <f t="shared" si="32"/>
        <v>1.6</v>
      </c>
      <c r="F31" s="155">
        <f t="shared" si="32"/>
        <v>1.6</v>
      </c>
      <c r="G31" s="155">
        <f t="shared" si="32"/>
        <v>1.6</v>
      </c>
      <c r="H31" s="155">
        <f t="shared" si="32"/>
        <v>1.85</v>
      </c>
      <c r="I31" s="155">
        <f t="shared" si="32"/>
        <v>1.85</v>
      </c>
      <c r="J31" s="155">
        <f t="shared" si="32"/>
        <v>1.85</v>
      </c>
      <c r="K31" s="155">
        <f t="shared" si="32"/>
        <v>1.85</v>
      </c>
      <c r="L31" s="155">
        <f t="shared" si="32"/>
        <v>1.85</v>
      </c>
      <c r="M31" s="155">
        <f t="shared" si="32"/>
        <v>1.85</v>
      </c>
      <c r="N31" s="155">
        <f t="shared" si="32"/>
        <v>1.85</v>
      </c>
      <c r="O31" s="155">
        <f>O6-O5</f>
        <v>1.85</v>
      </c>
      <c r="P31" s="155">
        <f t="shared" ref="P31:AX31" si="33">P6-P5</f>
        <v>1.85</v>
      </c>
      <c r="Q31" s="155">
        <f t="shared" si="33"/>
        <v>1.4</v>
      </c>
      <c r="R31" s="155">
        <f t="shared" si="33"/>
        <v>1.4</v>
      </c>
      <c r="S31" s="155">
        <f t="shared" si="33"/>
        <v>1.4</v>
      </c>
      <c r="T31" s="155">
        <f t="shared" si="33"/>
        <v>1.1499999999999999</v>
      </c>
      <c r="U31" s="155">
        <f t="shared" si="33"/>
        <v>1</v>
      </c>
      <c r="V31" s="155">
        <f t="shared" si="33"/>
        <v>1</v>
      </c>
      <c r="W31" s="155">
        <f t="shared" si="33"/>
        <v>0.75</v>
      </c>
      <c r="X31" s="155">
        <f t="shared" si="33"/>
        <v>0.75</v>
      </c>
      <c r="Y31" s="155">
        <f t="shared" si="33"/>
        <v>0.75</v>
      </c>
      <c r="Z31" s="155">
        <f t="shared" si="33"/>
        <v>0.25</v>
      </c>
      <c r="AA31" s="155">
        <f t="shared" si="33"/>
        <v>0</v>
      </c>
      <c r="AB31" s="155">
        <f t="shared" si="33"/>
        <v>0</v>
      </c>
      <c r="AC31" s="155">
        <f t="shared" si="33"/>
        <v>-0.25</v>
      </c>
      <c r="AD31" s="155">
        <f t="shared" si="33"/>
        <v>-0.25</v>
      </c>
      <c r="AE31" s="155">
        <f t="shared" si="33"/>
        <v>-0.25</v>
      </c>
      <c r="AF31" s="155">
        <f t="shared" si="33"/>
        <v>-0.5</v>
      </c>
      <c r="AG31" s="155">
        <f t="shared" si="33"/>
        <v>-0.5</v>
      </c>
      <c r="AH31" s="155">
        <f t="shared" si="33"/>
        <v>-0.5</v>
      </c>
      <c r="AI31" s="155">
        <f t="shared" si="33"/>
        <v>-0.5</v>
      </c>
      <c r="AJ31" s="155">
        <f t="shared" si="33"/>
        <v>-0.5</v>
      </c>
      <c r="AK31" s="155">
        <f t="shared" si="33"/>
        <v>-0.5</v>
      </c>
      <c r="AL31" s="155">
        <f t="shared" si="33"/>
        <v>-0.75</v>
      </c>
      <c r="AM31" s="155">
        <f t="shared" si="33"/>
        <v>-0.75</v>
      </c>
      <c r="AN31" s="155">
        <f t="shared" si="33"/>
        <v>-0.75</v>
      </c>
      <c r="AO31" s="156">
        <f t="shared" si="33"/>
        <v>-0.75</v>
      </c>
      <c r="AP31" s="156">
        <f t="shared" si="33"/>
        <v>-0.75</v>
      </c>
      <c r="AQ31" s="156">
        <f t="shared" si="33"/>
        <v>-0.75</v>
      </c>
      <c r="AR31" s="156">
        <f t="shared" si="33"/>
        <v>-1</v>
      </c>
      <c r="AS31" s="156">
        <f t="shared" si="33"/>
        <v>-1</v>
      </c>
      <c r="AT31" s="156">
        <f t="shared" si="33"/>
        <v>-1</v>
      </c>
      <c r="AU31" s="156">
        <f t="shared" si="33"/>
        <v>-1</v>
      </c>
      <c r="AV31" s="156">
        <f t="shared" si="33"/>
        <v>-1</v>
      </c>
      <c r="AW31" s="156">
        <f t="shared" si="33"/>
        <v>-1.25</v>
      </c>
      <c r="AX31" s="156" t="e">
        <f t="shared" si="33"/>
        <v>#VALUE!</v>
      </c>
      <c r="AZ31" s="166">
        <v>-7</v>
      </c>
      <c r="BA31" s="167">
        <v>-3</v>
      </c>
    </row>
    <row r="32" spans="2:53" ht="25" customHeight="1">
      <c r="B32" s="168" t="s">
        <v>10</v>
      </c>
      <c r="C32" s="155">
        <f t="shared" ref="C32:N32" si="34">C3-C9</f>
        <v>-1.4</v>
      </c>
      <c r="D32" s="155">
        <f t="shared" si="34"/>
        <v>-1.4</v>
      </c>
      <c r="E32" s="155">
        <f t="shared" si="34"/>
        <v>-1.4</v>
      </c>
      <c r="F32" s="155">
        <f t="shared" si="34"/>
        <v>-1.4</v>
      </c>
      <c r="G32" s="155">
        <f t="shared" si="34"/>
        <v>-1.4</v>
      </c>
      <c r="H32" s="155">
        <f t="shared" si="34"/>
        <v>-1.1500000000000004</v>
      </c>
      <c r="I32" s="155">
        <f t="shared" si="34"/>
        <v>-1.4000000000000004</v>
      </c>
      <c r="J32" s="155">
        <f t="shared" si="34"/>
        <v>-1.4000000000000004</v>
      </c>
      <c r="K32" s="155">
        <f t="shared" si="34"/>
        <v>-1.4000000000000004</v>
      </c>
      <c r="L32" s="155">
        <f t="shared" si="34"/>
        <v>-1.4000000000000004</v>
      </c>
      <c r="M32" s="155">
        <f t="shared" si="34"/>
        <v>-1.1500000000000004</v>
      </c>
      <c r="N32" s="155">
        <f t="shared" si="34"/>
        <v>-1.1500000000000004</v>
      </c>
      <c r="O32" s="155">
        <f>O3-O9</f>
        <v>-1.1500000000000004</v>
      </c>
      <c r="P32" s="155">
        <f t="shared" ref="P32:AX32" si="35">P3-P9</f>
        <v>-1.1500000000000004</v>
      </c>
      <c r="Q32" s="155">
        <f t="shared" si="35"/>
        <v>-1.1500000000000004</v>
      </c>
      <c r="R32" s="155">
        <f t="shared" si="35"/>
        <v>-1.1500000000000004</v>
      </c>
      <c r="S32" s="155">
        <f t="shared" si="35"/>
        <v>-1.1500000000000004</v>
      </c>
      <c r="T32" s="155">
        <f t="shared" si="35"/>
        <v>-1.1500000000000004</v>
      </c>
      <c r="U32" s="155">
        <f t="shared" si="35"/>
        <v>-1.1500000000000004</v>
      </c>
      <c r="V32" s="155">
        <f t="shared" si="35"/>
        <v>-1.1500000000000004</v>
      </c>
      <c r="W32" s="155">
        <f t="shared" si="35"/>
        <v>-0.65000000000000036</v>
      </c>
      <c r="X32" s="155">
        <f t="shared" si="35"/>
        <v>-0.65000000000000036</v>
      </c>
      <c r="Y32" s="155">
        <f t="shared" si="35"/>
        <v>-0.40000000000000036</v>
      </c>
      <c r="Z32" s="155">
        <f t="shared" si="35"/>
        <v>-0.15000000000000036</v>
      </c>
      <c r="AA32" s="155">
        <f t="shared" si="35"/>
        <v>-0.15000000000000036</v>
      </c>
      <c r="AB32" s="155">
        <f t="shared" si="35"/>
        <v>-0.40000000000000036</v>
      </c>
      <c r="AC32" s="155">
        <f t="shared" si="35"/>
        <v>-0.40000000000000036</v>
      </c>
      <c r="AD32" s="155">
        <f t="shared" si="35"/>
        <v>-0.40000000000000036</v>
      </c>
      <c r="AE32" s="155">
        <f t="shared" si="35"/>
        <v>-0.64999999999999991</v>
      </c>
      <c r="AF32" s="155">
        <f t="shared" si="35"/>
        <v>-0.64999999999999991</v>
      </c>
      <c r="AG32" s="155">
        <f t="shared" si="35"/>
        <v>-0.64999999999999991</v>
      </c>
      <c r="AH32" s="155">
        <f t="shared" si="35"/>
        <v>-0.89999999999999991</v>
      </c>
      <c r="AI32" s="155">
        <f t="shared" si="35"/>
        <v>-0.64999999999999991</v>
      </c>
      <c r="AJ32" s="155">
        <f t="shared" si="35"/>
        <v>-0.39999999999999991</v>
      </c>
      <c r="AK32" s="155">
        <f t="shared" si="35"/>
        <v>-0.39999999999999991</v>
      </c>
      <c r="AL32" s="155">
        <f t="shared" si="35"/>
        <v>-0.14999999999999991</v>
      </c>
      <c r="AM32" s="155">
        <f t="shared" si="35"/>
        <v>-0.14999999999999991</v>
      </c>
      <c r="AN32" s="155">
        <f t="shared" si="35"/>
        <v>0.10000000000000009</v>
      </c>
      <c r="AO32" s="156">
        <f t="shared" si="35"/>
        <v>0.10000000000000009</v>
      </c>
      <c r="AP32" s="156">
        <f t="shared" si="35"/>
        <v>0.34999999999999964</v>
      </c>
      <c r="AQ32" s="156">
        <f t="shared" si="35"/>
        <v>0.59999999999999964</v>
      </c>
      <c r="AR32" s="156">
        <f t="shared" si="35"/>
        <v>0.59999999999999964</v>
      </c>
      <c r="AS32" s="156">
        <f t="shared" si="35"/>
        <v>0.59999999999999964</v>
      </c>
      <c r="AT32" s="156">
        <f t="shared" si="35"/>
        <v>0.59999999999999964</v>
      </c>
      <c r="AU32" s="156">
        <f t="shared" si="35"/>
        <v>0.59999999999999964</v>
      </c>
      <c r="AV32" s="156">
        <f t="shared" si="35"/>
        <v>0.34999999999999964</v>
      </c>
      <c r="AW32" s="156">
        <f t="shared" si="35"/>
        <v>0.59999999999999964</v>
      </c>
      <c r="AX32" s="156" t="e">
        <f t="shared" si="35"/>
        <v>#VALUE!</v>
      </c>
    </row>
    <row r="33" spans="2:62" ht="25" customHeight="1">
      <c r="B33" s="168" t="s">
        <v>58</v>
      </c>
      <c r="C33" s="155">
        <f t="shared" ref="C33:N33" si="36">C3-C6</f>
        <v>2.1</v>
      </c>
      <c r="D33" s="155">
        <f t="shared" si="36"/>
        <v>2.35</v>
      </c>
      <c r="E33" s="155">
        <f t="shared" si="36"/>
        <v>2.1</v>
      </c>
      <c r="F33" s="155">
        <f t="shared" si="36"/>
        <v>2.1</v>
      </c>
      <c r="G33" s="155">
        <f t="shared" si="36"/>
        <v>2.35</v>
      </c>
      <c r="H33" s="155">
        <f t="shared" si="36"/>
        <v>2.3499999999999996</v>
      </c>
      <c r="I33" s="155">
        <f t="shared" si="36"/>
        <v>2.3499999999999996</v>
      </c>
      <c r="J33" s="155">
        <f t="shared" si="36"/>
        <v>2.3499999999999996</v>
      </c>
      <c r="K33" s="155">
        <f t="shared" si="36"/>
        <v>2.3499999999999996</v>
      </c>
      <c r="L33" s="155">
        <f t="shared" si="36"/>
        <v>2.3499999999999996</v>
      </c>
      <c r="M33" s="155">
        <f t="shared" si="36"/>
        <v>2.5999999999999996</v>
      </c>
      <c r="N33" s="155">
        <f t="shared" si="36"/>
        <v>2.5999999999999996</v>
      </c>
      <c r="O33" s="155">
        <f>O3-O6</f>
        <v>2.5999999999999996</v>
      </c>
      <c r="P33" s="155">
        <f t="shared" ref="P33:AX33" si="37">P3-P6</f>
        <v>2.5999999999999996</v>
      </c>
      <c r="Q33" s="155">
        <f t="shared" si="37"/>
        <v>2.8499999999999996</v>
      </c>
      <c r="R33" s="155">
        <f t="shared" si="37"/>
        <v>2.8499999999999996</v>
      </c>
      <c r="S33" s="155">
        <f t="shared" si="37"/>
        <v>2.8499999999999996</v>
      </c>
      <c r="T33" s="155">
        <f t="shared" si="37"/>
        <v>3.0999999999999996</v>
      </c>
      <c r="U33" s="155">
        <f t="shared" si="37"/>
        <v>3.0999999999999996</v>
      </c>
      <c r="V33" s="155">
        <f t="shared" si="37"/>
        <v>3.0999999999999996</v>
      </c>
      <c r="W33" s="155">
        <f t="shared" si="37"/>
        <v>3.3499999999999996</v>
      </c>
      <c r="X33" s="155">
        <f t="shared" si="37"/>
        <v>3.3499999999999996</v>
      </c>
      <c r="Y33" s="155">
        <f t="shared" si="37"/>
        <v>3.3499999999999996</v>
      </c>
      <c r="Z33" s="155">
        <f t="shared" si="37"/>
        <v>3.8499999999999996</v>
      </c>
      <c r="AA33" s="155">
        <f t="shared" si="37"/>
        <v>3.8499999999999996</v>
      </c>
      <c r="AB33" s="155">
        <f t="shared" si="37"/>
        <v>3.5999999999999996</v>
      </c>
      <c r="AC33" s="155">
        <f t="shared" si="37"/>
        <v>3.8499999999999996</v>
      </c>
      <c r="AD33" s="155">
        <f t="shared" si="37"/>
        <v>3.8499999999999996</v>
      </c>
      <c r="AE33" s="155">
        <f t="shared" si="37"/>
        <v>3.6</v>
      </c>
      <c r="AF33" s="155">
        <f t="shared" si="37"/>
        <v>3.85</v>
      </c>
      <c r="AG33" s="155">
        <f t="shared" si="37"/>
        <v>3.85</v>
      </c>
      <c r="AH33" s="155">
        <f t="shared" si="37"/>
        <v>3.6</v>
      </c>
      <c r="AI33" s="155">
        <f t="shared" si="37"/>
        <v>3.6</v>
      </c>
      <c r="AJ33" s="155">
        <f t="shared" si="37"/>
        <v>3.6</v>
      </c>
      <c r="AK33" s="155">
        <f t="shared" si="37"/>
        <v>3.6</v>
      </c>
      <c r="AL33" s="155">
        <f t="shared" si="37"/>
        <v>3.6</v>
      </c>
      <c r="AM33" s="155">
        <f t="shared" si="37"/>
        <v>3.6</v>
      </c>
      <c r="AN33" s="155">
        <f t="shared" si="37"/>
        <v>3.85</v>
      </c>
      <c r="AO33" s="156">
        <f t="shared" si="37"/>
        <v>3.85</v>
      </c>
      <c r="AP33" s="156">
        <f t="shared" si="37"/>
        <v>4.0999999999999996</v>
      </c>
      <c r="AQ33" s="156">
        <f t="shared" si="37"/>
        <v>4.3499999999999996</v>
      </c>
      <c r="AR33" s="156">
        <f t="shared" si="37"/>
        <v>4.3499999999999996</v>
      </c>
      <c r="AS33" s="156">
        <f t="shared" si="37"/>
        <v>4.3499999999999996</v>
      </c>
      <c r="AT33" s="156">
        <f t="shared" si="37"/>
        <v>4.3499999999999996</v>
      </c>
      <c r="AU33" s="156">
        <f t="shared" si="37"/>
        <v>4.3499999999999996</v>
      </c>
      <c r="AV33" s="156">
        <f t="shared" si="37"/>
        <v>4.3499999999999996</v>
      </c>
      <c r="AW33" s="156">
        <f t="shared" si="37"/>
        <v>4.5999999999999996</v>
      </c>
      <c r="AX33" s="156" t="e">
        <f t="shared" si="37"/>
        <v>#VALUE!</v>
      </c>
    </row>
    <row r="34" spans="2:62" ht="25" customHeight="1">
      <c r="B34" s="168" t="s">
        <v>18</v>
      </c>
      <c r="C34" s="155">
        <f t="shared" ref="C34:N34" si="38">C3-C5</f>
        <v>3.2</v>
      </c>
      <c r="D34" s="155">
        <f t="shared" si="38"/>
        <v>3.45</v>
      </c>
      <c r="E34" s="155">
        <f t="shared" si="38"/>
        <v>3.7</v>
      </c>
      <c r="F34" s="155">
        <f t="shared" si="38"/>
        <v>3.7</v>
      </c>
      <c r="G34" s="155">
        <f t="shared" si="38"/>
        <v>3.95</v>
      </c>
      <c r="H34" s="155">
        <f t="shared" si="38"/>
        <v>4.1999999999999993</v>
      </c>
      <c r="I34" s="155">
        <f t="shared" si="38"/>
        <v>4.1999999999999993</v>
      </c>
      <c r="J34" s="155">
        <f t="shared" si="38"/>
        <v>4.1999999999999993</v>
      </c>
      <c r="K34" s="155">
        <f t="shared" si="38"/>
        <v>4.1999999999999993</v>
      </c>
      <c r="L34" s="155">
        <f t="shared" si="38"/>
        <v>4.1999999999999993</v>
      </c>
      <c r="M34" s="155">
        <f t="shared" si="38"/>
        <v>4.4499999999999993</v>
      </c>
      <c r="N34" s="155">
        <f t="shared" si="38"/>
        <v>4.4499999999999993</v>
      </c>
      <c r="O34" s="155">
        <f>O3-O5</f>
        <v>4.4499999999999993</v>
      </c>
      <c r="P34" s="155">
        <f t="shared" ref="P34:AX34" si="39">P3-P5</f>
        <v>4.4499999999999993</v>
      </c>
      <c r="Q34" s="155">
        <f t="shared" si="39"/>
        <v>4.25</v>
      </c>
      <c r="R34" s="155">
        <f t="shared" si="39"/>
        <v>4.25</v>
      </c>
      <c r="S34" s="155">
        <f t="shared" si="39"/>
        <v>4.25</v>
      </c>
      <c r="T34" s="155">
        <f t="shared" si="39"/>
        <v>4.25</v>
      </c>
      <c r="U34" s="155">
        <f t="shared" si="39"/>
        <v>4.0999999999999996</v>
      </c>
      <c r="V34" s="155">
        <f t="shared" si="39"/>
        <v>4.0999999999999996</v>
      </c>
      <c r="W34" s="155">
        <f t="shared" si="39"/>
        <v>4.0999999999999996</v>
      </c>
      <c r="X34" s="155">
        <f t="shared" si="39"/>
        <v>4.0999999999999996</v>
      </c>
      <c r="Y34" s="155">
        <f t="shared" si="39"/>
        <v>4.0999999999999996</v>
      </c>
      <c r="Z34" s="155">
        <f t="shared" si="39"/>
        <v>4.0999999999999996</v>
      </c>
      <c r="AA34" s="155">
        <f t="shared" si="39"/>
        <v>3.8499999999999996</v>
      </c>
      <c r="AB34" s="155">
        <f t="shared" si="39"/>
        <v>3.5999999999999996</v>
      </c>
      <c r="AC34" s="155">
        <f t="shared" si="39"/>
        <v>3.5999999999999996</v>
      </c>
      <c r="AD34" s="155">
        <f t="shared" si="39"/>
        <v>3.5999999999999996</v>
      </c>
      <c r="AE34" s="155">
        <f t="shared" si="39"/>
        <v>3.35</v>
      </c>
      <c r="AF34" s="155">
        <f t="shared" si="39"/>
        <v>3.35</v>
      </c>
      <c r="AG34" s="155">
        <f t="shared" si="39"/>
        <v>3.35</v>
      </c>
      <c r="AH34" s="155">
        <f t="shared" si="39"/>
        <v>3.1</v>
      </c>
      <c r="AI34" s="155">
        <f t="shared" si="39"/>
        <v>3.1</v>
      </c>
      <c r="AJ34" s="155">
        <f t="shared" si="39"/>
        <v>3.1</v>
      </c>
      <c r="AK34" s="155">
        <f t="shared" si="39"/>
        <v>3.1</v>
      </c>
      <c r="AL34" s="155">
        <f t="shared" si="39"/>
        <v>2.85</v>
      </c>
      <c r="AM34" s="155">
        <f t="shared" si="39"/>
        <v>2.85</v>
      </c>
      <c r="AN34" s="155">
        <f t="shared" si="39"/>
        <v>3.1</v>
      </c>
      <c r="AO34" s="156">
        <f t="shared" si="39"/>
        <v>3.1</v>
      </c>
      <c r="AP34" s="156">
        <f t="shared" si="39"/>
        <v>3.3499999999999996</v>
      </c>
      <c r="AQ34" s="156">
        <f t="shared" si="39"/>
        <v>3.5999999999999996</v>
      </c>
      <c r="AR34" s="156">
        <f t="shared" si="39"/>
        <v>3.3499999999999996</v>
      </c>
      <c r="AS34" s="156">
        <f t="shared" si="39"/>
        <v>3.3499999999999996</v>
      </c>
      <c r="AT34" s="156">
        <f t="shared" si="39"/>
        <v>3.3499999999999996</v>
      </c>
      <c r="AU34" s="156">
        <f t="shared" si="39"/>
        <v>3.3499999999999996</v>
      </c>
      <c r="AV34" s="156">
        <f t="shared" si="39"/>
        <v>3.3499999999999996</v>
      </c>
      <c r="AW34" s="156">
        <f t="shared" si="39"/>
        <v>3.3499999999999996</v>
      </c>
      <c r="AX34" s="156" t="e">
        <f t="shared" si="39"/>
        <v>#VALUE!</v>
      </c>
    </row>
    <row r="35" spans="2:62" ht="25" customHeight="1">
      <c r="B35" s="169" t="s">
        <v>59</v>
      </c>
      <c r="C35" s="155">
        <f t="shared" ref="C35:N35" si="40">C3-C7</f>
        <v>-1.1499999999999999</v>
      </c>
      <c r="D35" s="155">
        <f t="shared" si="40"/>
        <v>-1.4</v>
      </c>
      <c r="E35" s="155">
        <f t="shared" si="40"/>
        <v>-1.1499999999999999</v>
      </c>
      <c r="F35" s="155">
        <f t="shared" si="40"/>
        <v>-1.65</v>
      </c>
      <c r="G35" s="155">
        <f t="shared" si="40"/>
        <v>-1.65</v>
      </c>
      <c r="H35" s="155">
        <f t="shared" si="40"/>
        <v>-1.4000000000000004</v>
      </c>
      <c r="I35" s="155">
        <f t="shared" si="40"/>
        <v>-1.4000000000000004</v>
      </c>
      <c r="J35" s="155">
        <f t="shared" si="40"/>
        <v>-1.4000000000000004</v>
      </c>
      <c r="K35" s="155">
        <f t="shared" si="40"/>
        <v>-1.4000000000000004</v>
      </c>
      <c r="L35" s="155">
        <f t="shared" si="40"/>
        <v>-1.4000000000000004</v>
      </c>
      <c r="M35" s="155">
        <f t="shared" si="40"/>
        <v>-1.1500000000000004</v>
      </c>
      <c r="N35" s="155">
        <f t="shared" si="40"/>
        <v>-1.1500000000000004</v>
      </c>
      <c r="O35" s="155">
        <f>O3-O7</f>
        <v>-1.1500000000000004</v>
      </c>
      <c r="P35" s="155">
        <f t="shared" ref="P35:AX35" si="41">P3-P7</f>
        <v>-1.1500000000000004</v>
      </c>
      <c r="Q35" s="155">
        <f t="shared" si="41"/>
        <v>-1.1500000000000004</v>
      </c>
      <c r="R35" s="155">
        <f t="shared" si="41"/>
        <v>-1.1500000000000004</v>
      </c>
      <c r="S35" s="155">
        <f t="shared" si="41"/>
        <v>-1.1500000000000004</v>
      </c>
      <c r="T35" s="155">
        <f t="shared" si="41"/>
        <v>-1.1500000000000004</v>
      </c>
      <c r="U35" s="155">
        <f t="shared" si="41"/>
        <v>-1.1500000000000004</v>
      </c>
      <c r="V35" s="155">
        <f t="shared" si="41"/>
        <v>-0.90000000000000036</v>
      </c>
      <c r="W35" s="155">
        <f t="shared" si="41"/>
        <v>-0.40000000000000036</v>
      </c>
      <c r="X35" s="155">
        <f t="shared" si="41"/>
        <v>-0.40000000000000036</v>
      </c>
      <c r="Y35" s="155">
        <f t="shared" si="41"/>
        <v>9.9999999999999645E-2</v>
      </c>
      <c r="Z35" s="155">
        <f t="shared" si="41"/>
        <v>9.9999999999999645E-2</v>
      </c>
      <c r="AA35" s="155">
        <f t="shared" si="41"/>
        <v>9.9999999999999645E-2</v>
      </c>
      <c r="AB35" s="155">
        <f t="shared" si="41"/>
        <v>0.34999999999999964</v>
      </c>
      <c r="AC35" s="155">
        <f t="shared" si="41"/>
        <v>0.34999999999999964</v>
      </c>
      <c r="AD35" s="155">
        <f t="shared" si="41"/>
        <v>0.59999999999999964</v>
      </c>
      <c r="AE35" s="155">
        <f t="shared" si="41"/>
        <v>0.60000000000000009</v>
      </c>
      <c r="AF35" s="155">
        <f t="shared" si="41"/>
        <v>0.60000000000000009</v>
      </c>
      <c r="AG35" s="155">
        <f t="shared" si="41"/>
        <v>0.60000000000000009</v>
      </c>
      <c r="AH35" s="155">
        <f t="shared" si="41"/>
        <v>0.60000000000000009</v>
      </c>
      <c r="AI35" s="155">
        <f t="shared" si="41"/>
        <v>0.60000000000000009</v>
      </c>
      <c r="AJ35" s="155">
        <f t="shared" si="41"/>
        <v>1.1000000000000001</v>
      </c>
      <c r="AK35" s="155">
        <f t="shared" si="41"/>
        <v>1.35</v>
      </c>
      <c r="AL35" s="155">
        <f t="shared" si="41"/>
        <v>1.35</v>
      </c>
      <c r="AM35" s="155">
        <f t="shared" si="41"/>
        <v>1.35</v>
      </c>
      <c r="AN35" s="155">
        <f t="shared" si="41"/>
        <v>1.6</v>
      </c>
      <c r="AO35" s="156">
        <f t="shared" si="41"/>
        <v>1.6</v>
      </c>
      <c r="AP35" s="156">
        <f t="shared" si="41"/>
        <v>1.8499999999999996</v>
      </c>
      <c r="AQ35" s="156">
        <f t="shared" si="41"/>
        <v>2.0999999999999996</v>
      </c>
      <c r="AR35" s="156">
        <f t="shared" si="41"/>
        <v>2.0999999999999996</v>
      </c>
      <c r="AS35" s="156">
        <f t="shared" si="41"/>
        <v>1.8499999999999996</v>
      </c>
      <c r="AT35" s="156">
        <f t="shared" si="41"/>
        <v>1.8499999999999996</v>
      </c>
      <c r="AU35" s="156">
        <f t="shared" si="41"/>
        <v>1.5999999999999996</v>
      </c>
      <c r="AV35" s="156">
        <f t="shared" si="41"/>
        <v>1.5999999999999996</v>
      </c>
      <c r="AW35" s="156">
        <f t="shared" si="41"/>
        <v>1.5999999999999996</v>
      </c>
      <c r="AX35" s="156" t="e">
        <f t="shared" si="41"/>
        <v>#VALUE!</v>
      </c>
    </row>
    <row r="36" spans="2:62" ht="25" customHeight="1">
      <c r="B36" s="169" t="s">
        <v>20</v>
      </c>
      <c r="C36" s="155">
        <f t="shared" ref="C36:N36" si="42">C3-C4</f>
        <v>-1.4</v>
      </c>
      <c r="D36" s="155">
        <f t="shared" si="42"/>
        <v>-1.1499999999999999</v>
      </c>
      <c r="E36" s="155">
        <f t="shared" si="42"/>
        <v>-0.89999999999999991</v>
      </c>
      <c r="F36" s="155">
        <f t="shared" si="42"/>
        <v>-0.89999999999999991</v>
      </c>
      <c r="G36" s="155">
        <f t="shared" si="42"/>
        <v>-0.64999999999999991</v>
      </c>
      <c r="H36" s="155">
        <f t="shared" si="42"/>
        <v>-0.65000000000000036</v>
      </c>
      <c r="I36" s="155">
        <f t="shared" si="42"/>
        <v>-0.90000000000000036</v>
      </c>
      <c r="J36" s="155">
        <f t="shared" si="42"/>
        <v>-0.90000000000000036</v>
      </c>
      <c r="K36" s="155">
        <f t="shared" si="42"/>
        <v>-0.90000000000000036</v>
      </c>
      <c r="L36" s="155">
        <f t="shared" si="42"/>
        <v>-0.90000000000000036</v>
      </c>
      <c r="M36" s="155">
        <f t="shared" si="42"/>
        <v>-0.65000000000000036</v>
      </c>
      <c r="N36" s="155">
        <f t="shared" si="42"/>
        <v>-0.65000000000000036</v>
      </c>
      <c r="O36" s="155">
        <f>O3-O4</f>
        <v>-0.65000000000000036</v>
      </c>
      <c r="P36" s="155">
        <f t="shared" ref="P36:AX37" si="43">P3-P4</f>
        <v>-0.65000000000000036</v>
      </c>
      <c r="Q36" s="155">
        <f t="shared" si="43"/>
        <v>-0.65000000000000036</v>
      </c>
      <c r="R36" s="155">
        <f t="shared" si="43"/>
        <v>-0.65000000000000036</v>
      </c>
      <c r="S36" s="155">
        <f t="shared" si="43"/>
        <v>-0.65000000000000036</v>
      </c>
      <c r="T36" s="155">
        <f t="shared" si="43"/>
        <v>-0.40000000000000036</v>
      </c>
      <c r="U36" s="155">
        <f t="shared" si="43"/>
        <v>-0.15000000000000036</v>
      </c>
      <c r="V36" s="155">
        <f t="shared" si="43"/>
        <v>-0.15000000000000036</v>
      </c>
      <c r="W36" s="155">
        <f t="shared" si="43"/>
        <v>9.9999999999999645E-2</v>
      </c>
      <c r="X36" s="155">
        <f t="shared" si="43"/>
        <v>0.59999999999999964</v>
      </c>
      <c r="Y36" s="155">
        <f t="shared" si="43"/>
        <v>0.59999999999999964</v>
      </c>
      <c r="Z36" s="155">
        <f t="shared" si="43"/>
        <v>1.0999999999999996</v>
      </c>
      <c r="AA36" s="155">
        <f t="shared" si="43"/>
        <v>1.3499999999999996</v>
      </c>
      <c r="AB36" s="155">
        <f t="shared" si="43"/>
        <v>1.0999999999999996</v>
      </c>
      <c r="AC36" s="155">
        <f t="shared" si="43"/>
        <v>1.3499999999999996</v>
      </c>
      <c r="AD36" s="155">
        <f t="shared" si="43"/>
        <v>1.3499999999999996</v>
      </c>
      <c r="AE36" s="155">
        <f t="shared" si="43"/>
        <v>1.1000000000000001</v>
      </c>
      <c r="AF36" s="155">
        <f t="shared" si="43"/>
        <v>1.1000000000000001</v>
      </c>
      <c r="AG36" s="155">
        <f t="shared" si="43"/>
        <v>1.1000000000000001</v>
      </c>
      <c r="AH36" s="155">
        <f t="shared" si="43"/>
        <v>0.85000000000000009</v>
      </c>
      <c r="AI36" s="155">
        <f t="shared" si="43"/>
        <v>1.1000000000000001</v>
      </c>
      <c r="AJ36" s="155">
        <f t="shared" si="43"/>
        <v>1.35</v>
      </c>
      <c r="AK36" s="155">
        <f t="shared" si="43"/>
        <v>1.35</v>
      </c>
      <c r="AL36" s="155">
        <f t="shared" si="43"/>
        <v>1.35</v>
      </c>
      <c r="AM36" s="155">
        <f t="shared" si="43"/>
        <v>1.35</v>
      </c>
      <c r="AN36" s="155">
        <f t="shared" si="43"/>
        <v>1.6</v>
      </c>
      <c r="AO36" s="156">
        <f t="shared" si="43"/>
        <v>1.6</v>
      </c>
      <c r="AP36" s="156">
        <f t="shared" si="43"/>
        <v>1.8499999999999996</v>
      </c>
      <c r="AQ36" s="156">
        <f t="shared" si="43"/>
        <v>2.0999999999999996</v>
      </c>
      <c r="AR36" s="156">
        <f t="shared" si="43"/>
        <v>2.0999999999999996</v>
      </c>
      <c r="AS36" s="156">
        <f t="shared" si="43"/>
        <v>2.0999999999999996</v>
      </c>
      <c r="AT36" s="156">
        <f t="shared" si="43"/>
        <v>2.0999999999999996</v>
      </c>
      <c r="AU36" s="156">
        <f t="shared" si="43"/>
        <v>2.0999999999999996</v>
      </c>
      <c r="AV36" s="156">
        <f t="shared" si="43"/>
        <v>2.0999999999999996</v>
      </c>
      <c r="AW36" s="156">
        <f t="shared" si="43"/>
        <v>2.3499999999999996</v>
      </c>
      <c r="AX36" s="156" t="e">
        <f t="shared" si="43"/>
        <v>#VALUE!</v>
      </c>
    </row>
    <row r="37" spans="2:62" ht="25" customHeight="1">
      <c r="B37" s="170" t="s">
        <v>19</v>
      </c>
      <c r="C37" s="155">
        <f t="shared" ref="C37:N37" si="44">C4-C5</f>
        <v>4.5999999999999996</v>
      </c>
      <c r="D37" s="155">
        <f t="shared" si="44"/>
        <v>4.5999999999999996</v>
      </c>
      <c r="E37" s="155">
        <f t="shared" si="44"/>
        <v>4.5999999999999996</v>
      </c>
      <c r="F37" s="155">
        <f t="shared" si="44"/>
        <v>4.5999999999999996</v>
      </c>
      <c r="G37" s="155">
        <f t="shared" si="44"/>
        <v>4.5999999999999996</v>
      </c>
      <c r="H37" s="155">
        <f t="shared" si="44"/>
        <v>4.8499999999999996</v>
      </c>
      <c r="I37" s="155">
        <f t="shared" si="44"/>
        <v>5.0999999999999996</v>
      </c>
      <c r="J37" s="155">
        <f t="shared" si="44"/>
        <v>5.0999999999999996</v>
      </c>
      <c r="K37" s="155">
        <f t="shared" si="44"/>
        <v>5.0999999999999996</v>
      </c>
      <c r="L37" s="155">
        <f t="shared" si="44"/>
        <v>5.0999999999999996</v>
      </c>
      <c r="M37" s="155">
        <f t="shared" si="44"/>
        <v>5.0999999999999996</v>
      </c>
      <c r="N37" s="155">
        <f t="shared" si="44"/>
        <v>5.0999999999999996</v>
      </c>
      <c r="O37" s="155">
        <f>O4-O5</f>
        <v>5.0999999999999996</v>
      </c>
      <c r="P37" s="155">
        <f t="shared" si="43"/>
        <v>5.0999999999999996</v>
      </c>
      <c r="Q37" s="155">
        <f t="shared" si="43"/>
        <v>4.9000000000000004</v>
      </c>
      <c r="R37" s="155">
        <f t="shared" si="43"/>
        <v>4.9000000000000004</v>
      </c>
      <c r="S37" s="155">
        <f t="shared" si="43"/>
        <v>4.9000000000000004</v>
      </c>
      <c r="T37" s="155">
        <f t="shared" si="43"/>
        <v>4.6500000000000004</v>
      </c>
      <c r="U37" s="155">
        <f t="shared" si="43"/>
        <v>4.25</v>
      </c>
      <c r="V37" s="155">
        <f t="shared" si="43"/>
        <v>4.25</v>
      </c>
      <c r="W37" s="155">
        <f t="shared" si="43"/>
        <v>4</v>
      </c>
      <c r="X37" s="155">
        <f t="shared" si="43"/>
        <v>3.5</v>
      </c>
      <c r="Y37" s="155">
        <f t="shared" si="43"/>
        <v>3.5</v>
      </c>
      <c r="Z37" s="155">
        <f t="shared" si="43"/>
        <v>3</v>
      </c>
      <c r="AA37" s="155">
        <f t="shared" si="43"/>
        <v>2.5</v>
      </c>
      <c r="AB37" s="155">
        <f t="shared" si="43"/>
        <v>2.5</v>
      </c>
      <c r="AC37" s="155">
        <f t="shared" si="43"/>
        <v>2.25</v>
      </c>
      <c r="AD37" s="155">
        <f t="shared" si="43"/>
        <v>2.25</v>
      </c>
      <c r="AE37" s="155">
        <f t="shared" si="43"/>
        <v>2.25</v>
      </c>
      <c r="AF37" s="155">
        <f t="shared" si="43"/>
        <v>2.25</v>
      </c>
      <c r="AG37" s="155">
        <f t="shared" si="43"/>
        <v>2.25</v>
      </c>
      <c r="AH37" s="155">
        <f t="shared" si="43"/>
        <v>2.25</v>
      </c>
      <c r="AI37" s="155">
        <f t="shared" si="43"/>
        <v>2</v>
      </c>
      <c r="AJ37" s="155">
        <f t="shared" si="43"/>
        <v>1.75</v>
      </c>
      <c r="AK37" s="155">
        <f t="shared" si="43"/>
        <v>1.75</v>
      </c>
      <c r="AL37" s="155">
        <f t="shared" si="43"/>
        <v>1.5</v>
      </c>
      <c r="AM37" s="155">
        <f t="shared" si="43"/>
        <v>1.5</v>
      </c>
      <c r="AN37" s="155">
        <f t="shared" si="43"/>
        <v>1.5</v>
      </c>
      <c r="AO37" s="156">
        <f t="shared" si="43"/>
        <v>1.5</v>
      </c>
      <c r="AP37" s="156">
        <f t="shared" si="43"/>
        <v>1.5</v>
      </c>
      <c r="AQ37" s="156">
        <f t="shared" si="43"/>
        <v>1.5</v>
      </c>
      <c r="AR37" s="156">
        <f t="shared" si="43"/>
        <v>1.25</v>
      </c>
      <c r="AS37" s="156">
        <f t="shared" si="43"/>
        <v>1.25</v>
      </c>
      <c r="AT37" s="156">
        <f t="shared" si="43"/>
        <v>1.25</v>
      </c>
      <c r="AU37" s="156">
        <f t="shared" si="43"/>
        <v>1.25</v>
      </c>
      <c r="AV37" s="156">
        <f t="shared" si="43"/>
        <v>1.25</v>
      </c>
      <c r="AW37" s="156">
        <f t="shared" si="43"/>
        <v>1</v>
      </c>
      <c r="AX37" s="156" t="e">
        <f t="shared" si="43"/>
        <v>#VALUE!</v>
      </c>
    </row>
    <row r="42" spans="2:62" ht="14.5" customHeight="1">
      <c r="O42" s="82"/>
    </row>
    <row r="44" spans="2:62" ht="25" customHeight="1">
      <c r="B44" s="153" t="s">
        <v>75</v>
      </c>
      <c r="C44" s="135">
        <v>44927</v>
      </c>
      <c r="D44" s="135">
        <v>44958</v>
      </c>
      <c r="E44" s="135">
        <v>44986</v>
      </c>
      <c r="F44" s="135">
        <v>45017</v>
      </c>
      <c r="G44" s="135">
        <v>45047</v>
      </c>
      <c r="H44" s="135">
        <v>45078</v>
      </c>
      <c r="I44" s="135">
        <v>45108</v>
      </c>
      <c r="J44" s="135">
        <v>45139</v>
      </c>
      <c r="K44" s="135">
        <v>45170</v>
      </c>
      <c r="L44" s="135">
        <v>45200</v>
      </c>
      <c r="M44" s="135">
        <v>45231</v>
      </c>
      <c r="N44" s="135">
        <v>45261</v>
      </c>
      <c r="O44" s="135">
        <v>45292</v>
      </c>
      <c r="P44" s="135">
        <v>45323</v>
      </c>
      <c r="Q44" s="135">
        <v>45352</v>
      </c>
      <c r="R44" s="135">
        <v>45383</v>
      </c>
      <c r="S44" s="135">
        <v>45413</v>
      </c>
      <c r="T44" s="135">
        <v>45444</v>
      </c>
      <c r="U44" s="135">
        <v>45474</v>
      </c>
      <c r="V44" s="135">
        <v>45505</v>
      </c>
      <c r="W44" s="135">
        <v>45536</v>
      </c>
      <c r="X44" s="135">
        <v>45566</v>
      </c>
      <c r="Y44" s="135">
        <v>45597</v>
      </c>
      <c r="Z44" s="135">
        <v>45627</v>
      </c>
      <c r="AA44" s="135">
        <v>45658</v>
      </c>
      <c r="AB44" s="135">
        <v>45689</v>
      </c>
      <c r="AC44" s="135">
        <v>45717</v>
      </c>
      <c r="AD44" s="135">
        <v>45748</v>
      </c>
      <c r="AE44" s="135">
        <v>45778</v>
      </c>
      <c r="AF44" s="135">
        <v>45809</v>
      </c>
      <c r="AG44" s="135">
        <v>45839</v>
      </c>
      <c r="AH44" s="135">
        <v>45870</v>
      </c>
      <c r="AI44" s="135">
        <v>45901</v>
      </c>
      <c r="AJ44" s="135">
        <v>45931</v>
      </c>
      <c r="AK44" s="135">
        <v>45962</v>
      </c>
      <c r="AL44" s="135">
        <v>45992</v>
      </c>
      <c r="AM44" s="135">
        <v>46023</v>
      </c>
      <c r="AN44" s="135">
        <v>46054</v>
      </c>
      <c r="AO44" s="135">
        <v>46082</v>
      </c>
      <c r="AP44" s="135">
        <v>46113</v>
      </c>
      <c r="AQ44" s="135">
        <v>46143</v>
      </c>
      <c r="AR44" s="135">
        <v>46174</v>
      </c>
      <c r="AS44" s="135">
        <v>46204</v>
      </c>
      <c r="AT44" s="135">
        <v>46235</v>
      </c>
      <c r="AU44" s="135">
        <v>46266</v>
      </c>
      <c r="AV44" s="135">
        <v>46296</v>
      </c>
      <c r="AW44" s="135">
        <v>46327</v>
      </c>
      <c r="AX44" s="191">
        <v>46357</v>
      </c>
      <c r="AY44" s="193"/>
      <c r="AZ44" s="194"/>
      <c r="BA44" s="193"/>
      <c r="BB44" s="194"/>
      <c r="BC44" s="193" t="s">
        <v>82</v>
      </c>
      <c r="BD44" s="194"/>
      <c r="BE44" s="193"/>
      <c r="BF44" s="194"/>
      <c r="BG44" s="193"/>
      <c r="BH44" s="194"/>
      <c r="BI44" s="193"/>
      <c r="BJ44" s="194"/>
    </row>
    <row r="45" spans="2:62" ht="25" customHeight="1">
      <c r="B45" s="154" t="s">
        <v>16</v>
      </c>
      <c r="C45" s="186" cm="1">
        <f t="array" ref="C45">_xlfn.XLOOKUP(MIN(ABS($AZ$3:$AZ$31 - MEDIAN(MIN($AZ$3:$AZ$31), MAX($AZ$3:$AZ$31), C15))), ABS($AZ$3:$AZ$31 - MEDIAN(MIN($AZ$3:$AZ$31), MAX($AZ$3:$AZ$31), C15)), $BA$3:$BA$31, "Error", 0)</f>
        <v>9</v>
      </c>
      <c r="D45" s="186" cm="1">
        <f t="array" ref="D45">_xlfn.XLOOKUP(MIN(ABS($AZ$3:$AZ$31 - MEDIAN(MIN($AZ$3:$AZ$31), MAX($AZ$3:$AZ$31), D15))), ABS($AZ$3:$AZ$31 - MEDIAN(MIN($AZ$3:$AZ$31), MAX($AZ$3:$AZ$31), D15)), $BA$3:$BA$31, "Error", 0)</f>
        <v>10</v>
      </c>
      <c r="E45" s="186" cm="1">
        <f t="array" ref="E45">_xlfn.XLOOKUP(MIN(ABS($AZ$3:$AZ$31 - MEDIAN(MIN($AZ$3:$AZ$31), MAX($AZ$3:$AZ$31), E15))), ABS($AZ$3:$AZ$31 - MEDIAN(MIN($AZ$3:$AZ$31), MAX($AZ$3:$AZ$31), E15)), $BA$3:$BA$31, "Error", 0)</f>
        <v>10</v>
      </c>
      <c r="F45" s="186" cm="1">
        <f t="array" ref="F45">_xlfn.XLOOKUP(MIN(ABS($AZ$3:$AZ$31 - MEDIAN(MIN($AZ$3:$AZ$31), MAX($AZ$3:$AZ$31), F15))), ABS($AZ$3:$AZ$31 - MEDIAN(MIN($AZ$3:$AZ$31), MAX($AZ$3:$AZ$31), F15)), $BA$3:$BA$31, "Error", 0)</f>
        <v>10</v>
      </c>
      <c r="G45" s="186" cm="1">
        <f t="array" ref="G45">_xlfn.XLOOKUP(MIN(ABS($AZ$3:$AZ$31 - MEDIAN(MIN($AZ$3:$AZ$31), MAX($AZ$3:$AZ$31), G15))), ABS($AZ$3:$AZ$31 - MEDIAN(MIN($AZ$3:$AZ$31), MAX($AZ$3:$AZ$31), G15)), $BA$3:$BA$31, "Error", 0)</f>
        <v>6</v>
      </c>
      <c r="H45" s="186" cm="1">
        <f t="array" ref="H45">_xlfn.XLOOKUP(MIN(ABS($AZ$3:$AZ$31 - MEDIAN(MIN($AZ$3:$AZ$31), MAX($AZ$3:$AZ$31), H15))), ABS($AZ$3:$AZ$31 - MEDIAN(MIN($AZ$3:$AZ$31), MAX($AZ$3:$AZ$31), H15)), $BA$3:$BA$31, "Error", 0)</f>
        <v>6</v>
      </c>
      <c r="I45" s="186" cm="1">
        <f t="array" ref="I45">_xlfn.XLOOKUP(MIN(ABS($AZ$3:$AZ$31 - MEDIAN(MIN($AZ$3:$AZ$31), MAX($AZ$3:$AZ$31), I15))), ABS($AZ$3:$AZ$31 - MEDIAN(MIN($AZ$3:$AZ$31), MAX($AZ$3:$AZ$31), I15)), $BA$3:$BA$31, "Error", 0)</f>
        <v>6</v>
      </c>
      <c r="J45" s="186" cm="1">
        <f t="array" ref="J45">_xlfn.XLOOKUP(MIN(ABS($AZ$3:$AZ$31 - MEDIAN(MIN($AZ$3:$AZ$31), MAX($AZ$3:$AZ$31), J15))), ABS($AZ$3:$AZ$31 - MEDIAN(MIN($AZ$3:$AZ$31), MAX($AZ$3:$AZ$31), J15)), $BA$3:$BA$31, "Error", 0)</f>
        <v>6</v>
      </c>
      <c r="K45" s="186" cm="1">
        <f t="array" ref="K45">_xlfn.XLOOKUP(MIN(ABS($AZ$3:$AZ$31 - MEDIAN(MIN($AZ$3:$AZ$31), MAX($AZ$3:$AZ$31), K15))), ABS($AZ$3:$AZ$31 - MEDIAN(MIN($AZ$3:$AZ$31), MAX($AZ$3:$AZ$31), K15)), $BA$3:$BA$31, "Error", 0)</f>
        <v>6</v>
      </c>
      <c r="L45" s="186" cm="1">
        <f t="array" ref="L45">_xlfn.XLOOKUP(MIN(ABS($AZ$3:$AZ$31 - MEDIAN(MIN($AZ$3:$AZ$31), MAX($AZ$3:$AZ$31), L15))), ABS($AZ$3:$AZ$31 - MEDIAN(MIN($AZ$3:$AZ$31), MAX($AZ$3:$AZ$31), L15)), $BA$3:$BA$31, "Error", 0)</f>
        <v>6</v>
      </c>
      <c r="M45" s="186" cm="1">
        <f t="array" ref="M45">_xlfn.XLOOKUP(MIN(ABS($AZ$3:$AZ$31 - MEDIAN(MIN($AZ$3:$AZ$31), MAX($AZ$3:$AZ$31), M15))), ABS($AZ$3:$AZ$31 - MEDIAN(MIN($AZ$3:$AZ$31), MAX($AZ$3:$AZ$31), M15)), $BA$3:$BA$31, "Error", 0)</f>
        <v>6</v>
      </c>
      <c r="N45" s="186" cm="1">
        <f t="array" ref="N45">_xlfn.XLOOKUP(MIN(ABS($AZ$3:$AZ$31 - MEDIAN(MIN($AZ$3:$AZ$31), MAX($AZ$3:$AZ$31), N15))), ABS($AZ$3:$AZ$31 - MEDIAN(MIN($AZ$3:$AZ$31), MAX($AZ$3:$AZ$31), N15)), $BA$3:$BA$31, "Error", 0)</f>
        <v>6</v>
      </c>
      <c r="O45" s="186" cm="1">
        <f t="array" ref="O45">_xlfn.XLOOKUP(MIN(ABS($AZ$3:$AZ$31 - MEDIAN(MIN($AZ$3:$AZ$31), MAX($AZ$3:$AZ$31), O15))), ABS($AZ$3:$AZ$31 - MEDIAN(MIN($AZ$3:$AZ$31), MAX($AZ$3:$AZ$31), O15)), $BA$3:$BA$31, "Error", 0)</f>
        <v>6</v>
      </c>
      <c r="P45" s="186" cm="1">
        <f t="array" ref="P45">_xlfn.XLOOKUP(MIN(ABS($AZ$3:$AZ$31 - MEDIAN(MIN($AZ$3:$AZ$31), MAX($AZ$3:$AZ$31), P15))), ABS($AZ$3:$AZ$31 - MEDIAN(MIN($AZ$3:$AZ$31), MAX($AZ$3:$AZ$31), P15)), $BA$3:$BA$31, "Error", 0)</f>
        <v>6</v>
      </c>
      <c r="Q45" s="186" cm="1">
        <f t="array" ref="Q45">_xlfn.XLOOKUP(MIN(ABS($AZ$3:$AZ$31 - MEDIAN(MIN($AZ$3:$AZ$31), MAX($AZ$3:$AZ$31), Q15))), ABS($AZ$3:$AZ$31 - MEDIAN(MIN($AZ$3:$AZ$31), MAX($AZ$3:$AZ$31), Q15)), $BA$3:$BA$31, "Error", 0)</f>
        <v>6</v>
      </c>
      <c r="R45" s="186" cm="1">
        <f t="array" ref="R45">_xlfn.XLOOKUP(MIN(ABS($AZ$3:$AZ$31 - MEDIAN(MIN($AZ$3:$AZ$31), MAX($AZ$3:$AZ$31), R15))), ABS($AZ$3:$AZ$31 - MEDIAN(MIN($AZ$3:$AZ$31), MAX($AZ$3:$AZ$31), R15)), $BA$3:$BA$31, "Error", 0)</f>
        <v>6</v>
      </c>
      <c r="S45" s="186" cm="1">
        <f t="array" ref="S45">_xlfn.XLOOKUP(MIN(ABS($AZ$3:$AZ$31 - MEDIAN(MIN($AZ$3:$AZ$31), MAX($AZ$3:$AZ$31), S15))), ABS($AZ$3:$AZ$31 - MEDIAN(MIN($AZ$3:$AZ$31), MAX($AZ$3:$AZ$31), S15)), $BA$3:$BA$31, "Error", 0)</f>
        <v>6</v>
      </c>
      <c r="T45" s="186" cm="1">
        <f t="array" ref="T45">_xlfn.XLOOKUP(MIN(ABS($AZ$3:$AZ$31 - MEDIAN(MIN($AZ$3:$AZ$31), MAX($AZ$3:$AZ$31), T15))), ABS($AZ$3:$AZ$31 - MEDIAN(MIN($AZ$3:$AZ$31), MAX($AZ$3:$AZ$31), T15)), $BA$3:$BA$31, "Error", 0)</f>
        <v>6</v>
      </c>
      <c r="U45" s="186" cm="1">
        <f t="array" ref="U45">_xlfn.XLOOKUP(MIN(ABS($AZ$3:$AZ$31 - MEDIAN(MIN($AZ$3:$AZ$31), MAX($AZ$3:$AZ$31), U15))), ABS($AZ$3:$AZ$31 - MEDIAN(MIN($AZ$3:$AZ$31), MAX($AZ$3:$AZ$31), U15)), $BA$3:$BA$31, "Error", 0)</f>
        <v>6</v>
      </c>
      <c r="V45" s="186" cm="1">
        <f t="array" ref="V45">_xlfn.XLOOKUP(MIN(ABS($AZ$3:$AZ$31 - MEDIAN(MIN($AZ$3:$AZ$31), MAX($AZ$3:$AZ$31), V15))), ABS($AZ$3:$AZ$31 - MEDIAN(MIN($AZ$3:$AZ$31), MAX($AZ$3:$AZ$31), V15)), $BA$3:$BA$31, "Error", 0)</f>
        <v>6</v>
      </c>
      <c r="W45" s="186" cm="1">
        <f t="array" ref="W45">_xlfn.XLOOKUP(MIN(ABS($AZ$3:$AZ$31 - MEDIAN(MIN($AZ$3:$AZ$31), MAX($AZ$3:$AZ$31), W15))), ABS($AZ$3:$AZ$31 - MEDIAN(MIN($AZ$3:$AZ$31), MAX($AZ$3:$AZ$31), W15)), $BA$3:$BA$31, "Error", 0)</f>
        <v>10</v>
      </c>
      <c r="X45" s="186" cm="1">
        <f t="array" ref="X45">_xlfn.XLOOKUP(MIN(ABS($AZ$3:$AZ$31 - MEDIAN(MIN($AZ$3:$AZ$31), MAX($AZ$3:$AZ$31), X15))), ABS($AZ$3:$AZ$31 - MEDIAN(MIN($AZ$3:$AZ$31), MAX($AZ$3:$AZ$31), X15)), $BA$3:$BA$31, "Error", 0)</f>
        <v>10</v>
      </c>
      <c r="Y45" s="186" cm="1">
        <f t="array" ref="Y45">_xlfn.XLOOKUP(MIN(ABS($AZ$3:$AZ$31 - MEDIAN(MIN($AZ$3:$AZ$31), MAX($AZ$3:$AZ$31), Y15))), ABS($AZ$3:$AZ$31 - MEDIAN(MIN($AZ$3:$AZ$31), MAX($AZ$3:$AZ$31), Y15)), $BA$3:$BA$31, "Error", 0)</f>
        <v>9</v>
      </c>
      <c r="Z45" s="186" cm="1">
        <f t="array" ref="Z45">_xlfn.XLOOKUP(MIN(ABS($AZ$3:$AZ$31 - MEDIAN(MIN($AZ$3:$AZ$31), MAX($AZ$3:$AZ$31), Z15))), ABS($AZ$3:$AZ$31 - MEDIAN(MIN($AZ$3:$AZ$31), MAX($AZ$3:$AZ$31), Z15)), $BA$3:$BA$31, "Error", 0)</f>
        <v>9</v>
      </c>
      <c r="AA45" s="186" cm="1">
        <f t="array" ref="AA45">_xlfn.XLOOKUP(MIN(ABS($AZ$3:$AZ$31 - MEDIAN(MIN($AZ$3:$AZ$31), MAX($AZ$3:$AZ$31), AA15))), ABS($AZ$3:$AZ$31 - MEDIAN(MIN($AZ$3:$AZ$31), MAX($AZ$3:$AZ$31), AA15)), $BA$3:$BA$31, "Error", 0)</f>
        <v>8</v>
      </c>
      <c r="AB45" s="186" cm="1">
        <f t="array" ref="AB45">_xlfn.XLOOKUP(MIN(ABS($AZ$3:$AZ$31 - MEDIAN(MIN($AZ$3:$AZ$31), MAX($AZ$3:$AZ$31), AB15))), ABS($AZ$3:$AZ$31 - MEDIAN(MIN($AZ$3:$AZ$31), MAX($AZ$3:$AZ$31), AB15)), $BA$3:$BA$31, "Error", 0)</f>
        <v>8</v>
      </c>
      <c r="AC45" s="186" cm="1">
        <f t="array" ref="AC45">_xlfn.XLOOKUP(MIN(ABS($AZ$3:$AZ$31 - MEDIAN(MIN($AZ$3:$AZ$31), MAX($AZ$3:$AZ$31), AC15))), ABS($AZ$3:$AZ$31 - MEDIAN(MIN($AZ$3:$AZ$31), MAX($AZ$3:$AZ$31), AC15)), $BA$3:$BA$31, "Error", 0)</f>
        <v>8</v>
      </c>
      <c r="AD45" s="186" cm="1">
        <f t="array" ref="AD45">_xlfn.XLOOKUP(MIN(ABS($AZ$3:$AZ$31 - MEDIAN(MIN($AZ$3:$AZ$31), MAX($AZ$3:$AZ$31), AD15))), ABS($AZ$3:$AZ$31 - MEDIAN(MIN($AZ$3:$AZ$31), MAX($AZ$3:$AZ$31), AD15)), $BA$3:$BA$31, "Error", 0)</f>
        <v>8</v>
      </c>
      <c r="AE45" s="186" cm="1">
        <f t="array" ref="AE45">_xlfn.XLOOKUP(MIN(ABS($AZ$3:$AZ$31 - MEDIAN(MIN($AZ$3:$AZ$31), MAX($AZ$3:$AZ$31), AE15))), ABS($AZ$3:$AZ$31 - MEDIAN(MIN($AZ$3:$AZ$31), MAX($AZ$3:$AZ$31), AE15)), $BA$3:$BA$31, "Error", 0)</f>
        <v>8</v>
      </c>
      <c r="AF45" s="186" cm="1">
        <f t="array" ref="AF45">_xlfn.XLOOKUP(MIN(ABS($AZ$3:$AZ$31 - MEDIAN(MIN($AZ$3:$AZ$31), MAX($AZ$3:$AZ$31), AF15))), ABS($AZ$3:$AZ$31 - MEDIAN(MIN($AZ$3:$AZ$31), MAX($AZ$3:$AZ$31), AF15)), $BA$3:$BA$31, "Error", 0)</f>
        <v>8</v>
      </c>
      <c r="AG45" s="186" cm="1">
        <f t="array" ref="AG45">_xlfn.XLOOKUP(MIN(ABS($AZ$3:$AZ$31 - MEDIAN(MIN($AZ$3:$AZ$31), MAX($AZ$3:$AZ$31), AG15))), ABS($AZ$3:$AZ$31 - MEDIAN(MIN($AZ$3:$AZ$31), MAX($AZ$3:$AZ$31), AG15)), $BA$3:$BA$31, "Error", 0)</f>
        <v>8</v>
      </c>
      <c r="AH45" s="186" cm="1">
        <f t="array" ref="AH45">_xlfn.XLOOKUP(MIN(ABS($AZ$3:$AZ$31 - MEDIAN(MIN($AZ$3:$AZ$31), MAX($AZ$3:$AZ$31), AH15))), ABS($AZ$3:$AZ$31 - MEDIAN(MIN($AZ$3:$AZ$31), MAX($AZ$3:$AZ$31), AH15)), $BA$3:$BA$31, "Error", 0)</f>
        <v>8</v>
      </c>
      <c r="AI45" s="186" cm="1">
        <f t="array" ref="AI45">_xlfn.XLOOKUP(MIN(ABS($AZ$3:$AZ$31 - MEDIAN(MIN($AZ$3:$AZ$31), MAX($AZ$3:$AZ$31), AI15))), ABS($AZ$3:$AZ$31 - MEDIAN(MIN($AZ$3:$AZ$31), MAX($AZ$3:$AZ$31), AI15)), $BA$3:$BA$31, "Error", 0)</f>
        <v>8</v>
      </c>
      <c r="AJ45" s="186" cm="1">
        <f t="array" ref="AJ45">_xlfn.XLOOKUP(MIN(ABS($AZ$3:$AZ$31 - MEDIAN(MIN($AZ$3:$AZ$31), MAX($AZ$3:$AZ$31), AJ15))), ABS($AZ$3:$AZ$31 - MEDIAN(MIN($AZ$3:$AZ$31), MAX($AZ$3:$AZ$31), AJ15)), $BA$3:$BA$31, "Error", 0)</f>
        <v>7</v>
      </c>
      <c r="AK45" s="186" cm="1">
        <f t="array" ref="AK45">_xlfn.XLOOKUP(MIN(ABS($AZ$3:$AZ$31 - MEDIAN(MIN($AZ$3:$AZ$31), MAX($AZ$3:$AZ$31), AK15))), ABS($AZ$3:$AZ$31 - MEDIAN(MIN($AZ$3:$AZ$31), MAX($AZ$3:$AZ$31), AK15)), $BA$3:$BA$31, "Error", 0)</f>
        <v>7</v>
      </c>
      <c r="AL45" s="186" cm="1">
        <f t="array" ref="AL45">_xlfn.XLOOKUP(MIN(ABS($AZ$3:$AZ$31 - MEDIAN(MIN($AZ$3:$AZ$31), MAX($AZ$3:$AZ$31), AL15))), ABS($AZ$3:$AZ$31 - MEDIAN(MIN($AZ$3:$AZ$31), MAX($AZ$3:$AZ$31), AL15)), $BA$3:$BA$31, "Error", 0)</f>
        <v>6</v>
      </c>
      <c r="AM45" s="186" cm="1">
        <f t="array" ref="AM45">_xlfn.XLOOKUP(MIN(ABS($AZ$3:$AZ$31 - MEDIAN(MIN($AZ$3:$AZ$31), MAX($AZ$3:$AZ$31), AM15))), ABS($AZ$3:$AZ$31 - MEDIAN(MIN($AZ$3:$AZ$31), MAX($AZ$3:$AZ$31), AM15)), $BA$3:$BA$31, "Error", 0)</f>
        <v>6</v>
      </c>
      <c r="AN45" s="186" cm="1">
        <f t="array" ref="AN45">_xlfn.XLOOKUP(MIN(ABS($AZ$3:$AZ$31 - MEDIAN(MIN($AZ$3:$AZ$31), MAX($AZ$3:$AZ$31), AN15))), ABS($AZ$3:$AZ$31 - MEDIAN(MIN($AZ$3:$AZ$31), MAX($AZ$3:$AZ$31), AN15)), $BA$3:$BA$31, "Error", 0)</f>
        <v>6</v>
      </c>
      <c r="AO45" s="186" cm="1">
        <f t="array" ref="AO45">_xlfn.XLOOKUP(MIN(ABS($AZ$3:$AZ$31 - MEDIAN(MIN($AZ$3:$AZ$31), MAX($AZ$3:$AZ$31), AO15))), ABS($AZ$3:$AZ$31 - MEDIAN(MIN($AZ$3:$AZ$31), MAX($AZ$3:$AZ$31), AO15)), $BA$3:$BA$31, "Error", 0)</f>
        <v>6</v>
      </c>
      <c r="AP45" s="186" cm="1">
        <f t="array" ref="AP45">_xlfn.XLOOKUP(MIN(ABS($AZ$3:$AZ$31 - MEDIAN(MIN($AZ$3:$AZ$31), MAX($AZ$3:$AZ$31), AP15))), ABS($AZ$3:$AZ$31 - MEDIAN(MIN($AZ$3:$AZ$31), MAX($AZ$3:$AZ$31), AP15)), $BA$3:$BA$31, "Error", 0)</f>
        <v>6</v>
      </c>
      <c r="AQ45" s="186" cm="1">
        <f t="array" ref="AQ45">_xlfn.XLOOKUP(MIN(ABS($AZ$3:$AZ$31 - MEDIAN(MIN($AZ$3:$AZ$31), MAX($AZ$3:$AZ$31), AQ15))), ABS($AZ$3:$AZ$31 - MEDIAN(MIN($AZ$3:$AZ$31), MAX($AZ$3:$AZ$31), AQ15)), $BA$3:$BA$31, "Error", 0)</f>
        <v>6</v>
      </c>
      <c r="AR45" s="186" cm="1">
        <f t="array" ref="AR45">_xlfn.XLOOKUP(MIN(ABS($AZ$3:$AZ$31 - MEDIAN(MIN($AZ$3:$AZ$31), MAX($AZ$3:$AZ$31), AR15))), ABS($AZ$3:$AZ$31 - MEDIAN(MIN($AZ$3:$AZ$31), MAX($AZ$3:$AZ$31), AR15)), $BA$3:$BA$31, "Error", 0)</f>
        <v>6</v>
      </c>
      <c r="AS45" s="186" cm="1">
        <f t="array" ref="AS45">_xlfn.XLOOKUP(MIN(ABS($AZ$3:$AZ$31 - MEDIAN(MIN($AZ$3:$AZ$31), MAX($AZ$3:$AZ$31), AS15))), ABS($AZ$3:$AZ$31 - MEDIAN(MIN($AZ$3:$AZ$31), MAX($AZ$3:$AZ$31), AS15)), $BA$3:$BA$31, "Error", 0)</f>
        <v>6</v>
      </c>
      <c r="AT45" s="186" cm="1">
        <f t="array" ref="AT45">_xlfn.XLOOKUP(MIN(ABS($AZ$3:$AZ$31 - MEDIAN(MIN($AZ$3:$AZ$31), MAX($AZ$3:$AZ$31), AT15))), ABS($AZ$3:$AZ$31 - MEDIAN(MIN($AZ$3:$AZ$31), MAX($AZ$3:$AZ$31), AT15)), $BA$3:$BA$31, "Error", 0)</f>
        <v>6</v>
      </c>
      <c r="AU45" s="186" cm="1">
        <f t="array" ref="AU45">_xlfn.XLOOKUP(MIN(ABS($AZ$3:$AZ$31 - MEDIAN(MIN($AZ$3:$AZ$31), MAX($AZ$3:$AZ$31), AU15))), ABS($AZ$3:$AZ$31 - MEDIAN(MIN($AZ$3:$AZ$31), MAX($AZ$3:$AZ$31), AU15)), $BA$3:$BA$31, "Error", 0)</f>
        <v>6</v>
      </c>
      <c r="AV45" s="186" cm="1">
        <f t="array" ref="AV45">_xlfn.XLOOKUP(MIN(ABS($AZ$3:$AZ$31 - MEDIAN(MIN($AZ$3:$AZ$31), MAX($AZ$3:$AZ$31), AV15))), ABS($AZ$3:$AZ$31 - MEDIAN(MIN($AZ$3:$AZ$31), MAX($AZ$3:$AZ$31), AV15)), $BA$3:$BA$31, "Error", 0)</f>
        <v>6</v>
      </c>
      <c r="AW45" s="186" cm="1">
        <f t="array" ref="AW45">_xlfn.XLOOKUP(MIN(ABS($AZ$3:$AZ$31 - MEDIAN(MIN($AZ$3:$AZ$31), MAX($AZ$3:$AZ$31), AW15))), ABS($AZ$3:$AZ$31 - MEDIAN(MIN($AZ$3:$AZ$31), MAX($AZ$3:$AZ$31), AW15)), $BA$3:$BA$31, "Error", 0)</f>
        <v>6</v>
      </c>
      <c r="AX45" s="192" t="e" cm="1">
        <f t="array" ref="AX45">_xlfn.XLOOKUP(MIN(ABS($AZ$3:$AZ$31 - MEDIAN(MIN($AZ$3:$AZ$31), MAX($AZ$3:$AZ$31), AX15))), ABS($AZ$3:$AZ$31 - MEDIAN(MIN($AZ$3:$AZ$31), MAX($AZ$3:$AZ$31), AX15)), $BA$3:$BA$31, "Error", 0)</f>
        <v>#VALUE!</v>
      </c>
      <c r="AY45" s="195"/>
      <c r="AZ45" s="195"/>
      <c r="BA45" s="195"/>
      <c r="BB45" s="195"/>
      <c r="BC45" s="195"/>
      <c r="BD45" s="195"/>
      <c r="BE45" s="195"/>
      <c r="BF45" s="195"/>
      <c r="BG45" s="195"/>
      <c r="BH45" s="195"/>
      <c r="BI45" s="195"/>
      <c r="BJ45" s="195"/>
    </row>
    <row r="46" spans="2:62" ht="25" customHeight="1">
      <c r="B46" s="157" t="s">
        <v>46</v>
      </c>
      <c r="C46" s="186" cm="1">
        <f t="array" ref="C46">_xlfn.XLOOKUP(MIN(ABS($AZ$3:$AZ$31 - MEDIAN(MIN($AZ$3:$AZ$31), MAX($AZ$3:$AZ$31), C16))), ABS($AZ$3:$AZ$31 - MEDIAN(MIN($AZ$3:$AZ$31), MAX($AZ$3:$AZ$31), C16)), $BA$3:$BA$31, "Error", 0)</f>
        <v>7</v>
      </c>
      <c r="D46" s="186" cm="1">
        <f t="array" ref="D46">_xlfn.XLOOKUP(MIN(ABS($AZ$3:$AZ$31 - MEDIAN(MIN($AZ$3:$AZ$31), MAX($AZ$3:$AZ$31), D16))), ABS($AZ$3:$AZ$31 - MEDIAN(MIN($AZ$3:$AZ$31), MAX($AZ$3:$AZ$31), D16)), $BA$3:$BA$31, "Error", 0)</f>
        <v>8</v>
      </c>
      <c r="E46" s="186" cm="1">
        <f t="array" ref="E46">_xlfn.XLOOKUP(MIN(ABS($AZ$3:$AZ$31 - MEDIAN(MIN($AZ$3:$AZ$31), MAX($AZ$3:$AZ$31), E16))), ABS($AZ$3:$AZ$31 - MEDIAN(MIN($AZ$3:$AZ$31), MAX($AZ$3:$AZ$31), E16)), $BA$3:$BA$31, "Error", 0)</f>
        <v>7</v>
      </c>
      <c r="F46" s="186" cm="1">
        <f t="array" ref="F46">_xlfn.XLOOKUP(MIN(ABS($AZ$3:$AZ$31 - MEDIAN(MIN($AZ$3:$AZ$31), MAX($AZ$3:$AZ$31), F16))), ABS($AZ$3:$AZ$31 - MEDIAN(MIN($AZ$3:$AZ$31), MAX($AZ$3:$AZ$31), F16)), $BA$3:$BA$31, "Error", 0)</f>
        <v>7</v>
      </c>
      <c r="G46" s="186" cm="1">
        <f t="array" ref="G46">_xlfn.XLOOKUP(MIN(ABS($AZ$3:$AZ$31 - MEDIAN(MIN($AZ$3:$AZ$31), MAX($AZ$3:$AZ$31), G16))), ABS($AZ$3:$AZ$31 - MEDIAN(MIN($AZ$3:$AZ$31), MAX($AZ$3:$AZ$31), G16)), $BA$3:$BA$31, "Error", 0)</f>
        <v>8</v>
      </c>
      <c r="H46" s="186" cm="1">
        <f t="array" ref="H46">_xlfn.XLOOKUP(MIN(ABS($AZ$3:$AZ$31 - MEDIAN(MIN($AZ$3:$AZ$31), MAX($AZ$3:$AZ$31), H16))), ABS($AZ$3:$AZ$31 - MEDIAN(MIN($AZ$3:$AZ$31), MAX($AZ$3:$AZ$31), H16)), $BA$3:$BA$31, "Error", 0)</f>
        <v>7</v>
      </c>
      <c r="I46" s="186" cm="1">
        <f t="array" ref="I46">_xlfn.XLOOKUP(MIN(ABS($AZ$3:$AZ$31 - MEDIAN(MIN($AZ$3:$AZ$31), MAX($AZ$3:$AZ$31), I16))), ABS($AZ$3:$AZ$31 - MEDIAN(MIN($AZ$3:$AZ$31), MAX($AZ$3:$AZ$31), I16)), $BA$3:$BA$31, "Error", 0)</f>
        <v>8</v>
      </c>
      <c r="J46" s="186" cm="1">
        <f t="array" ref="J46">_xlfn.XLOOKUP(MIN(ABS($AZ$3:$AZ$31 - MEDIAN(MIN($AZ$3:$AZ$31), MAX($AZ$3:$AZ$31), J16))), ABS($AZ$3:$AZ$31 - MEDIAN(MIN($AZ$3:$AZ$31), MAX($AZ$3:$AZ$31), J16)), $BA$3:$BA$31, "Error", 0)</f>
        <v>8</v>
      </c>
      <c r="K46" s="186" cm="1">
        <f t="array" ref="K46">_xlfn.XLOOKUP(MIN(ABS($AZ$3:$AZ$31 - MEDIAN(MIN($AZ$3:$AZ$31), MAX($AZ$3:$AZ$31), K16))), ABS($AZ$3:$AZ$31 - MEDIAN(MIN($AZ$3:$AZ$31), MAX($AZ$3:$AZ$31), K16)), $BA$3:$BA$31, "Error", 0)</f>
        <v>8</v>
      </c>
      <c r="L46" s="186" cm="1">
        <f t="array" ref="L46">_xlfn.XLOOKUP(MIN(ABS($AZ$3:$AZ$31 - MEDIAN(MIN($AZ$3:$AZ$31), MAX($AZ$3:$AZ$31), L16))), ABS($AZ$3:$AZ$31 - MEDIAN(MIN($AZ$3:$AZ$31), MAX($AZ$3:$AZ$31), L16)), $BA$3:$BA$31, "Error", 0)</f>
        <v>8</v>
      </c>
      <c r="M46" s="186" cm="1">
        <f t="array" ref="M46">_xlfn.XLOOKUP(MIN(ABS($AZ$3:$AZ$31 - MEDIAN(MIN($AZ$3:$AZ$31), MAX($AZ$3:$AZ$31), M16))), ABS($AZ$3:$AZ$31 - MEDIAN(MIN($AZ$3:$AZ$31), MAX($AZ$3:$AZ$31), M16)), $BA$3:$BA$31, "Error", 0)</f>
        <v>8</v>
      </c>
      <c r="N46" s="186" cm="1">
        <f t="array" ref="N46">_xlfn.XLOOKUP(MIN(ABS($AZ$3:$AZ$31 - MEDIAN(MIN($AZ$3:$AZ$31), MAX($AZ$3:$AZ$31), N16))), ABS($AZ$3:$AZ$31 - MEDIAN(MIN($AZ$3:$AZ$31), MAX($AZ$3:$AZ$31), N16)), $BA$3:$BA$31, "Error", 0)</f>
        <v>8</v>
      </c>
      <c r="O46" s="186" cm="1">
        <f t="array" ref="O46">_xlfn.XLOOKUP(MIN(ABS($AZ$3:$AZ$31 - MEDIAN(MIN($AZ$3:$AZ$31), MAX($AZ$3:$AZ$31), O16))), ABS($AZ$3:$AZ$31 - MEDIAN(MIN($AZ$3:$AZ$31), MAX($AZ$3:$AZ$31), O16)), $BA$3:$BA$31, "Error", 0)</f>
        <v>8</v>
      </c>
      <c r="P46" s="186" cm="1">
        <f t="array" ref="P46">_xlfn.XLOOKUP(MIN(ABS($AZ$3:$AZ$31 - MEDIAN(MIN($AZ$3:$AZ$31), MAX($AZ$3:$AZ$31), P16))), ABS($AZ$3:$AZ$31 - MEDIAN(MIN($AZ$3:$AZ$31), MAX($AZ$3:$AZ$31), P16)), $BA$3:$BA$31, "Error", 0)</f>
        <v>8</v>
      </c>
      <c r="Q46" s="186" cm="1">
        <f t="array" ref="Q46">_xlfn.XLOOKUP(MIN(ABS($AZ$3:$AZ$31 - MEDIAN(MIN($AZ$3:$AZ$31), MAX($AZ$3:$AZ$31), Q16))), ABS($AZ$3:$AZ$31 - MEDIAN(MIN($AZ$3:$AZ$31), MAX($AZ$3:$AZ$31), Q16)), $BA$3:$BA$31, "Error", 0)</f>
        <v>8</v>
      </c>
      <c r="R46" s="186" cm="1">
        <f t="array" ref="R46">_xlfn.XLOOKUP(MIN(ABS($AZ$3:$AZ$31 - MEDIAN(MIN($AZ$3:$AZ$31), MAX($AZ$3:$AZ$31), R16))), ABS($AZ$3:$AZ$31 - MEDIAN(MIN($AZ$3:$AZ$31), MAX($AZ$3:$AZ$31), R16)), $BA$3:$BA$31, "Error", 0)</f>
        <v>8</v>
      </c>
      <c r="S46" s="186" cm="1">
        <f t="array" ref="S46">_xlfn.XLOOKUP(MIN(ABS($AZ$3:$AZ$31 - MEDIAN(MIN($AZ$3:$AZ$31), MAX($AZ$3:$AZ$31), S16))), ABS($AZ$3:$AZ$31 - MEDIAN(MIN($AZ$3:$AZ$31), MAX($AZ$3:$AZ$31), S16)), $BA$3:$BA$31, "Error", 0)</f>
        <v>8</v>
      </c>
      <c r="T46" s="186" cm="1">
        <f t="array" ref="T46">_xlfn.XLOOKUP(MIN(ABS($AZ$3:$AZ$31 - MEDIAN(MIN($AZ$3:$AZ$31), MAX($AZ$3:$AZ$31), T16))), ABS($AZ$3:$AZ$31 - MEDIAN(MIN($AZ$3:$AZ$31), MAX($AZ$3:$AZ$31), T16)), $BA$3:$BA$31, "Error", 0)</f>
        <v>9</v>
      </c>
      <c r="U46" s="186" cm="1">
        <f t="array" ref="U46">_xlfn.XLOOKUP(MIN(ABS($AZ$3:$AZ$31 - MEDIAN(MIN($AZ$3:$AZ$31), MAX($AZ$3:$AZ$31), U16))), ABS($AZ$3:$AZ$31 - MEDIAN(MIN($AZ$3:$AZ$31), MAX($AZ$3:$AZ$31), U16)), $BA$3:$BA$31, "Error", 0)</f>
        <v>9</v>
      </c>
      <c r="V46" s="186" cm="1">
        <f t="array" ref="V46">_xlfn.XLOOKUP(MIN(ABS($AZ$3:$AZ$31 - MEDIAN(MIN($AZ$3:$AZ$31), MAX($AZ$3:$AZ$31), V16))), ABS($AZ$3:$AZ$31 - MEDIAN(MIN($AZ$3:$AZ$31), MAX($AZ$3:$AZ$31), V16)), $BA$3:$BA$31, "Error", 0)</f>
        <v>9</v>
      </c>
      <c r="W46" s="186" cm="1">
        <f t="array" ref="W46">_xlfn.XLOOKUP(MIN(ABS($AZ$3:$AZ$31 - MEDIAN(MIN($AZ$3:$AZ$31), MAX($AZ$3:$AZ$31), W16))), ABS($AZ$3:$AZ$31 - MEDIAN(MIN($AZ$3:$AZ$31), MAX($AZ$3:$AZ$31), W16)), $BA$3:$BA$31, "Error", 0)</f>
        <v>8</v>
      </c>
      <c r="X46" s="186" cm="1">
        <f t="array" ref="X46">_xlfn.XLOOKUP(MIN(ABS($AZ$3:$AZ$31 - MEDIAN(MIN($AZ$3:$AZ$31), MAX($AZ$3:$AZ$31), X16))), ABS($AZ$3:$AZ$31 - MEDIAN(MIN($AZ$3:$AZ$31), MAX($AZ$3:$AZ$31), X16)), $BA$3:$BA$31, "Error", 0)</f>
        <v>8</v>
      </c>
      <c r="Y46" s="186" cm="1">
        <f t="array" ref="Y46">_xlfn.XLOOKUP(MIN(ABS($AZ$3:$AZ$31 - MEDIAN(MIN($AZ$3:$AZ$31), MAX($AZ$3:$AZ$31), Y16))), ABS($AZ$3:$AZ$31 - MEDIAN(MIN($AZ$3:$AZ$31), MAX($AZ$3:$AZ$31), Y16)), $BA$3:$BA$31, "Error", 0)</f>
        <v>8</v>
      </c>
      <c r="Z46" s="186" cm="1">
        <f t="array" ref="Z46">_xlfn.XLOOKUP(MIN(ABS($AZ$3:$AZ$31 - MEDIAN(MIN($AZ$3:$AZ$31), MAX($AZ$3:$AZ$31), Z16))), ABS($AZ$3:$AZ$31 - MEDIAN(MIN($AZ$3:$AZ$31), MAX($AZ$3:$AZ$31), Z16)), $BA$3:$BA$31, "Error", 0)</f>
        <v>8</v>
      </c>
      <c r="AA46" s="186" cm="1">
        <f t="array" ref="AA46">_xlfn.XLOOKUP(MIN(ABS($AZ$3:$AZ$31 - MEDIAN(MIN($AZ$3:$AZ$31), MAX($AZ$3:$AZ$31), AA16))), ABS($AZ$3:$AZ$31 - MEDIAN(MIN($AZ$3:$AZ$31), MAX($AZ$3:$AZ$31), AA16)), $BA$3:$BA$31, "Error", 0)</f>
        <v>8</v>
      </c>
      <c r="AB46" s="186" cm="1">
        <f t="array" ref="AB46">_xlfn.XLOOKUP(MIN(ABS($AZ$3:$AZ$31 - MEDIAN(MIN($AZ$3:$AZ$31), MAX($AZ$3:$AZ$31), AB16))), ABS($AZ$3:$AZ$31 - MEDIAN(MIN($AZ$3:$AZ$31), MAX($AZ$3:$AZ$31), AB16)), $BA$3:$BA$31, "Error", 0)</f>
        <v>8</v>
      </c>
      <c r="AC46" s="186" cm="1">
        <f t="array" ref="AC46">_xlfn.XLOOKUP(MIN(ABS($AZ$3:$AZ$31 - MEDIAN(MIN($AZ$3:$AZ$31), MAX($AZ$3:$AZ$31), AC16))), ABS($AZ$3:$AZ$31 - MEDIAN(MIN($AZ$3:$AZ$31), MAX($AZ$3:$AZ$31), AC16)), $BA$3:$BA$31, "Error", 0)</f>
        <v>9</v>
      </c>
      <c r="AD46" s="186" cm="1">
        <f t="array" ref="AD46">_xlfn.XLOOKUP(MIN(ABS($AZ$3:$AZ$31 - MEDIAN(MIN($AZ$3:$AZ$31), MAX($AZ$3:$AZ$31), AD16))), ABS($AZ$3:$AZ$31 - MEDIAN(MIN($AZ$3:$AZ$31), MAX($AZ$3:$AZ$31), AD16)), $BA$3:$BA$31, "Error", 0)</f>
        <v>9</v>
      </c>
      <c r="AE46" s="186" cm="1">
        <f t="array" ref="AE46">_xlfn.XLOOKUP(MIN(ABS($AZ$3:$AZ$31 - MEDIAN(MIN($AZ$3:$AZ$31), MAX($AZ$3:$AZ$31), AE16))), ABS($AZ$3:$AZ$31 - MEDIAN(MIN($AZ$3:$AZ$31), MAX($AZ$3:$AZ$31), AE16)), $BA$3:$BA$31, "Error", 0)</f>
        <v>9</v>
      </c>
      <c r="AF46" s="186" cm="1">
        <f t="array" ref="AF46">_xlfn.XLOOKUP(MIN(ABS($AZ$3:$AZ$31 - MEDIAN(MIN($AZ$3:$AZ$31), MAX($AZ$3:$AZ$31), AF16))), ABS($AZ$3:$AZ$31 - MEDIAN(MIN($AZ$3:$AZ$31), MAX($AZ$3:$AZ$31), AF16)), $BA$3:$BA$31, "Error", 0)</f>
        <v>9</v>
      </c>
      <c r="AG46" s="186" cm="1">
        <f t="array" ref="AG46">_xlfn.XLOOKUP(MIN(ABS($AZ$3:$AZ$31 - MEDIAN(MIN($AZ$3:$AZ$31), MAX($AZ$3:$AZ$31), AG16))), ABS($AZ$3:$AZ$31 - MEDIAN(MIN($AZ$3:$AZ$31), MAX($AZ$3:$AZ$31), AG16)), $BA$3:$BA$31, "Error", 0)</f>
        <v>9</v>
      </c>
      <c r="AH46" s="186" cm="1">
        <f t="array" ref="AH46">_xlfn.XLOOKUP(MIN(ABS($AZ$3:$AZ$31 - MEDIAN(MIN($AZ$3:$AZ$31), MAX($AZ$3:$AZ$31), AH16))), ABS($AZ$3:$AZ$31 - MEDIAN(MIN($AZ$3:$AZ$31), MAX($AZ$3:$AZ$31), AH16)), $BA$3:$BA$31, "Error", 0)</f>
        <v>9</v>
      </c>
      <c r="AI46" s="186" cm="1">
        <f t="array" ref="AI46">_xlfn.XLOOKUP(MIN(ABS($AZ$3:$AZ$31 - MEDIAN(MIN($AZ$3:$AZ$31), MAX($AZ$3:$AZ$31), AI16))), ABS($AZ$3:$AZ$31 - MEDIAN(MIN($AZ$3:$AZ$31), MAX($AZ$3:$AZ$31), AI16)), $BA$3:$BA$31, "Error", 0)</f>
        <v>9</v>
      </c>
      <c r="AJ46" s="186" cm="1">
        <f t="array" ref="AJ46">_xlfn.XLOOKUP(MIN(ABS($AZ$3:$AZ$31 - MEDIAN(MIN($AZ$3:$AZ$31), MAX($AZ$3:$AZ$31), AJ16))), ABS($AZ$3:$AZ$31 - MEDIAN(MIN($AZ$3:$AZ$31), MAX($AZ$3:$AZ$31), AJ16)), $BA$3:$BA$31, "Error", 0)</f>
        <v>8</v>
      </c>
      <c r="AK46" s="186" cm="1">
        <f t="array" ref="AK46">_xlfn.XLOOKUP(MIN(ABS($AZ$3:$AZ$31 - MEDIAN(MIN($AZ$3:$AZ$31), MAX($AZ$3:$AZ$31), AK16))), ABS($AZ$3:$AZ$31 - MEDIAN(MIN($AZ$3:$AZ$31), MAX($AZ$3:$AZ$31), AK16)), $BA$3:$BA$31, "Error", 0)</f>
        <v>8</v>
      </c>
      <c r="AL46" s="186" cm="1">
        <f t="array" ref="AL46">_xlfn.XLOOKUP(MIN(ABS($AZ$3:$AZ$31 - MEDIAN(MIN($AZ$3:$AZ$31), MAX($AZ$3:$AZ$31), AL16))), ABS($AZ$3:$AZ$31 - MEDIAN(MIN($AZ$3:$AZ$31), MAX($AZ$3:$AZ$31), AL16)), $BA$3:$BA$31, "Error", 0)</f>
        <v>8</v>
      </c>
      <c r="AM46" s="186" cm="1">
        <f t="array" ref="AM46">_xlfn.XLOOKUP(MIN(ABS($AZ$3:$AZ$31 - MEDIAN(MIN($AZ$3:$AZ$31), MAX($AZ$3:$AZ$31), AM16))), ABS($AZ$3:$AZ$31 - MEDIAN(MIN($AZ$3:$AZ$31), MAX($AZ$3:$AZ$31), AM16)), $BA$3:$BA$31, "Error", 0)</f>
        <v>8</v>
      </c>
      <c r="AN46" s="186" cm="1">
        <f t="array" ref="AN46">_xlfn.XLOOKUP(MIN(ABS($AZ$3:$AZ$31 - MEDIAN(MIN($AZ$3:$AZ$31), MAX($AZ$3:$AZ$31), AN16))), ABS($AZ$3:$AZ$31 - MEDIAN(MIN($AZ$3:$AZ$31), MAX($AZ$3:$AZ$31), AN16)), $BA$3:$BA$31, "Error", 0)</f>
        <v>8</v>
      </c>
      <c r="AO46" s="186" cm="1">
        <f t="array" ref="AO46">_xlfn.XLOOKUP(MIN(ABS($AZ$3:$AZ$31 - MEDIAN(MIN($AZ$3:$AZ$31), MAX($AZ$3:$AZ$31), AO16))), ABS($AZ$3:$AZ$31 - MEDIAN(MIN($AZ$3:$AZ$31), MAX($AZ$3:$AZ$31), AO16)), $BA$3:$BA$31, "Error", 0)</f>
        <v>8</v>
      </c>
      <c r="AP46" s="186" cm="1">
        <f t="array" ref="AP46">_xlfn.XLOOKUP(MIN(ABS($AZ$3:$AZ$31 - MEDIAN(MIN($AZ$3:$AZ$31), MAX($AZ$3:$AZ$31), AP16))), ABS($AZ$3:$AZ$31 - MEDIAN(MIN($AZ$3:$AZ$31), MAX($AZ$3:$AZ$31), AP16)), $BA$3:$BA$31, "Error", 0)</f>
        <v>8</v>
      </c>
      <c r="AQ46" s="186" cm="1">
        <f t="array" ref="AQ46">_xlfn.XLOOKUP(MIN(ABS($AZ$3:$AZ$31 - MEDIAN(MIN($AZ$3:$AZ$31), MAX($AZ$3:$AZ$31), AQ16))), ABS($AZ$3:$AZ$31 - MEDIAN(MIN($AZ$3:$AZ$31), MAX($AZ$3:$AZ$31), AQ16)), $BA$3:$BA$31, "Error", 0)</f>
        <v>8</v>
      </c>
      <c r="AR46" s="186" cm="1">
        <f t="array" ref="AR46">_xlfn.XLOOKUP(MIN(ABS($AZ$3:$AZ$31 - MEDIAN(MIN($AZ$3:$AZ$31), MAX($AZ$3:$AZ$31), AR16))), ABS($AZ$3:$AZ$31 - MEDIAN(MIN($AZ$3:$AZ$31), MAX($AZ$3:$AZ$31), AR16)), $BA$3:$BA$31, "Error", 0)</f>
        <v>8</v>
      </c>
      <c r="AS46" s="186" cm="1">
        <f t="array" ref="AS46">_xlfn.XLOOKUP(MIN(ABS($AZ$3:$AZ$31 - MEDIAN(MIN($AZ$3:$AZ$31), MAX($AZ$3:$AZ$31), AS16))), ABS($AZ$3:$AZ$31 - MEDIAN(MIN($AZ$3:$AZ$31), MAX($AZ$3:$AZ$31), AS16)), $BA$3:$BA$31, "Error", 0)</f>
        <v>8</v>
      </c>
      <c r="AT46" s="186" cm="1">
        <f t="array" ref="AT46">_xlfn.XLOOKUP(MIN(ABS($AZ$3:$AZ$31 - MEDIAN(MIN($AZ$3:$AZ$31), MAX($AZ$3:$AZ$31), AT16))), ABS($AZ$3:$AZ$31 - MEDIAN(MIN($AZ$3:$AZ$31), MAX($AZ$3:$AZ$31), AT16)), $BA$3:$BA$31, "Error", 0)</f>
        <v>8</v>
      </c>
      <c r="AU46" s="186" cm="1">
        <f t="array" ref="AU46">_xlfn.XLOOKUP(MIN(ABS($AZ$3:$AZ$31 - MEDIAN(MIN($AZ$3:$AZ$31), MAX($AZ$3:$AZ$31), AU16))), ABS($AZ$3:$AZ$31 - MEDIAN(MIN($AZ$3:$AZ$31), MAX($AZ$3:$AZ$31), AU16)), $BA$3:$BA$31, "Error", 0)</f>
        <v>8</v>
      </c>
      <c r="AV46" s="186" cm="1">
        <f t="array" ref="AV46">_xlfn.XLOOKUP(MIN(ABS($AZ$3:$AZ$31 - MEDIAN(MIN($AZ$3:$AZ$31), MAX($AZ$3:$AZ$31), AV16))), ABS($AZ$3:$AZ$31 - MEDIAN(MIN($AZ$3:$AZ$31), MAX($AZ$3:$AZ$31), AV16)), $BA$3:$BA$31, "Error", 0)</f>
        <v>8</v>
      </c>
      <c r="AW46" s="186" cm="1">
        <f t="array" ref="AW46">_xlfn.XLOOKUP(MIN(ABS($AZ$3:$AZ$31 - MEDIAN(MIN($AZ$3:$AZ$31), MAX($AZ$3:$AZ$31), AW16))), ABS($AZ$3:$AZ$31 - MEDIAN(MIN($AZ$3:$AZ$31), MAX($AZ$3:$AZ$31), AW16)), $BA$3:$BA$31, "Error", 0)</f>
        <v>8</v>
      </c>
      <c r="AX46" s="192" t="e" cm="1">
        <f t="array" ref="AX46">_xlfn.XLOOKUP(MIN(ABS($AZ$3:$AZ$31 - MEDIAN(MIN($AZ$3:$AZ$31), MAX($AZ$3:$AZ$31), AX16))), ABS($AZ$3:$AZ$31 - MEDIAN(MIN($AZ$3:$AZ$31), MAX($AZ$3:$AZ$31), AX16)), $BA$3:$BA$31, "Error", 0)</f>
        <v>#VALUE!</v>
      </c>
      <c r="AY46" s="195"/>
      <c r="AZ46" s="195"/>
      <c r="BA46" s="195"/>
      <c r="BB46" s="195"/>
      <c r="BC46" s="195"/>
      <c r="BD46" s="195"/>
      <c r="BE46" s="195"/>
      <c r="BF46" s="195"/>
      <c r="BG46" s="195"/>
      <c r="BH46" s="195"/>
      <c r="BI46" s="195"/>
      <c r="BJ46" s="195"/>
    </row>
    <row r="47" spans="2:62" ht="25" customHeight="1">
      <c r="B47" s="157" t="s">
        <v>17</v>
      </c>
      <c r="C47" s="186" cm="1">
        <f t="array" ref="C47">_xlfn.XLOOKUP(MIN(ABS($AZ$3:$AZ$31 - MEDIAN(MIN($AZ$3:$AZ$31), MAX($AZ$3:$AZ$31), C17))), ABS($AZ$3:$AZ$31 - MEDIAN(MIN($AZ$3:$AZ$31), MAX($AZ$3:$AZ$31), C17)), $BA$3:$BA$31, "Error", 0)</f>
        <v>0</v>
      </c>
      <c r="D47" s="186" cm="1">
        <f t="array" ref="D47">_xlfn.XLOOKUP(MIN(ABS($AZ$3:$AZ$31 - MEDIAN(MIN($AZ$3:$AZ$31), MAX($AZ$3:$AZ$31), D17))), ABS($AZ$3:$AZ$31 - MEDIAN(MIN($AZ$3:$AZ$31), MAX($AZ$3:$AZ$31), D17)), $BA$3:$BA$31, "Error", 0)</f>
        <v>1</v>
      </c>
      <c r="E47" s="186" cm="1">
        <f t="array" ref="E47">_xlfn.XLOOKUP(MIN(ABS($AZ$3:$AZ$31 - MEDIAN(MIN($AZ$3:$AZ$31), MAX($AZ$3:$AZ$31), E17))), ABS($AZ$3:$AZ$31 - MEDIAN(MIN($AZ$3:$AZ$31), MAX($AZ$3:$AZ$31), E17)), $BA$3:$BA$31, "Error", 0)</f>
        <v>1</v>
      </c>
      <c r="F47" s="186" cm="1">
        <f t="array" ref="F47">_xlfn.XLOOKUP(MIN(ABS($AZ$3:$AZ$31 - MEDIAN(MIN($AZ$3:$AZ$31), MAX($AZ$3:$AZ$31), F17))), ABS($AZ$3:$AZ$31 - MEDIAN(MIN($AZ$3:$AZ$31), MAX($AZ$3:$AZ$31), F17)), $BA$3:$BA$31, "Error", 0)</f>
        <v>1</v>
      </c>
      <c r="G47" s="186" cm="1">
        <f t="array" ref="G47">_xlfn.XLOOKUP(MIN(ABS($AZ$3:$AZ$31 - MEDIAN(MIN($AZ$3:$AZ$31), MAX($AZ$3:$AZ$31), G17))), ABS($AZ$3:$AZ$31 - MEDIAN(MIN($AZ$3:$AZ$31), MAX($AZ$3:$AZ$31), G17)), $BA$3:$BA$31, "Error", 0)</f>
        <v>2</v>
      </c>
      <c r="H47" s="186" cm="1">
        <f t="array" ref="H47">_xlfn.XLOOKUP(MIN(ABS($AZ$3:$AZ$31 - MEDIAN(MIN($AZ$3:$AZ$31), MAX($AZ$3:$AZ$31), H17))), ABS($AZ$3:$AZ$31 - MEDIAN(MIN($AZ$3:$AZ$31), MAX($AZ$3:$AZ$31), H17)), $BA$3:$BA$31, "Error", 0)</f>
        <v>1</v>
      </c>
      <c r="I47" s="186" cm="1">
        <f t="array" ref="I47">_xlfn.XLOOKUP(MIN(ABS($AZ$3:$AZ$31 - MEDIAN(MIN($AZ$3:$AZ$31), MAX($AZ$3:$AZ$31), I17))), ABS($AZ$3:$AZ$31 - MEDIAN(MIN($AZ$3:$AZ$31), MAX($AZ$3:$AZ$31), I17)), $BA$3:$BA$31, "Error", 0)</f>
        <v>1</v>
      </c>
      <c r="J47" s="186" cm="1">
        <f t="array" ref="J47">_xlfn.XLOOKUP(MIN(ABS($AZ$3:$AZ$31 - MEDIAN(MIN($AZ$3:$AZ$31), MAX($AZ$3:$AZ$31), J17))), ABS($AZ$3:$AZ$31 - MEDIAN(MIN($AZ$3:$AZ$31), MAX($AZ$3:$AZ$31), J17)), $BA$3:$BA$31, "Error", 0)</f>
        <v>1</v>
      </c>
      <c r="K47" s="186" cm="1">
        <f t="array" ref="K47">_xlfn.XLOOKUP(MIN(ABS($AZ$3:$AZ$31 - MEDIAN(MIN($AZ$3:$AZ$31), MAX($AZ$3:$AZ$31), K17))), ABS($AZ$3:$AZ$31 - MEDIAN(MIN($AZ$3:$AZ$31), MAX($AZ$3:$AZ$31), K17)), $BA$3:$BA$31, "Error", 0)</f>
        <v>1</v>
      </c>
      <c r="L47" s="186" cm="1">
        <f t="array" ref="L47">_xlfn.XLOOKUP(MIN(ABS($AZ$3:$AZ$31 - MEDIAN(MIN($AZ$3:$AZ$31), MAX($AZ$3:$AZ$31), L17))), ABS($AZ$3:$AZ$31 - MEDIAN(MIN($AZ$3:$AZ$31), MAX($AZ$3:$AZ$31), L17)), $BA$3:$BA$31, "Error", 0)</f>
        <v>1</v>
      </c>
      <c r="M47" s="186" cm="1">
        <f t="array" ref="M47">_xlfn.XLOOKUP(MIN(ABS($AZ$3:$AZ$31 - MEDIAN(MIN($AZ$3:$AZ$31), MAX($AZ$3:$AZ$31), M17))), ABS($AZ$3:$AZ$31 - MEDIAN(MIN($AZ$3:$AZ$31), MAX($AZ$3:$AZ$31), M17)), $BA$3:$BA$31, "Error", 0)</f>
        <v>1</v>
      </c>
      <c r="N47" s="186" cm="1">
        <f t="array" ref="N47">_xlfn.XLOOKUP(MIN(ABS($AZ$3:$AZ$31 - MEDIAN(MIN($AZ$3:$AZ$31), MAX($AZ$3:$AZ$31), N17))), ABS($AZ$3:$AZ$31 - MEDIAN(MIN($AZ$3:$AZ$31), MAX($AZ$3:$AZ$31), N17)), $BA$3:$BA$31, "Error", 0)</f>
        <v>1</v>
      </c>
      <c r="O47" s="186" cm="1">
        <f t="array" ref="O47">_xlfn.XLOOKUP(MIN(ABS($AZ$3:$AZ$31 - MEDIAN(MIN($AZ$3:$AZ$31), MAX($AZ$3:$AZ$31), O17))), ABS($AZ$3:$AZ$31 - MEDIAN(MIN($AZ$3:$AZ$31), MAX($AZ$3:$AZ$31), O17)), $BA$3:$BA$31, "Error", 0)</f>
        <v>1</v>
      </c>
      <c r="P47" s="186" cm="1">
        <f t="array" ref="P47">_xlfn.XLOOKUP(MIN(ABS($AZ$3:$AZ$31 - MEDIAN(MIN($AZ$3:$AZ$31), MAX($AZ$3:$AZ$31), P17))), ABS($AZ$3:$AZ$31 - MEDIAN(MIN($AZ$3:$AZ$31), MAX($AZ$3:$AZ$31), P17)), $BA$3:$BA$31, "Error", 0)</f>
        <v>1</v>
      </c>
      <c r="Q47" s="186" cm="1">
        <f t="array" ref="Q47">_xlfn.XLOOKUP(MIN(ABS($AZ$3:$AZ$31 - MEDIAN(MIN($AZ$3:$AZ$31), MAX($AZ$3:$AZ$31), Q17))), ABS($AZ$3:$AZ$31 - MEDIAN(MIN($AZ$3:$AZ$31), MAX($AZ$3:$AZ$31), Q17)), $BA$3:$BA$31, "Error", 0)</f>
        <v>1</v>
      </c>
      <c r="R47" s="186" cm="1">
        <f t="array" ref="R47">_xlfn.XLOOKUP(MIN(ABS($AZ$3:$AZ$31 - MEDIAN(MIN($AZ$3:$AZ$31), MAX($AZ$3:$AZ$31), R17))), ABS($AZ$3:$AZ$31 - MEDIAN(MIN($AZ$3:$AZ$31), MAX($AZ$3:$AZ$31), R17)), $BA$3:$BA$31, "Error", 0)</f>
        <v>1</v>
      </c>
      <c r="S47" s="186" cm="1">
        <f t="array" ref="S47">_xlfn.XLOOKUP(MIN(ABS($AZ$3:$AZ$31 - MEDIAN(MIN($AZ$3:$AZ$31), MAX($AZ$3:$AZ$31), S17))), ABS($AZ$3:$AZ$31 - MEDIAN(MIN($AZ$3:$AZ$31), MAX($AZ$3:$AZ$31), S17)), $BA$3:$BA$31, "Error", 0)</f>
        <v>1</v>
      </c>
      <c r="T47" s="186" cm="1">
        <f t="array" ref="T47">_xlfn.XLOOKUP(MIN(ABS($AZ$3:$AZ$31 - MEDIAN(MIN($AZ$3:$AZ$31), MAX($AZ$3:$AZ$31), T17))), ABS($AZ$3:$AZ$31 - MEDIAN(MIN($AZ$3:$AZ$31), MAX($AZ$3:$AZ$31), T17)), $BA$3:$BA$31, "Error", 0)</f>
        <v>2</v>
      </c>
      <c r="U47" s="186" cm="1">
        <f t="array" ref="U47">_xlfn.XLOOKUP(MIN(ABS($AZ$3:$AZ$31 - MEDIAN(MIN($AZ$3:$AZ$31), MAX($AZ$3:$AZ$31), U17))), ABS($AZ$3:$AZ$31 - MEDIAN(MIN($AZ$3:$AZ$31), MAX($AZ$3:$AZ$31), U17)), $BA$3:$BA$31, "Error", 0)</f>
        <v>2</v>
      </c>
      <c r="V47" s="186" cm="1">
        <f t="array" ref="V47">_xlfn.XLOOKUP(MIN(ABS($AZ$3:$AZ$31 - MEDIAN(MIN($AZ$3:$AZ$31), MAX($AZ$3:$AZ$31), V17))), ABS($AZ$3:$AZ$31 - MEDIAN(MIN($AZ$3:$AZ$31), MAX($AZ$3:$AZ$31), V17)), $BA$3:$BA$31, "Error", 0)</f>
        <v>2</v>
      </c>
      <c r="W47" s="186" cm="1">
        <f t="array" ref="W47">_xlfn.XLOOKUP(MIN(ABS($AZ$3:$AZ$31 - MEDIAN(MIN($AZ$3:$AZ$31), MAX($AZ$3:$AZ$31), W17))), ABS($AZ$3:$AZ$31 - MEDIAN(MIN($AZ$3:$AZ$31), MAX($AZ$3:$AZ$31), W17)), $BA$3:$BA$31, "Error", 0)</f>
        <v>2</v>
      </c>
      <c r="X47" s="186" cm="1">
        <f t="array" ref="X47">_xlfn.XLOOKUP(MIN(ABS($AZ$3:$AZ$31 - MEDIAN(MIN($AZ$3:$AZ$31), MAX($AZ$3:$AZ$31), X17))), ABS($AZ$3:$AZ$31 - MEDIAN(MIN($AZ$3:$AZ$31), MAX($AZ$3:$AZ$31), X17)), $BA$3:$BA$31, "Error", 0)</f>
        <v>3</v>
      </c>
      <c r="Y47" s="186" cm="1">
        <f t="array" ref="Y47">_xlfn.XLOOKUP(MIN(ABS($AZ$3:$AZ$31 - MEDIAN(MIN($AZ$3:$AZ$31), MAX($AZ$3:$AZ$31), Y17))), ABS($AZ$3:$AZ$31 - MEDIAN(MIN($AZ$3:$AZ$31), MAX($AZ$3:$AZ$31), Y17)), $BA$3:$BA$31, "Error", 0)</f>
        <v>2</v>
      </c>
      <c r="Z47" s="186" cm="1">
        <f t="array" ref="Z47">_xlfn.XLOOKUP(MIN(ABS($AZ$3:$AZ$31 - MEDIAN(MIN($AZ$3:$AZ$31), MAX($AZ$3:$AZ$31), Z17))), ABS($AZ$3:$AZ$31 - MEDIAN(MIN($AZ$3:$AZ$31), MAX($AZ$3:$AZ$31), Z17)), $BA$3:$BA$31, "Error", 0)</f>
        <v>3</v>
      </c>
      <c r="AA47" s="186" cm="1">
        <f t="array" ref="AA47">_xlfn.XLOOKUP(MIN(ABS($AZ$3:$AZ$31 - MEDIAN(MIN($AZ$3:$AZ$31), MAX($AZ$3:$AZ$31), AA17))), ABS($AZ$3:$AZ$31 - MEDIAN(MIN($AZ$3:$AZ$31), MAX($AZ$3:$AZ$31), AA17)), $BA$3:$BA$31, "Error", 0)</f>
        <v>3</v>
      </c>
      <c r="AB47" s="186" cm="1">
        <f t="array" ref="AB47">_xlfn.XLOOKUP(MIN(ABS($AZ$3:$AZ$31 - MEDIAN(MIN($AZ$3:$AZ$31), MAX($AZ$3:$AZ$31), AB17))), ABS($AZ$3:$AZ$31 - MEDIAN(MIN($AZ$3:$AZ$31), MAX($AZ$3:$AZ$31), AB17)), $BA$3:$BA$31, "Error", 0)</f>
        <v>3</v>
      </c>
      <c r="AC47" s="186" cm="1">
        <f t="array" ref="AC47">_xlfn.XLOOKUP(MIN(ABS($AZ$3:$AZ$31 - MEDIAN(MIN($AZ$3:$AZ$31), MAX($AZ$3:$AZ$31), AC17))), ABS($AZ$3:$AZ$31 - MEDIAN(MIN($AZ$3:$AZ$31), MAX($AZ$3:$AZ$31), AC17)), $BA$3:$BA$31, "Error", 0)</f>
        <v>4</v>
      </c>
      <c r="AD47" s="186" cm="1">
        <f t="array" ref="AD47">_xlfn.XLOOKUP(MIN(ABS($AZ$3:$AZ$31 - MEDIAN(MIN($AZ$3:$AZ$31), MAX($AZ$3:$AZ$31), AD17))), ABS($AZ$3:$AZ$31 - MEDIAN(MIN($AZ$3:$AZ$31), MAX($AZ$3:$AZ$31), AD17)), $BA$3:$BA$31, "Error", 0)</f>
        <v>4</v>
      </c>
      <c r="AE47" s="186" cm="1">
        <f t="array" ref="AE47">_xlfn.XLOOKUP(MIN(ABS($AZ$3:$AZ$31 - MEDIAN(MIN($AZ$3:$AZ$31), MAX($AZ$3:$AZ$31), AE17))), ABS($AZ$3:$AZ$31 - MEDIAN(MIN($AZ$3:$AZ$31), MAX($AZ$3:$AZ$31), AE17)), $BA$3:$BA$31, "Error", 0)</f>
        <v>4</v>
      </c>
      <c r="AF47" s="186" cm="1">
        <f t="array" ref="AF47">_xlfn.XLOOKUP(MIN(ABS($AZ$3:$AZ$31 - MEDIAN(MIN($AZ$3:$AZ$31), MAX($AZ$3:$AZ$31), AF17))), ABS($AZ$3:$AZ$31 - MEDIAN(MIN($AZ$3:$AZ$31), MAX($AZ$3:$AZ$31), AF17)), $BA$3:$BA$31, "Error", 0)</f>
        <v>4</v>
      </c>
      <c r="AG47" s="186" cm="1">
        <f t="array" ref="AG47">_xlfn.XLOOKUP(MIN(ABS($AZ$3:$AZ$31 - MEDIAN(MIN($AZ$3:$AZ$31), MAX($AZ$3:$AZ$31), AG17))), ABS($AZ$3:$AZ$31 - MEDIAN(MIN($AZ$3:$AZ$31), MAX($AZ$3:$AZ$31), AG17)), $BA$3:$BA$31, "Error", 0)</f>
        <v>4</v>
      </c>
      <c r="AH47" s="186" cm="1">
        <f t="array" ref="AH47">_xlfn.XLOOKUP(MIN(ABS($AZ$3:$AZ$31 - MEDIAN(MIN($AZ$3:$AZ$31), MAX($AZ$3:$AZ$31), AH17))), ABS($AZ$3:$AZ$31 - MEDIAN(MIN($AZ$3:$AZ$31), MAX($AZ$3:$AZ$31), AH17)), $BA$3:$BA$31, "Error", 0)</f>
        <v>4</v>
      </c>
      <c r="AI47" s="186" cm="1">
        <f t="array" ref="AI47">_xlfn.XLOOKUP(MIN(ABS($AZ$3:$AZ$31 - MEDIAN(MIN($AZ$3:$AZ$31), MAX($AZ$3:$AZ$31), AI17))), ABS($AZ$3:$AZ$31 - MEDIAN(MIN($AZ$3:$AZ$31), MAX($AZ$3:$AZ$31), AI17)), $BA$3:$BA$31, "Error", 0)</f>
        <v>4</v>
      </c>
      <c r="AJ47" s="186" cm="1">
        <f t="array" ref="AJ47">_xlfn.XLOOKUP(MIN(ABS($AZ$3:$AZ$31 - MEDIAN(MIN($AZ$3:$AZ$31), MAX($AZ$3:$AZ$31), AJ17))), ABS($AZ$3:$AZ$31 - MEDIAN(MIN($AZ$3:$AZ$31), MAX($AZ$3:$AZ$31), AJ17)), $BA$3:$BA$31, "Error", 0)</f>
        <v>4</v>
      </c>
      <c r="AK47" s="186" cm="1">
        <f t="array" ref="AK47">_xlfn.XLOOKUP(MIN(ABS($AZ$3:$AZ$31 - MEDIAN(MIN($AZ$3:$AZ$31), MAX($AZ$3:$AZ$31), AK17))), ABS($AZ$3:$AZ$31 - MEDIAN(MIN($AZ$3:$AZ$31), MAX($AZ$3:$AZ$31), AK17)), $BA$3:$BA$31, "Error", 0)</f>
        <v>4</v>
      </c>
      <c r="AL47" s="186" cm="1">
        <f t="array" ref="AL47">_xlfn.XLOOKUP(MIN(ABS($AZ$3:$AZ$31 - MEDIAN(MIN($AZ$3:$AZ$31), MAX($AZ$3:$AZ$31), AL17))), ABS($AZ$3:$AZ$31 - MEDIAN(MIN($AZ$3:$AZ$31), MAX($AZ$3:$AZ$31), AL17)), $BA$3:$BA$31, "Error", 0)</f>
        <v>3</v>
      </c>
      <c r="AM47" s="186" cm="1">
        <f t="array" ref="AM47">_xlfn.XLOOKUP(MIN(ABS($AZ$3:$AZ$31 - MEDIAN(MIN($AZ$3:$AZ$31), MAX($AZ$3:$AZ$31), AM17))), ABS($AZ$3:$AZ$31 - MEDIAN(MIN($AZ$3:$AZ$31), MAX($AZ$3:$AZ$31), AM17)), $BA$3:$BA$31, "Error", 0)</f>
        <v>3</v>
      </c>
      <c r="AN47" s="186" cm="1">
        <f t="array" ref="AN47">_xlfn.XLOOKUP(MIN(ABS($AZ$3:$AZ$31 - MEDIAN(MIN($AZ$3:$AZ$31), MAX($AZ$3:$AZ$31), AN17))), ABS($AZ$3:$AZ$31 - MEDIAN(MIN($AZ$3:$AZ$31), MAX($AZ$3:$AZ$31), AN17)), $BA$3:$BA$31, "Error", 0)</f>
        <v>3</v>
      </c>
      <c r="AO47" s="186" cm="1">
        <f t="array" ref="AO47">_xlfn.XLOOKUP(MIN(ABS($AZ$3:$AZ$31 - MEDIAN(MIN($AZ$3:$AZ$31), MAX($AZ$3:$AZ$31), AO17))), ABS($AZ$3:$AZ$31 - MEDIAN(MIN($AZ$3:$AZ$31), MAX($AZ$3:$AZ$31), AO17)), $BA$3:$BA$31, "Error", 0)</f>
        <v>3</v>
      </c>
      <c r="AP47" s="186" cm="1">
        <f t="array" ref="AP47">_xlfn.XLOOKUP(MIN(ABS($AZ$3:$AZ$31 - MEDIAN(MIN($AZ$3:$AZ$31), MAX($AZ$3:$AZ$31), AP17))), ABS($AZ$3:$AZ$31 - MEDIAN(MIN($AZ$3:$AZ$31), MAX($AZ$3:$AZ$31), AP17)), $BA$3:$BA$31, "Error", 0)</f>
        <v>3</v>
      </c>
      <c r="AQ47" s="186" cm="1">
        <f t="array" ref="AQ47">_xlfn.XLOOKUP(MIN(ABS($AZ$3:$AZ$31 - MEDIAN(MIN($AZ$3:$AZ$31), MAX($AZ$3:$AZ$31), AQ17))), ABS($AZ$3:$AZ$31 - MEDIAN(MIN($AZ$3:$AZ$31), MAX($AZ$3:$AZ$31), AQ17)), $BA$3:$BA$31, "Error", 0)</f>
        <v>3</v>
      </c>
      <c r="AR47" s="186" cm="1">
        <f t="array" ref="AR47">_xlfn.XLOOKUP(MIN(ABS($AZ$3:$AZ$31 - MEDIAN(MIN($AZ$3:$AZ$31), MAX($AZ$3:$AZ$31), AR17))), ABS($AZ$3:$AZ$31 - MEDIAN(MIN($AZ$3:$AZ$31), MAX($AZ$3:$AZ$31), AR17)), $BA$3:$BA$31, "Error", 0)</f>
        <v>3</v>
      </c>
      <c r="AS47" s="186" cm="1">
        <f t="array" ref="AS47">_xlfn.XLOOKUP(MIN(ABS($AZ$3:$AZ$31 - MEDIAN(MIN($AZ$3:$AZ$31), MAX($AZ$3:$AZ$31), AS17))), ABS($AZ$3:$AZ$31 - MEDIAN(MIN($AZ$3:$AZ$31), MAX($AZ$3:$AZ$31), AS17)), $BA$3:$BA$31, "Error", 0)</f>
        <v>3</v>
      </c>
      <c r="AT47" s="186" cm="1">
        <f t="array" ref="AT47">_xlfn.XLOOKUP(MIN(ABS($AZ$3:$AZ$31 - MEDIAN(MIN($AZ$3:$AZ$31), MAX($AZ$3:$AZ$31), AT17))), ABS($AZ$3:$AZ$31 - MEDIAN(MIN($AZ$3:$AZ$31), MAX($AZ$3:$AZ$31), AT17)), $BA$3:$BA$31, "Error", 0)</f>
        <v>3</v>
      </c>
      <c r="AU47" s="186" cm="1">
        <f t="array" ref="AU47">_xlfn.XLOOKUP(MIN(ABS($AZ$3:$AZ$31 - MEDIAN(MIN($AZ$3:$AZ$31), MAX($AZ$3:$AZ$31), AU17))), ABS($AZ$3:$AZ$31 - MEDIAN(MIN($AZ$3:$AZ$31), MAX($AZ$3:$AZ$31), AU17)), $BA$3:$BA$31, "Error", 0)</f>
        <v>3</v>
      </c>
      <c r="AV47" s="186" cm="1">
        <f t="array" ref="AV47">_xlfn.XLOOKUP(MIN(ABS($AZ$3:$AZ$31 - MEDIAN(MIN($AZ$3:$AZ$31), MAX($AZ$3:$AZ$31), AV17))), ABS($AZ$3:$AZ$31 - MEDIAN(MIN($AZ$3:$AZ$31), MAX($AZ$3:$AZ$31), AV17)), $BA$3:$BA$31, "Error", 0)</f>
        <v>4</v>
      </c>
      <c r="AW47" s="186" cm="1">
        <f t="array" ref="AW47">_xlfn.XLOOKUP(MIN(ABS($AZ$3:$AZ$31 - MEDIAN(MIN($AZ$3:$AZ$31), MAX($AZ$3:$AZ$31), AW17))), ABS($AZ$3:$AZ$31 - MEDIAN(MIN($AZ$3:$AZ$31), MAX($AZ$3:$AZ$31), AW17)), $BA$3:$BA$31, "Error", 0)</f>
        <v>4</v>
      </c>
      <c r="AX47" s="192" t="e" cm="1">
        <f t="array" ref="AX47">_xlfn.XLOOKUP(MIN(ABS($AZ$3:$AZ$31 - MEDIAN(MIN($AZ$3:$AZ$31), MAX($AZ$3:$AZ$31), AX17))), ABS($AZ$3:$AZ$31 - MEDIAN(MIN($AZ$3:$AZ$31), MAX($AZ$3:$AZ$31), AX17)), $BA$3:$BA$31, "Error", 0)</f>
        <v>#VALUE!</v>
      </c>
      <c r="AY47" s="195"/>
      <c r="AZ47" s="195"/>
      <c r="BA47" s="195"/>
      <c r="BB47" s="195"/>
      <c r="BC47" s="195"/>
      <c r="BD47" s="195"/>
      <c r="BE47" s="195"/>
      <c r="BF47" s="195"/>
      <c r="BG47" s="195"/>
      <c r="BH47" s="195"/>
      <c r="BI47" s="195"/>
      <c r="BJ47" s="195"/>
    </row>
    <row r="48" spans="2:62" ht="25" customHeight="1">
      <c r="B48" s="160" t="s">
        <v>47</v>
      </c>
      <c r="C48" s="186" cm="1">
        <f t="array" ref="C48">_xlfn.XLOOKUP(MIN(ABS($AZ$3:$AZ$31 - MEDIAN(MIN($AZ$3:$AZ$31), MAX($AZ$3:$AZ$31), C18))), ABS($AZ$3:$AZ$31 - MEDIAN(MIN($AZ$3:$AZ$31), MAX($AZ$3:$AZ$31), C18)), $BA$3:$BA$31, "Error", 0)</f>
        <v>-4</v>
      </c>
      <c r="D48" s="186" cm="1">
        <f t="array" ref="D48">_xlfn.XLOOKUP(MIN(ABS($AZ$3:$AZ$31 - MEDIAN(MIN($AZ$3:$AZ$31), MAX($AZ$3:$AZ$31), D18))), ABS($AZ$3:$AZ$31 - MEDIAN(MIN($AZ$3:$AZ$31), MAX($AZ$3:$AZ$31), D18)), $BA$3:$BA$31, "Error", 0)</f>
        <v>-3</v>
      </c>
      <c r="E48" s="186" cm="1">
        <f t="array" ref="E48">_xlfn.XLOOKUP(MIN(ABS($AZ$3:$AZ$31 - MEDIAN(MIN($AZ$3:$AZ$31), MAX($AZ$3:$AZ$31), E18))), ABS($AZ$3:$AZ$31 - MEDIAN(MIN($AZ$3:$AZ$31), MAX($AZ$3:$AZ$31), E18)), $BA$3:$BA$31, "Error", 0)</f>
        <v>-3</v>
      </c>
      <c r="F48" s="186" cm="1">
        <f t="array" ref="F48">_xlfn.XLOOKUP(MIN(ABS($AZ$3:$AZ$31 - MEDIAN(MIN($AZ$3:$AZ$31), MAX($AZ$3:$AZ$31), F18))), ABS($AZ$3:$AZ$31 - MEDIAN(MIN($AZ$3:$AZ$31), MAX($AZ$3:$AZ$31), F18)), $BA$3:$BA$31, "Error", 0)</f>
        <v>-3</v>
      </c>
      <c r="G48" s="186" cm="1">
        <f t="array" ref="G48">_xlfn.XLOOKUP(MIN(ABS($AZ$3:$AZ$31 - MEDIAN(MIN($AZ$3:$AZ$31), MAX($AZ$3:$AZ$31), G18))), ABS($AZ$3:$AZ$31 - MEDIAN(MIN($AZ$3:$AZ$31), MAX($AZ$3:$AZ$31), G18)), $BA$3:$BA$31, "Error", 0)</f>
        <v>-3</v>
      </c>
      <c r="H48" s="186" cm="1">
        <f t="array" ref="H48">_xlfn.XLOOKUP(MIN(ABS($AZ$3:$AZ$31 - MEDIAN(MIN($AZ$3:$AZ$31), MAX($AZ$3:$AZ$31), H18))), ABS($AZ$3:$AZ$31 - MEDIAN(MIN($AZ$3:$AZ$31), MAX($AZ$3:$AZ$31), H18)), $BA$3:$BA$31, "Error", 0)</f>
        <v>-2</v>
      </c>
      <c r="I48" s="186" cm="1">
        <f t="array" ref="I48">_xlfn.XLOOKUP(MIN(ABS($AZ$3:$AZ$31 - MEDIAN(MIN($AZ$3:$AZ$31), MAX($AZ$3:$AZ$31), I18))), ABS($AZ$3:$AZ$31 - MEDIAN(MIN($AZ$3:$AZ$31), MAX($AZ$3:$AZ$31), I18)), $BA$3:$BA$31, "Error", 0)</f>
        <v>-2</v>
      </c>
      <c r="J48" s="186" cm="1">
        <f t="array" ref="J48">_xlfn.XLOOKUP(MIN(ABS($AZ$3:$AZ$31 - MEDIAN(MIN($AZ$3:$AZ$31), MAX($AZ$3:$AZ$31), J18))), ABS($AZ$3:$AZ$31 - MEDIAN(MIN($AZ$3:$AZ$31), MAX($AZ$3:$AZ$31), J18)), $BA$3:$BA$31, "Error", 0)</f>
        <v>-2</v>
      </c>
      <c r="K48" s="186" cm="1">
        <f t="array" ref="K48">_xlfn.XLOOKUP(MIN(ABS($AZ$3:$AZ$31 - MEDIAN(MIN($AZ$3:$AZ$31), MAX($AZ$3:$AZ$31), K18))), ABS($AZ$3:$AZ$31 - MEDIAN(MIN($AZ$3:$AZ$31), MAX($AZ$3:$AZ$31), K18)), $BA$3:$BA$31, "Error", 0)</f>
        <v>-2</v>
      </c>
      <c r="L48" s="186" cm="1">
        <f t="array" ref="L48">_xlfn.XLOOKUP(MIN(ABS($AZ$3:$AZ$31 - MEDIAN(MIN($AZ$3:$AZ$31), MAX($AZ$3:$AZ$31), L18))), ABS($AZ$3:$AZ$31 - MEDIAN(MIN($AZ$3:$AZ$31), MAX($AZ$3:$AZ$31), L18)), $BA$3:$BA$31, "Error", 0)</f>
        <v>-2</v>
      </c>
      <c r="M48" s="186" cm="1">
        <f t="array" ref="M48">_xlfn.XLOOKUP(MIN(ABS($AZ$3:$AZ$31 - MEDIAN(MIN($AZ$3:$AZ$31), MAX($AZ$3:$AZ$31), M18))), ABS($AZ$3:$AZ$31 - MEDIAN(MIN($AZ$3:$AZ$31), MAX($AZ$3:$AZ$31), M18)), $BA$3:$BA$31, "Error", 0)</f>
        <v>-2</v>
      </c>
      <c r="N48" s="186" cm="1">
        <f t="array" ref="N48">_xlfn.XLOOKUP(MIN(ABS($AZ$3:$AZ$31 - MEDIAN(MIN($AZ$3:$AZ$31), MAX($AZ$3:$AZ$31), N18))), ABS($AZ$3:$AZ$31 - MEDIAN(MIN($AZ$3:$AZ$31), MAX($AZ$3:$AZ$31), N18)), $BA$3:$BA$31, "Error", 0)</f>
        <v>-2</v>
      </c>
      <c r="O48" s="186" cm="1">
        <f t="array" ref="O48">_xlfn.XLOOKUP(MIN(ABS($AZ$3:$AZ$31 - MEDIAN(MIN($AZ$3:$AZ$31), MAX($AZ$3:$AZ$31), O18))), ABS($AZ$3:$AZ$31 - MEDIAN(MIN($AZ$3:$AZ$31), MAX($AZ$3:$AZ$31), O18)), $BA$3:$BA$31, "Error", 0)</f>
        <v>-2</v>
      </c>
      <c r="P48" s="186" cm="1">
        <f t="array" ref="P48">_xlfn.XLOOKUP(MIN(ABS($AZ$3:$AZ$31 - MEDIAN(MIN($AZ$3:$AZ$31), MAX($AZ$3:$AZ$31), P18))), ABS($AZ$3:$AZ$31 - MEDIAN(MIN($AZ$3:$AZ$31), MAX($AZ$3:$AZ$31), P18)), $BA$3:$BA$31, "Error", 0)</f>
        <v>-2</v>
      </c>
      <c r="Q48" s="186" cm="1">
        <f t="array" ref="Q48">_xlfn.XLOOKUP(MIN(ABS($AZ$3:$AZ$31 - MEDIAN(MIN($AZ$3:$AZ$31), MAX($AZ$3:$AZ$31), Q18))), ABS($AZ$3:$AZ$31 - MEDIAN(MIN($AZ$3:$AZ$31), MAX($AZ$3:$AZ$31), Q18)), $BA$3:$BA$31, "Error", 0)</f>
        <v>-2</v>
      </c>
      <c r="R48" s="186" cm="1">
        <f t="array" ref="R48">_xlfn.XLOOKUP(MIN(ABS($AZ$3:$AZ$31 - MEDIAN(MIN($AZ$3:$AZ$31), MAX($AZ$3:$AZ$31), R18))), ABS($AZ$3:$AZ$31 - MEDIAN(MIN($AZ$3:$AZ$31), MAX($AZ$3:$AZ$31), R18)), $BA$3:$BA$31, "Error", 0)</f>
        <v>-2</v>
      </c>
      <c r="S48" s="186" cm="1">
        <f t="array" ref="S48">_xlfn.XLOOKUP(MIN(ABS($AZ$3:$AZ$31 - MEDIAN(MIN($AZ$3:$AZ$31), MAX($AZ$3:$AZ$31), S18))), ABS($AZ$3:$AZ$31 - MEDIAN(MIN($AZ$3:$AZ$31), MAX($AZ$3:$AZ$31), S18)), $BA$3:$BA$31, "Error", 0)</f>
        <v>-2</v>
      </c>
      <c r="T48" s="186" cm="1">
        <f t="array" ref="T48">_xlfn.XLOOKUP(MIN(ABS($AZ$3:$AZ$31 - MEDIAN(MIN($AZ$3:$AZ$31), MAX($AZ$3:$AZ$31), T18))), ABS($AZ$3:$AZ$31 - MEDIAN(MIN($AZ$3:$AZ$31), MAX($AZ$3:$AZ$31), T18)), $BA$3:$BA$31, "Error", 0)</f>
        <v>-2</v>
      </c>
      <c r="U48" s="186" cm="1">
        <f t="array" ref="U48">_xlfn.XLOOKUP(MIN(ABS($AZ$3:$AZ$31 - MEDIAN(MIN($AZ$3:$AZ$31), MAX($AZ$3:$AZ$31), U18))), ABS($AZ$3:$AZ$31 - MEDIAN(MIN($AZ$3:$AZ$31), MAX($AZ$3:$AZ$31), U18)), $BA$3:$BA$31, "Error", 0)</f>
        <v>-2</v>
      </c>
      <c r="V48" s="186" cm="1">
        <f t="array" ref="V48">_xlfn.XLOOKUP(MIN(ABS($AZ$3:$AZ$31 - MEDIAN(MIN($AZ$3:$AZ$31), MAX($AZ$3:$AZ$31), V18))), ABS($AZ$3:$AZ$31 - MEDIAN(MIN($AZ$3:$AZ$31), MAX($AZ$3:$AZ$31), V18)), $BA$3:$BA$31, "Error", 0)</f>
        <v>-2</v>
      </c>
      <c r="W48" s="186" cm="1">
        <f t="array" ref="W48">_xlfn.XLOOKUP(MIN(ABS($AZ$3:$AZ$31 - MEDIAN(MIN($AZ$3:$AZ$31), MAX($AZ$3:$AZ$31), W18))), ABS($AZ$3:$AZ$31 - MEDIAN(MIN($AZ$3:$AZ$31), MAX($AZ$3:$AZ$31), W18)), $BA$3:$BA$31, "Error", 0)</f>
        <v>-3</v>
      </c>
      <c r="X48" s="186" cm="1">
        <f t="array" ref="X48">_xlfn.XLOOKUP(MIN(ABS($AZ$3:$AZ$31 - MEDIAN(MIN($AZ$3:$AZ$31), MAX($AZ$3:$AZ$31), X18))), ABS($AZ$3:$AZ$31 - MEDIAN(MIN($AZ$3:$AZ$31), MAX($AZ$3:$AZ$31), X18)), $BA$3:$BA$31, "Error", 0)</f>
        <v>-3</v>
      </c>
      <c r="Y48" s="186" cm="1">
        <f t="array" ref="Y48">_xlfn.XLOOKUP(MIN(ABS($AZ$3:$AZ$31 - MEDIAN(MIN($AZ$3:$AZ$31), MAX($AZ$3:$AZ$31), Y18))), ABS($AZ$3:$AZ$31 - MEDIAN(MIN($AZ$3:$AZ$31), MAX($AZ$3:$AZ$31), Y18)), $BA$3:$BA$31, "Error", 0)</f>
        <v>-3</v>
      </c>
      <c r="Z48" s="186" cm="1">
        <f t="array" ref="Z48">_xlfn.XLOOKUP(MIN(ABS($AZ$3:$AZ$31 - MEDIAN(MIN($AZ$3:$AZ$31), MAX($AZ$3:$AZ$31), Z18))), ABS($AZ$3:$AZ$31 - MEDIAN(MIN($AZ$3:$AZ$31), MAX($AZ$3:$AZ$31), Z18)), $BA$3:$BA$31, "Error", 0)</f>
        <v>-3</v>
      </c>
      <c r="AA48" s="186" cm="1">
        <f t="array" ref="AA48">_xlfn.XLOOKUP(MIN(ABS($AZ$3:$AZ$31 - MEDIAN(MIN($AZ$3:$AZ$31), MAX($AZ$3:$AZ$31), AA18))), ABS($AZ$3:$AZ$31 - MEDIAN(MIN($AZ$3:$AZ$31), MAX($AZ$3:$AZ$31), AA18)), $BA$3:$BA$31, "Error", 0)</f>
        <v>-3</v>
      </c>
      <c r="AB48" s="186" cm="1">
        <f t="array" ref="AB48">_xlfn.XLOOKUP(MIN(ABS($AZ$3:$AZ$31 - MEDIAN(MIN($AZ$3:$AZ$31), MAX($AZ$3:$AZ$31), AB18))), ABS($AZ$3:$AZ$31 - MEDIAN(MIN($AZ$3:$AZ$31), MAX($AZ$3:$AZ$31), AB18)), $BA$3:$BA$31, "Error", 0)</f>
        <v>-3</v>
      </c>
      <c r="AC48" s="186" cm="1">
        <f t="array" ref="AC48">_xlfn.XLOOKUP(MIN(ABS($AZ$3:$AZ$31 - MEDIAN(MIN($AZ$3:$AZ$31), MAX($AZ$3:$AZ$31), AC18))), ABS($AZ$3:$AZ$31 - MEDIAN(MIN($AZ$3:$AZ$31), MAX($AZ$3:$AZ$31), AC18)), $BA$3:$BA$31, "Error", 0)</f>
        <v>-4</v>
      </c>
      <c r="AD48" s="186" cm="1">
        <f t="array" ref="AD48">_xlfn.XLOOKUP(MIN(ABS($AZ$3:$AZ$31 - MEDIAN(MIN($AZ$3:$AZ$31), MAX($AZ$3:$AZ$31), AD18))), ABS($AZ$3:$AZ$31 - MEDIAN(MIN($AZ$3:$AZ$31), MAX($AZ$3:$AZ$31), AD18)), $BA$3:$BA$31, "Error", 0)</f>
        <v>-4</v>
      </c>
      <c r="AE48" s="186" cm="1">
        <f t="array" ref="AE48">_xlfn.XLOOKUP(MIN(ABS($AZ$3:$AZ$31 - MEDIAN(MIN($AZ$3:$AZ$31), MAX($AZ$3:$AZ$31), AE18))), ABS($AZ$3:$AZ$31 - MEDIAN(MIN($AZ$3:$AZ$31), MAX($AZ$3:$AZ$31), AE18)), $BA$3:$BA$31, "Error", 0)</f>
        <v>-4</v>
      </c>
      <c r="AF48" s="186" cm="1">
        <f t="array" ref="AF48">_xlfn.XLOOKUP(MIN(ABS($AZ$3:$AZ$31 - MEDIAN(MIN($AZ$3:$AZ$31), MAX($AZ$3:$AZ$31), AF18))), ABS($AZ$3:$AZ$31 - MEDIAN(MIN($AZ$3:$AZ$31), MAX($AZ$3:$AZ$31), AF18)), $BA$3:$BA$31, "Error", 0)</f>
        <v>-5</v>
      </c>
      <c r="AG48" s="186" cm="1">
        <f t="array" ref="AG48">_xlfn.XLOOKUP(MIN(ABS($AZ$3:$AZ$31 - MEDIAN(MIN($AZ$3:$AZ$31), MAX($AZ$3:$AZ$31), AG18))), ABS($AZ$3:$AZ$31 - MEDIAN(MIN($AZ$3:$AZ$31), MAX($AZ$3:$AZ$31), AG18)), $BA$3:$BA$31, "Error", 0)</f>
        <v>-5</v>
      </c>
      <c r="AH48" s="186" cm="1">
        <f t="array" ref="AH48">_xlfn.XLOOKUP(MIN(ABS($AZ$3:$AZ$31 - MEDIAN(MIN($AZ$3:$AZ$31), MAX($AZ$3:$AZ$31), AH18))), ABS($AZ$3:$AZ$31 - MEDIAN(MIN($AZ$3:$AZ$31), MAX($AZ$3:$AZ$31), AH18)), $BA$3:$BA$31, "Error", 0)</f>
        <v>-5</v>
      </c>
      <c r="AI48" s="186" cm="1">
        <f t="array" ref="AI48">_xlfn.XLOOKUP(MIN(ABS($AZ$3:$AZ$31 - MEDIAN(MIN($AZ$3:$AZ$31), MAX($AZ$3:$AZ$31), AI18))), ABS($AZ$3:$AZ$31 - MEDIAN(MIN($AZ$3:$AZ$31), MAX($AZ$3:$AZ$31), AI18)), $BA$3:$BA$31, "Error", 0)</f>
        <v>-4</v>
      </c>
      <c r="AJ48" s="186" cm="1">
        <f t="array" ref="AJ48">_xlfn.XLOOKUP(MIN(ABS($AZ$3:$AZ$31 - MEDIAN(MIN($AZ$3:$AZ$31), MAX($AZ$3:$AZ$31), AJ18))), ABS($AZ$3:$AZ$31 - MEDIAN(MIN($AZ$3:$AZ$31), MAX($AZ$3:$AZ$31), AJ18)), $BA$3:$BA$31, "Error", 0)</f>
        <v>-4</v>
      </c>
      <c r="AK48" s="186" cm="1">
        <f t="array" ref="AK48">_xlfn.XLOOKUP(MIN(ABS($AZ$3:$AZ$31 - MEDIAN(MIN($AZ$3:$AZ$31), MAX($AZ$3:$AZ$31), AK18))), ABS($AZ$3:$AZ$31 - MEDIAN(MIN($AZ$3:$AZ$31), MAX($AZ$3:$AZ$31), AK18)), $BA$3:$BA$31, "Error", 0)</f>
        <v>-4</v>
      </c>
      <c r="AL48" s="186" cm="1">
        <f t="array" ref="AL48">_xlfn.XLOOKUP(MIN(ABS($AZ$3:$AZ$31 - MEDIAN(MIN($AZ$3:$AZ$31), MAX($AZ$3:$AZ$31), AL18))), ABS($AZ$3:$AZ$31 - MEDIAN(MIN($AZ$3:$AZ$31), MAX($AZ$3:$AZ$31), AL18)), $BA$3:$BA$31, "Error", 0)</f>
        <v>-3</v>
      </c>
      <c r="AM48" s="186" cm="1">
        <f t="array" ref="AM48">_xlfn.XLOOKUP(MIN(ABS($AZ$3:$AZ$31 - MEDIAN(MIN($AZ$3:$AZ$31), MAX($AZ$3:$AZ$31), AM18))), ABS($AZ$3:$AZ$31 - MEDIAN(MIN($AZ$3:$AZ$31), MAX($AZ$3:$AZ$31), AM18)), $BA$3:$BA$31, "Error", 0)</f>
        <v>-3</v>
      </c>
      <c r="AN48" s="186" cm="1">
        <f t="array" ref="AN48">_xlfn.XLOOKUP(MIN(ABS($AZ$3:$AZ$31 - MEDIAN(MIN($AZ$3:$AZ$31), MAX($AZ$3:$AZ$31), AN18))), ABS($AZ$3:$AZ$31 - MEDIAN(MIN($AZ$3:$AZ$31), MAX($AZ$3:$AZ$31), AN18)), $BA$3:$BA$31, "Error", 0)</f>
        <v>-3</v>
      </c>
      <c r="AO48" s="186" cm="1">
        <f t="array" ref="AO48">_xlfn.XLOOKUP(MIN(ABS($AZ$3:$AZ$31 - MEDIAN(MIN($AZ$3:$AZ$31), MAX($AZ$3:$AZ$31), AO18))), ABS($AZ$3:$AZ$31 - MEDIAN(MIN($AZ$3:$AZ$31), MAX($AZ$3:$AZ$31), AO18)), $BA$3:$BA$31, "Error", 0)</f>
        <v>-3</v>
      </c>
      <c r="AP48" s="186" cm="1">
        <f t="array" ref="AP48">_xlfn.XLOOKUP(MIN(ABS($AZ$3:$AZ$31 - MEDIAN(MIN($AZ$3:$AZ$31), MAX($AZ$3:$AZ$31), AP18))), ABS($AZ$3:$AZ$31 - MEDIAN(MIN($AZ$3:$AZ$31), MAX($AZ$3:$AZ$31), AP18)), $BA$3:$BA$31, "Error", 0)</f>
        <v>-3</v>
      </c>
      <c r="AQ48" s="186" cm="1">
        <f t="array" ref="AQ48">_xlfn.XLOOKUP(MIN(ABS($AZ$3:$AZ$31 - MEDIAN(MIN($AZ$3:$AZ$31), MAX($AZ$3:$AZ$31), AQ18))), ABS($AZ$3:$AZ$31 - MEDIAN(MIN($AZ$3:$AZ$31), MAX($AZ$3:$AZ$31), AQ18)), $BA$3:$BA$31, "Error", 0)</f>
        <v>-3</v>
      </c>
      <c r="AR48" s="186" cm="1">
        <f t="array" ref="AR48">_xlfn.XLOOKUP(MIN(ABS($AZ$3:$AZ$31 - MEDIAN(MIN($AZ$3:$AZ$31), MAX($AZ$3:$AZ$31), AR18))), ABS($AZ$3:$AZ$31 - MEDIAN(MIN($AZ$3:$AZ$31), MAX($AZ$3:$AZ$31), AR18)), $BA$3:$BA$31, "Error", 0)</f>
        <v>-3</v>
      </c>
      <c r="AS48" s="186" cm="1">
        <f t="array" ref="AS48">_xlfn.XLOOKUP(MIN(ABS($AZ$3:$AZ$31 - MEDIAN(MIN($AZ$3:$AZ$31), MAX($AZ$3:$AZ$31), AS18))), ABS($AZ$3:$AZ$31 - MEDIAN(MIN($AZ$3:$AZ$31), MAX($AZ$3:$AZ$31), AS18)), $BA$3:$BA$31, "Error", 0)</f>
        <v>-3</v>
      </c>
      <c r="AT48" s="186" cm="1">
        <f t="array" ref="AT48">_xlfn.XLOOKUP(MIN(ABS($AZ$3:$AZ$31 - MEDIAN(MIN($AZ$3:$AZ$31), MAX($AZ$3:$AZ$31), AT18))), ABS($AZ$3:$AZ$31 - MEDIAN(MIN($AZ$3:$AZ$31), MAX($AZ$3:$AZ$31), AT18)), $BA$3:$BA$31, "Error", 0)</f>
        <v>-3</v>
      </c>
      <c r="AU48" s="186" cm="1">
        <f t="array" ref="AU48">_xlfn.XLOOKUP(MIN(ABS($AZ$3:$AZ$31 - MEDIAN(MIN($AZ$3:$AZ$31), MAX($AZ$3:$AZ$31), AU18))), ABS($AZ$3:$AZ$31 - MEDIAN(MIN($AZ$3:$AZ$31), MAX($AZ$3:$AZ$31), AU18)), $BA$3:$BA$31, "Error", 0)</f>
        <v>-2</v>
      </c>
      <c r="AV48" s="186" cm="1">
        <f t="array" ref="AV48">_xlfn.XLOOKUP(MIN(ABS($AZ$3:$AZ$31 - MEDIAN(MIN($AZ$3:$AZ$31), MAX($AZ$3:$AZ$31), AV18))), ABS($AZ$3:$AZ$31 - MEDIAN(MIN($AZ$3:$AZ$31), MAX($AZ$3:$AZ$31), AV18)), $BA$3:$BA$31, "Error", 0)</f>
        <v>-3</v>
      </c>
      <c r="AW48" s="186" cm="1">
        <f t="array" ref="AW48">_xlfn.XLOOKUP(MIN(ABS($AZ$3:$AZ$31 - MEDIAN(MIN($AZ$3:$AZ$31), MAX($AZ$3:$AZ$31), AW18))), ABS($AZ$3:$AZ$31 - MEDIAN(MIN($AZ$3:$AZ$31), MAX($AZ$3:$AZ$31), AW18)), $BA$3:$BA$31, "Error", 0)</f>
        <v>-3</v>
      </c>
      <c r="AX48" s="192" t="e" cm="1">
        <f t="array" ref="AX48">_xlfn.XLOOKUP(MIN(ABS($AZ$3:$AZ$31 - MEDIAN(MIN($AZ$3:$AZ$31), MAX($AZ$3:$AZ$31), AX18))), ABS($AZ$3:$AZ$31 - MEDIAN(MIN($AZ$3:$AZ$31), MAX($AZ$3:$AZ$31), AX18)), $BA$3:$BA$31, "Error", 0)</f>
        <v>#VALUE!</v>
      </c>
      <c r="AY48" s="195"/>
      <c r="AZ48" s="195"/>
      <c r="BA48" s="195"/>
      <c r="BB48" s="195"/>
      <c r="BC48" s="195"/>
      <c r="BD48" s="195"/>
      <c r="BE48" s="195"/>
      <c r="BF48" s="195"/>
      <c r="BG48" s="195"/>
      <c r="BH48" s="195"/>
      <c r="BI48" s="195"/>
      <c r="BJ48" s="195"/>
    </row>
    <row r="49" spans="2:62" ht="25" customHeight="1">
      <c r="B49" s="160" t="s">
        <v>14</v>
      </c>
      <c r="C49" s="186" cm="1">
        <f t="array" ref="C49">_xlfn.XLOOKUP(MIN(ABS($AZ$3:$AZ$31 - MEDIAN(MIN($AZ$3:$AZ$31), MAX($AZ$3:$AZ$31), C19))), ABS($AZ$3:$AZ$31 - MEDIAN(MIN($AZ$3:$AZ$31), MAX($AZ$3:$AZ$31), C19)), $BA$3:$BA$31, "Error", 0)</f>
        <v>5</v>
      </c>
      <c r="D49" s="186" cm="1">
        <f t="array" ref="D49">_xlfn.XLOOKUP(MIN(ABS($AZ$3:$AZ$31 - MEDIAN(MIN($AZ$3:$AZ$31), MAX($AZ$3:$AZ$31), D19))), ABS($AZ$3:$AZ$31 - MEDIAN(MIN($AZ$3:$AZ$31), MAX($AZ$3:$AZ$31), D19)), $BA$3:$BA$31, "Error", 0)</f>
        <v>6</v>
      </c>
      <c r="E49" s="186" cm="1">
        <f t="array" ref="E49">_xlfn.XLOOKUP(MIN(ABS($AZ$3:$AZ$31 - MEDIAN(MIN($AZ$3:$AZ$31), MAX($AZ$3:$AZ$31), E19))), ABS($AZ$3:$AZ$31 - MEDIAN(MIN($AZ$3:$AZ$31), MAX($AZ$3:$AZ$31), E19)), $BA$3:$BA$31, "Error", 0)</f>
        <v>7</v>
      </c>
      <c r="F49" s="186" cm="1">
        <f t="array" ref="F49">_xlfn.XLOOKUP(MIN(ABS($AZ$3:$AZ$31 - MEDIAN(MIN($AZ$3:$AZ$31), MAX($AZ$3:$AZ$31), F19))), ABS($AZ$3:$AZ$31 - MEDIAN(MIN($AZ$3:$AZ$31), MAX($AZ$3:$AZ$31), F19)), $BA$3:$BA$31, "Error", 0)</f>
        <v>7</v>
      </c>
      <c r="G49" s="186" cm="1">
        <f t="array" ref="G49">_xlfn.XLOOKUP(MIN(ABS($AZ$3:$AZ$31 - MEDIAN(MIN($AZ$3:$AZ$31), MAX($AZ$3:$AZ$31), G19))), ABS($AZ$3:$AZ$31 - MEDIAN(MIN($AZ$3:$AZ$31), MAX($AZ$3:$AZ$31), G19)), $BA$3:$BA$31, "Error", 0)</f>
        <v>8</v>
      </c>
      <c r="H49" s="186" cm="1">
        <f t="array" ref="H49">_xlfn.XLOOKUP(MIN(ABS($AZ$3:$AZ$31 - MEDIAN(MIN($AZ$3:$AZ$31), MAX($AZ$3:$AZ$31), H19))), ABS($AZ$3:$AZ$31 - MEDIAN(MIN($AZ$3:$AZ$31), MAX($AZ$3:$AZ$31), H19)), $BA$3:$BA$31, "Error", 0)</f>
        <v>8</v>
      </c>
      <c r="I49" s="186" cm="1">
        <f t="array" ref="I49">_xlfn.XLOOKUP(MIN(ABS($AZ$3:$AZ$31 - MEDIAN(MIN($AZ$3:$AZ$31), MAX($AZ$3:$AZ$31), I19))), ABS($AZ$3:$AZ$31 - MEDIAN(MIN($AZ$3:$AZ$31), MAX($AZ$3:$AZ$31), I19)), $BA$3:$BA$31, "Error", 0)</f>
        <v>9</v>
      </c>
      <c r="J49" s="186" cm="1">
        <f t="array" ref="J49">_xlfn.XLOOKUP(MIN(ABS($AZ$3:$AZ$31 - MEDIAN(MIN($AZ$3:$AZ$31), MAX($AZ$3:$AZ$31), J19))), ABS($AZ$3:$AZ$31 - MEDIAN(MIN($AZ$3:$AZ$31), MAX($AZ$3:$AZ$31), J19)), $BA$3:$BA$31, "Error", 0)</f>
        <v>9</v>
      </c>
      <c r="K49" s="186" cm="1">
        <f t="array" ref="K49">_xlfn.XLOOKUP(MIN(ABS($AZ$3:$AZ$31 - MEDIAN(MIN($AZ$3:$AZ$31), MAX($AZ$3:$AZ$31), K19))), ABS($AZ$3:$AZ$31 - MEDIAN(MIN($AZ$3:$AZ$31), MAX($AZ$3:$AZ$31), K19)), $BA$3:$BA$31, "Error", 0)</f>
        <v>9</v>
      </c>
      <c r="L49" s="186" cm="1">
        <f t="array" ref="L49">_xlfn.XLOOKUP(MIN(ABS($AZ$3:$AZ$31 - MEDIAN(MIN($AZ$3:$AZ$31), MAX($AZ$3:$AZ$31), L19))), ABS($AZ$3:$AZ$31 - MEDIAN(MIN($AZ$3:$AZ$31), MAX($AZ$3:$AZ$31), L19)), $BA$3:$BA$31, "Error", 0)</f>
        <v>9</v>
      </c>
      <c r="M49" s="186" cm="1">
        <f t="array" ref="M49">_xlfn.XLOOKUP(MIN(ABS($AZ$3:$AZ$31 - MEDIAN(MIN($AZ$3:$AZ$31), MAX($AZ$3:$AZ$31), M19))), ABS($AZ$3:$AZ$31 - MEDIAN(MIN($AZ$3:$AZ$31), MAX($AZ$3:$AZ$31), M19)), $BA$3:$BA$31, "Error", 0)</f>
        <v>9</v>
      </c>
      <c r="N49" s="186" cm="1">
        <f t="array" ref="N49">_xlfn.XLOOKUP(MIN(ABS($AZ$3:$AZ$31 - MEDIAN(MIN($AZ$3:$AZ$31), MAX($AZ$3:$AZ$31), N19))), ABS($AZ$3:$AZ$31 - MEDIAN(MIN($AZ$3:$AZ$31), MAX($AZ$3:$AZ$31), N19)), $BA$3:$BA$31, "Error", 0)</f>
        <v>9</v>
      </c>
      <c r="O49" s="186" cm="1">
        <f t="array" ref="O49">_xlfn.XLOOKUP(MIN(ABS($AZ$3:$AZ$31 - MEDIAN(MIN($AZ$3:$AZ$31), MAX($AZ$3:$AZ$31), O19))), ABS($AZ$3:$AZ$31 - MEDIAN(MIN($AZ$3:$AZ$31), MAX($AZ$3:$AZ$31), O19)), $BA$3:$BA$31, "Error", 0)</f>
        <v>9</v>
      </c>
      <c r="P49" s="186" cm="1">
        <f t="array" ref="P49">_xlfn.XLOOKUP(MIN(ABS($AZ$3:$AZ$31 - MEDIAN(MIN($AZ$3:$AZ$31), MAX($AZ$3:$AZ$31), P19))), ABS($AZ$3:$AZ$31 - MEDIAN(MIN($AZ$3:$AZ$31), MAX($AZ$3:$AZ$31), P19)), $BA$3:$BA$31, "Error", 0)</f>
        <v>9</v>
      </c>
      <c r="Q49" s="186" cm="1">
        <f t="array" ref="Q49">_xlfn.XLOOKUP(MIN(ABS($AZ$3:$AZ$31 - MEDIAN(MIN($AZ$3:$AZ$31), MAX($AZ$3:$AZ$31), Q19))), ABS($AZ$3:$AZ$31 - MEDIAN(MIN($AZ$3:$AZ$31), MAX($AZ$3:$AZ$31), Q19)), $BA$3:$BA$31, "Error", 0)</f>
        <v>9</v>
      </c>
      <c r="R49" s="186" cm="1">
        <f t="array" ref="R49">_xlfn.XLOOKUP(MIN(ABS($AZ$3:$AZ$31 - MEDIAN(MIN($AZ$3:$AZ$31), MAX($AZ$3:$AZ$31), R19))), ABS($AZ$3:$AZ$31 - MEDIAN(MIN($AZ$3:$AZ$31), MAX($AZ$3:$AZ$31), R19)), $BA$3:$BA$31, "Error", 0)</f>
        <v>9</v>
      </c>
      <c r="S49" s="186" cm="1">
        <f t="array" ref="S49">_xlfn.XLOOKUP(MIN(ABS($AZ$3:$AZ$31 - MEDIAN(MIN($AZ$3:$AZ$31), MAX($AZ$3:$AZ$31), S19))), ABS($AZ$3:$AZ$31 - MEDIAN(MIN($AZ$3:$AZ$31), MAX($AZ$3:$AZ$31), S19)), $BA$3:$BA$31, "Error", 0)</f>
        <v>9</v>
      </c>
      <c r="T49" s="186" cm="1">
        <f t="array" ref="T49">_xlfn.XLOOKUP(MIN(ABS($AZ$3:$AZ$31 - MEDIAN(MIN($AZ$3:$AZ$31), MAX($AZ$3:$AZ$31), T19))), ABS($AZ$3:$AZ$31 - MEDIAN(MIN($AZ$3:$AZ$31), MAX($AZ$3:$AZ$31), T19)), $BA$3:$BA$31, "Error", 0)</f>
        <v>8</v>
      </c>
      <c r="U49" s="186" cm="1">
        <f t="array" ref="U49">_xlfn.XLOOKUP(MIN(ABS($AZ$3:$AZ$31 - MEDIAN(MIN($AZ$3:$AZ$31), MAX($AZ$3:$AZ$31), U19))), ABS($AZ$3:$AZ$31 - MEDIAN(MIN($AZ$3:$AZ$31), MAX($AZ$3:$AZ$31), U19)), $BA$3:$BA$31, "Error", 0)</f>
        <v>8</v>
      </c>
      <c r="V49" s="186" cm="1">
        <f t="array" ref="V49">_xlfn.XLOOKUP(MIN(ABS($AZ$3:$AZ$31 - MEDIAN(MIN($AZ$3:$AZ$31), MAX($AZ$3:$AZ$31), V19))), ABS($AZ$3:$AZ$31 - MEDIAN(MIN($AZ$3:$AZ$31), MAX($AZ$3:$AZ$31), V19)), $BA$3:$BA$31, "Error", 0)</f>
        <v>8</v>
      </c>
      <c r="W49" s="186" cm="1">
        <f t="array" ref="W49">_xlfn.XLOOKUP(MIN(ABS($AZ$3:$AZ$31 - MEDIAN(MIN($AZ$3:$AZ$31), MAX($AZ$3:$AZ$31), W19))), ABS($AZ$3:$AZ$31 - MEDIAN(MIN($AZ$3:$AZ$31), MAX($AZ$3:$AZ$31), W19)), $BA$3:$BA$31, "Error", 0)</f>
        <v>7</v>
      </c>
      <c r="X49" s="186" cm="1">
        <f t="array" ref="X49">_xlfn.XLOOKUP(MIN(ABS($AZ$3:$AZ$31 - MEDIAN(MIN($AZ$3:$AZ$31), MAX($AZ$3:$AZ$31), X19))), ABS($AZ$3:$AZ$31 - MEDIAN(MIN($AZ$3:$AZ$31), MAX($AZ$3:$AZ$31), X19)), $BA$3:$BA$31, "Error", 0)</f>
        <v>6</v>
      </c>
      <c r="Y49" s="186" cm="1">
        <f t="array" ref="Y49">_xlfn.XLOOKUP(MIN(ABS($AZ$3:$AZ$31 - MEDIAN(MIN($AZ$3:$AZ$31), MAX($AZ$3:$AZ$31), Y19))), ABS($AZ$3:$AZ$31 - MEDIAN(MIN($AZ$3:$AZ$31), MAX($AZ$3:$AZ$31), Y19)), $BA$3:$BA$31, "Error", 0)</f>
        <v>6</v>
      </c>
      <c r="Z49" s="186" cm="1">
        <f t="array" ref="Z49">_xlfn.XLOOKUP(MIN(ABS($AZ$3:$AZ$31 - MEDIAN(MIN($AZ$3:$AZ$31), MAX($AZ$3:$AZ$31), Z19))), ABS($AZ$3:$AZ$31 - MEDIAN(MIN($AZ$3:$AZ$31), MAX($AZ$3:$AZ$31), Z19)), $BA$3:$BA$31, "Error", 0)</f>
        <v>6</v>
      </c>
      <c r="AA49" s="186" cm="1">
        <f t="array" ref="AA49">_xlfn.XLOOKUP(MIN(ABS($AZ$3:$AZ$31 - MEDIAN(MIN($AZ$3:$AZ$31), MAX($AZ$3:$AZ$31), AA19))), ABS($AZ$3:$AZ$31 - MEDIAN(MIN($AZ$3:$AZ$31), MAX($AZ$3:$AZ$31), AA19)), $BA$3:$BA$31, "Error", 0)</f>
        <v>5</v>
      </c>
      <c r="AB49" s="186" cm="1">
        <f t="array" ref="AB49">_xlfn.XLOOKUP(MIN(ABS($AZ$3:$AZ$31 - MEDIAN(MIN($AZ$3:$AZ$31), MAX($AZ$3:$AZ$31), AB19))), ABS($AZ$3:$AZ$31 - MEDIAN(MIN($AZ$3:$AZ$31), MAX($AZ$3:$AZ$31), AB19)), $BA$3:$BA$31, "Error", 0)</f>
        <v>5</v>
      </c>
      <c r="AC49" s="186" cm="1">
        <f t="array" ref="AC49">_xlfn.XLOOKUP(MIN(ABS($AZ$3:$AZ$31 - MEDIAN(MIN($AZ$3:$AZ$31), MAX($AZ$3:$AZ$31), AC19))), ABS($AZ$3:$AZ$31 - MEDIAN(MIN($AZ$3:$AZ$31), MAX($AZ$3:$AZ$31), AC19)), $BA$3:$BA$31, "Error", 0)</f>
        <v>4</v>
      </c>
      <c r="AD49" s="186" cm="1">
        <f t="array" ref="AD49">_xlfn.XLOOKUP(MIN(ABS($AZ$3:$AZ$31 - MEDIAN(MIN($AZ$3:$AZ$31), MAX($AZ$3:$AZ$31), AD19))), ABS($AZ$3:$AZ$31 - MEDIAN(MIN($AZ$3:$AZ$31), MAX($AZ$3:$AZ$31), AD19)), $BA$3:$BA$31, "Error", 0)</f>
        <v>4</v>
      </c>
      <c r="AE49" s="186" cm="1">
        <f t="array" ref="AE49">_xlfn.XLOOKUP(MIN(ABS($AZ$3:$AZ$31 - MEDIAN(MIN($AZ$3:$AZ$31), MAX($AZ$3:$AZ$31), AE19))), ABS($AZ$3:$AZ$31 - MEDIAN(MIN($AZ$3:$AZ$31), MAX($AZ$3:$AZ$31), AE19)), $BA$3:$BA$31, "Error", 0)</f>
        <v>4</v>
      </c>
      <c r="AF49" s="186" cm="1">
        <f t="array" ref="AF49">_xlfn.XLOOKUP(MIN(ABS($AZ$3:$AZ$31 - MEDIAN(MIN($AZ$3:$AZ$31), MAX($AZ$3:$AZ$31), AF19))), ABS($AZ$3:$AZ$31 - MEDIAN(MIN($AZ$3:$AZ$31), MAX($AZ$3:$AZ$31), AF19)), $BA$3:$BA$31, "Error", 0)</f>
        <v>3</v>
      </c>
      <c r="AG49" s="186" cm="1">
        <f t="array" ref="AG49">_xlfn.XLOOKUP(MIN(ABS($AZ$3:$AZ$31 - MEDIAN(MIN($AZ$3:$AZ$31), MAX($AZ$3:$AZ$31), AG19))), ABS($AZ$3:$AZ$31 - MEDIAN(MIN($AZ$3:$AZ$31), MAX($AZ$3:$AZ$31), AG19)), $BA$3:$BA$31, "Error", 0)</f>
        <v>3</v>
      </c>
      <c r="AH49" s="186" cm="1">
        <f t="array" ref="AH49">_xlfn.XLOOKUP(MIN(ABS($AZ$3:$AZ$31 - MEDIAN(MIN($AZ$3:$AZ$31), MAX($AZ$3:$AZ$31), AH19))), ABS($AZ$3:$AZ$31 - MEDIAN(MIN($AZ$3:$AZ$31), MAX($AZ$3:$AZ$31), AH19)), $BA$3:$BA$31, "Error", 0)</f>
        <v>3</v>
      </c>
      <c r="AI49" s="186" cm="1">
        <f t="array" ref="AI49">_xlfn.XLOOKUP(MIN(ABS($AZ$3:$AZ$31 - MEDIAN(MIN($AZ$3:$AZ$31), MAX($AZ$3:$AZ$31), AI19))), ABS($AZ$3:$AZ$31 - MEDIAN(MIN($AZ$3:$AZ$31), MAX($AZ$3:$AZ$31), AI19)), $BA$3:$BA$31, "Error", 0)</f>
        <v>3</v>
      </c>
      <c r="AJ49" s="186" cm="1">
        <f t="array" ref="AJ49">_xlfn.XLOOKUP(MIN(ABS($AZ$3:$AZ$31 - MEDIAN(MIN($AZ$3:$AZ$31), MAX($AZ$3:$AZ$31), AJ19))), ABS($AZ$3:$AZ$31 - MEDIAN(MIN($AZ$3:$AZ$31), MAX($AZ$3:$AZ$31), AJ19)), $BA$3:$BA$31, "Error", 0)</f>
        <v>3</v>
      </c>
      <c r="AK49" s="186" cm="1">
        <f t="array" ref="AK49">_xlfn.XLOOKUP(MIN(ABS($AZ$3:$AZ$31 - MEDIAN(MIN($AZ$3:$AZ$31), MAX($AZ$3:$AZ$31), AK19))), ABS($AZ$3:$AZ$31 - MEDIAN(MIN($AZ$3:$AZ$31), MAX($AZ$3:$AZ$31), AK19)), $BA$3:$BA$31, "Error", 0)</f>
        <v>3</v>
      </c>
      <c r="AL49" s="186" cm="1">
        <f t="array" ref="AL49">_xlfn.XLOOKUP(MIN(ABS($AZ$3:$AZ$31 - MEDIAN(MIN($AZ$3:$AZ$31), MAX($AZ$3:$AZ$31), AL19))), ABS($AZ$3:$AZ$31 - MEDIAN(MIN($AZ$3:$AZ$31), MAX($AZ$3:$AZ$31), AL19)), $BA$3:$BA$31, "Error", 0)</f>
        <v>3</v>
      </c>
      <c r="AM49" s="186" cm="1">
        <f t="array" ref="AM49">_xlfn.XLOOKUP(MIN(ABS($AZ$3:$AZ$31 - MEDIAN(MIN($AZ$3:$AZ$31), MAX($AZ$3:$AZ$31), AM19))), ABS($AZ$3:$AZ$31 - MEDIAN(MIN($AZ$3:$AZ$31), MAX($AZ$3:$AZ$31), AM19)), $BA$3:$BA$31, "Error", 0)</f>
        <v>3</v>
      </c>
      <c r="AN49" s="186" cm="1">
        <f t="array" ref="AN49">_xlfn.XLOOKUP(MIN(ABS($AZ$3:$AZ$31 - MEDIAN(MIN($AZ$3:$AZ$31), MAX($AZ$3:$AZ$31), AN19))), ABS($AZ$3:$AZ$31 - MEDIAN(MIN($AZ$3:$AZ$31), MAX($AZ$3:$AZ$31), AN19)), $BA$3:$BA$31, "Error", 0)</f>
        <v>3</v>
      </c>
      <c r="AO49" s="186" cm="1">
        <f t="array" ref="AO49">_xlfn.XLOOKUP(MIN(ABS($AZ$3:$AZ$31 - MEDIAN(MIN($AZ$3:$AZ$31), MAX($AZ$3:$AZ$31), AO19))), ABS($AZ$3:$AZ$31 - MEDIAN(MIN($AZ$3:$AZ$31), MAX($AZ$3:$AZ$31), AO19)), $BA$3:$BA$31, "Error", 0)</f>
        <v>3</v>
      </c>
      <c r="AP49" s="186" cm="1">
        <f t="array" ref="AP49">_xlfn.XLOOKUP(MIN(ABS($AZ$3:$AZ$31 - MEDIAN(MIN($AZ$3:$AZ$31), MAX($AZ$3:$AZ$31), AP19))), ABS($AZ$3:$AZ$31 - MEDIAN(MIN($AZ$3:$AZ$31), MAX($AZ$3:$AZ$31), AP19)), $BA$3:$BA$31, "Error", 0)</f>
        <v>3</v>
      </c>
      <c r="AQ49" s="186" cm="1">
        <f t="array" ref="AQ49">_xlfn.XLOOKUP(MIN(ABS($AZ$3:$AZ$31 - MEDIAN(MIN($AZ$3:$AZ$31), MAX($AZ$3:$AZ$31), AQ19))), ABS($AZ$3:$AZ$31 - MEDIAN(MIN($AZ$3:$AZ$31), MAX($AZ$3:$AZ$31), AQ19)), $BA$3:$BA$31, "Error", 0)</f>
        <v>3</v>
      </c>
      <c r="AR49" s="186" cm="1">
        <f t="array" ref="AR49">_xlfn.XLOOKUP(MIN(ABS($AZ$3:$AZ$31 - MEDIAN(MIN($AZ$3:$AZ$31), MAX($AZ$3:$AZ$31), AR19))), ABS($AZ$3:$AZ$31 - MEDIAN(MIN($AZ$3:$AZ$31), MAX($AZ$3:$AZ$31), AR19)), $BA$3:$BA$31, "Error", 0)</f>
        <v>3</v>
      </c>
      <c r="AS49" s="186" cm="1">
        <f t="array" ref="AS49">_xlfn.XLOOKUP(MIN(ABS($AZ$3:$AZ$31 - MEDIAN(MIN($AZ$3:$AZ$31), MAX($AZ$3:$AZ$31), AS19))), ABS($AZ$3:$AZ$31 - MEDIAN(MIN($AZ$3:$AZ$31), MAX($AZ$3:$AZ$31), AS19)), $BA$3:$BA$31, "Error", 0)</f>
        <v>3</v>
      </c>
      <c r="AT49" s="186" cm="1">
        <f t="array" ref="AT49">_xlfn.XLOOKUP(MIN(ABS($AZ$3:$AZ$31 - MEDIAN(MIN($AZ$3:$AZ$31), MAX($AZ$3:$AZ$31), AT19))), ABS($AZ$3:$AZ$31 - MEDIAN(MIN($AZ$3:$AZ$31), MAX($AZ$3:$AZ$31), AT19)), $BA$3:$BA$31, "Error", 0)</f>
        <v>3</v>
      </c>
      <c r="AU49" s="186" cm="1">
        <f t="array" ref="AU49">_xlfn.XLOOKUP(MIN(ABS($AZ$3:$AZ$31 - MEDIAN(MIN($AZ$3:$AZ$31), MAX($AZ$3:$AZ$31), AU19))), ABS($AZ$3:$AZ$31 - MEDIAN(MIN($AZ$3:$AZ$31), MAX($AZ$3:$AZ$31), AU19)), $BA$3:$BA$31, "Error", 0)</f>
        <v>3</v>
      </c>
      <c r="AV49" s="186" cm="1">
        <f t="array" ref="AV49">_xlfn.XLOOKUP(MIN(ABS($AZ$3:$AZ$31 - MEDIAN(MIN($AZ$3:$AZ$31), MAX($AZ$3:$AZ$31), AV19))), ABS($AZ$3:$AZ$31 - MEDIAN(MIN($AZ$3:$AZ$31), MAX($AZ$3:$AZ$31), AV19)), $BA$3:$BA$31, "Error", 0)</f>
        <v>3</v>
      </c>
      <c r="AW49" s="186" cm="1">
        <f t="array" ref="AW49">_xlfn.XLOOKUP(MIN(ABS($AZ$3:$AZ$31 - MEDIAN(MIN($AZ$3:$AZ$31), MAX($AZ$3:$AZ$31), AW19))), ABS($AZ$3:$AZ$31 - MEDIAN(MIN($AZ$3:$AZ$31), MAX($AZ$3:$AZ$31), AW19)), $BA$3:$BA$31, "Error", 0)</f>
        <v>3</v>
      </c>
      <c r="AX49" s="192" t="e" cm="1">
        <f t="array" ref="AX49">_xlfn.XLOOKUP(MIN(ABS($AZ$3:$AZ$31 - MEDIAN(MIN($AZ$3:$AZ$31), MAX($AZ$3:$AZ$31), AX19))), ABS($AZ$3:$AZ$31 - MEDIAN(MIN($AZ$3:$AZ$31), MAX($AZ$3:$AZ$31), AX19)), $BA$3:$BA$31, "Error", 0)</f>
        <v>#VALUE!</v>
      </c>
      <c r="AY49" s="195"/>
      <c r="AZ49" s="195"/>
      <c r="BA49" s="195"/>
      <c r="BB49" s="195"/>
      <c r="BC49" s="195"/>
      <c r="BD49" s="195"/>
      <c r="BE49" s="195"/>
      <c r="BF49" s="195"/>
      <c r="BG49" s="195"/>
      <c r="BH49" s="195"/>
      <c r="BI49" s="195"/>
      <c r="BJ49" s="195"/>
    </row>
    <row r="50" spans="2:62" ht="25" customHeight="1">
      <c r="B50" s="160" t="s">
        <v>48</v>
      </c>
      <c r="C50" s="186" cm="1">
        <f t="array" ref="C50">_xlfn.XLOOKUP(MIN(ABS($AZ$3:$AZ$31 - MEDIAN(MIN($AZ$3:$AZ$31), MAX($AZ$3:$AZ$31), C20))), ABS($AZ$3:$AZ$31 - MEDIAN(MIN($AZ$3:$AZ$31), MAX($AZ$3:$AZ$31), C20)), $BA$3:$BA$31, "Error", 0)</f>
        <v>3</v>
      </c>
      <c r="D50" s="186" cm="1">
        <f t="array" ref="D50">_xlfn.XLOOKUP(MIN(ABS($AZ$3:$AZ$31 - MEDIAN(MIN($AZ$3:$AZ$31), MAX($AZ$3:$AZ$31), D20))), ABS($AZ$3:$AZ$31 - MEDIAN(MIN($AZ$3:$AZ$31), MAX($AZ$3:$AZ$31), D20)), $BA$3:$BA$31, "Error", 0)</f>
        <v>4</v>
      </c>
      <c r="E50" s="186" cm="1">
        <f t="array" ref="E50">_xlfn.XLOOKUP(MIN(ABS($AZ$3:$AZ$31 - MEDIAN(MIN($AZ$3:$AZ$31), MAX($AZ$3:$AZ$31), E20))), ABS($AZ$3:$AZ$31 - MEDIAN(MIN($AZ$3:$AZ$31), MAX($AZ$3:$AZ$31), E20)), $BA$3:$BA$31, "Error", 0)</f>
        <v>4</v>
      </c>
      <c r="F50" s="186" cm="1">
        <f t="array" ref="F50">_xlfn.XLOOKUP(MIN(ABS($AZ$3:$AZ$31 - MEDIAN(MIN($AZ$3:$AZ$31), MAX($AZ$3:$AZ$31), F20))), ABS($AZ$3:$AZ$31 - MEDIAN(MIN($AZ$3:$AZ$31), MAX($AZ$3:$AZ$31), F20)), $BA$3:$BA$31, "Error", 0)</f>
        <v>4</v>
      </c>
      <c r="G50" s="186" cm="1">
        <f t="array" ref="G50">_xlfn.XLOOKUP(MIN(ABS($AZ$3:$AZ$31 - MEDIAN(MIN($AZ$3:$AZ$31), MAX($AZ$3:$AZ$31), G20))), ABS($AZ$3:$AZ$31 - MEDIAN(MIN($AZ$3:$AZ$31), MAX($AZ$3:$AZ$31), G20)), $BA$3:$BA$31, "Error", 0)</f>
        <v>5</v>
      </c>
      <c r="H50" s="186" cm="1">
        <f t="array" ref="H50">_xlfn.XLOOKUP(MIN(ABS($AZ$3:$AZ$31 - MEDIAN(MIN($AZ$3:$AZ$31), MAX($AZ$3:$AZ$31), H20))), ABS($AZ$3:$AZ$31 - MEDIAN(MIN($AZ$3:$AZ$31), MAX($AZ$3:$AZ$31), H20)), $BA$3:$BA$31, "Error", 0)</f>
        <v>5</v>
      </c>
      <c r="I50" s="186" cm="1">
        <f t="array" ref="I50">_xlfn.XLOOKUP(MIN(ABS($AZ$3:$AZ$31 - MEDIAN(MIN($AZ$3:$AZ$31), MAX($AZ$3:$AZ$31), I20))), ABS($AZ$3:$AZ$31 - MEDIAN(MIN($AZ$3:$AZ$31), MAX($AZ$3:$AZ$31), I20)), $BA$3:$BA$31, "Error", 0)</f>
        <v>5</v>
      </c>
      <c r="J50" s="186" cm="1">
        <f t="array" ref="J50">_xlfn.XLOOKUP(MIN(ABS($AZ$3:$AZ$31 - MEDIAN(MIN($AZ$3:$AZ$31), MAX($AZ$3:$AZ$31), J20))), ABS($AZ$3:$AZ$31 - MEDIAN(MIN($AZ$3:$AZ$31), MAX($AZ$3:$AZ$31), J20)), $BA$3:$BA$31, "Error", 0)</f>
        <v>5</v>
      </c>
      <c r="K50" s="186" cm="1">
        <f t="array" ref="K50">_xlfn.XLOOKUP(MIN(ABS($AZ$3:$AZ$31 - MEDIAN(MIN($AZ$3:$AZ$31), MAX($AZ$3:$AZ$31), K20))), ABS($AZ$3:$AZ$31 - MEDIAN(MIN($AZ$3:$AZ$31), MAX($AZ$3:$AZ$31), K20)), $BA$3:$BA$31, "Error", 0)</f>
        <v>6</v>
      </c>
      <c r="L50" s="186" cm="1">
        <f t="array" ref="L50">_xlfn.XLOOKUP(MIN(ABS($AZ$3:$AZ$31 - MEDIAN(MIN($AZ$3:$AZ$31), MAX($AZ$3:$AZ$31), L20))), ABS($AZ$3:$AZ$31 - MEDIAN(MIN($AZ$3:$AZ$31), MAX($AZ$3:$AZ$31), L20)), $BA$3:$BA$31, "Error", 0)</f>
        <v>6</v>
      </c>
      <c r="M50" s="186" cm="1">
        <f t="array" ref="M50">_xlfn.XLOOKUP(MIN(ABS($AZ$3:$AZ$31 - MEDIAN(MIN($AZ$3:$AZ$31), MAX($AZ$3:$AZ$31), M20))), ABS($AZ$3:$AZ$31 - MEDIAN(MIN($AZ$3:$AZ$31), MAX($AZ$3:$AZ$31), M20)), $BA$3:$BA$31, "Error", 0)</f>
        <v>6</v>
      </c>
      <c r="N50" s="186" cm="1">
        <f t="array" ref="N50">_xlfn.XLOOKUP(MIN(ABS($AZ$3:$AZ$31 - MEDIAN(MIN($AZ$3:$AZ$31), MAX($AZ$3:$AZ$31), N20))), ABS($AZ$3:$AZ$31 - MEDIAN(MIN($AZ$3:$AZ$31), MAX($AZ$3:$AZ$31), N20)), $BA$3:$BA$31, "Error", 0)</f>
        <v>6</v>
      </c>
      <c r="O50" s="186" cm="1">
        <f t="array" ref="O50">_xlfn.XLOOKUP(MIN(ABS($AZ$3:$AZ$31 - MEDIAN(MIN($AZ$3:$AZ$31), MAX($AZ$3:$AZ$31), O20))), ABS($AZ$3:$AZ$31 - MEDIAN(MIN($AZ$3:$AZ$31), MAX($AZ$3:$AZ$31), O20)), $BA$3:$BA$31, "Error", 0)</f>
        <v>6</v>
      </c>
      <c r="P50" s="186" cm="1">
        <f t="array" ref="P50">_xlfn.XLOOKUP(MIN(ABS($AZ$3:$AZ$31 - MEDIAN(MIN($AZ$3:$AZ$31), MAX($AZ$3:$AZ$31), P20))), ABS($AZ$3:$AZ$31 - MEDIAN(MIN($AZ$3:$AZ$31), MAX($AZ$3:$AZ$31), P20)), $BA$3:$BA$31, "Error", 0)</f>
        <v>6</v>
      </c>
      <c r="Q50" s="186" cm="1">
        <f t="array" ref="Q50">_xlfn.XLOOKUP(MIN(ABS($AZ$3:$AZ$31 - MEDIAN(MIN($AZ$3:$AZ$31), MAX($AZ$3:$AZ$31), Q20))), ABS($AZ$3:$AZ$31 - MEDIAN(MIN($AZ$3:$AZ$31), MAX($AZ$3:$AZ$31), Q20)), $BA$3:$BA$31, "Error", 0)</f>
        <v>6</v>
      </c>
      <c r="R50" s="186" cm="1">
        <f t="array" ref="R50">_xlfn.XLOOKUP(MIN(ABS($AZ$3:$AZ$31 - MEDIAN(MIN($AZ$3:$AZ$31), MAX($AZ$3:$AZ$31), R20))), ABS($AZ$3:$AZ$31 - MEDIAN(MIN($AZ$3:$AZ$31), MAX($AZ$3:$AZ$31), R20)), $BA$3:$BA$31, "Error", 0)</f>
        <v>6</v>
      </c>
      <c r="S50" s="186" cm="1">
        <f t="array" ref="S50">_xlfn.XLOOKUP(MIN(ABS($AZ$3:$AZ$31 - MEDIAN(MIN($AZ$3:$AZ$31), MAX($AZ$3:$AZ$31), S20))), ABS($AZ$3:$AZ$31 - MEDIAN(MIN($AZ$3:$AZ$31), MAX($AZ$3:$AZ$31), S20)), $BA$3:$BA$31, "Error", 0)</f>
        <v>6</v>
      </c>
      <c r="T50" s="186" cm="1">
        <f t="array" ref="T50">_xlfn.XLOOKUP(MIN(ABS($AZ$3:$AZ$31 - MEDIAN(MIN($AZ$3:$AZ$31), MAX($AZ$3:$AZ$31), T20))), ABS($AZ$3:$AZ$31 - MEDIAN(MIN($AZ$3:$AZ$31), MAX($AZ$3:$AZ$31), T20)), $BA$3:$BA$31, "Error", 0)</f>
        <v>6</v>
      </c>
      <c r="U50" s="186" cm="1">
        <f t="array" ref="U50">_xlfn.XLOOKUP(MIN(ABS($AZ$3:$AZ$31 - MEDIAN(MIN($AZ$3:$AZ$31), MAX($AZ$3:$AZ$31), U20))), ABS($AZ$3:$AZ$31 - MEDIAN(MIN($AZ$3:$AZ$31), MAX($AZ$3:$AZ$31), U20)), $BA$3:$BA$31, "Error", 0)</f>
        <v>6</v>
      </c>
      <c r="V50" s="186" cm="1">
        <f t="array" ref="V50">_xlfn.XLOOKUP(MIN(ABS($AZ$3:$AZ$31 - MEDIAN(MIN($AZ$3:$AZ$31), MAX($AZ$3:$AZ$31), V20))), ABS($AZ$3:$AZ$31 - MEDIAN(MIN($AZ$3:$AZ$31), MAX($AZ$3:$AZ$31), V20)), $BA$3:$BA$31, "Error", 0)</f>
        <v>6</v>
      </c>
      <c r="W50" s="186" cm="1">
        <f t="array" ref="W50">_xlfn.XLOOKUP(MIN(ABS($AZ$3:$AZ$31 - MEDIAN(MIN($AZ$3:$AZ$31), MAX($AZ$3:$AZ$31), W20))), ABS($AZ$3:$AZ$31 - MEDIAN(MIN($AZ$3:$AZ$31), MAX($AZ$3:$AZ$31), W20)), $BA$3:$BA$31, "Error", 0)</f>
        <v>5</v>
      </c>
      <c r="X50" s="186" cm="1">
        <f t="array" ref="X50">_xlfn.XLOOKUP(MIN(ABS($AZ$3:$AZ$31 - MEDIAN(MIN($AZ$3:$AZ$31), MAX($AZ$3:$AZ$31), X20))), ABS($AZ$3:$AZ$31 - MEDIAN(MIN($AZ$3:$AZ$31), MAX($AZ$3:$AZ$31), X20)), $BA$3:$BA$31, "Error", 0)</f>
        <v>5</v>
      </c>
      <c r="Y50" s="186" cm="1">
        <f t="array" ref="Y50">_xlfn.XLOOKUP(MIN(ABS($AZ$3:$AZ$31 - MEDIAN(MIN($AZ$3:$AZ$31), MAX($AZ$3:$AZ$31), Y20))), ABS($AZ$3:$AZ$31 - MEDIAN(MIN($AZ$3:$AZ$31), MAX($AZ$3:$AZ$31), Y20)), $BA$3:$BA$31, "Error", 0)</f>
        <v>5</v>
      </c>
      <c r="Z50" s="186" cm="1">
        <f t="array" ref="Z50">_xlfn.XLOOKUP(MIN(ABS($AZ$3:$AZ$31 - MEDIAN(MIN($AZ$3:$AZ$31), MAX($AZ$3:$AZ$31), Z20))), ABS($AZ$3:$AZ$31 - MEDIAN(MIN($AZ$3:$AZ$31), MAX($AZ$3:$AZ$31), Z20)), $BA$3:$BA$31, "Error", 0)</f>
        <v>5</v>
      </c>
      <c r="AA50" s="186" cm="1">
        <f t="array" ref="AA50">_xlfn.XLOOKUP(MIN(ABS($AZ$3:$AZ$31 - MEDIAN(MIN($AZ$3:$AZ$31), MAX($AZ$3:$AZ$31), AA20))), ABS($AZ$3:$AZ$31 - MEDIAN(MIN($AZ$3:$AZ$31), MAX($AZ$3:$AZ$31), AA20)), $BA$3:$BA$31, "Error", 0)</f>
        <v>5</v>
      </c>
      <c r="AB50" s="186" cm="1">
        <f t="array" ref="AB50">_xlfn.XLOOKUP(MIN(ABS($AZ$3:$AZ$31 - MEDIAN(MIN($AZ$3:$AZ$31), MAX($AZ$3:$AZ$31), AB20))), ABS($AZ$3:$AZ$31 - MEDIAN(MIN($AZ$3:$AZ$31), MAX($AZ$3:$AZ$31), AB20)), $BA$3:$BA$31, "Error", 0)</f>
        <v>5</v>
      </c>
      <c r="AC50" s="186" cm="1">
        <f t="array" ref="AC50">_xlfn.XLOOKUP(MIN(ABS($AZ$3:$AZ$31 - MEDIAN(MIN($AZ$3:$AZ$31), MAX($AZ$3:$AZ$31), AC20))), ABS($AZ$3:$AZ$31 - MEDIAN(MIN($AZ$3:$AZ$31), MAX($AZ$3:$AZ$31), AC20)), $BA$3:$BA$31, "Error", 0)</f>
        <v>5</v>
      </c>
      <c r="AD50" s="186" cm="1">
        <f t="array" ref="AD50">_xlfn.XLOOKUP(MIN(ABS($AZ$3:$AZ$31 - MEDIAN(MIN($AZ$3:$AZ$31), MAX($AZ$3:$AZ$31), AD20))), ABS($AZ$3:$AZ$31 - MEDIAN(MIN($AZ$3:$AZ$31), MAX($AZ$3:$AZ$31), AD20)), $BA$3:$BA$31, "Error", 0)</f>
        <v>4</v>
      </c>
      <c r="AE50" s="186" cm="1">
        <f t="array" ref="AE50">_xlfn.XLOOKUP(MIN(ABS($AZ$3:$AZ$31 - MEDIAN(MIN($AZ$3:$AZ$31), MAX($AZ$3:$AZ$31), AE20))), ABS($AZ$3:$AZ$31 - MEDIAN(MIN($AZ$3:$AZ$31), MAX($AZ$3:$AZ$31), AE20)), $BA$3:$BA$31, "Error", 0)</f>
        <v>4</v>
      </c>
      <c r="AF50" s="186" cm="1">
        <f t="array" ref="AF50">_xlfn.XLOOKUP(MIN(ABS($AZ$3:$AZ$31 - MEDIAN(MIN($AZ$3:$AZ$31), MAX($AZ$3:$AZ$31), AF20))), ABS($AZ$3:$AZ$31 - MEDIAN(MIN($AZ$3:$AZ$31), MAX($AZ$3:$AZ$31), AF20)), $BA$3:$BA$31, "Error", 0)</f>
        <v>4</v>
      </c>
      <c r="AG50" s="186" cm="1">
        <f t="array" ref="AG50">_xlfn.XLOOKUP(MIN(ABS($AZ$3:$AZ$31 - MEDIAN(MIN($AZ$3:$AZ$31), MAX($AZ$3:$AZ$31), AG20))), ABS($AZ$3:$AZ$31 - MEDIAN(MIN($AZ$3:$AZ$31), MAX($AZ$3:$AZ$31), AG20)), $BA$3:$BA$31, "Error", 0)</f>
        <v>4</v>
      </c>
      <c r="AH50" s="186" cm="1">
        <f t="array" ref="AH50">_xlfn.XLOOKUP(MIN(ABS($AZ$3:$AZ$31 - MEDIAN(MIN($AZ$3:$AZ$31), MAX($AZ$3:$AZ$31), AH20))), ABS($AZ$3:$AZ$31 - MEDIAN(MIN($AZ$3:$AZ$31), MAX($AZ$3:$AZ$31), AH20)), $BA$3:$BA$31, "Error", 0)</f>
        <v>4</v>
      </c>
      <c r="AI50" s="186" cm="1">
        <f t="array" ref="AI50">_xlfn.XLOOKUP(MIN(ABS($AZ$3:$AZ$31 - MEDIAN(MIN($AZ$3:$AZ$31), MAX($AZ$3:$AZ$31), AI20))), ABS($AZ$3:$AZ$31 - MEDIAN(MIN($AZ$3:$AZ$31), MAX($AZ$3:$AZ$31), AI20)), $BA$3:$BA$31, "Error", 0)</f>
        <v>4</v>
      </c>
      <c r="AJ50" s="186" cm="1">
        <f t="array" ref="AJ50">_xlfn.XLOOKUP(MIN(ABS($AZ$3:$AZ$31 - MEDIAN(MIN($AZ$3:$AZ$31), MAX($AZ$3:$AZ$31), AJ20))), ABS($AZ$3:$AZ$31 - MEDIAN(MIN($AZ$3:$AZ$31), MAX($AZ$3:$AZ$31), AJ20)), $BA$3:$BA$31, "Error", 0)</f>
        <v>4</v>
      </c>
      <c r="AK50" s="186" cm="1">
        <f t="array" ref="AK50">_xlfn.XLOOKUP(MIN(ABS($AZ$3:$AZ$31 - MEDIAN(MIN($AZ$3:$AZ$31), MAX($AZ$3:$AZ$31), AK20))), ABS($AZ$3:$AZ$31 - MEDIAN(MIN($AZ$3:$AZ$31), MAX($AZ$3:$AZ$31), AK20)), $BA$3:$BA$31, "Error", 0)</f>
        <v>4</v>
      </c>
      <c r="AL50" s="186" cm="1">
        <f t="array" ref="AL50">_xlfn.XLOOKUP(MIN(ABS($AZ$3:$AZ$31 - MEDIAN(MIN($AZ$3:$AZ$31), MAX($AZ$3:$AZ$31), AL20))), ABS($AZ$3:$AZ$31 - MEDIAN(MIN($AZ$3:$AZ$31), MAX($AZ$3:$AZ$31), AL20)), $BA$3:$BA$31, "Error", 0)</f>
        <v>4</v>
      </c>
      <c r="AM50" s="186" cm="1">
        <f t="array" ref="AM50">_xlfn.XLOOKUP(MIN(ABS($AZ$3:$AZ$31 - MEDIAN(MIN($AZ$3:$AZ$31), MAX($AZ$3:$AZ$31), AM20))), ABS($AZ$3:$AZ$31 - MEDIAN(MIN($AZ$3:$AZ$31), MAX($AZ$3:$AZ$31), AM20)), $BA$3:$BA$31, "Error", 0)</f>
        <v>4</v>
      </c>
      <c r="AN50" s="186" cm="1">
        <f t="array" ref="AN50">_xlfn.XLOOKUP(MIN(ABS($AZ$3:$AZ$31 - MEDIAN(MIN($AZ$3:$AZ$31), MAX($AZ$3:$AZ$31), AN20))), ABS($AZ$3:$AZ$31 - MEDIAN(MIN($AZ$3:$AZ$31), MAX($AZ$3:$AZ$31), AN20)), $BA$3:$BA$31, "Error", 0)</f>
        <v>4</v>
      </c>
      <c r="AO50" s="186" cm="1">
        <f t="array" ref="AO50">_xlfn.XLOOKUP(MIN(ABS($AZ$3:$AZ$31 - MEDIAN(MIN($AZ$3:$AZ$31), MAX($AZ$3:$AZ$31), AO20))), ABS($AZ$3:$AZ$31 - MEDIAN(MIN($AZ$3:$AZ$31), MAX($AZ$3:$AZ$31), AO20)), $BA$3:$BA$31, "Error", 0)</f>
        <v>4</v>
      </c>
      <c r="AP50" s="186" cm="1">
        <f t="array" ref="AP50">_xlfn.XLOOKUP(MIN(ABS($AZ$3:$AZ$31 - MEDIAN(MIN($AZ$3:$AZ$31), MAX($AZ$3:$AZ$31), AP20))), ABS($AZ$3:$AZ$31 - MEDIAN(MIN($AZ$3:$AZ$31), MAX($AZ$3:$AZ$31), AP20)), $BA$3:$BA$31, "Error", 0)</f>
        <v>4</v>
      </c>
      <c r="AQ50" s="186" cm="1">
        <f t="array" ref="AQ50">_xlfn.XLOOKUP(MIN(ABS($AZ$3:$AZ$31 - MEDIAN(MIN($AZ$3:$AZ$31), MAX($AZ$3:$AZ$31), AQ20))), ABS($AZ$3:$AZ$31 - MEDIAN(MIN($AZ$3:$AZ$31), MAX($AZ$3:$AZ$31), AQ20)), $BA$3:$BA$31, "Error", 0)</f>
        <v>4</v>
      </c>
      <c r="AR50" s="186" cm="1">
        <f t="array" ref="AR50">_xlfn.XLOOKUP(MIN(ABS($AZ$3:$AZ$31 - MEDIAN(MIN($AZ$3:$AZ$31), MAX($AZ$3:$AZ$31), AR20))), ABS($AZ$3:$AZ$31 - MEDIAN(MIN($AZ$3:$AZ$31), MAX($AZ$3:$AZ$31), AR20)), $BA$3:$BA$31, "Error", 0)</f>
        <v>5</v>
      </c>
      <c r="AS50" s="186" cm="1">
        <f t="array" ref="AS50">_xlfn.XLOOKUP(MIN(ABS($AZ$3:$AZ$31 - MEDIAN(MIN($AZ$3:$AZ$31), MAX($AZ$3:$AZ$31), AS20))), ABS($AZ$3:$AZ$31 - MEDIAN(MIN($AZ$3:$AZ$31), MAX($AZ$3:$AZ$31), AS20)), $BA$3:$BA$31, "Error", 0)</f>
        <v>5</v>
      </c>
      <c r="AT50" s="186" cm="1">
        <f t="array" ref="AT50">_xlfn.XLOOKUP(MIN(ABS($AZ$3:$AZ$31 - MEDIAN(MIN($AZ$3:$AZ$31), MAX($AZ$3:$AZ$31), AT20))), ABS($AZ$3:$AZ$31 - MEDIAN(MIN($AZ$3:$AZ$31), MAX($AZ$3:$AZ$31), AT20)), $BA$3:$BA$31, "Error", 0)</f>
        <v>5</v>
      </c>
      <c r="AU50" s="186" cm="1">
        <f t="array" ref="AU50">_xlfn.XLOOKUP(MIN(ABS($AZ$3:$AZ$31 - MEDIAN(MIN($AZ$3:$AZ$31), MAX($AZ$3:$AZ$31), AU20))), ABS($AZ$3:$AZ$31 - MEDIAN(MIN($AZ$3:$AZ$31), MAX($AZ$3:$AZ$31), AU20)), $BA$3:$BA$31, "Error", 0)</f>
        <v>5</v>
      </c>
      <c r="AV50" s="186" cm="1">
        <f t="array" ref="AV50">_xlfn.XLOOKUP(MIN(ABS($AZ$3:$AZ$31 - MEDIAN(MIN($AZ$3:$AZ$31), MAX($AZ$3:$AZ$31), AV20))), ABS($AZ$3:$AZ$31 - MEDIAN(MIN($AZ$3:$AZ$31), MAX($AZ$3:$AZ$31), AV20)), $BA$3:$BA$31, "Error", 0)</f>
        <v>5</v>
      </c>
      <c r="AW50" s="186" cm="1">
        <f t="array" ref="AW50">_xlfn.XLOOKUP(MIN(ABS($AZ$3:$AZ$31 - MEDIAN(MIN($AZ$3:$AZ$31), MAX($AZ$3:$AZ$31), AW20))), ABS($AZ$3:$AZ$31 - MEDIAN(MIN($AZ$3:$AZ$31), MAX($AZ$3:$AZ$31), AW20)), $BA$3:$BA$31, "Error", 0)</f>
        <v>5</v>
      </c>
      <c r="AX50" s="192" t="e" cm="1">
        <f t="array" ref="AX50">_xlfn.XLOOKUP(MIN(ABS($AZ$3:$AZ$31 - MEDIAN(MIN($AZ$3:$AZ$31), MAX($AZ$3:$AZ$31), AX20))), ABS($AZ$3:$AZ$31 - MEDIAN(MIN($AZ$3:$AZ$31), MAX($AZ$3:$AZ$31), AX20)), $BA$3:$BA$31, "Error", 0)</f>
        <v>#VALUE!</v>
      </c>
      <c r="AY50" s="195"/>
      <c r="AZ50" s="195"/>
      <c r="BA50" s="195"/>
      <c r="BB50" s="195"/>
      <c r="BC50" s="195"/>
      <c r="BD50" s="195"/>
      <c r="BE50" s="195"/>
      <c r="BF50" s="195"/>
      <c r="BG50" s="195"/>
      <c r="BH50" s="195"/>
      <c r="BI50" s="195"/>
      <c r="BJ50" s="195"/>
    </row>
    <row r="51" spans="2:62" ht="25" customHeight="1">
      <c r="B51" s="160" t="s">
        <v>49</v>
      </c>
      <c r="C51" s="186" cm="1">
        <f t="array" ref="C51">_xlfn.XLOOKUP(MIN(ABS($AZ$3:$AZ$31 - MEDIAN(MIN($AZ$3:$AZ$31), MAX($AZ$3:$AZ$31), C21))), ABS($AZ$3:$AZ$31 - MEDIAN(MIN($AZ$3:$AZ$31), MAX($AZ$3:$AZ$31), C21)), $BA$3:$BA$31, "Error", 0)</f>
        <v>-2</v>
      </c>
      <c r="D51" s="186" cm="1">
        <f t="array" ref="D51">_xlfn.XLOOKUP(MIN(ABS($AZ$3:$AZ$31 - MEDIAN(MIN($AZ$3:$AZ$31), MAX($AZ$3:$AZ$31), D21))), ABS($AZ$3:$AZ$31 - MEDIAN(MIN($AZ$3:$AZ$31), MAX($AZ$3:$AZ$31), D21)), $BA$3:$BA$31, "Error", 0)</f>
        <v>-2</v>
      </c>
      <c r="E51" s="186" cm="1">
        <f t="array" ref="E51">_xlfn.XLOOKUP(MIN(ABS($AZ$3:$AZ$31 - MEDIAN(MIN($AZ$3:$AZ$31), MAX($AZ$3:$AZ$31), E21))), ABS($AZ$3:$AZ$31 - MEDIAN(MIN($AZ$3:$AZ$31), MAX($AZ$3:$AZ$31), E21)), $BA$3:$BA$31, "Error", 0)</f>
        <v>-1</v>
      </c>
      <c r="F51" s="186" cm="1">
        <f t="array" ref="F51">_xlfn.XLOOKUP(MIN(ABS($AZ$3:$AZ$31 - MEDIAN(MIN($AZ$3:$AZ$31), MAX($AZ$3:$AZ$31), F21))), ABS($AZ$3:$AZ$31 - MEDIAN(MIN($AZ$3:$AZ$31), MAX($AZ$3:$AZ$31), F21)), $BA$3:$BA$31, "Error", 0)</f>
        <v>-1</v>
      </c>
      <c r="G51" s="186" cm="1">
        <f t="array" ref="G51">_xlfn.XLOOKUP(MIN(ABS($AZ$3:$AZ$31 - MEDIAN(MIN($AZ$3:$AZ$31), MAX($AZ$3:$AZ$31), G21))), ABS($AZ$3:$AZ$31 - MEDIAN(MIN($AZ$3:$AZ$31), MAX($AZ$3:$AZ$31), G21)), $BA$3:$BA$31, "Error", 0)</f>
        <v>-1</v>
      </c>
      <c r="H51" s="186" cm="1">
        <f t="array" ref="H51">_xlfn.XLOOKUP(MIN(ABS($AZ$3:$AZ$31 - MEDIAN(MIN($AZ$3:$AZ$31), MAX($AZ$3:$AZ$31), H21))), ABS($AZ$3:$AZ$31 - MEDIAN(MIN($AZ$3:$AZ$31), MAX($AZ$3:$AZ$31), H21)), $BA$3:$BA$31, "Error", 0)</f>
        <v>-2</v>
      </c>
      <c r="I51" s="186" cm="1">
        <f t="array" ref="I51">_xlfn.XLOOKUP(MIN(ABS($AZ$3:$AZ$31 - MEDIAN(MIN($AZ$3:$AZ$31), MAX($AZ$3:$AZ$31), I21))), ABS($AZ$3:$AZ$31 - MEDIAN(MIN($AZ$3:$AZ$31), MAX($AZ$3:$AZ$31), I21)), $BA$3:$BA$31, "Error", 0)</f>
        <v>-1</v>
      </c>
      <c r="J51" s="186" cm="1">
        <f t="array" ref="J51">_xlfn.XLOOKUP(MIN(ABS($AZ$3:$AZ$31 - MEDIAN(MIN($AZ$3:$AZ$31), MAX($AZ$3:$AZ$31), J21))), ABS($AZ$3:$AZ$31 - MEDIAN(MIN($AZ$3:$AZ$31), MAX($AZ$3:$AZ$31), J21)), $BA$3:$BA$31, "Error", 0)</f>
        <v>-2</v>
      </c>
      <c r="K51" s="186" cm="1">
        <f t="array" ref="K51">_xlfn.XLOOKUP(MIN(ABS($AZ$3:$AZ$31 - MEDIAN(MIN($AZ$3:$AZ$31), MAX($AZ$3:$AZ$31), K21))), ABS($AZ$3:$AZ$31 - MEDIAN(MIN($AZ$3:$AZ$31), MAX($AZ$3:$AZ$31), K21)), $BA$3:$BA$31, "Error", 0)</f>
        <v>-1</v>
      </c>
      <c r="L51" s="186" cm="1">
        <f t="array" ref="L51">_xlfn.XLOOKUP(MIN(ABS($AZ$3:$AZ$31 - MEDIAN(MIN($AZ$3:$AZ$31), MAX($AZ$3:$AZ$31), L21))), ABS($AZ$3:$AZ$31 - MEDIAN(MIN($AZ$3:$AZ$31), MAX($AZ$3:$AZ$31), L21)), $BA$3:$BA$31, "Error", 0)</f>
        <v>-1</v>
      </c>
      <c r="M51" s="186" cm="1">
        <f t="array" ref="M51">_xlfn.XLOOKUP(MIN(ABS($AZ$3:$AZ$31 - MEDIAN(MIN($AZ$3:$AZ$31), MAX($AZ$3:$AZ$31), M21))), ABS($AZ$3:$AZ$31 - MEDIAN(MIN($AZ$3:$AZ$31), MAX($AZ$3:$AZ$31), M21)), $BA$3:$BA$31, "Error", 0)</f>
        <v>-1</v>
      </c>
      <c r="N51" s="186" cm="1">
        <f t="array" ref="N51">_xlfn.XLOOKUP(MIN(ABS($AZ$3:$AZ$31 - MEDIAN(MIN($AZ$3:$AZ$31), MAX($AZ$3:$AZ$31), N21))), ABS($AZ$3:$AZ$31 - MEDIAN(MIN($AZ$3:$AZ$31), MAX($AZ$3:$AZ$31), N21)), $BA$3:$BA$31, "Error", 0)</f>
        <v>-1</v>
      </c>
      <c r="O51" s="186" cm="1">
        <f t="array" ref="O51">_xlfn.XLOOKUP(MIN(ABS($AZ$3:$AZ$31 - MEDIAN(MIN($AZ$3:$AZ$31), MAX($AZ$3:$AZ$31), O21))), ABS($AZ$3:$AZ$31 - MEDIAN(MIN($AZ$3:$AZ$31), MAX($AZ$3:$AZ$31), O21)), $BA$3:$BA$31, "Error", 0)</f>
        <v>-1</v>
      </c>
      <c r="P51" s="186" cm="1">
        <f t="array" ref="P51">_xlfn.XLOOKUP(MIN(ABS($AZ$3:$AZ$31 - MEDIAN(MIN($AZ$3:$AZ$31), MAX($AZ$3:$AZ$31), P21))), ABS($AZ$3:$AZ$31 - MEDIAN(MIN($AZ$3:$AZ$31), MAX($AZ$3:$AZ$31), P21)), $BA$3:$BA$31, "Error", 0)</f>
        <v>-1</v>
      </c>
      <c r="Q51" s="186" cm="1">
        <f t="array" ref="Q51">_xlfn.XLOOKUP(MIN(ABS($AZ$3:$AZ$31 - MEDIAN(MIN($AZ$3:$AZ$31), MAX($AZ$3:$AZ$31), Q21))), ABS($AZ$3:$AZ$31 - MEDIAN(MIN($AZ$3:$AZ$31), MAX($AZ$3:$AZ$31), Q21)), $BA$3:$BA$31, "Error", 0)</f>
        <v>-1</v>
      </c>
      <c r="R51" s="186" cm="1">
        <f t="array" ref="R51">_xlfn.XLOOKUP(MIN(ABS($AZ$3:$AZ$31 - MEDIAN(MIN($AZ$3:$AZ$31), MAX($AZ$3:$AZ$31), R21))), ABS($AZ$3:$AZ$31 - MEDIAN(MIN($AZ$3:$AZ$31), MAX($AZ$3:$AZ$31), R21)), $BA$3:$BA$31, "Error", 0)</f>
        <v>-1</v>
      </c>
      <c r="S51" s="186" cm="1">
        <f t="array" ref="S51">_xlfn.XLOOKUP(MIN(ABS($AZ$3:$AZ$31 - MEDIAN(MIN($AZ$3:$AZ$31), MAX($AZ$3:$AZ$31), S21))), ABS($AZ$3:$AZ$31 - MEDIAN(MIN($AZ$3:$AZ$31), MAX($AZ$3:$AZ$31), S21)), $BA$3:$BA$31, "Error", 0)</f>
        <v>-1</v>
      </c>
      <c r="T51" s="186" cm="1">
        <f t="array" ref="T51">_xlfn.XLOOKUP(MIN(ABS($AZ$3:$AZ$31 - MEDIAN(MIN($AZ$3:$AZ$31), MAX($AZ$3:$AZ$31), T21))), ABS($AZ$3:$AZ$31 - MEDIAN(MIN($AZ$3:$AZ$31), MAX($AZ$3:$AZ$31), T21)), $BA$3:$BA$31, "Error", 0)</f>
        <v>-2</v>
      </c>
      <c r="U51" s="186" cm="1">
        <f t="array" ref="U51">_xlfn.XLOOKUP(MIN(ABS($AZ$3:$AZ$31 - MEDIAN(MIN($AZ$3:$AZ$31), MAX($AZ$3:$AZ$31), U21))), ABS($AZ$3:$AZ$31 - MEDIAN(MIN($AZ$3:$AZ$31), MAX($AZ$3:$AZ$31), U21)), $BA$3:$BA$31, "Error", 0)</f>
        <v>-2</v>
      </c>
      <c r="V51" s="186" cm="1">
        <f t="array" ref="V51">_xlfn.XLOOKUP(MIN(ABS($AZ$3:$AZ$31 - MEDIAN(MIN($AZ$3:$AZ$31), MAX($AZ$3:$AZ$31), V21))), ABS($AZ$3:$AZ$31 - MEDIAN(MIN($AZ$3:$AZ$31), MAX($AZ$3:$AZ$31), V21)), $BA$3:$BA$31, "Error", 0)</f>
        <v>-1</v>
      </c>
      <c r="W51" s="186" cm="1">
        <f t="array" ref="W51">_xlfn.XLOOKUP(MIN(ABS($AZ$3:$AZ$31 - MEDIAN(MIN($AZ$3:$AZ$31), MAX($AZ$3:$AZ$31), W21))), ABS($AZ$3:$AZ$31 - MEDIAN(MIN($AZ$3:$AZ$31), MAX($AZ$3:$AZ$31), W21)), $BA$3:$BA$31, "Error", 0)</f>
        <v>-3</v>
      </c>
      <c r="X51" s="186" cm="1">
        <f t="array" ref="X51">_xlfn.XLOOKUP(MIN(ABS($AZ$3:$AZ$31 - MEDIAN(MIN($AZ$3:$AZ$31), MAX($AZ$3:$AZ$31), X21))), ABS($AZ$3:$AZ$31 - MEDIAN(MIN($AZ$3:$AZ$31), MAX($AZ$3:$AZ$31), X21)), $BA$3:$BA$31, "Error", 0)</f>
        <v>-3</v>
      </c>
      <c r="Y51" s="186" cm="1">
        <f t="array" ref="Y51">_xlfn.XLOOKUP(MIN(ABS($AZ$3:$AZ$31 - MEDIAN(MIN($AZ$3:$AZ$31), MAX($AZ$3:$AZ$31), Y21))), ABS($AZ$3:$AZ$31 - MEDIAN(MIN($AZ$3:$AZ$31), MAX($AZ$3:$AZ$31), Y21)), $BA$3:$BA$31, "Error", 0)</f>
        <v>-3</v>
      </c>
      <c r="Z51" s="186" cm="1">
        <f t="array" ref="Z51">_xlfn.XLOOKUP(MIN(ABS($AZ$3:$AZ$31 - MEDIAN(MIN($AZ$3:$AZ$31), MAX($AZ$3:$AZ$31), Z21))), ABS($AZ$3:$AZ$31 - MEDIAN(MIN($AZ$3:$AZ$31), MAX($AZ$3:$AZ$31), Z21)), $BA$3:$BA$31, "Error", 0)</f>
        <v>-3</v>
      </c>
      <c r="AA51" s="186" cm="1">
        <f t="array" ref="AA51">_xlfn.XLOOKUP(MIN(ABS($AZ$3:$AZ$31 - MEDIAN(MIN($AZ$3:$AZ$31), MAX($AZ$3:$AZ$31), AA21))), ABS($AZ$3:$AZ$31 - MEDIAN(MIN($AZ$3:$AZ$31), MAX($AZ$3:$AZ$31), AA21)), $BA$3:$BA$31, "Error", 0)</f>
        <v>-4</v>
      </c>
      <c r="AB51" s="186" cm="1">
        <f t="array" ref="AB51">_xlfn.XLOOKUP(MIN(ABS($AZ$3:$AZ$31 - MEDIAN(MIN($AZ$3:$AZ$31), MAX($AZ$3:$AZ$31), AB21))), ABS($AZ$3:$AZ$31 - MEDIAN(MIN($AZ$3:$AZ$31), MAX($AZ$3:$AZ$31), AB21)), $BA$3:$BA$31, "Error", 0)</f>
        <v>-3</v>
      </c>
      <c r="AC51" s="186" cm="1">
        <f t="array" ref="AC51">_xlfn.XLOOKUP(MIN(ABS($AZ$3:$AZ$31 - MEDIAN(MIN($AZ$3:$AZ$31), MAX($AZ$3:$AZ$31), AC21))), ABS($AZ$3:$AZ$31 - MEDIAN(MIN($AZ$3:$AZ$31), MAX($AZ$3:$AZ$31), AC21)), $BA$3:$BA$31, "Error", 0)</f>
        <v>-4</v>
      </c>
      <c r="AD51" s="186" cm="1">
        <f t="array" ref="AD51">_xlfn.XLOOKUP(MIN(ABS($AZ$3:$AZ$31 - MEDIAN(MIN($AZ$3:$AZ$31), MAX($AZ$3:$AZ$31), AD21))), ABS($AZ$3:$AZ$31 - MEDIAN(MIN($AZ$3:$AZ$31), MAX($AZ$3:$AZ$31), AD21)), $BA$3:$BA$31, "Error", 0)</f>
        <v>-4</v>
      </c>
      <c r="AE51" s="186" cm="1">
        <f t="array" ref="AE51">_xlfn.XLOOKUP(MIN(ABS($AZ$3:$AZ$31 - MEDIAN(MIN($AZ$3:$AZ$31), MAX($AZ$3:$AZ$31), AE21))), ABS($AZ$3:$AZ$31 - MEDIAN(MIN($AZ$3:$AZ$31), MAX($AZ$3:$AZ$31), AE21)), $BA$3:$BA$31, "Error", 0)</f>
        <v>-4</v>
      </c>
      <c r="AF51" s="186" cm="1">
        <f t="array" ref="AF51">_xlfn.XLOOKUP(MIN(ABS($AZ$3:$AZ$31 - MEDIAN(MIN($AZ$3:$AZ$31), MAX($AZ$3:$AZ$31), AF21))), ABS($AZ$3:$AZ$31 - MEDIAN(MIN($AZ$3:$AZ$31), MAX($AZ$3:$AZ$31), AF21)), $BA$3:$BA$31, "Error", 0)</f>
        <v>-4</v>
      </c>
      <c r="AG51" s="186" cm="1">
        <f t="array" ref="AG51">_xlfn.XLOOKUP(MIN(ABS($AZ$3:$AZ$31 - MEDIAN(MIN($AZ$3:$AZ$31), MAX($AZ$3:$AZ$31), AG21))), ABS($AZ$3:$AZ$31 - MEDIAN(MIN($AZ$3:$AZ$31), MAX($AZ$3:$AZ$31), AG21)), $BA$3:$BA$31, "Error", 0)</f>
        <v>-4</v>
      </c>
      <c r="AH51" s="186" cm="1">
        <f t="array" ref="AH51">_xlfn.XLOOKUP(MIN(ABS($AZ$3:$AZ$31 - MEDIAN(MIN($AZ$3:$AZ$31), MAX($AZ$3:$AZ$31), AH21))), ABS($AZ$3:$AZ$31 - MEDIAN(MIN($AZ$3:$AZ$31), MAX($AZ$3:$AZ$31), AH21)), $BA$3:$BA$31, "Error", 0)</f>
        <v>-4</v>
      </c>
      <c r="AI51" s="186" cm="1">
        <f t="array" ref="AI51">_xlfn.XLOOKUP(MIN(ABS($AZ$3:$AZ$31 - MEDIAN(MIN($AZ$3:$AZ$31), MAX($AZ$3:$AZ$31), AI21))), ABS($AZ$3:$AZ$31 - MEDIAN(MIN($AZ$3:$AZ$31), MAX($AZ$3:$AZ$31), AI21)), $BA$3:$BA$31, "Error", 0)</f>
        <v>-4</v>
      </c>
      <c r="AJ51" s="186" cm="1">
        <f t="array" ref="AJ51">_xlfn.XLOOKUP(MIN(ABS($AZ$3:$AZ$31 - MEDIAN(MIN($AZ$3:$AZ$31), MAX($AZ$3:$AZ$31), AJ21))), ABS($AZ$3:$AZ$31 - MEDIAN(MIN($AZ$3:$AZ$31), MAX($AZ$3:$AZ$31), AJ21)), $BA$3:$BA$31, "Error", 0)</f>
        <v>-4</v>
      </c>
      <c r="AK51" s="186" cm="1">
        <f t="array" ref="AK51">_xlfn.XLOOKUP(MIN(ABS($AZ$3:$AZ$31 - MEDIAN(MIN($AZ$3:$AZ$31), MAX($AZ$3:$AZ$31), AK21))), ABS($AZ$3:$AZ$31 - MEDIAN(MIN($AZ$3:$AZ$31), MAX($AZ$3:$AZ$31), AK21)), $BA$3:$BA$31, "Error", 0)</f>
        <v>-4</v>
      </c>
      <c r="AL51" s="186" cm="1">
        <f t="array" ref="AL51">_xlfn.XLOOKUP(MIN(ABS($AZ$3:$AZ$31 - MEDIAN(MIN($AZ$3:$AZ$31), MAX($AZ$3:$AZ$31), AL21))), ABS($AZ$3:$AZ$31 - MEDIAN(MIN($AZ$3:$AZ$31), MAX($AZ$3:$AZ$31), AL21)), $BA$3:$BA$31, "Error", 0)</f>
        <v>-3</v>
      </c>
      <c r="AM51" s="186" cm="1">
        <f t="array" ref="AM51">_xlfn.XLOOKUP(MIN(ABS($AZ$3:$AZ$31 - MEDIAN(MIN($AZ$3:$AZ$31), MAX($AZ$3:$AZ$31), AM21))), ABS($AZ$3:$AZ$31 - MEDIAN(MIN($AZ$3:$AZ$31), MAX($AZ$3:$AZ$31), AM21)), $BA$3:$BA$31, "Error", 0)</f>
        <v>-3</v>
      </c>
      <c r="AN51" s="186" cm="1">
        <f t="array" ref="AN51">_xlfn.XLOOKUP(MIN(ABS($AZ$3:$AZ$31 - MEDIAN(MIN($AZ$3:$AZ$31), MAX($AZ$3:$AZ$31), AN21))), ABS($AZ$3:$AZ$31 - MEDIAN(MIN($AZ$3:$AZ$31), MAX($AZ$3:$AZ$31), AN21)), $BA$3:$BA$31, "Error", 0)</f>
        <v>-3</v>
      </c>
      <c r="AO51" s="186" cm="1">
        <f t="array" ref="AO51">_xlfn.XLOOKUP(MIN(ABS($AZ$3:$AZ$31 - MEDIAN(MIN($AZ$3:$AZ$31), MAX($AZ$3:$AZ$31), AO21))), ABS($AZ$3:$AZ$31 - MEDIAN(MIN($AZ$3:$AZ$31), MAX($AZ$3:$AZ$31), AO21)), $BA$3:$BA$31, "Error", 0)</f>
        <v>-3</v>
      </c>
      <c r="AP51" s="186" cm="1">
        <f t="array" ref="AP51">_xlfn.XLOOKUP(MIN(ABS($AZ$3:$AZ$31 - MEDIAN(MIN($AZ$3:$AZ$31), MAX($AZ$3:$AZ$31), AP21))), ABS($AZ$3:$AZ$31 - MEDIAN(MIN($AZ$3:$AZ$31), MAX($AZ$3:$AZ$31), AP21)), $BA$3:$BA$31, "Error", 0)</f>
        <v>-3</v>
      </c>
      <c r="AQ51" s="186" cm="1">
        <f t="array" ref="AQ51">_xlfn.XLOOKUP(MIN(ABS($AZ$3:$AZ$31 - MEDIAN(MIN($AZ$3:$AZ$31), MAX($AZ$3:$AZ$31), AQ21))), ABS($AZ$3:$AZ$31 - MEDIAN(MIN($AZ$3:$AZ$31), MAX($AZ$3:$AZ$31), AQ21)), $BA$3:$BA$31, "Error", 0)</f>
        <v>-3</v>
      </c>
      <c r="AR51" s="186" cm="1">
        <f t="array" ref="AR51">_xlfn.XLOOKUP(MIN(ABS($AZ$3:$AZ$31 - MEDIAN(MIN($AZ$3:$AZ$31), MAX($AZ$3:$AZ$31), AR21))), ABS($AZ$3:$AZ$31 - MEDIAN(MIN($AZ$3:$AZ$31), MAX($AZ$3:$AZ$31), AR21)), $BA$3:$BA$31, "Error", 0)</f>
        <v>-3</v>
      </c>
      <c r="AS51" s="186" cm="1">
        <f t="array" ref="AS51">_xlfn.XLOOKUP(MIN(ABS($AZ$3:$AZ$31 - MEDIAN(MIN($AZ$3:$AZ$31), MAX($AZ$3:$AZ$31), AS21))), ABS($AZ$3:$AZ$31 - MEDIAN(MIN($AZ$3:$AZ$31), MAX($AZ$3:$AZ$31), AS21)), $BA$3:$BA$31, "Error", 0)</f>
        <v>-3</v>
      </c>
      <c r="AT51" s="186" cm="1">
        <f t="array" ref="AT51">_xlfn.XLOOKUP(MIN(ABS($AZ$3:$AZ$31 - MEDIAN(MIN($AZ$3:$AZ$31), MAX($AZ$3:$AZ$31), AT21))), ABS($AZ$3:$AZ$31 - MEDIAN(MIN($AZ$3:$AZ$31), MAX($AZ$3:$AZ$31), AT21)), $BA$3:$BA$31, "Error", 0)</f>
        <v>-3</v>
      </c>
      <c r="AU51" s="186" cm="1">
        <f t="array" ref="AU51">_xlfn.XLOOKUP(MIN(ABS($AZ$3:$AZ$31 - MEDIAN(MIN($AZ$3:$AZ$31), MAX($AZ$3:$AZ$31), AU21))), ABS($AZ$3:$AZ$31 - MEDIAN(MIN($AZ$3:$AZ$31), MAX($AZ$3:$AZ$31), AU21)), $BA$3:$BA$31, "Error", 0)</f>
        <v>-2</v>
      </c>
      <c r="AV51" s="186" cm="1">
        <f t="array" ref="AV51">_xlfn.XLOOKUP(MIN(ABS($AZ$3:$AZ$31 - MEDIAN(MIN($AZ$3:$AZ$31), MAX($AZ$3:$AZ$31), AV21))), ABS($AZ$3:$AZ$31 - MEDIAN(MIN($AZ$3:$AZ$31), MAX($AZ$3:$AZ$31), AV21)), $BA$3:$BA$31, "Error", 0)</f>
        <v>-2</v>
      </c>
      <c r="AW51" s="186" cm="1">
        <f t="array" ref="AW51">_xlfn.XLOOKUP(MIN(ABS($AZ$3:$AZ$31 - MEDIAN(MIN($AZ$3:$AZ$31), MAX($AZ$3:$AZ$31), AW21))), ABS($AZ$3:$AZ$31 - MEDIAN(MIN($AZ$3:$AZ$31), MAX($AZ$3:$AZ$31), AW21)), $BA$3:$BA$31, "Error", 0)</f>
        <v>-2</v>
      </c>
      <c r="AX51" s="192" t="e" cm="1">
        <f t="array" ref="AX51">_xlfn.XLOOKUP(MIN(ABS($AZ$3:$AZ$31 - MEDIAN(MIN($AZ$3:$AZ$31), MAX($AZ$3:$AZ$31), AX21))), ABS($AZ$3:$AZ$31 - MEDIAN(MIN($AZ$3:$AZ$31), MAX($AZ$3:$AZ$31), AX21)), $BA$3:$BA$31, "Error", 0)</f>
        <v>#VALUE!</v>
      </c>
      <c r="AY51" s="195"/>
      <c r="AZ51" s="195"/>
      <c r="BA51" s="195"/>
      <c r="BB51" s="195"/>
      <c r="BC51" s="195"/>
      <c r="BD51" s="195"/>
      <c r="BE51" s="195"/>
      <c r="BF51" s="195"/>
      <c r="BG51" s="195"/>
      <c r="BH51" s="195"/>
      <c r="BI51" s="195"/>
      <c r="BJ51" s="195"/>
    </row>
    <row r="52" spans="2:62" ht="25" customHeight="1">
      <c r="B52" s="162" t="s">
        <v>15</v>
      </c>
      <c r="C52" s="186" cm="1">
        <f t="array" ref="C52">_xlfn.XLOOKUP(MIN(ABS($AZ$3:$AZ$31 - MEDIAN(MIN($AZ$3:$AZ$31), MAX($AZ$3:$AZ$31), C22))), ABS($AZ$3:$AZ$31 - MEDIAN(MIN($AZ$3:$AZ$31), MAX($AZ$3:$AZ$31), C22)), $BA$3:$BA$31, "Error", 0)</f>
        <v>-4</v>
      </c>
      <c r="D52" s="186" cm="1">
        <f t="array" ref="D52">_xlfn.XLOOKUP(MIN(ABS($AZ$3:$AZ$31 - MEDIAN(MIN($AZ$3:$AZ$31), MAX($AZ$3:$AZ$31), D22))), ABS($AZ$3:$AZ$31 - MEDIAN(MIN($AZ$3:$AZ$31), MAX($AZ$3:$AZ$31), D22)), $BA$3:$BA$31, "Error", 0)</f>
        <v>-3</v>
      </c>
      <c r="E52" s="186" cm="1">
        <f t="array" ref="E52">_xlfn.XLOOKUP(MIN(ABS($AZ$3:$AZ$31 - MEDIAN(MIN($AZ$3:$AZ$31), MAX($AZ$3:$AZ$31), E22))), ABS($AZ$3:$AZ$31 - MEDIAN(MIN($AZ$3:$AZ$31), MAX($AZ$3:$AZ$31), E22)), $BA$3:$BA$31, "Error", 0)</f>
        <v>-2</v>
      </c>
      <c r="F52" s="186" cm="1">
        <f t="array" ref="F52">_xlfn.XLOOKUP(MIN(ABS($AZ$3:$AZ$31 - MEDIAN(MIN($AZ$3:$AZ$31), MAX($AZ$3:$AZ$31), F22))), ABS($AZ$3:$AZ$31 - MEDIAN(MIN($AZ$3:$AZ$31), MAX($AZ$3:$AZ$31), F22)), $BA$3:$BA$31, "Error", 0)</f>
        <v>-2</v>
      </c>
      <c r="G52" s="186" cm="1">
        <f t="array" ref="G52">_xlfn.XLOOKUP(MIN(ABS($AZ$3:$AZ$31 - MEDIAN(MIN($AZ$3:$AZ$31), MAX($AZ$3:$AZ$31), G22))), ABS($AZ$3:$AZ$31 - MEDIAN(MIN($AZ$3:$AZ$31), MAX($AZ$3:$AZ$31), G22)), $BA$3:$BA$31, "Error", 0)</f>
        <v>-1</v>
      </c>
      <c r="H52" s="186" cm="1">
        <f t="array" ref="H52">_xlfn.XLOOKUP(MIN(ABS($AZ$3:$AZ$31 - MEDIAN(MIN($AZ$3:$AZ$31), MAX($AZ$3:$AZ$31), H22))), ABS($AZ$3:$AZ$31 - MEDIAN(MIN($AZ$3:$AZ$31), MAX($AZ$3:$AZ$31), H22)), $BA$3:$BA$31, "Error", 0)</f>
        <v>-1</v>
      </c>
      <c r="I52" s="186" cm="1">
        <f t="array" ref="I52">_xlfn.XLOOKUP(MIN(ABS($AZ$3:$AZ$31 - MEDIAN(MIN($AZ$3:$AZ$31), MAX($AZ$3:$AZ$31), I22))), ABS($AZ$3:$AZ$31 - MEDIAN(MIN($AZ$3:$AZ$31), MAX($AZ$3:$AZ$31), I22)), $BA$3:$BA$31, "Error", 0)</f>
        <v>-1</v>
      </c>
      <c r="J52" s="186" cm="1">
        <f t="array" ref="J52">_xlfn.XLOOKUP(MIN(ABS($AZ$3:$AZ$31 - MEDIAN(MIN($AZ$3:$AZ$31), MAX($AZ$3:$AZ$31), J22))), ABS($AZ$3:$AZ$31 - MEDIAN(MIN($AZ$3:$AZ$31), MAX($AZ$3:$AZ$31), J22)), $BA$3:$BA$31, "Error", 0)</f>
        <v>-1</v>
      </c>
      <c r="K52" s="186" cm="1">
        <f t="array" ref="K52">_xlfn.XLOOKUP(MIN(ABS($AZ$3:$AZ$31 - MEDIAN(MIN($AZ$3:$AZ$31), MAX($AZ$3:$AZ$31), K22))), ABS($AZ$3:$AZ$31 - MEDIAN(MIN($AZ$3:$AZ$31), MAX($AZ$3:$AZ$31), K22)), $BA$3:$BA$31, "Error", 0)</f>
        <v>-1</v>
      </c>
      <c r="L52" s="186" cm="1">
        <f t="array" ref="L52">_xlfn.XLOOKUP(MIN(ABS($AZ$3:$AZ$31 - MEDIAN(MIN($AZ$3:$AZ$31), MAX($AZ$3:$AZ$31), L22))), ABS($AZ$3:$AZ$31 - MEDIAN(MIN($AZ$3:$AZ$31), MAX($AZ$3:$AZ$31), L22)), $BA$3:$BA$31, "Error", 0)</f>
        <v>-1</v>
      </c>
      <c r="M52" s="186" cm="1">
        <f t="array" ref="M52">_xlfn.XLOOKUP(MIN(ABS($AZ$3:$AZ$31 - MEDIAN(MIN($AZ$3:$AZ$31), MAX($AZ$3:$AZ$31), M22))), ABS($AZ$3:$AZ$31 - MEDIAN(MIN($AZ$3:$AZ$31), MAX($AZ$3:$AZ$31), M22)), $BA$3:$BA$31, "Error", 0)</f>
        <v>-1</v>
      </c>
      <c r="N52" s="186" cm="1">
        <f t="array" ref="N52">_xlfn.XLOOKUP(MIN(ABS($AZ$3:$AZ$31 - MEDIAN(MIN($AZ$3:$AZ$31), MAX($AZ$3:$AZ$31), N22))), ABS($AZ$3:$AZ$31 - MEDIAN(MIN($AZ$3:$AZ$31), MAX($AZ$3:$AZ$31), N22)), $BA$3:$BA$31, "Error", 0)</f>
        <v>-1</v>
      </c>
      <c r="O52" s="186" cm="1">
        <f t="array" ref="O52">_xlfn.XLOOKUP(MIN(ABS($AZ$3:$AZ$31 - MEDIAN(MIN($AZ$3:$AZ$31), MAX($AZ$3:$AZ$31), O22))), ABS($AZ$3:$AZ$31 - MEDIAN(MIN($AZ$3:$AZ$31), MAX($AZ$3:$AZ$31), O22)), $BA$3:$BA$31, "Error", 0)</f>
        <v>-1</v>
      </c>
      <c r="P52" s="186" cm="1">
        <f t="array" ref="P52">_xlfn.XLOOKUP(MIN(ABS($AZ$3:$AZ$31 - MEDIAN(MIN($AZ$3:$AZ$31), MAX($AZ$3:$AZ$31), P22))), ABS($AZ$3:$AZ$31 - MEDIAN(MIN($AZ$3:$AZ$31), MAX($AZ$3:$AZ$31), P22)), $BA$3:$BA$31, "Error", 0)</f>
        <v>-1</v>
      </c>
      <c r="Q52" s="186" cm="1">
        <f t="array" ref="Q52">_xlfn.XLOOKUP(MIN(ABS($AZ$3:$AZ$31 - MEDIAN(MIN($AZ$3:$AZ$31), MAX($AZ$3:$AZ$31), Q22))), ABS($AZ$3:$AZ$31 - MEDIAN(MIN($AZ$3:$AZ$31), MAX($AZ$3:$AZ$31), Q22)), $BA$3:$BA$31, "Error", 0)</f>
        <v>-1</v>
      </c>
      <c r="R52" s="186" cm="1">
        <f t="array" ref="R52">_xlfn.XLOOKUP(MIN(ABS($AZ$3:$AZ$31 - MEDIAN(MIN($AZ$3:$AZ$31), MAX($AZ$3:$AZ$31), R22))), ABS($AZ$3:$AZ$31 - MEDIAN(MIN($AZ$3:$AZ$31), MAX($AZ$3:$AZ$31), R22)), $BA$3:$BA$31, "Error", 0)</f>
        <v>-1</v>
      </c>
      <c r="S52" s="186" cm="1">
        <f t="array" ref="S52">_xlfn.XLOOKUP(MIN(ABS($AZ$3:$AZ$31 - MEDIAN(MIN($AZ$3:$AZ$31), MAX($AZ$3:$AZ$31), S22))), ABS($AZ$3:$AZ$31 - MEDIAN(MIN($AZ$3:$AZ$31), MAX($AZ$3:$AZ$31), S22)), $BA$3:$BA$31, "Error", 0)</f>
        <v>-1</v>
      </c>
      <c r="T52" s="186" cm="1">
        <f t="array" ref="T52">_xlfn.XLOOKUP(MIN(ABS($AZ$3:$AZ$31 - MEDIAN(MIN($AZ$3:$AZ$31), MAX($AZ$3:$AZ$31), T22))), ABS($AZ$3:$AZ$31 - MEDIAN(MIN($AZ$3:$AZ$31), MAX($AZ$3:$AZ$31), T22)), $BA$3:$BA$31, "Error", 0)</f>
        <v>-1</v>
      </c>
      <c r="U52" s="186" cm="1">
        <f t="array" ref="U52">_xlfn.XLOOKUP(MIN(ABS($AZ$3:$AZ$31 - MEDIAN(MIN($AZ$3:$AZ$31), MAX($AZ$3:$AZ$31), U22))), ABS($AZ$3:$AZ$31 - MEDIAN(MIN($AZ$3:$AZ$31), MAX($AZ$3:$AZ$31), U22)), $BA$3:$BA$31, "Error", 0)</f>
        <v>0</v>
      </c>
      <c r="V52" s="186" cm="1">
        <f t="array" ref="V52">_xlfn.XLOOKUP(MIN(ABS($AZ$3:$AZ$31 - MEDIAN(MIN($AZ$3:$AZ$31), MAX($AZ$3:$AZ$31), V22))), ABS($AZ$3:$AZ$31 - MEDIAN(MIN($AZ$3:$AZ$31), MAX($AZ$3:$AZ$31), V22)), $BA$3:$BA$31, "Error", 0)</f>
        <v>0</v>
      </c>
      <c r="W52" s="186" cm="1">
        <f t="array" ref="W52">_xlfn.XLOOKUP(MIN(ABS($AZ$3:$AZ$31 - MEDIAN(MIN($AZ$3:$AZ$31), MAX($AZ$3:$AZ$31), W22))), ABS($AZ$3:$AZ$31 - MEDIAN(MIN($AZ$3:$AZ$31), MAX($AZ$3:$AZ$31), W22)), $BA$3:$BA$31, "Error", 0)</f>
        <v>-1</v>
      </c>
      <c r="X52" s="186" cm="1">
        <f t="array" ref="X52">_xlfn.XLOOKUP(MIN(ABS($AZ$3:$AZ$31 - MEDIAN(MIN($AZ$3:$AZ$31), MAX($AZ$3:$AZ$31), X22))), ABS($AZ$3:$AZ$31 - MEDIAN(MIN($AZ$3:$AZ$31), MAX($AZ$3:$AZ$31), X22)), $BA$3:$BA$31, "Error", 0)</f>
        <v>-1</v>
      </c>
      <c r="Y52" s="186" cm="1">
        <f t="array" ref="Y52">_xlfn.XLOOKUP(MIN(ABS($AZ$3:$AZ$31 - MEDIAN(MIN($AZ$3:$AZ$31), MAX($AZ$3:$AZ$31), Y22))), ABS($AZ$3:$AZ$31 - MEDIAN(MIN($AZ$3:$AZ$31), MAX($AZ$3:$AZ$31), Y22)), $BA$3:$BA$31, "Error", 0)</f>
        <v>-1</v>
      </c>
      <c r="Z52" s="186" cm="1">
        <f t="array" ref="Z52">_xlfn.XLOOKUP(MIN(ABS($AZ$3:$AZ$31 - MEDIAN(MIN($AZ$3:$AZ$31), MAX($AZ$3:$AZ$31), Z22))), ABS($AZ$3:$AZ$31 - MEDIAN(MIN($AZ$3:$AZ$31), MAX($AZ$3:$AZ$31), Z22)), $BA$3:$BA$31, "Error", 0)</f>
        <v>0</v>
      </c>
      <c r="AA52" s="186" cm="1">
        <f t="array" ref="AA52">_xlfn.XLOOKUP(MIN(ABS($AZ$3:$AZ$31 - MEDIAN(MIN($AZ$3:$AZ$31), MAX($AZ$3:$AZ$31), AA22))), ABS($AZ$3:$AZ$31 - MEDIAN(MIN($AZ$3:$AZ$31), MAX($AZ$3:$AZ$31), AA22)), $BA$3:$BA$31, "Error", 0)</f>
        <v>0</v>
      </c>
      <c r="AB52" s="186" cm="1">
        <f t="array" ref="AB52">_xlfn.XLOOKUP(MIN(ABS($AZ$3:$AZ$31 - MEDIAN(MIN($AZ$3:$AZ$31), MAX($AZ$3:$AZ$31), AB22))), ABS($AZ$3:$AZ$31 - MEDIAN(MIN($AZ$3:$AZ$31), MAX($AZ$3:$AZ$31), AB22)), $BA$3:$BA$31, "Error", 0)</f>
        <v>0</v>
      </c>
      <c r="AC52" s="186" cm="1">
        <f t="array" ref="AC52">_xlfn.XLOOKUP(MIN(ABS($AZ$3:$AZ$31 - MEDIAN(MIN($AZ$3:$AZ$31), MAX($AZ$3:$AZ$31), AC22))), ABS($AZ$3:$AZ$31 - MEDIAN(MIN($AZ$3:$AZ$31), MAX($AZ$3:$AZ$31), AC22)), $BA$3:$BA$31, "Error", 0)</f>
        <v>0</v>
      </c>
      <c r="AD52" s="186" cm="1">
        <f t="array" ref="AD52">_xlfn.XLOOKUP(MIN(ABS($AZ$3:$AZ$31 - MEDIAN(MIN($AZ$3:$AZ$31), MAX($AZ$3:$AZ$31), AD22))), ABS($AZ$3:$AZ$31 - MEDIAN(MIN($AZ$3:$AZ$31), MAX($AZ$3:$AZ$31), AD22)), $BA$3:$BA$31, "Error", 0)</f>
        <v>-1</v>
      </c>
      <c r="AE52" s="186" cm="1">
        <f t="array" ref="AE52">_xlfn.XLOOKUP(MIN(ABS($AZ$3:$AZ$31 - MEDIAN(MIN($AZ$3:$AZ$31), MAX($AZ$3:$AZ$31), AE22))), ABS($AZ$3:$AZ$31 - MEDIAN(MIN($AZ$3:$AZ$31), MAX($AZ$3:$AZ$31), AE22)), $BA$3:$BA$31, "Error", 0)</f>
        <v>-1</v>
      </c>
      <c r="AF52" s="186" cm="1">
        <f t="array" ref="AF52">_xlfn.XLOOKUP(MIN(ABS($AZ$3:$AZ$31 - MEDIAN(MIN($AZ$3:$AZ$31), MAX($AZ$3:$AZ$31), AF22))), ABS($AZ$3:$AZ$31 - MEDIAN(MIN($AZ$3:$AZ$31), MAX($AZ$3:$AZ$31), AF22)), $BA$3:$BA$31, "Error", 0)</f>
        <v>-1</v>
      </c>
      <c r="AG52" s="186" cm="1">
        <f t="array" ref="AG52">_xlfn.XLOOKUP(MIN(ABS($AZ$3:$AZ$31 - MEDIAN(MIN($AZ$3:$AZ$31), MAX($AZ$3:$AZ$31), AG22))), ABS($AZ$3:$AZ$31 - MEDIAN(MIN($AZ$3:$AZ$31), MAX($AZ$3:$AZ$31), AG22)), $BA$3:$BA$31, "Error", 0)</f>
        <v>-1</v>
      </c>
      <c r="AH52" s="186" cm="1">
        <f t="array" ref="AH52">_xlfn.XLOOKUP(MIN(ABS($AZ$3:$AZ$31 - MEDIAN(MIN($AZ$3:$AZ$31), MAX($AZ$3:$AZ$31), AH22))), ABS($AZ$3:$AZ$31 - MEDIAN(MIN($AZ$3:$AZ$31), MAX($AZ$3:$AZ$31), AH22)), $BA$3:$BA$31, "Error", 0)</f>
        <v>-1</v>
      </c>
      <c r="AI52" s="186" cm="1">
        <f t="array" ref="AI52">_xlfn.XLOOKUP(MIN(ABS($AZ$3:$AZ$31 - MEDIAN(MIN($AZ$3:$AZ$31), MAX($AZ$3:$AZ$31), AI22))), ABS($AZ$3:$AZ$31 - MEDIAN(MIN($AZ$3:$AZ$31), MAX($AZ$3:$AZ$31), AI22)), $BA$3:$BA$31, "Error", 0)</f>
        <v>-1</v>
      </c>
      <c r="AJ52" s="186" cm="1">
        <f t="array" ref="AJ52">_xlfn.XLOOKUP(MIN(ABS($AZ$3:$AZ$31 - MEDIAN(MIN($AZ$3:$AZ$31), MAX($AZ$3:$AZ$31), AJ22))), ABS($AZ$3:$AZ$31 - MEDIAN(MIN($AZ$3:$AZ$31), MAX($AZ$3:$AZ$31), AJ22)), $BA$3:$BA$31, "Error", 0)</f>
        <v>0</v>
      </c>
      <c r="AK52" s="186" cm="1">
        <f t="array" ref="AK52">_xlfn.XLOOKUP(MIN(ABS($AZ$3:$AZ$31 - MEDIAN(MIN($AZ$3:$AZ$31), MAX($AZ$3:$AZ$31), AK22))), ABS($AZ$3:$AZ$31 - MEDIAN(MIN($AZ$3:$AZ$31), MAX($AZ$3:$AZ$31), AK22)), $BA$3:$BA$31, "Error", 0)</f>
        <v>0</v>
      </c>
      <c r="AL52" s="186" cm="1">
        <f t="array" ref="AL52">_xlfn.XLOOKUP(MIN(ABS($AZ$3:$AZ$31 - MEDIAN(MIN($AZ$3:$AZ$31), MAX($AZ$3:$AZ$31), AL22))), ABS($AZ$3:$AZ$31 - MEDIAN(MIN($AZ$3:$AZ$31), MAX($AZ$3:$AZ$31), AL22)), $BA$3:$BA$31, "Error", 0)</f>
        <v>0</v>
      </c>
      <c r="AM52" s="186" cm="1">
        <f t="array" ref="AM52">_xlfn.XLOOKUP(MIN(ABS($AZ$3:$AZ$31 - MEDIAN(MIN($AZ$3:$AZ$31), MAX($AZ$3:$AZ$31), AM22))), ABS($AZ$3:$AZ$31 - MEDIAN(MIN($AZ$3:$AZ$31), MAX($AZ$3:$AZ$31), AM22)), $BA$3:$BA$31, "Error", 0)</f>
        <v>0</v>
      </c>
      <c r="AN52" s="186" cm="1">
        <f t="array" ref="AN52">_xlfn.XLOOKUP(MIN(ABS($AZ$3:$AZ$31 - MEDIAN(MIN($AZ$3:$AZ$31), MAX($AZ$3:$AZ$31), AN22))), ABS($AZ$3:$AZ$31 - MEDIAN(MIN($AZ$3:$AZ$31), MAX($AZ$3:$AZ$31), AN22)), $BA$3:$BA$31, "Error", 0)</f>
        <v>0</v>
      </c>
      <c r="AO52" s="186" cm="1">
        <f t="array" ref="AO52">_xlfn.XLOOKUP(MIN(ABS($AZ$3:$AZ$31 - MEDIAN(MIN($AZ$3:$AZ$31), MAX($AZ$3:$AZ$31), AO22))), ABS($AZ$3:$AZ$31 - MEDIAN(MIN($AZ$3:$AZ$31), MAX($AZ$3:$AZ$31), AO22)), $BA$3:$BA$31, "Error", 0)</f>
        <v>0</v>
      </c>
      <c r="AP52" s="186" cm="1">
        <f t="array" ref="AP52">_xlfn.XLOOKUP(MIN(ABS($AZ$3:$AZ$31 - MEDIAN(MIN($AZ$3:$AZ$31), MAX($AZ$3:$AZ$31), AP22))), ABS($AZ$3:$AZ$31 - MEDIAN(MIN($AZ$3:$AZ$31), MAX($AZ$3:$AZ$31), AP22)), $BA$3:$BA$31, "Error", 0)</f>
        <v>0</v>
      </c>
      <c r="AQ52" s="186" cm="1">
        <f t="array" ref="AQ52">_xlfn.XLOOKUP(MIN(ABS($AZ$3:$AZ$31 - MEDIAN(MIN($AZ$3:$AZ$31), MAX($AZ$3:$AZ$31), AQ22))), ABS($AZ$3:$AZ$31 - MEDIAN(MIN($AZ$3:$AZ$31), MAX($AZ$3:$AZ$31), AQ22)), $BA$3:$BA$31, "Error", 0)</f>
        <v>0</v>
      </c>
      <c r="AR52" s="186" cm="1">
        <f t="array" ref="AR52">_xlfn.XLOOKUP(MIN(ABS($AZ$3:$AZ$31 - MEDIAN(MIN($AZ$3:$AZ$31), MAX($AZ$3:$AZ$31), AR22))), ABS($AZ$3:$AZ$31 - MEDIAN(MIN($AZ$3:$AZ$31), MAX($AZ$3:$AZ$31), AR22)), $BA$3:$BA$31, "Error", 0)</f>
        <v>0</v>
      </c>
      <c r="AS52" s="186" cm="1">
        <f t="array" ref="AS52">_xlfn.XLOOKUP(MIN(ABS($AZ$3:$AZ$31 - MEDIAN(MIN($AZ$3:$AZ$31), MAX($AZ$3:$AZ$31), AS22))), ABS($AZ$3:$AZ$31 - MEDIAN(MIN($AZ$3:$AZ$31), MAX($AZ$3:$AZ$31), AS22)), $BA$3:$BA$31, "Error", 0)</f>
        <v>0</v>
      </c>
      <c r="AT52" s="186" cm="1">
        <f t="array" ref="AT52">_xlfn.XLOOKUP(MIN(ABS($AZ$3:$AZ$31 - MEDIAN(MIN($AZ$3:$AZ$31), MAX($AZ$3:$AZ$31), AT22))), ABS($AZ$3:$AZ$31 - MEDIAN(MIN($AZ$3:$AZ$31), MAX($AZ$3:$AZ$31), AT22)), $BA$3:$BA$31, "Error", 0)</f>
        <v>0</v>
      </c>
      <c r="AU52" s="186" cm="1">
        <f t="array" ref="AU52">_xlfn.XLOOKUP(MIN(ABS($AZ$3:$AZ$31 - MEDIAN(MIN($AZ$3:$AZ$31), MAX($AZ$3:$AZ$31), AU22))), ABS($AZ$3:$AZ$31 - MEDIAN(MIN($AZ$3:$AZ$31), MAX($AZ$3:$AZ$31), AU22)), $BA$3:$BA$31, "Error", 0)</f>
        <v>1</v>
      </c>
      <c r="AV52" s="186" cm="1">
        <f t="array" ref="AV52">_xlfn.XLOOKUP(MIN(ABS($AZ$3:$AZ$31 - MEDIAN(MIN($AZ$3:$AZ$31), MAX($AZ$3:$AZ$31), AV22))), ABS($AZ$3:$AZ$31 - MEDIAN(MIN($AZ$3:$AZ$31), MAX($AZ$3:$AZ$31), AV22)), $BA$3:$BA$31, "Error", 0)</f>
        <v>1</v>
      </c>
      <c r="AW52" s="186" cm="1">
        <f t="array" ref="AW52">_xlfn.XLOOKUP(MIN(ABS($AZ$3:$AZ$31 - MEDIAN(MIN($AZ$3:$AZ$31), MAX($AZ$3:$AZ$31), AW22))), ABS($AZ$3:$AZ$31 - MEDIAN(MIN($AZ$3:$AZ$31), MAX($AZ$3:$AZ$31), AW22)), $BA$3:$BA$31, "Error", 0)</f>
        <v>1</v>
      </c>
      <c r="AX52" s="192" t="e" cm="1">
        <f t="array" ref="AX52">_xlfn.XLOOKUP(MIN(ABS($AZ$3:$AZ$31 - MEDIAN(MIN($AZ$3:$AZ$31), MAX($AZ$3:$AZ$31), AX22))), ABS($AZ$3:$AZ$31 - MEDIAN(MIN($AZ$3:$AZ$31), MAX($AZ$3:$AZ$31), AX22)), $BA$3:$BA$31, "Error", 0)</f>
        <v>#VALUE!</v>
      </c>
      <c r="AY52" s="195"/>
      <c r="AZ52" s="195"/>
      <c r="BA52" s="195"/>
      <c r="BB52" s="195"/>
      <c r="BC52" s="195"/>
      <c r="BD52" s="195"/>
      <c r="BE52" s="195"/>
      <c r="BF52" s="195"/>
      <c r="BG52" s="195"/>
      <c r="BH52" s="195"/>
      <c r="BI52" s="195"/>
      <c r="BJ52" s="195"/>
    </row>
    <row r="53" spans="2:62" ht="25" customHeight="1">
      <c r="B53" s="160" t="s">
        <v>12</v>
      </c>
      <c r="C53" s="186" cm="1">
        <f t="array" ref="C53">_xlfn.XLOOKUP(MIN(ABS($AZ$3:$AZ$31 - MEDIAN(MIN($AZ$3:$AZ$31), MAX($AZ$3:$AZ$31), C23))), ABS($AZ$3:$AZ$31 - MEDIAN(MIN($AZ$3:$AZ$31), MAX($AZ$3:$AZ$31), C23)), $BA$3:$BA$31, "Error", 0)</f>
        <v>-1</v>
      </c>
      <c r="D53" s="186" cm="1">
        <f t="array" ref="D53">_xlfn.XLOOKUP(MIN(ABS($AZ$3:$AZ$31 - MEDIAN(MIN($AZ$3:$AZ$31), MAX($AZ$3:$AZ$31), D23))), ABS($AZ$3:$AZ$31 - MEDIAN(MIN($AZ$3:$AZ$31), MAX($AZ$3:$AZ$31), D23)), $BA$3:$BA$31, "Error", 0)</f>
        <v>-1</v>
      </c>
      <c r="E53" s="186" cm="1">
        <f t="array" ref="E53">_xlfn.XLOOKUP(MIN(ABS($AZ$3:$AZ$31 - MEDIAN(MIN($AZ$3:$AZ$31), MAX($AZ$3:$AZ$31), E23))), ABS($AZ$3:$AZ$31 - MEDIAN(MIN($AZ$3:$AZ$31), MAX($AZ$3:$AZ$31), E23)), $BA$3:$BA$31, "Error", 0)</f>
        <v>0</v>
      </c>
      <c r="F53" s="186" cm="1">
        <f t="array" ref="F53">_xlfn.XLOOKUP(MIN(ABS($AZ$3:$AZ$31 - MEDIAN(MIN($AZ$3:$AZ$31), MAX($AZ$3:$AZ$31), F23))), ABS($AZ$3:$AZ$31 - MEDIAN(MIN($AZ$3:$AZ$31), MAX($AZ$3:$AZ$31), F23)), $BA$3:$BA$31, "Error", 0)</f>
        <v>0</v>
      </c>
      <c r="G53" s="186" cm="1">
        <f t="array" ref="G53">_xlfn.XLOOKUP(MIN(ABS($AZ$3:$AZ$31 - MEDIAN(MIN($AZ$3:$AZ$31), MAX($AZ$3:$AZ$31), G23))), ABS($AZ$3:$AZ$31 - MEDIAN(MIN($AZ$3:$AZ$31), MAX($AZ$3:$AZ$31), G23)), $BA$3:$BA$31, "Error", 0)</f>
        <v>0</v>
      </c>
      <c r="H53" s="186" cm="1">
        <f t="array" ref="H53">_xlfn.XLOOKUP(MIN(ABS($AZ$3:$AZ$31 - MEDIAN(MIN($AZ$3:$AZ$31), MAX($AZ$3:$AZ$31), H23))), ABS($AZ$3:$AZ$31 - MEDIAN(MIN($AZ$3:$AZ$31), MAX($AZ$3:$AZ$31), H23)), $BA$3:$BA$31, "Error", 0)</f>
        <v>0</v>
      </c>
      <c r="I53" s="186" cm="1">
        <f t="array" ref="I53">_xlfn.XLOOKUP(MIN(ABS($AZ$3:$AZ$31 - MEDIAN(MIN($AZ$3:$AZ$31), MAX($AZ$3:$AZ$31), I23))), ABS($AZ$3:$AZ$31 - MEDIAN(MIN($AZ$3:$AZ$31), MAX($AZ$3:$AZ$31), I23)), $BA$3:$BA$31, "Error", 0)</f>
        <v>0</v>
      </c>
      <c r="J53" s="186" cm="1">
        <f t="array" ref="J53">_xlfn.XLOOKUP(MIN(ABS($AZ$3:$AZ$31 - MEDIAN(MIN($AZ$3:$AZ$31), MAX($AZ$3:$AZ$31), J23))), ABS($AZ$3:$AZ$31 - MEDIAN(MIN($AZ$3:$AZ$31), MAX($AZ$3:$AZ$31), J23)), $BA$3:$BA$31, "Error", 0)</f>
        <v>0</v>
      </c>
      <c r="K53" s="186" cm="1">
        <f t="array" ref="K53">_xlfn.XLOOKUP(MIN(ABS($AZ$3:$AZ$31 - MEDIAN(MIN($AZ$3:$AZ$31), MAX($AZ$3:$AZ$31), K23))), ABS($AZ$3:$AZ$31 - MEDIAN(MIN($AZ$3:$AZ$31), MAX($AZ$3:$AZ$31), K23)), $BA$3:$BA$31, "Error", 0)</f>
        <v>1</v>
      </c>
      <c r="L53" s="186" cm="1">
        <f t="array" ref="L53">_xlfn.XLOOKUP(MIN(ABS($AZ$3:$AZ$31 - MEDIAN(MIN($AZ$3:$AZ$31), MAX($AZ$3:$AZ$31), L23))), ABS($AZ$3:$AZ$31 - MEDIAN(MIN($AZ$3:$AZ$31), MAX($AZ$3:$AZ$31), L23)), $BA$3:$BA$31, "Error", 0)</f>
        <v>1</v>
      </c>
      <c r="M53" s="186" cm="1">
        <f t="array" ref="M53">_xlfn.XLOOKUP(MIN(ABS($AZ$3:$AZ$31 - MEDIAN(MIN($AZ$3:$AZ$31), MAX($AZ$3:$AZ$31), M23))), ABS($AZ$3:$AZ$31 - MEDIAN(MIN($AZ$3:$AZ$31), MAX($AZ$3:$AZ$31), M23)), $BA$3:$BA$31, "Error", 0)</f>
        <v>0</v>
      </c>
      <c r="N53" s="186" cm="1">
        <f t="array" ref="N53">_xlfn.XLOOKUP(MIN(ABS($AZ$3:$AZ$31 - MEDIAN(MIN($AZ$3:$AZ$31), MAX($AZ$3:$AZ$31), N23))), ABS($AZ$3:$AZ$31 - MEDIAN(MIN($AZ$3:$AZ$31), MAX($AZ$3:$AZ$31), N23)), $BA$3:$BA$31, "Error", 0)</f>
        <v>0</v>
      </c>
      <c r="O53" s="186" cm="1">
        <f t="array" ref="O53">_xlfn.XLOOKUP(MIN(ABS($AZ$3:$AZ$31 - MEDIAN(MIN($AZ$3:$AZ$31), MAX($AZ$3:$AZ$31), O23))), ABS($AZ$3:$AZ$31 - MEDIAN(MIN($AZ$3:$AZ$31), MAX($AZ$3:$AZ$31), O23)), $BA$3:$BA$31, "Error", 0)</f>
        <v>0</v>
      </c>
      <c r="P53" s="186" cm="1">
        <f t="array" ref="P53">_xlfn.XLOOKUP(MIN(ABS($AZ$3:$AZ$31 - MEDIAN(MIN($AZ$3:$AZ$31), MAX($AZ$3:$AZ$31), P23))), ABS($AZ$3:$AZ$31 - MEDIAN(MIN($AZ$3:$AZ$31), MAX($AZ$3:$AZ$31), P23)), $BA$3:$BA$31, "Error", 0)</f>
        <v>0</v>
      </c>
      <c r="Q53" s="186" cm="1">
        <f t="array" ref="Q53">_xlfn.XLOOKUP(MIN(ABS($AZ$3:$AZ$31 - MEDIAN(MIN($AZ$3:$AZ$31), MAX($AZ$3:$AZ$31), Q23))), ABS($AZ$3:$AZ$31 - MEDIAN(MIN($AZ$3:$AZ$31), MAX($AZ$3:$AZ$31), Q23)), $BA$3:$BA$31, "Error", 0)</f>
        <v>0</v>
      </c>
      <c r="R53" s="186" cm="1">
        <f t="array" ref="R53">_xlfn.XLOOKUP(MIN(ABS($AZ$3:$AZ$31 - MEDIAN(MIN($AZ$3:$AZ$31), MAX($AZ$3:$AZ$31), R23))), ABS($AZ$3:$AZ$31 - MEDIAN(MIN($AZ$3:$AZ$31), MAX($AZ$3:$AZ$31), R23)), $BA$3:$BA$31, "Error", 0)</f>
        <v>0</v>
      </c>
      <c r="S53" s="186" cm="1">
        <f t="array" ref="S53">_xlfn.XLOOKUP(MIN(ABS($AZ$3:$AZ$31 - MEDIAN(MIN($AZ$3:$AZ$31), MAX($AZ$3:$AZ$31), S23))), ABS($AZ$3:$AZ$31 - MEDIAN(MIN($AZ$3:$AZ$31), MAX($AZ$3:$AZ$31), S23)), $BA$3:$BA$31, "Error", 0)</f>
        <v>0</v>
      </c>
      <c r="T53" s="186" cm="1">
        <f t="array" ref="T53">_xlfn.XLOOKUP(MIN(ABS($AZ$3:$AZ$31 - MEDIAN(MIN($AZ$3:$AZ$31), MAX($AZ$3:$AZ$31), T23))), ABS($AZ$3:$AZ$31 - MEDIAN(MIN($AZ$3:$AZ$31), MAX($AZ$3:$AZ$31), T23)), $BA$3:$BA$31, "Error", 0)</f>
        <v>0</v>
      </c>
      <c r="U53" s="186" cm="1">
        <f t="array" ref="U53">_xlfn.XLOOKUP(MIN(ABS($AZ$3:$AZ$31 - MEDIAN(MIN($AZ$3:$AZ$31), MAX($AZ$3:$AZ$31), U23))), ABS($AZ$3:$AZ$31 - MEDIAN(MIN($AZ$3:$AZ$31), MAX($AZ$3:$AZ$31), U23)), $BA$3:$BA$31, "Error", 0)</f>
        <v>0</v>
      </c>
      <c r="V53" s="186" cm="1">
        <f t="array" ref="V53">_xlfn.XLOOKUP(MIN(ABS($AZ$3:$AZ$31 - MEDIAN(MIN($AZ$3:$AZ$31), MAX($AZ$3:$AZ$31), V23))), ABS($AZ$3:$AZ$31 - MEDIAN(MIN($AZ$3:$AZ$31), MAX($AZ$3:$AZ$31), V23)), $BA$3:$BA$31, "Error", 0)</f>
        <v>0</v>
      </c>
      <c r="W53" s="186" cm="1">
        <f t="array" ref="W53">_xlfn.XLOOKUP(MIN(ABS($AZ$3:$AZ$31 - MEDIAN(MIN($AZ$3:$AZ$31), MAX($AZ$3:$AZ$31), W23))), ABS($AZ$3:$AZ$31 - MEDIAN(MIN($AZ$3:$AZ$31), MAX($AZ$3:$AZ$31), W23)), $BA$3:$BA$31, "Error", 0)</f>
        <v>-1</v>
      </c>
      <c r="X53" s="186" cm="1">
        <f t="array" ref="X53">_xlfn.XLOOKUP(MIN(ABS($AZ$3:$AZ$31 - MEDIAN(MIN($AZ$3:$AZ$31), MAX($AZ$3:$AZ$31), X23))), ABS($AZ$3:$AZ$31 - MEDIAN(MIN($AZ$3:$AZ$31), MAX($AZ$3:$AZ$31), X23)), $BA$3:$BA$31, "Error", 0)</f>
        <v>-2</v>
      </c>
      <c r="Y53" s="186" cm="1">
        <f t="array" ref="Y53">_xlfn.XLOOKUP(MIN(ABS($AZ$3:$AZ$31 - MEDIAN(MIN($AZ$3:$AZ$31), MAX($AZ$3:$AZ$31), Y23))), ABS($AZ$3:$AZ$31 - MEDIAN(MIN($AZ$3:$AZ$31), MAX($AZ$3:$AZ$31), Y23)), $BA$3:$BA$31, "Error", 0)</f>
        <v>-2</v>
      </c>
      <c r="Z53" s="186" cm="1">
        <f t="array" ref="Z53">_xlfn.XLOOKUP(MIN(ABS($AZ$3:$AZ$31 - MEDIAN(MIN($AZ$3:$AZ$31), MAX($AZ$3:$AZ$31), Z23))), ABS($AZ$3:$AZ$31 - MEDIAN(MIN($AZ$3:$AZ$31), MAX($AZ$3:$AZ$31), Z23)), $BA$3:$BA$31, "Error", 0)</f>
        <v>-2</v>
      </c>
      <c r="AA53" s="186" cm="1">
        <f t="array" ref="AA53">_xlfn.XLOOKUP(MIN(ABS($AZ$3:$AZ$31 - MEDIAN(MIN($AZ$3:$AZ$31), MAX($AZ$3:$AZ$31), AA23))), ABS($AZ$3:$AZ$31 - MEDIAN(MIN($AZ$3:$AZ$31), MAX($AZ$3:$AZ$31), AA23)), $BA$3:$BA$31, "Error", 0)</f>
        <v>-3</v>
      </c>
      <c r="AB53" s="186" cm="1">
        <f t="array" ref="AB53">_xlfn.XLOOKUP(MIN(ABS($AZ$3:$AZ$31 - MEDIAN(MIN($AZ$3:$AZ$31), MAX($AZ$3:$AZ$31), AB23))), ABS($AZ$3:$AZ$31 - MEDIAN(MIN($AZ$3:$AZ$31), MAX($AZ$3:$AZ$31), AB23)), $BA$3:$BA$31, "Error", 0)</f>
        <v>-2</v>
      </c>
      <c r="AC53" s="186" cm="1">
        <f t="array" ref="AC53">_xlfn.XLOOKUP(MIN(ABS($AZ$3:$AZ$31 - MEDIAN(MIN($AZ$3:$AZ$31), MAX($AZ$3:$AZ$31), AC23))), ABS($AZ$3:$AZ$31 - MEDIAN(MIN($AZ$3:$AZ$31), MAX($AZ$3:$AZ$31), AC23)), $BA$3:$BA$31, "Error", 0)</f>
        <v>-3</v>
      </c>
      <c r="AD53" s="186" cm="1">
        <f t="array" ref="AD53">_xlfn.XLOOKUP(MIN(ABS($AZ$3:$AZ$31 - MEDIAN(MIN($AZ$3:$AZ$31), MAX($AZ$3:$AZ$31), AD23))), ABS($AZ$3:$AZ$31 - MEDIAN(MIN($AZ$3:$AZ$31), MAX($AZ$3:$AZ$31), AD23)), $BA$3:$BA$31, "Error", 0)</f>
        <v>-3</v>
      </c>
      <c r="AE53" s="186" cm="1">
        <f t="array" ref="AE53">_xlfn.XLOOKUP(MIN(ABS($AZ$3:$AZ$31 - MEDIAN(MIN($AZ$3:$AZ$31), MAX($AZ$3:$AZ$31), AE23))), ABS($AZ$3:$AZ$31 - MEDIAN(MIN($AZ$3:$AZ$31), MAX($AZ$3:$AZ$31), AE23)), $BA$3:$BA$31, "Error", 0)</f>
        <v>-3</v>
      </c>
      <c r="AF53" s="186" cm="1">
        <f t="array" ref="AF53">_xlfn.XLOOKUP(MIN(ABS($AZ$3:$AZ$31 - MEDIAN(MIN($AZ$3:$AZ$31), MAX($AZ$3:$AZ$31), AF23))), ABS($AZ$3:$AZ$31 - MEDIAN(MIN($AZ$3:$AZ$31), MAX($AZ$3:$AZ$31), AF23)), $BA$3:$BA$31, "Error", 0)</f>
        <v>-3</v>
      </c>
      <c r="AG53" s="186" cm="1">
        <f t="array" ref="AG53">_xlfn.XLOOKUP(MIN(ABS($AZ$3:$AZ$31 - MEDIAN(MIN($AZ$3:$AZ$31), MAX($AZ$3:$AZ$31), AG23))), ABS($AZ$3:$AZ$31 - MEDIAN(MIN($AZ$3:$AZ$31), MAX($AZ$3:$AZ$31), AG23)), $BA$3:$BA$31, "Error", 0)</f>
        <v>-3</v>
      </c>
      <c r="AH53" s="186" cm="1">
        <f t="array" ref="AH53">_xlfn.XLOOKUP(MIN(ABS($AZ$3:$AZ$31 - MEDIAN(MIN($AZ$3:$AZ$31), MAX($AZ$3:$AZ$31), AH23))), ABS($AZ$3:$AZ$31 - MEDIAN(MIN($AZ$3:$AZ$31), MAX($AZ$3:$AZ$31), AH23)), $BA$3:$BA$31, "Error", 0)</f>
        <v>-3</v>
      </c>
      <c r="AI53" s="186" cm="1">
        <f t="array" ref="AI53">_xlfn.XLOOKUP(MIN(ABS($AZ$3:$AZ$31 - MEDIAN(MIN($AZ$3:$AZ$31), MAX($AZ$3:$AZ$31), AI23))), ABS($AZ$3:$AZ$31 - MEDIAN(MIN($AZ$3:$AZ$31), MAX($AZ$3:$AZ$31), AI23)), $BA$3:$BA$31, "Error", 0)</f>
        <v>-3</v>
      </c>
      <c r="AJ53" s="186" cm="1">
        <f t="array" ref="AJ53">_xlfn.XLOOKUP(MIN(ABS($AZ$3:$AZ$31 - MEDIAN(MIN($AZ$3:$AZ$31), MAX($AZ$3:$AZ$31), AJ23))), ABS($AZ$3:$AZ$31 - MEDIAN(MIN($AZ$3:$AZ$31), MAX($AZ$3:$AZ$31), AJ23)), $BA$3:$BA$31, "Error", 0)</f>
        <v>-3</v>
      </c>
      <c r="AK53" s="186" cm="1">
        <f t="array" ref="AK53">_xlfn.XLOOKUP(MIN(ABS($AZ$3:$AZ$31 - MEDIAN(MIN($AZ$3:$AZ$31), MAX($AZ$3:$AZ$31), AK23))), ABS($AZ$3:$AZ$31 - MEDIAN(MIN($AZ$3:$AZ$31), MAX($AZ$3:$AZ$31), AK23)), $BA$3:$BA$31, "Error", 0)</f>
        <v>-3</v>
      </c>
      <c r="AL53" s="186" cm="1">
        <f t="array" ref="AL53">_xlfn.XLOOKUP(MIN(ABS($AZ$3:$AZ$31 - MEDIAN(MIN($AZ$3:$AZ$31), MAX($AZ$3:$AZ$31), AL23))), ABS($AZ$3:$AZ$31 - MEDIAN(MIN($AZ$3:$AZ$31), MAX($AZ$3:$AZ$31), AL23)), $BA$3:$BA$31, "Error", 0)</f>
        <v>-3</v>
      </c>
      <c r="AM53" s="186" cm="1">
        <f t="array" ref="AM53">_xlfn.XLOOKUP(MIN(ABS($AZ$3:$AZ$31 - MEDIAN(MIN($AZ$3:$AZ$31), MAX($AZ$3:$AZ$31), AM23))), ABS($AZ$3:$AZ$31 - MEDIAN(MIN($AZ$3:$AZ$31), MAX($AZ$3:$AZ$31), AM23)), $BA$3:$BA$31, "Error", 0)</f>
        <v>-3</v>
      </c>
      <c r="AN53" s="186" cm="1">
        <f t="array" ref="AN53">_xlfn.XLOOKUP(MIN(ABS($AZ$3:$AZ$31 - MEDIAN(MIN($AZ$3:$AZ$31), MAX($AZ$3:$AZ$31), AN23))), ABS($AZ$3:$AZ$31 - MEDIAN(MIN($AZ$3:$AZ$31), MAX($AZ$3:$AZ$31), AN23)), $BA$3:$BA$31, "Error", 0)</f>
        <v>-3</v>
      </c>
      <c r="AO53" s="186" cm="1">
        <f t="array" ref="AO53">_xlfn.XLOOKUP(MIN(ABS($AZ$3:$AZ$31 - MEDIAN(MIN($AZ$3:$AZ$31), MAX($AZ$3:$AZ$31), AO23))), ABS($AZ$3:$AZ$31 - MEDIAN(MIN($AZ$3:$AZ$31), MAX($AZ$3:$AZ$31), AO23)), $BA$3:$BA$31, "Error", 0)</f>
        <v>-3</v>
      </c>
      <c r="AP53" s="186" cm="1">
        <f t="array" ref="AP53">_xlfn.XLOOKUP(MIN(ABS($AZ$3:$AZ$31 - MEDIAN(MIN($AZ$3:$AZ$31), MAX($AZ$3:$AZ$31), AP23))), ABS($AZ$3:$AZ$31 - MEDIAN(MIN($AZ$3:$AZ$31), MAX($AZ$3:$AZ$31), AP23)), $BA$3:$BA$31, "Error", 0)</f>
        <v>-4</v>
      </c>
      <c r="AQ53" s="186" cm="1">
        <f t="array" ref="AQ53">_xlfn.XLOOKUP(MIN(ABS($AZ$3:$AZ$31 - MEDIAN(MIN($AZ$3:$AZ$31), MAX($AZ$3:$AZ$31), AQ23))), ABS($AZ$3:$AZ$31 - MEDIAN(MIN($AZ$3:$AZ$31), MAX($AZ$3:$AZ$31), AQ23)), $BA$3:$BA$31, "Error", 0)</f>
        <v>-4</v>
      </c>
      <c r="AR53" s="186" cm="1">
        <f t="array" ref="AR53">_xlfn.XLOOKUP(MIN(ABS($AZ$3:$AZ$31 - MEDIAN(MIN($AZ$3:$AZ$31), MAX($AZ$3:$AZ$31), AR23))), ABS($AZ$3:$AZ$31 - MEDIAN(MIN($AZ$3:$AZ$31), MAX($AZ$3:$AZ$31), AR23)), $BA$3:$BA$31, "Error", 0)</f>
        <v>-4</v>
      </c>
      <c r="AS53" s="186" cm="1">
        <f t="array" ref="AS53">_xlfn.XLOOKUP(MIN(ABS($AZ$3:$AZ$31 - MEDIAN(MIN($AZ$3:$AZ$31), MAX($AZ$3:$AZ$31), AS23))), ABS($AZ$3:$AZ$31 - MEDIAN(MIN($AZ$3:$AZ$31), MAX($AZ$3:$AZ$31), AS23)), $BA$3:$BA$31, "Error", 0)</f>
        <v>-4</v>
      </c>
      <c r="AT53" s="186" cm="1">
        <f t="array" ref="AT53">_xlfn.XLOOKUP(MIN(ABS($AZ$3:$AZ$31 - MEDIAN(MIN($AZ$3:$AZ$31), MAX($AZ$3:$AZ$31), AT23))), ABS($AZ$3:$AZ$31 - MEDIAN(MIN($AZ$3:$AZ$31), MAX($AZ$3:$AZ$31), AT23)), $BA$3:$BA$31, "Error", 0)</f>
        <v>-4</v>
      </c>
      <c r="AU53" s="186" cm="1">
        <f t="array" ref="AU53">_xlfn.XLOOKUP(MIN(ABS($AZ$3:$AZ$31 - MEDIAN(MIN($AZ$3:$AZ$31), MAX($AZ$3:$AZ$31), AU23))), ABS($AZ$3:$AZ$31 - MEDIAN(MIN($AZ$3:$AZ$31), MAX($AZ$3:$AZ$31), AU23)), $BA$3:$BA$31, "Error", 0)</f>
        <v>-3</v>
      </c>
      <c r="AV53" s="186" cm="1">
        <f t="array" ref="AV53">_xlfn.XLOOKUP(MIN(ABS($AZ$3:$AZ$31 - MEDIAN(MIN($AZ$3:$AZ$31), MAX($AZ$3:$AZ$31), AV23))), ABS($AZ$3:$AZ$31 - MEDIAN(MIN($AZ$3:$AZ$31), MAX($AZ$3:$AZ$31), AV23)), $BA$3:$BA$31, "Error", 0)</f>
        <v>-3</v>
      </c>
      <c r="AW53" s="186" cm="1">
        <f t="array" ref="AW53">_xlfn.XLOOKUP(MIN(ABS($AZ$3:$AZ$31 - MEDIAN(MIN($AZ$3:$AZ$31), MAX($AZ$3:$AZ$31), AW23))), ABS($AZ$3:$AZ$31 - MEDIAN(MIN($AZ$3:$AZ$31), MAX($AZ$3:$AZ$31), AW23)), $BA$3:$BA$31, "Error", 0)</f>
        <v>-4</v>
      </c>
      <c r="AX53" s="192" t="e" cm="1">
        <f t="array" ref="AX53">_xlfn.XLOOKUP(MIN(ABS($AZ$3:$AZ$31 - MEDIAN(MIN($AZ$3:$AZ$31), MAX($AZ$3:$AZ$31), AX23))), ABS($AZ$3:$AZ$31 - MEDIAN(MIN($AZ$3:$AZ$31), MAX($AZ$3:$AZ$31), AX23)), $BA$3:$BA$31, "Error", 0)</f>
        <v>#VALUE!</v>
      </c>
      <c r="AY53" s="195"/>
      <c r="AZ53" s="195"/>
      <c r="BA53" s="195"/>
      <c r="BB53" s="195"/>
      <c r="BC53" s="195"/>
      <c r="BD53" s="195"/>
      <c r="BE53" s="195"/>
      <c r="BF53" s="195"/>
      <c r="BG53" s="195"/>
      <c r="BH53" s="195"/>
      <c r="BI53" s="195"/>
      <c r="BJ53" s="195"/>
    </row>
    <row r="54" spans="2:62" ht="25" customHeight="1">
      <c r="B54" s="162" t="s">
        <v>50</v>
      </c>
      <c r="C54" s="186" cm="1">
        <f t="array" ref="C54">_xlfn.XLOOKUP(MIN(ABS($AZ$3:$AZ$31 - MEDIAN(MIN($AZ$3:$AZ$31), MAX($AZ$3:$AZ$31), C24))), ABS($AZ$3:$AZ$31 - MEDIAN(MIN($AZ$3:$AZ$31), MAX($AZ$3:$AZ$31), C24)), $BA$3:$BA$31, "Error", 0)</f>
        <v>-3</v>
      </c>
      <c r="D54" s="186" cm="1">
        <f t="array" ref="D54">_xlfn.XLOOKUP(MIN(ABS($AZ$3:$AZ$31 - MEDIAN(MIN($AZ$3:$AZ$31), MAX($AZ$3:$AZ$31), D24))), ABS($AZ$3:$AZ$31 - MEDIAN(MIN($AZ$3:$AZ$31), MAX($AZ$3:$AZ$31), D24)), $BA$3:$BA$31, "Error", 0)</f>
        <v>-3</v>
      </c>
      <c r="E54" s="186" cm="1">
        <f t="array" ref="E54">_xlfn.XLOOKUP(MIN(ABS($AZ$3:$AZ$31 - MEDIAN(MIN($AZ$3:$AZ$31), MAX($AZ$3:$AZ$31), E24))), ABS($AZ$3:$AZ$31 - MEDIAN(MIN($AZ$3:$AZ$31), MAX($AZ$3:$AZ$31), E24)), $BA$3:$BA$31, "Error", 0)</f>
        <v>-2</v>
      </c>
      <c r="F54" s="186" cm="1">
        <f t="array" ref="F54">_xlfn.XLOOKUP(MIN(ABS($AZ$3:$AZ$31 - MEDIAN(MIN($AZ$3:$AZ$31), MAX($AZ$3:$AZ$31), F24))), ABS($AZ$3:$AZ$31 - MEDIAN(MIN($AZ$3:$AZ$31), MAX($AZ$3:$AZ$31), F24)), $BA$3:$BA$31, "Error", 0)</f>
        <v>-3</v>
      </c>
      <c r="G54" s="186" cm="1">
        <f t="array" ref="G54">_xlfn.XLOOKUP(MIN(ABS($AZ$3:$AZ$31 - MEDIAN(MIN($AZ$3:$AZ$31), MAX($AZ$3:$AZ$31), G24))), ABS($AZ$3:$AZ$31 - MEDIAN(MIN($AZ$3:$AZ$31), MAX($AZ$3:$AZ$31), G24)), $BA$3:$BA$31, "Error", 0)</f>
        <v>-3</v>
      </c>
      <c r="H54" s="186" cm="1">
        <f t="array" ref="H54">_xlfn.XLOOKUP(MIN(ABS($AZ$3:$AZ$31 - MEDIAN(MIN($AZ$3:$AZ$31), MAX($AZ$3:$AZ$31), H24))), ABS($AZ$3:$AZ$31 - MEDIAN(MIN($AZ$3:$AZ$31), MAX($AZ$3:$AZ$31), H24)), $BA$3:$BA$31, "Error", 0)</f>
        <v>-3</v>
      </c>
      <c r="I54" s="186" cm="1">
        <f t="array" ref="I54">_xlfn.XLOOKUP(MIN(ABS($AZ$3:$AZ$31 - MEDIAN(MIN($AZ$3:$AZ$31), MAX($AZ$3:$AZ$31), I24))), ABS($AZ$3:$AZ$31 - MEDIAN(MIN($AZ$3:$AZ$31), MAX($AZ$3:$AZ$31), I24)), $BA$3:$BA$31, "Error", 0)</f>
        <v>-2</v>
      </c>
      <c r="J54" s="186" cm="1">
        <f t="array" ref="J54">_xlfn.XLOOKUP(MIN(ABS($AZ$3:$AZ$31 - MEDIAN(MIN($AZ$3:$AZ$31), MAX($AZ$3:$AZ$31), J24))), ABS($AZ$3:$AZ$31 - MEDIAN(MIN($AZ$3:$AZ$31), MAX($AZ$3:$AZ$31), J24)), $BA$3:$BA$31, "Error", 0)</f>
        <v>-2</v>
      </c>
      <c r="K54" s="186" cm="1">
        <f t="array" ref="K54">_xlfn.XLOOKUP(MIN(ABS($AZ$3:$AZ$31 - MEDIAN(MIN($AZ$3:$AZ$31), MAX($AZ$3:$AZ$31), K24))), ABS($AZ$3:$AZ$31 - MEDIAN(MIN($AZ$3:$AZ$31), MAX($AZ$3:$AZ$31), K24)), $BA$3:$BA$31, "Error", 0)</f>
        <v>-2</v>
      </c>
      <c r="L54" s="186" cm="1">
        <f t="array" ref="L54">_xlfn.XLOOKUP(MIN(ABS($AZ$3:$AZ$31 - MEDIAN(MIN($AZ$3:$AZ$31), MAX($AZ$3:$AZ$31), L24))), ABS($AZ$3:$AZ$31 - MEDIAN(MIN($AZ$3:$AZ$31), MAX($AZ$3:$AZ$31), L24)), $BA$3:$BA$31, "Error", 0)</f>
        <v>-2</v>
      </c>
      <c r="M54" s="186" cm="1">
        <f t="array" ref="M54">_xlfn.XLOOKUP(MIN(ABS($AZ$3:$AZ$31 - MEDIAN(MIN($AZ$3:$AZ$31), MAX($AZ$3:$AZ$31), M24))), ABS($AZ$3:$AZ$31 - MEDIAN(MIN($AZ$3:$AZ$31), MAX($AZ$3:$AZ$31), M24)), $BA$3:$BA$31, "Error", 0)</f>
        <v>-2</v>
      </c>
      <c r="N54" s="186" cm="1">
        <f t="array" ref="N54">_xlfn.XLOOKUP(MIN(ABS($AZ$3:$AZ$31 - MEDIAN(MIN($AZ$3:$AZ$31), MAX($AZ$3:$AZ$31), N24))), ABS($AZ$3:$AZ$31 - MEDIAN(MIN($AZ$3:$AZ$31), MAX($AZ$3:$AZ$31), N24)), $BA$3:$BA$31, "Error", 0)</f>
        <v>-2</v>
      </c>
      <c r="O54" s="186" cm="1">
        <f t="array" ref="O54">_xlfn.XLOOKUP(MIN(ABS($AZ$3:$AZ$31 - MEDIAN(MIN($AZ$3:$AZ$31), MAX($AZ$3:$AZ$31), O24))), ABS($AZ$3:$AZ$31 - MEDIAN(MIN($AZ$3:$AZ$31), MAX($AZ$3:$AZ$31), O24)), $BA$3:$BA$31, "Error", 0)</f>
        <v>-2</v>
      </c>
      <c r="P54" s="186" cm="1">
        <f t="array" ref="P54">_xlfn.XLOOKUP(MIN(ABS($AZ$3:$AZ$31 - MEDIAN(MIN($AZ$3:$AZ$31), MAX($AZ$3:$AZ$31), P24))), ABS($AZ$3:$AZ$31 - MEDIAN(MIN($AZ$3:$AZ$31), MAX($AZ$3:$AZ$31), P24)), $BA$3:$BA$31, "Error", 0)</f>
        <v>-2</v>
      </c>
      <c r="Q54" s="186" cm="1">
        <f t="array" ref="Q54">_xlfn.XLOOKUP(MIN(ABS($AZ$3:$AZ$31 - MEDIAN(MIN($AZ$3:$AZ$31), MAX($AZ$3:$AZ$31), Q24))), ABS($AZ$3:$AZ$31 - MEDIAN(MIN($AZ$3:$AZ$31), MAX($AZ$3:$AZ$31), Q24)), $BA$3:$BA$31, "Error", 0)</f>
        <v>-2</v>
      </c>
      <c r="R54" s="186" cm="1">
        <f t="array" ref="R54">_xlfn.XLOOKUP(MIN(ABS($AZ$3:$AZ$31 - MEDIAN(MIN($AZ$3:$AZ$31), MAX($AZ$3:$AZ$31), R24))), ABS($AZ$3:$AZ$31 - MEDIAN(MIN($AZ$3:$AZ$31), MAX($AZ$3:$AZ$31), R24)), $BA$3:$BA$31, "Error", 0)</f>
        <v>-2</v>
      </c>
      <c r="S54" s="186" cm="1">
        <f t="array" ref="S54">_xlfn.XLOOKUP(MIN(ABS($AZ$3:$AZ$31 - MEDIAN(MIN($AZ$3:$AZ$31), MAX($AZ$3:$AZ$31), S24))), ABS($AZ$3:$AZ$31 - MEDIAN(MIN($AZ$3:$AZ$31), MAX($AZ$3:$AZ$31), S24)), $BA$3:$BA$31, "Error", 0)</f>
        <v>-2</v>
      </c>
      <c r="T54" s="186" cm="1">
        <f t="array" ref="T54">_xlfn.XLOOKUP(MIN(ABS($AZ$3:$AZ$31 - MEDIAN(MIN($AZ$3:$AZ$31), MAX($AZ$3:$AZ$31), T24))), ABS($AZ$3:$AZ$31 - MEDIAN(MIN($AZ$3:$AZ$31), MAX($AZ$3:$AZ$31), T24)), $BA$3:$BA$31, "Error", 0)</f>
        <v>-2</v>
      </c>
      <c r="U54" s="186" cm="1">
        <f t="array" ref="U54">_xlfn.XLOOKUP(MIN(ABS($AZ$3:$AZ$31 - MEDIAN(MIN($AZ$3:$AZ$31), MAX($AZ$3:$AZ$31), U24))), ABS($AZ$3:$AZ$31 - MEDIAN(MIN($AZ$3:$AZ$31), MAX($AZ$3:$AZ$31), U24)), $BA$3:$BA$31, "Error", 0)</f>
        <v>-2</v>
      </c>
      <c r="V54" s="186" cm="1">
        <f t="array" ref="V54">_xlfn.XLOOKUP(MIN(ABS($AZ$3:$AZ$31 - MEDIAN(MIN($AZ$3:$AZ$31), MAX($AZ$3:$AZ$31), V24))), ABS($AZ$3:$AZ$31 - MEDIAN(MIN($AZ$3:$AZ$31), MAX($AZ$3:$AZ$31), V24)), $BA$3:$BA$31, "Error", 0)</f>
        <v>-2</v>
      </c>
      <c r="W54" s="186" cm="1">
        <f t="array" ref="W54">_xlfn.XLOOKUP(MIN(ABS($AZ$3:$AZ$31 - MEDIAN(MIN($AZ$3:$AZ$31), MAX($AZ$3:$AZ$31), W24))), ABS($AZ$3:$AZ$31 - MEDIAN(MIN($AZ$3:$AZ$31), MAX($AZ$3:$AZ$31), W24)), $BA$3:$BA$31, "Error", 0)</f>
        <v>-2</v>
      </c>
      <c r="X54" s="186" cm="1">
        <f t="array" ref="X54">_xlfn.XLOOKUP(MIN(ABS($AZ$3:$AZ$31 - MEDIAN(MIN($AZ$3:$AZ$31), MAX($AZ$3:$AZ$31), X24))), ABS($AZ$3:$AZ$31 - MEDIAN(MIN($AZ$3:$AZ$31), MAX($AZ$3:$AZ$31), X24)), $BA$3:$BA$31, "Error", 0)</f>
        <v>-3</v>
      </c>
      <c r="Y54" s="186" cm="1">
        <f t="array" ref="Y54">_xlfn.XLOOKUP(MIN(ABS($AZ$3:$AZ$31 - MEDIAN(MIN($AZ$3:$AZ$31), MAX($AZ$3:$AZ$31), Y24))), ABS($AZ$3:$AZ$31 - MEDIAN(MIN($AZ$3:$AZ$31), MAX($AZ$3:$AZ$31), Y24)), $BA$3:$BA$31, "Error", 0)</f>
        <v>-2</v>
      </c>
      <c r="Z54" s="186" cm="1">
        <f t="array" ref="Z54">_xlfn.XLOOKUP(MIN(ABS($AZ$3:$AZ$31 - MEDIAN(MIN($AZ$3:$AZ$31), MAX($AZ$3:$AZ$31), Z24))), ABS($AZ$3:$AZ$31 - MEDIAN(MIN($AZ$3:$AZ$31), MAX($AZ$3:$AZ$31), Z24)), $BA$3:$BA$31, "Error", 0)</f>
        <v>-2</v>
      </c>
      <c r="AA54" s="186" cm="1">
        <f t="array" ref="AA54">_xlfn.XLOOKUP(MIN(ABS($AZ$3:$AZ$31 - MEDIAN(MIN($AZ$3:$AZ$31), MAX($AZ$3:$AZ$31), AA24))), ABS($AZ$3:$AZ$31 - MEDIAN(MIN($AZ$3:$AZ$31), MAX($AZ$3:$AZ$31), AA24)), $BA$3:$BA$31, "Error", 0)</f>
        <v>-3</v>
      </c>
      <c r="AB54" s="186" cm="1">
        <f t="array" ref="AB54">_xlfn.XLOOKUP(MIN(ABS($AZ$3:$AZ$31 - MEDIAN(MIN($AZ$3:$AZ$31), MAX($AZ$3:$AZ$31), AB24))), ABS($AZ$3:$AZ$31 - MEDIAN(MIN($AZ$3:$AZ$31), MAX($AZ$3:$AZ$31), AB24)), $BA$3:$BA$31, "Error", 0)</f>
        <v>-2</v>
      </c>
      <c r="AC54" s="186" cm="1">
        <f t="array" ref="AC54">_xlfn.XLOOKUP(MIN(ABS($AZ$3:$AZ$31 - MEDIAN(MIN($AZ$3:$AZ$31), MAX($AZ$3:$AZ$31), AC24))), ABS($AZ$3:$AZ$31 - MEDIAN(MIN($AZ$3:$AZ$31), MAX($AZ$3:$AZ$31), AC24)), $BA$3:$BA$31, "Error", 0)</f>
        <v>-2</v>
      </c>
      <c r="AD54" s="186" cm="1">
        <f t="array" ref="AD54">_xlfn.XLOOKUP(MIN(ABS($AZ$3:$AZ$31 - MEDIAN(MIN($AZ$3:$AZ$31), MAX($AZ$3:$AZ$31), AD24))), ABS($AZ$3:$AZ$31 - MEDIAN(MIN($AZ$3:$AZ$31), MAX($AZ$3:$AZ$31), AD24)), $BA$3:$BA$31, "Error", 0)</f>
        <v>-2</v>
      </c>
      <c r="AE54" s="186" cm="1">
        <f t="array" ref="AE54">_xlfn.XLOOKUP(MIN(ABS($AZ$3:$AZ$31 - MEDIAN(MIN($AZ$3:$AZ$31), MAX($AZ$3:$AZ$31), AE24))), ABS($AZ$3:$AZ$31 - MEDIAN(MIN($AZ$3:$AZ$31), MAX($AZ$3:$AZ$31), AE24)), $BA$3:$BA$31, "Error", 0)</f>
        <v>-2</v>
      </c>
      <c r="AF54" s="186" cm="1">
        <f t="array" ref="AF54">_xlfn.XLOOKUP(MIN(ABS($AZ$3:$AZ$31 - MEDIAN(MIN($AZ$3:$AZ$31), MAX($AZ$3:$AZ$31), AF24))), ABS($AZ$3:$AZ$31 - MEDIAN(MIN($AZ$3:$AZ$31), MAX($AZ$3:$AZ$31), AF24)), $BA$3:$BA$31, "Error", 0)</f>
        <v>-2</v>
      </c>
      <c r="AG54" s="186" cm="1">
        <f t="array" ref="AG54">_xlfn.XLOOKUP(MIN(ABS($AZ$3:$AZ$31 - MEDIAN(MIN($AZ$3:$AZ$31), MAX($AZ$3:$AZ$31), AG24))), ABS($AZ$3:$AZ$31 - MEDIAN(MIN($AZ$3:$AZ$31), MAX($AZ$3:$AZ$31), AG24)), $BA$3:$BA$31, "Error", 0)</f>
        <v>-2</v>
      </c>
      <c r="AH54" s="186" cm="1">
        <f t="array" ref="AH54">_xlfn.XLOOKUP(MIN(ABS($AZ$3:$AZ$31 - MEDIAN(MIN($AZ$3:$AZ$31), MAX($AZ$3:$AZ$31), AH24))), ABS($AZ$3:$AZ$31 - MEDIAN(MIN($AZ$3:$AZ$31), MAX($AZ$3:$AZ$31), AH24)), $BA$3:$BA$31, "Error", 0)</f>
        <v>-2</v>
      </c>
      <c r="AI54" s="186" cm="1">
        <f t="array" ref="AI54">_xlfn.XLOOKUP(MIN(ABS($AZ$3:$AZ$31 - MEDIAN(MIN($AZ$3:$AZ$31), MAX($AZ$3:$AZ$31), AI24))), ABS($AZ$3:$AZ$31 - MEDIAN(MIN($AZ$3:$AZ$31), MAX($AZ$3:$AZ$31), AI24)), $BA$3:$BA$31, "Error", 0)</f>
        <v>-2</v>
      </c>
      <c r="AJ54" s="186" cm="1">
        <f t="array" ref="AJ54">_xlfn.XLOOKUP(MIN(ABS($AZ$3:$AZ$31 - MEDIAN(MIN($AZ$3:$AZ$31), MAX($AZ$3:$AZ$31), AJ24))), ABS($AZ$3:$AZ$31 - MEDIAN(MIN($AZ$3:$AZ$31), MAX($AZ$3:$AZ$31), AJ24)), $BA$3:$BA$31, "Error", 0)</f>
        <v>-1</v>
      </c>
      <c r="AK54" s="186" cm="1">
        <f t="array" ref="AK54">_xlfn.XLOOKUP(MIN(ABS($AZ$3:$AZ$31 - MEDIAN(MIN($AZ$3:$AZ$31), MAX($AZ$3:$AZ$31), AK24))), ABS($AZ$3:$AZ$31 - MEDIAN(MIN($AZ$3:$AZ$31), MAX($AZ$3:$AZ$31), AK24)), $BA$3:$BA$31, "Error", 0)</f>
        <v>0</v>
      </c>
      <c r="AL54" s="186" cm="1">
        <f t="array" ref="AL54">_xlfn.XLOOKUP(MIN(ABS($AZ$3:$AZ$31 - MEDIAN(MIN($AZ$3:$AZ$31), MAX($AZ$3:$AZ$31), AL24))), ABS($AZ$3:$AZ$31 - MEDIAN(MIN($AZ$3:$AZ$31), MAX($AZ$3:$AZ$31), AL24)), $BA$3:$BA$31, "Error", 0)</f>
        <v>0</v>
      </c>
      <c r="AM54" s="186" cm="1">
        <f t="array" ref="AM54">_xlfn.XLOOKUP(MIN(ABS($AZ$3:$AZ$31 - MEDIAN(MIN($AZ$3:$AZ$31), MAX($AZ$3:$AZ$31), AM24))), ABS($AZ$3:$AZ$31 - MEDIAN(MIN($AZ$3:$AZ$31), MAX($AZ$3:$AZ$31), AM24)), $BA$3:$BA$31, "Error", 0)</f>
        <v>0</v>
      </c>
      <c r="AN54" s="186" cm="1">
        <f t="array" ref="AN54">_xlfn.XLOOKUP(MIN(ABS($AZ$3:$AZ$31 - MEDIAN(MIN($AZ$3:$AZ$31), MAX($AZ$3:$AZ$31), AN24))), ABS($AZ$3:$AZ$31 - MEDIAN(MIN($AZ$3:$AZ$31), MAX($AZ$3:$AZ$31), AN24)), $BA$3:$BA$31, "Error", 0)</f>
        <v>0</v>
      </c>
      <c r="AO54" s="186" cm="1">
        <f t="array" ref="AO54">_xlfn.XLOOKUP(MIN(ABS($AZ$3:$AZ$31 - MEDIAN(MIN($AZ$3:$AZ$31), MAX($AZ$3:$AZ$31), AO24))), ABS($AZ$3:$AZ$31 - MEDIAN(MIN($AZ$3:$AZ$31), MAX($AZ$3:$AZ$31), AO24)), $BA$3:$BA$31, "Error", 0)</f>
        <v>0</v>
      </c>
      <c r="AP54" s="186" cm="1">
        <f t="array" ref="AP54">_xlfn.XLOOKUP(MIN(ABS($AZ$3:$AZ$31 - MEDIAN(MIN($AZ$3:$AZ$31), MAX($AZ$3:$AZ$31), AP24))), ABS($AZ$3:$AZ$31 - MEDIAN(MIN($AZ$3:$AZ$31), MAX($AZ$3:$AZ$31), AP24)), $BA$3:$BA$31, "Error", 0)</f>
        <v>0</v>
      </c>
      <c r="AQ54" s="186" cm="1">
        <f t="array" ref="AQ54">_xlfn.XLOOKUP(MIN(ABS($AZ$3:$AZ$31 - MEDIAN(MIN($AZ$3:$AZ$31), MAX($AZ$3:$AZ$31), AQ24))), ABS($AZ$3:$AZ$31 - MEDIAN(MIN($AZ$3:$AZ$31), MAX($AZ$3:$AZ$31), AQ24)), $BA$3:$BA$31, "Error", 0)</f>
        <v>0</v>
      </c>
      <c r="AR54" s="186" cm="1">
        <f t="array" ref="AR54">_xlfn.XLOOKUP(MIN(ABS($AZ$3:$AZ$31 - MEDIAN(MIN($AZ$3:$AZ$31), MAX($AZ$3:$AZ$31), AR24))), ABS($AZ$3:$AZ$31 - MEDIAN(MIN($AZ$3:$AZ$31), MAX($AZ$3:$AZ$31), AR24)), $BA$3:$BA$31, "Error", 0)</f>
        <v>0</v>
      </c>
      <c r="AS54" s="186" cm="1">
        <f t="array" ref="AS54">_xlfn.XLOOKUP(MIN(ABS($AZ$3:$AZ$31 - MEDIAN(MIN($AZ$3:$AZ$31), MAX($AZ$3:$AZ$31), AS24))), ABS($AZ$3:$AZ$31 - MEDIAN(MIN($AZ$3:$AZ$31), MAX($AZ$3:$AZ$31), AS24)), $BA$3:$BA$31, "Error", 0)</f>
        <v>0</v>
      </c>
      <c r="AT54" s="186" cm="1">
        <f t="array" ref="AT54">_xlfn.XLOOKUP(MIN(ABS($AZ$3:$AZ$31 - MEDIAN(MIN($AZ$3:$AZ$31), MAX($AZ$3:$AZ$31), AT24))), ABS($AZ$3:$AZ$31 - MEDIAN(MIN($AZ$3:$AZ$31), MAX($AZ$3:$AZ$31), AT24)), $BA$3:$BA$31, "Error", 0)</f>
        <v>0</v>
      </c>
      <c r="AU54" s="186" cm="1">
        <f t="array" ref="AU54">_xlfn.XLOOKUP(MIN(ABS($AZ$3:$AZ$31 - MEDIAN(MIN($AZ$3:$AZ$31), MAX($AZ$3:$AZ$31), AU24))), ABS($AZ$3:$AZ$31 - MEDIAN(MIN($AZ$3:$AZ$31), MAX($AZ$3:$AZ$31), AU24)), $BA$3:$BA$31, "Error", 0)</f>
        <v>0</v>
      </c>
      <c r="AV54" s="186" cm="1">
        <f t="array" ref="AV54">_xlfn.XLOOKUP(MIN(ABS($AZ$3:$AZ$31 - MEDIAN(MIN($AZ$3:$AZ$31), MAX($AZ$3:$AZ$31), AV24))), ABS($AZ$3:$AZ$31 - MEDIAN(MIN($AZ$3:$AZ$31), MAX($AZ$3:$AZ$31), AV24)), $BA$3:$BA$31, "Error", 0)</f>
        <v>0</v>
      </c>
      <c r="AW54" s="186" cm="1">
        <f t="array" ref="AW54">_xlfn.XLOOKUP(MIN(ABS($AZ$3:$AZ$31 - MEDIAN(MIN($AZ$3:$AZ$31), MAX($AZ$3:$AZ$31), AW24))), ABS($AZ$3:$AZ$31 - MEDIAN(MIN($AZ$3:$AZ$31), MAX($AZ$3:$AZ$31), AW24)), $BA$3:$BA$31, "Error", 0)</f>
        <v>-1</v>
      </c>
      <c r="AX54" s="192" t="e" cm="1">
        <f t="array" ref="AX54">_xlfn.XLOOKUP(MIN(ABS($AZ$3:$AZ$31 - MEDIAN(MIN($AZ$3:$AZ$31), MAX($AZ$3:$AZ$31), AX24))), ABS($AZ$3:$AZ$31 - MEDIAN(MIN($AZ$3:$AZ$31), MAX($AZ$3:$AZ$31), AX24)), $BA$3:$BA$31, "Error", 0)</f>
        <v>#VALUE!</v>
      </c>
      <c r="AY54" s="195"/>
      <c r="AZ54" s="195"/>
      <c r="BA54" s="195"/>
      <c r="BB54" s="195"/>
      <c r="BC54" s="195"/>
      <c r="BD54" s="195"/>
      <c r="BE54" s="195"/>
      <c r="BF54" s="195"/>
      <c r="BG54" s="195"/>
      <c r="BH54" s="195"/>
      <c r="BI54" s="195"/>
      <c r="BJ54" s="195"/>
    </row>
    <row r="55" spans="2:62" ht="25" customHeight="1">
      <c r="B55" s="163" t="s">
        <v>51</v>
      </c>
      <c r="C55" s="186" cm="1">
        <f t="array" ref="C55">_xlfn.XLOOKUP(MIN(ABS($AZ$3:$AZ$31 - MEDIAN(MIN($AZ$3:$AZ$31), MAX($AZ$3:$AZ$31), C25))), ABS($AZ$3:$AZ$31 - MEDIAN(MIN($AZ$3:$AZ$31), MAX($AZ$3:$AZ$31), C25)), $BA$3:$BA$31, "Error", 0)</f>
        <v>-2</v>
      </c>
      <c r="D55" s="186" cm="1">
        <f t="array" ref="D55">_xlfn.XLOOKUP(MIN(ABS($AZ$3:$AZ$31 - MEDIAN(MIN($AZ$3:$AZ$31), MAX($AZ$3:$AZ$31), D25))), ABS($AZ$3:$AZ$31 - MEDIAN(MIN($AZ$3:$AZ$31), MAX($AZ$3:$AZ$31), D25)), $BA$3:$BA$31, "Error", 0)</f>
        <v>-1</v>
      </c>
      <c r="E55" s="186" cm="1">
        <f t="array" ref="E55">_xlfn.XLOOKUP(MIN(ABS($AZ$3:$AZ$31 - MEDIAN(MIN($AZ$3:$AZ$31), MAX($AZ$3:$AZ$31), E25))), ABS($AZ$3:$AZ$31 - MEDIAN(MIN($AZ$3:$AZ$31), MAX($AZ$3:$AZ$31), E25)), $BA$3:$BA$31, "Error", 0)</f>
        <v>-1</v>
      </c>
      <c r="F55" s="186" cm="1">
        <f t="array" ref="F55">_xlfn.XLOOKUP(MIN(ABS($AZ$3:$AZ$31 - MEDIAN(MIN($AZ$3:$AZ$31), MAX($AZ$3:$AZ$31), F25))), ABS($AZ$3:$AZ$31 - MEDIAN(MIN($AZ$3:$AZ$31), MAX($AZ$3:$AZ$31), F25)), $BA$3:$BA$31, "Error", 0)</f>
        <v>-1</v>
      </c>
      <c r="G55" s="186" cm="1">
        <f t="array" ref="G55">_xlfn.XLOOKUP(MIN(ABS($AZ$3:$AZ$31 - MEDIAN(MIN($AZ$3:$AZ$31), MAX($AZ$3:$AZ$31), G25))), ABS($AZ$3:$AZ$31 - MEDIAN(MIN($AZ$3:$AZ$31), MAX($AZ$3:$AZ$31), G25)), $BA$3:$BA$31, "Error", 0)</f>
        <v>-1</v>
      </c>
      <c r="H55" s="186" cm="1">
        <f t="array" ref="H55">_xlfn.XLOOKUP(MIN(ABS($AZ$3:$AZ$31 - MEDIAN(MIN($AZ$3:$AZ$31), MAX($AZ$3:$AZ$31), H25))), ABS($AZ$3:$AZ$31 - MEDIAN(MIN($AZ$3:$AZ$31), MAX($AZ$3:$AZ$31), H25)), $BA$3:$BA$31, "Error", 0)</f>
        <v>0</v>
      </c>
      <c r="I55" s="186" cm="1">
        <f t="array" ref="I55">_xlfn.XLOOKUP(MIN(ABS($AZ$3:$AZ$31 - MEDIAN(MIN($AZ$3:$AZ$31), MAX($AZ$3:$AZ$31), I25))), ABS($AZ$3:$AZ$31 - MEDIAN(MIN($AZ$3:$AZ$31), MAX($AZ$3:$AZ$31), I25)), $BA$3:$BA$31, "Error", 0)</f>
        <v>-1</v>
      </c>
      <c r="J55" s="186" cm="1">
        <f t="array" ref="J55">_xlfn.XLOOKUP(MIN(ABS($AZ$3:$AZ$31 - MEDIAN(MIN($AZ$3:$AZ$31), MAX($AZ$3:$AZ$31), J25))), ABS($AZ$3:$AZ$31 - MEDIAN(MIN($AZ$3:$AZ$31), MAX($AZ$3:$AZ$31), J25)), $BA$3:$BA$31, "Error", 0)</f>
        <v>0</v>
      </c>
      <c r="K55" s="186" cm="1">
        <f t="array" ref="K55">_xlfn.XLOOKUP(MIN(ABS($AZ$3:$AZ$31 - MEDIAN(MIN($AZ$3:$AZ$31), MAX($AZ$3:$AZ$31), K25))), ABS($AZ$3:$AZ$31 - MEDIAN(MIN($AZ$3:$AZ$31), MAX($AZ$3:$AZ$31), K25)), $BA$3:$BA$31, "Error", 0)</f>
        <v>0</v>
      </c>
      <c r="L55" s="186" cm="1">
        <f t="array" ref="L55">_xlfn.XLOOKUP(MIN(ABS($AZ$3:$AZ$31 - MEDIAN(MIN($AZ$3:$AZ$31), MAX($AZ$3:$AZ$31), L25))), ABS($AZ$3:$AZ$31 - MEDIAN(MIN($AZ$3:$AZ$31), MAX($AZ$3:$AZ$31), L25)), $BA$3:$BA$31, "Error", 0)</f>
        <v>0</v>
      </c>
      <c r="M55" s="186" cm="1">
        <f t="array" ref="M55">_xlfn.XLOOKUP(MIN(ABS($AZ$3:$AZ$31 - MEDIAN(MIN($AZ$3:$AZ$31), MAX($AZ$3:$AZ$31), M25))), ABS($AZ$3:$AZ$31 - MEDIAN(MIN($AZ$3:$AZ$31), MAX($AZ$3:$AZ$31), M25)), $BA$3:$BA$31, "Error", 0)</f>
        <v>0</v>
      </c>
      <c r="N55" s="186" cm="1">
        <f t="array" ref="N55">_xlfn.XLOOKUP(MIN(ABS($AZ$3:$AZ$31 - MEDIAN(MIN($AZ$3:$AZ$31), MAX($AZ$3:$AZ$31), N25))), ABS($AZ$3:$AZ$31 - MEDIAN(MIN($AZ$3:$AZ$31), MAX($AZ$3:$AZ$31), N25)), $BA$3:$BA$31, "Error", 0)</f>
        <v>0</v>
      </c>
      <c r="O55" s="186" cm="1">
        <f t="array" ref="O55">_xlfn.XLOOKUP(MIN(ABS($AZ$3:$AZ$31 - MEDIAN(MIN($AZ$3:$AZ$31), MAX($AZ$3:$AZ$31), O25))), ABS($AZ$3:$AZ$31 - MEDIAN(MIN($AZ$3:$AZ$31), MAX($AZ$3:$AZ$31), O25)), $BA$3:$BA$31, "Error", 0)</f>
        <v>0</v>
      </c>
      <c r="P55" s="186" cm="1">
        <f t="array" ref="P55">_xlfn.XLOOKUP(MIN(ABS($AZ$3:$AZ$31 - MEDIAN(MIN($AZ$3:$AZ$31), MAX($AZ$3:$AZ$31), P25))), ABS($AZ$3:$AZ$31 - MEDIAN(MIN($AZ$3:$AZ$31), MAX($AZ$3:$AZ$31), P25)), $BA$3:$BA$31, "Error", 0)</f>
        <v>0</v>
      </c>
      <c r="Q55" s="186" cm="1">
        <f t="array" ref="Q55">_xlfn.XLOOKUP(MIN(ABS($AZ$3:$AZ$31 - MEDIAN(MIN($AZ$3:$AZ$31), MAX($AZ$3:$AZ$31), Q25))), ABS($AZ$3:$AZ$31 - MEDIAN(MIN($AZ$3:$AZ$31), MAX($AZ$3:$AZ$31), Q25)), $BA$3:$BA$31, "Error", 0)</f>
        <v>0</v>
      </c>
      <c r="R55" s="186" cm="1">
        <f t="array" ref="R55">_xlfn.XLOOKUP(MIN(ABS($AZ$3:$AZ$31 - MEDIAN(MIN($AZ$3:$AZ$31), MAX($AZ$3:$AZ$31), R25))), ABS($AZ$3:$AZ$31 - MEDIAN(MIN($AZ$3:$AZ$31), MAX($AZ$3:$AZ$31), R25)), $BA$3:$BA$31, "Error", 0)</f>
        <v>0</v>
      </c>
      <c r="S55" s="186" cm="1">
        <f t="array" ref="S55">_xlfn.XLOOKUP(MIN(ABS($AZ$3:$AZ$31 - MEDIAN(MIN($AZ$3:$AZ$31), MAX($AZ$3:$AZ$31), S25))), ABS($AZ$3:$AZ$31 - MEDIAN(MIN($AZ$3:$AZ$31), MAX($AZ$3:$AZ$31), S25)), $BA$3:$BA$31, "Error", 0)</f>
        <v>0</v>
      </c>
      <c r="T55" s="186" cm="1">
        <f t="array" ref="T55">_xlfn.XLOOKUP(MIN(ABS($AZ$3:$AZ$31 - MEDIAN(MIN($AZ$3:$AZ$31), MAX($AZ$3:$AZ$31), T25))), ABS($AZ$3:$AZ$31 - MEDIAN(MIN($AZ$3:$AZ$31), MAX($AZ$3:$AZ$31), T25)), $BA$3:$BA$31, "Error", 0)</f>
        <v>0</v>
      </c>
      <c r="U55" s="186" cm="1">
        <f t="array" ref="U55">_xlfn.XLOOKUP(MIN(ABS($AZ$3:$AZ$31 - MEDIAN(MIN($AZ$3:$AZ$31), MAX($AZ$3:$AZ$31), U25))), ABS($AZ$3:$AZ$31 - MEDIAN(MIN($AZ$3:$AZ$31), MAX($AZ$3:$AZ$31), U25)), $BA$3:$BA$31, "Error", 0)</f>
        <v>0</v>
      </c>
      <c r="V55" s="186" cm="1">
        <f t="array" ref="V55">_xlfn.XLOOKUP(MIN(ABS($AZ$3:$AZ$31 - MEDIAN(MIN($AZ$3:$AZ$31), MAX($AZ$3:$AZ$31), V25))), ABS($AZ$3:$AZ$31 - MEDIAN(MIN($AZ$3:$AZ$31), MAX($AZ$3:$AZ$31), V25)), $BA$3:$BA$31, "Error", 0)</f>
        <v>-1</v>
      </c>
      <c r="W55" s="186" cm="1">
        <f t="array" ref="W55">_xlfn.XLOOKUP(MIN(ABS($AZ$3:$AZ$31 - MEDIAN(MIN($AZ$3:$AZ$31), MAX($AZ$3:$AZ$31), W25))), ABS($AZ$3:$AZ$31 - MEDIAN(MIN($AZ$3:$AZ$31), MAX($AZ$3:$AZ$31), W25)), $BA$3:$BA$31, "Error", 0)</f>
        <v>0</v>
      </c>
      <c r="X55" s="186" cm="1">
        <f t="array" ref="X55">_xlfn.XLOOKUP(MIN(ABS($AZ$3:$AZ$31 - MEDIAN(MIN($AZ$3:$AZ$31), MAX($AZ$3:$AZ$31), X25))), ABS($AZ$3:$AZ$31 - MEDIAN(MIN($AZ$3:$AZ$31), MAX($AZ$3:$AZ$31), X25)), $BA$3:$BA$31, "Error", 0)</f>
        <v>0</v>
      </c>
      <c r="Y55" s="186" cm="1">
        <f t="array" ref="Y55">_xlfn.XLOOKUP(MIN(ABS($AZ$3:$AZ$31 - MEDIAN(MIN($AZ$3:$AZ$31), MAX($AZ$3:$AZ$31), Y25))), ABS($AZ$3:$AZ$31 - MEDIAN(MIN($AZ$3:$AZ$31), MAX($AZ$3:$AZ$31), Y25)), $BA$3:$BA$31, "Error", 0)</f>
        <v>0</v>
      </c>
      <c r="Z55" s="186" cm="1">
        <f t="array" ref="Z55">_xlfn.XLOOKUP(MIN(ABS($AZ$3:$AZ$31 - MEDIAN(MIN($AZ$3:$AZ$31), MAX($AZ$3:$AZ$31), Z25))), ABS($AZ$3:$AZ$31 - MEDIAN(MIN($AZ$3:$AZ$31), MAX($AZ$3:$AZ$31), Z25)), $BA$3:$BA$31, "Error", 0)</f>
        <v>1</v>
      </c>
      <c r="AA55" s="186" cm="1">
        <f t="array" ref="AA55">_xlfn.XLOOKUP(MIN(ABS($AZ$3:$AZ$31 - MEDIAN(MIN($AZ$3:$AZ$31), MAX($AZ$3:$AZ$31), AA25))), ABS($AZ$3:$AZ$31 - MEDIAN(MIN($AZ$3:$AZ$31), MAX($AZ$3:$AZ$31), AA25)), $BA$3:$BA$31, "Error", 0)</f>
        <v>1</v>
      </c>
      <c r="AB55" s="186" cm="1">
        <f t="array" ref="AB55">_xlfn.XLOOKUP(MIN(ABS($AZ$3:$AZ$31 - MEDIAN(MIN($AZ$3:$AZ$31), MAX($AZ$3:$AZ$31), AB25))), ABS($AZ$3:$AZ$31 - MEDIAN(MIN($AZ$3:$AZ$31), MAX($AZ$3:$AZ$31), AB25)), $BA$3:$BA$31, "Error", 0)</f>
        <v>0</v>
      </c>
      <c r="AC55" s="186" cm="1">
        <f t="array" ref="AC55">_xlfn.XLOOKUP(MIN(ABS($AZ$3:$AZ$31 - MEDIAN(MIN($AZ$3:$AZ$31), MAX($AZ$3:$AZ$31), AC25))), ABS($AZ$3:$AZ$31 - MEDIAN(MIN($AZ$3:$AZ$31), MAX($AZ$3:$AZ$31), AC25)), $BA$3:$BA$31, "Error", 0)</f>
        <v>0</v>
      </c>
      <c r="AD55" s="186" cm="1">
        <f t="array" ref="AD55">_xlfn.XLOOKUP(MIN(ABS($AZ$3:$AZ$31 - MEDIAN(MIN($AZ$3:$AZ$31), MAX($AZ$3:$AZ$31), AD25))), ABS($AZ$3:$AZ$31 - MEDIAN(MIN($AZ$3:$AZ$31), MAX($AZ$3:$AZ$31), AD25)), $BA$3:$BA$31, "Error", 0)</f>
        <v>0</v>
      </c>
      <c r="AE55" s="186" cm="1">
        <f t="array" ref="AE55">_xlfn.XLOOKUP(MIN(ABS($AZ$3:$AZ$31 - MEDIAN(MIN($AZ$3:$AZ$31), MAX($AZ$3:$AZ$31), AE25))), ABS($AZ$3:$AZ$31 - MEDIAN(MIN($AZ$3:$AZ$31), MAX($AZ$3:$AZ$31), AE25)), $BA$3:$BA$31, "Error", 0)</f>
        <v>0</v>
      </c>
      <c r="AF55" s="186" cm="1">
        <f t="array" ref="AF55">_xlfn.XLOOKUP(MIN(ABS($AZ$3:$AZ$31 - MEDIAN(MIN($AZ$3:$AZ$31), MAX($AZ$3:$AZ$31), AF25))), ABS($AZ$3:$AZ$31 - MEDIAN(MIN($AZ$3:$AZ$31), MAX($AZ$3:$AZ$31), AF25)), $BA$3:$BA$31, "Error", 0)</f>
        <v>0</v>
      </c>
      <c r="AG55" s="186" cm="1">
        <f t="array" ref="AG55">_xlfn.XLOOKUP(MIN(ABS($AZ$3:$AZ$31 - MEDIAN(MIN($AZ$3:$AZ$31), MAX($AZ$3:$AZ$31), AG25))), ABS($AZ$3:$AZ$31 - MEDIAN(MIN($AZ$3:$AZ$31), MAX($AZ$3:$AZ$31), AG25)), $BA$3:$BA$31, "Error", 0)</f>
        <v>0</v>
      </c>
      <c r="AH55" s="186" cm="1">
        <f t="array" ref="AH55">_xlfn.XLOOKUP(MIN(ABS($AZ$3:$AZ$31 - MEDIAN(MIN($AZ$3:$AZ$31), MAX($AZ$3:$AZ$31), AH25))), ABS($AZ$3:$AZ$31 - MEDIAN(MIN($AZ$3:$AZ$31), MAX($AZ$3:$AZ$31), AH25)), $BA$3:$BA$31, "Error", 0)</f>
        <v>-1</v>
      </c>
      <c r="AI55" s="186" cm="1">
        <f t="array" ref="AI55">_xlfn.XLOOKUP(MIN(ABS($AZ$3:$AZ$31 - MEDIAN(MIN($AZ$3:$AZ$31), MAX($AZ$3:$AZ$31), AI25))), ABS($AZ$3:$AZ$31 - MEDIAN(MIN($AZ$3:$AZ$31), MAX($AZ$3:$AZ$31), AI25)), $BA$3:$BA$31, "Error", 0)</f>
        <v>0</v>
      </c>
      <c r="AJ55" s="186" cm="1">
        <f t="array" ref="AJ55">_xlfn.XLOOKUP(MIN(ABS($AZ$3:$AZ$31 - MEDIAN(MIN($AZ$3:$AZ$31), MAX($AZ$3:$AZ$31), AJ25))), ABS($AZ$3:$AZ$31 - MEDIAN(MIN($AZ$3:$AZ$31), MAX($AZ$3:$AZ$31), AJ25)), $BA$3:$BA$31, "Error", 0)</f>
        <v>0</v>
      </c>
      <c r="AK55" s="186" cm="1">
        <f t="array" ref="AK55">_xlfn.XLOOKUP(MIN(ABS($AZ$3:$AZ$31 - MEDIAN(MIN($AZ$3:$AZ$31), MAX($AZ$3:$AZ$31), AK25))), ABS($AZ$3:$AZ$31 - MEDIAN(MIN($AZ$3:$AZ$31), MAX($AZ$3:$AZ$31), AK25)), $BA$3:$BA$31, "Error", 0)</f>
        <v>0</v>
      </c>
      <c r="AL55" s="186" cm="1">
        <f t="array" ref="AL55">_xlfn.XLOOKUP(MIN(ABS($AZ$3:$AZ$31 - MEDIAN(MIN($AZ$3:$AZ$31), MAX($AZ$3:$AZ$31), AL25))), ABS($AZ$3:$AZ$31 - MEDIAN(MIN($AZ$3:$AZ$31), MAX($AZ$3:$AZ$31), AL25)), $BA$3:$BA$31, "Error", 0)</f>
        <v>0</v>
      </c>
      <c r="AM55" s="186" cm="1">
        <f t="array" ref="AM55">_xlfn.XLOOKUP(MIN(ABS($AZ$3:$AZ$31 - MEDIAN(MIN($AZ$3:$AZ$31), MAX($AZ$3:$AZ$31), AM25))), ABS($AZ$3:$AZ$31 - MEDIAN(MIN($AZ$3:$AZ$31), MAX($AZ$3:$AZ$31), AM25)), $BA$3:$BA$31, "Error", 0)</f>
        <v>0</v>
      </c>
      <c r="AN55" s="186" cm="1">
        <f t="array" ref="AN55">_xlfn.XLOOKUP(MIN(ABS($AZ$3:$AZ$31 - MEDIAN(MIN($AZ$3:$AZ$31), MAX($AZ$3:$AZ$31), AN25))), ABS($AZ$3:$AZ$31 - MEDIAN(MIN($AZ$3:$AZ$31), MAX($AZ$3:$AZ$31), AN25)), $BA$3:$BA$31, "Error", 0)</f>
        <v>0</v>
      </c>
      <c r="AO55" s="186" cm="1">
        <f t="array" ref="AO55">_xlfn.XLOOKUP(MIN(ABS($AZ$3:$AZ$31 - MEDIAN(MIN($AZ$3:$AZ$31), MAX($AZ$3:$AZ$31), AO25))), ABS($AZ$3:$AZ$31 - MEDIAN(MIN($AZ$3:$AZ$31), MAX($AZ$3:$AZ$31), AO25)), $BA$3:$BA$31, "Error", 0)</f>
        <v>0</v>
      </c>
      <c r="AP55" s="186" cm="1">
        <f t="array" ref="AP55">_xlfn.XLOOKUP(MIN(ABS($AZ$3:$AZ$31 - MEDIAN(MIN($AZ$3:$AZ$31), MAX($AZ$3:$AZ$31), AP25))), ABS($AZ$3:$AZ$31 - MEDIAN(MIN($AZ$3:$AZ$31), MAX($AZ$3:$AZ$31), AP25)), $BA$3:$BA$31, "Error", 0)</f>
        <v>0</v>
      </c>
      <c r="AQ55" s="186" cm="1">
        <f t="array" ref="AQ55">_xlfn.XLOOKUP(MIN(ABS($AZ$3:$AZ$31 - MEDIAN(MIN($AZ$3:$AZ$31), MAX($AZ$3:$AZ$31), AQ25))), ABS($AZ$3:$AZ$31 - MEDIAN(MIN($AZ$3:$AZ$31), MAX($AZ$3:$AZ$31), AQ25)), $BA$3:$BA$31, "Error", 0)</f>
        <v>0</v>
      </c>
      <c r="AR55" s="186" cm="1">
        <f t="array" ref="AR55">_xlfn.XLOOKUP(MIN(ABS($AZ$3:$AZ$31 - MEDIAN(MIN($AZ$3:$AZ$31), MAX($AZ$3:$AZ$31), AR25))), ABS($AZ$3:$AZ$31 - MEDIAN(MIN($AZ$3:$AZ$31), MAX($AZ$3:$AZ$31), AR25)), $BA$3:$BA$31, "Error", 0)</f>
        <v>0</v>
      </c>
      <c r="AS55" s="186" cm="1">
        <f t="array" ref="AS55">_xlfn.XLOOKUP(MIN(ABS($AZ$3:$AZ$31 - MEDIAN(MIN($AZ$3:$AZ$31), MAX($AZ$3:$AZ$31), AS25))), ABS($AZ$3:$AZ$31 - MEDIAN(MIN($AZ$3:$AZ$31), MAX($AZ$3:$AZ$31), AS25)), $BA$3:$BA$31, "Error", 0)</f>
        <v>0</v>
      </c>
      <c r="AT55" s="186" cm="1">
        <f t="array" ref="AT55">_xlfn.XLOOKUP(MIN(ABS($AZ$3:$AZ$31 - MEDIAN(MIN($AZ$3:$AZ$31), MAX($AZ$3:$AZ$31), AT25))), ABS($AZ$3:$AZ$31 - MEDIAN(MIN($AZ$3:$AZ$31), MAX($AZ$3:$AZ$31), AT25)), $BA$3:$BA$31, "Error", 0)</f>
        <v>0</v>
      </c>
      <c r="AU55" s="186" cm="1">
        <f t="array" ref="AU55">_xlfn.XLOOKUP(MIN(ABS($AZ$3:$AZ$31 - MEDIAN(MIN($AZ$3:$AZ$31), MAX($AZ$3:$AZ$31), AU25))), ABS($AZ$3:$AZ$31 - MEDIAN(MIN($AZ$3:$AZ$31), MAX($AZ$3:$AZ$31), AU25)), $BA$3:$BA$31, "Error", 0)</f>
        <v>0</v>
      </c>
      <c r="AV55" s="186" cm="1">
        <f t="array" ref="AV55">_xlfn.XLOOKUP(MIN(ABS($AZ$3:$AZ$31 - MEDIAN(MIN($AZ$3:$AZ$31), MAX($AZ$3:$AZ$31), AV25))), ABS($AZ$3:$AZ$31 - MEDIAN(MIN($AZ$3:$AZ$31), MAX($AZ$3:$AZ$31), AV25)), $BA$3:$BA$31, "Error", 0)</f>
        <v>0</v>
      </c>
      <c r="AW55" s="186" cm="1">
        <f t="array" ref="AW55">_xlfn.XLOOKUP(MIN(ABS($AZ$3:$AZ$31 - MEDIAN(MIN($AZ$3:$AZ$31), MAX($AZ$3:$AZ$31), AW25))), ABS($AZ$3:$AZ$31 - MEDIAN(MIN($AZ$3:$AZ$31), MAX($AZ$3:$AZ$31), AW25)), $BA$3:$BA$31, "Error", 0)</f>
        <v>0</v>
      </c>
      <c r="AX55" s="192" t="e" cm="1">
        <f t="array" ref="AX55">_xlfn.XLOOKUP(MIN(ABS($AZ$3:$AZ$31 - MEDIAN(MIN($AZ$3:$AZ$31), MAX($AZ$3:$AZ$31), AX25))), ABS($AZ$3:$AZ$31 - MEDIAN(MIN($AZ$3:$AZ$31), MAX($AZ$3:$AZ$31), AX25)), $BA$3:$BA$31, "Error", 0)</f>
        <v>#VALUE!</v>
      </c>
      <c r="AY55" s="195"/>
      <c r="AZ55" s="195"/>
      <c r="BA55" s="195"/>
      <c r="BB55" s="195"/>
      <c r="BC55" s="195"/>
      <c r="BD55" s="195"/>
      <c r="BE55" s="195"/>
      <c r="BF55" s="195"/>
      <c r="BG55" s="195"/>
      <c r="BH55" s="195"/>
      <c r="BI55" s="195"/>
      <c r="BJ55" s="195"/>
    </row>
    <row r="56" spans="2:62" ht="25" customHeight="1">
      <c r="B56" s="163" t="s">
        <v>52</v>
      </c>
      <c r="C56" s="186" cm="1">
        <f t="array" ref="C56">_xlfn.XLOOKUP(MIN(ABS($AZ$3:$AZ$31 - MEDIAN(MIN($AZ$3:$AZ$31), MAX($AZ$3:$AZ$31), C26))), ABS($AZ$3:$AZ$31 - MEDIAN(MIN($AZ$3:$AZ$31), MAX($AZ$3:$AZ$31), C26)), $BA$3:$BA$31, "Error", 0)</f>
        <v>7</v>
      </c>
      <c r="D56" s="186" cm="1">
        <f t="array" ref="D56">_xlfn.XLOOKUP(MIN(ABS($AZ$3:$AZ$31 - MEDIAN(MIN($AZ$3:$AZ$31), MAX($AZ$3:$AZ$31), D26))), ABS($AZ$3:$AZ$31 - MEDIAN(MIN($AZ$3:$AZ$31), MAX($AZ$3:$AZ$31), D26)), $BA$3:$BA$31, "Error", 0)</f>
        <v>8</v>
      </c>
      <c r="E56" s="186" cm="1">
        <f t="array" ref="E56">_xlfn.XLOOKUP(MIN(ABS($AZ$3:$AZ$31 - MEDIAN(MIN($AZ$3:$AZ$31), MAX($AZ$3:$AZ$31), E26))), ABS($AZ$3:$AZ$31 - MEDIAN(MIN($AZ$3:$AZ$31), MAX($AZ$3:$AZ$31), E26)), $BA$3:$BA$31, "Error", 0)</f>
        <v>9</v>
      </c>
      <c r="F56" s="186" cm="1">
        <f t="array" ref="F56">_xlfn.XLOOKUP(MIN(ABS($AZ$3:$AZ$31 - MEDIAN(MIN($AZ$3:$AZ$31), MAX($AZ$3:$AZ$31), F26))), ABS($AZ$3:$AZ$31 - MEDIAN(MIN($AZ$3:$AZ$31), MAX($AZ$3:$AZ$31), F26)), $BA$3:$BA$31, "Error", 0)</f>
        <v>9</v>
      </c>
      <c r="G56" s="186" cm="1">
        <f t="array" ref="G56">_xlfn.XLOOKUP(MIN(ABS($AZ$3:$AZ$31 - MEDIAN(MIN($AZ$3:$AZ$31), MAX($AZ$3:$AZ$31), G26))), ABS($AZ$3:$AZ$31 - MEDIAN(MIN($AZ$3:$AZ$31), MAX($AZ$3:$AZ$31), G26)), $BA$3:$BA$31, "Error", 0)</f>
        <v>9</v>
      </c>
      <c r="H56" s="186" cm="1">
        <f t="array" ref="H56">_xlfn.XLOOKUP(MIN(ABS($AZ$3:$AZ$31 - MEDIAN(MIN($AZ$3:$AZ$31), MAX($AZ$3:$AZ$31), H26))), ABS($AZ$3:$AZ$31 - MEDIAN(MIN($AZ$3:$AZ$31), MAX($AZ$3:$AZ$31), H26)), $BA$3:$BA$31, "Error", 0)</f>
        <v>10</v>
      </c>
      <c r="I56" s="186" cm="1">
        <f t="array" ref="I56">_xlfn.XLOOKUP(MIN(ABS($AZ$3:$AZ$31 - MEDIAN(MIN($AZ$3:$AZ$31), MAX($AZ$3:$AZ$31), I26))), ABS($AZ$3:$AZ$31 - MEDIAN(MIN($AZ$3:$AZ$31), MAX($AZ$3:$AZ$31), I26)), $BA$3:$BA$31, "Error", 0)</f>
        <v>10</v>
      </c>
      <c r="J56" s="186" cm="1">
        <f t="array" ref="J56">_xlfn.XLOOKUP(MIN(ABS($AZ$3:$AZ$31 - MEDIAN(MIN($AZ$3:$AZ$31), MAX($AZ$3:$AZ$31), J26))), ABS($AZ$3:$AZ$31 - MEDIAN(MIN($AZ$3:$AZ$31), MAX($AZ$3:$AZ$31), J26)), $BA$3:$BA$31, "Error", 0)</f>
        <v>6</v>
      </c>
      <c r="K56" s="186" cm="1">
        <f t="array" ref="K56">_xlfn.XLOOKUP(MIN(ABS($AZ$3:$AZ$31 - MEDIAN(MIN($AZ$3:$AZ$31), MAX($AZ$3:$AZ$31), K26))), ABS($AZ$3:$AZ$31 - MEDIAN(MIN($AZ$3:$AZ$31), MAX($AZ$3:$AZ$31), K26)), $BA$3:$BA$31, "Error", 0)</f>
        <v>6</v>
      </c>
      <c r="L56" s="186" cm="1">
        <f t="array" ref="L56">_xlfn.XLOOKUP(MIN(ABS($AZ$3:$AZ$31 - MEDIAN(MIN($AZ$3:$AZ$31), MAX($AZ$3:$AZ$31), L26))), ABS($AZ$3:$AZ$31 - MEDIAN(MIN($AZ$3:$AZ$31), MAX($AZ$3:$AZ$31), L26)), $BA$3:$BA$31, "Error", 0)</f>
        <v>6</v>
      </c>
      <c r="M56" s="186" cm="1">
        <f t="array" ref="M56">_xlfn.XLOOKUP(MIN(ABS($AZ$3:$AZ$31 - MEDIAN(MIN($AZ$3:$AZ$31), MAX($AZ$3:$AZ$31), M26))), ABS($AZ$3:$AZ$31 - MEDIAN(MIN($AZ$3:$AZ$31), MAX($AZ$3:$AZ$31), M26)), $BA$3:$BA$31, "Error", 0)</f>
        <v>6</v>
      </c>
      <c r="N56" s="186" cm="1">
        <f t="array" ref="N56">_xlfn.XLOOKUP(MIN(ABS($AZ$3:$AZ$31 - MEDIAN(MIN($AZ$3:$AZ$31), MAX($AZ$3:$AZ$31), N26))), ABS($AZ$3:$AZ$31 - MEDIAN(MIN($AZ$3:$AZ$31), MAX($AZ$3:$AZ$31), N26)), $BA$3:$BA$31, "Error", 0)</f>
        <v>6</v>
      </c>
      <c r="O56" s="186" cm="1">
        <f t="array" ref="O56">_xlfn.XLOOKUP(MIN(ABS($AZ$3:$AZ$31 - MEDIAN(MIN($AZ$3:$AZ$31), MAX($AZ$3:$AZ$31), O26))), ABS($AZ$3:$AZ$31 - MEDIAN(MIN($AZ$3:$AZ$31), MAX($AZ$3:$AZ$31), O26)), $BA$3:$BA$31, "Error", 0)</f>
        <v>6</v>
      </c>
      <c r="P56" s="186" cm="1">
        <f t="array" ref="P56">_xlfn.XLOOKUP(MIN(ABS($AZ$3:$AZ$31 - MEDIAN(MIN($AZ$3:$AZ$31), MAX($AZ$3:$AZ$31), P26))), ABS($AZ$3:$AZ$31 - MEDIAN(MIN($AZ$3:$AZ$31), MAX($AZ$3:$AZ$31), P26)), $BA$3:$BA$31, "Error", 0)</f>
        <v>6</v>
      </c>
      <c r="Q56" s="186" cm="1">
        <f t="array" ref="Q56">_xlfn.XLOOKUP(MIN(ABS($AZ$3:$AZ$31 - MEDIAN(MIN($AZ$3:$AZ$31), MAX($AZ$3:$AZ$31), Q26))), ABS($AZ$3:$AZ$31 - MEDIAN(MIN($AZ$3:$AZ$31), MAX($AZ$3:$AZ$31), Q26)), $BA$3:$BA$31, "Error", 0)</f>
        <v>10</v>
      </c>
      <c r="R56" s="186" cm="1">
        <f t="array" ref="R56">_xlfn.XLOOKUP(MIN(ABS($AZ$3:$AZ$31 - MEDIAN(MIN($AZ$3:$AZ$31), MAX($AZ$3:$AZ$31), R26))), ABS($AZ$3:$AZ$31 - MEDIAN(MIN($AZ$3:$AZ$31), MAX($AZ$3:$AZ$31), R26)), $BA$3:$BA$31, "Error", 0)</f>
        <v>10</v>
      </c>
      <c r="S56" s="186" cm="1">
        <f t="array" ref="S56">_xlfn.XLOOKUP(MIN(ABS($AZ$3:$AZ$31 - MEDIAN(MIN($AZ$3:$AZ$31), MAX($AZ$3:$AZ$31), S26))), ABS($AZ$3:$AZ$31 - MEDIAN(MIN($AZ$3:$AZ$31), MAX($AZ$3:$AZ$31), S26)), $BA$3:$BA$31, "Error", 0)</f>
        <v>10</v>
      </c>
      <c r="T56" s="186" cm="1">
        <f t="array" ref="T56">_xlfn.XLOOKUP(MIN(ABS($AZ$3:$AZ$31 - MEDIAN(MIN($AZ$3:$AZ$31), MAX($AZ$3:$AZ$31), T26))), ABS($AZ$3:$AZ$31 - MEDIAN(MIN($AZ$3:$AZ$31), MAX($AZ$3:$AZ$31), T26)), $BA$3:$BA$31, "Error", 0)</f>
        <v>10</v>
      </c>
      <c r="U56" s="186" cm="1">
        <f t="array" ref="U56">_xlfn.XLOOKUP(MIN(ABS($AZ$3:$AZ$31 - MEDIAN(MIN($AZ$3:$AZ$31), MAX($AZ$3:$AZ$31), U26))), ABS($AZ$3:$AZ$31 - MEDIAN(MIN($AZ$3:$AZ$31), MAX($AZ$3:$AZ$31), U26)), $BA$3:$BA$31, "Error", 0)</f>
        <v>10</v>
      </c>
      <c r="V56" s="186" cm="1">
        <f t="array" ref="V56">_xlfn.XLOOKUP(MIN(ABS($AZ$3:$AZ$31 - MEDIAN(MIN($AZ$3:$AZ$31), MAX($AZ$3:$AZ$31), V26))), ABS($AZ$3:$AZ$31 - MEDIAN(MIN($AZ$3:$AZ$31), MAX($AZ$3:$AZ$31), V26)), $BA$3:$BA$31, "Error", 0)</f>
        <v>10</v>
      </c>
      <c r="W56" s="186" cm="1">
        <f t="array" ref="W56">_xlfn.XLOOKUP(MIN(ABS($AZ$3:$AZ$31 - MEDIAN(MIN($AZ$3:$AZ$31), MAX($AZ$3:$AZ$31), W26))), ABS($AZ$3:$AZ$31 - MEDIAN(MIN($AZ$3:$AZ$31), MAX($AZ$3:$AZ$31), W26)), $BA$3:$BA$31, "Error", 0)</f>
        <v>10</v>
      </c>
      <c r="X56" s="186" cm="1">
        <f t="array" ref="X56">_xlfn.XLOOKUP(MIN(ABS($AZ$3:$AZ$31 - MEDIAN(MIN($AZ$3:$AZ$31), MAX($AZ$3:$AZ$31), X26))), ABS($AZ$3:$AZ$31 - MEDIAN(MIN($AZ$3:$AZ$31), MAX($AZ$3:$AZ$31), X26)), $BA$3:$BA$31, "Error", 0)</f>
        <v>10</v>
      </c>
      <c r="Y56" s="186" cm="1">
        <f t="array" ref="Y56">_xlfn.XLOOKUP(MIN(ABS($AZ$3:$AZ$31 - MEDIAN(MIN($AZ$3:$AZ$31), MAX($AZ$3:$AZ$31), Y26))), ABS($AZ$3:$AZ$31 - MEDIAN(MIN($AZ$3:$AZ$31), MAX($AZ$3:$AZ$31), Y26)), $BA$3:$BA$31, "Error", 0)</f>
        <v>9</v>
      </c>
      <c r="Z56" s="186" cm="1">
        <f t="array" ref="Z56">_xlfn.XLOOKUP(MIN(ABS($AZ$3:$AZ$31 - MEDIAN(MIN($AZ$3:$AZ$31), MAX($AZ$3:$AZ$31), Z26))), ABS($AZ$3:$AZ$31 - MEDIAN(MIN($AZ$3:$AZ$31), MAX($AZ$3:$AZ$31), Z26)), $BA$3:$BA$31, "Error", 0)</f>
        <v>9</v>
      </c>
      <c r="AA56" s="186" cm="1">
        <f t="array" ref="AA56">_xlfn.XLOOKUP(MIN(ABS($AZ$3:$AZ$31 - MEDIAN(MIN($AZ$3:$AZ$31), MAX($AZ$3:$AZ$31), AA26))), ABS($AZ$3:$AZ$31 - MEDIAN(MIN($AZ$3:$AZ$31), MAX($AZ$3:$AZ$31), AA26)), $BA$3:$BA$31, "Error", 0)</f>
        <v>9</v>
      </c>
      <c r="AB56" s="186" cm="1">
        <f t="array" ref="AB56">_xlfn.XLOOKUP(MIN(ABS($AZ$3:$AZ$31 - MEDIAN(MIN($AZ$3:$AZ$31), MAX($AZ$3:$AZ$31), AB26))), ABS($AZ$3:$AZ$31 - MEDIAN(MIN($AZ$3:$AZ$31), MAX($AZ$3:$AZ$31), AB26)), $BA$3:$BA$31, "Error", 0)</f>
        <v>8</v>
      </c>
      <c r="AC56" s="186" cm="1">
        <f t="array" ref="AC56">_xlfn.XLOOKUP(MIN(ABS($AZ$3:$AZ$31 - MEDIAN(MIN($AZ$3:$AZ$31), MAX($AZ$3:$AZ$31), AC26))), ABS($AZ$3:$AZ$31 - MEDIAN(MIN($AZ$3:$AZ$31), MAX($AZ$3:$AZ$31), AC26)), $BA$3:$BA$31, "Error", 0)</f>
        <v>8</v>
      </c>
      <c r="AD56" s="186" cm="1">
        <f t="array" ref="AD56">_xlfn.XLOOKUP(MIN(ABS($AZ$3:$AZ$31 - MEDIAN(MIN($AZ$3:$AZ$31), MAX($AZ$3:$AZ$31), AD26))), ABS($AZ$3:$AZ$31 - MEDIAN(MIN($AZ$3:$AZ$31), MAX($AZ$3:$AZ$31), AD26)), $BA$3:$BA$31, "Error", 0)</f>
        <v>8</v>
      </c>
      <c r="AE56" s="186" cm="1">
        <f t="array" ref="AE56">_xlfn.XLOOKUP(MIN(ABS($AZ$3:$AZ$31 - MEDIAN(MIN($AZ$3:$AZ$31), MAX($AZ$3:$AZ$31), AE26))), ABS($AZ$3:$AZ$31 - MEDIAN(MIN($AZ$3:$AZ$31), MAX($AZ$3:$AZ$31), AE26)), $BA$3:$BA$31, "Error", 0)</f>
        <v>8</v>
      </c>
      <c r="AF56" s="186" cm="1">
        <f t="array" ref="AF56">_xlfn.XLOOKUP(MIN(ABS($AZ$3:$AZ$31 - MEDIAN(MIN($AZ$3:$AZ$31), MAX($AZ$3:$AZ$31), AF26))), ABS($AZ$3:$AZ$31 - MEDIAN(MIN($AZ$3:$AZ$31), MAX($AZ$3:$AZ$31), AF26)), $BA$3:$BA$31, "Error", 0)</f>
        <v>8</v>
      </c>
      <c r="AG56" s="186" cm="1">
        <f t="array" ref="AG56">_xlfn.XLOOKUP(MIN(ABS($AZ$3:$AZ$31 - MEDIAN(MIN($AZ$3:$AZ$31), MAX($AZ$3:$AZ$31), AG26))), ABS($AZ$3:$AZ$31 - MEDIAN(MIN($AZ$3:$AZ$31), MAX($AZ$3:$AZ$31), AG26)), $BA$3:$BA$31, "Error", 0)</f>
        <v>8</v>
      </c>
      <c r="AH56" s="186" cm="1">
        <f t="array" ref="AH56">_xlfn.XLOOKUP(MIN(ABS($AZ$3:$AZ$31 - MEDIAN(MIN($AZ$3:$AZ$31), MAX($AZ$3:$AZ$31), AH26))), ABS($AZ$3:$AZ$31 - MEDIAN(MIN($AZ$3:$AZ$31), MAX($AZ$3:$AZ$31), AH26)), $BA$3:$BA$31, "Error", 0)</f>
        <v>7</v>
      </c>
      <c r="AI56" s="186" cm="1">
        <f t="array" ref="AI56">_xlfn.XLOOKUP(MIN(ABS($AZ$3:$AZ$31 - MEDIAN(MIN($AZ$3:$AZ$31), MAX($AZ$3:$AZ$31), AI26))), ABS($AZ$3:$AZ$31 - MEDIAN(MIN($AZ$3:$AZ$31), MAX($AZ$3:$AZ$31), AI26)), $BA$3:$BA$31, "Error", 0)</f>
        <v>7</v>
      </c>
      <c r="AJ56" s="186" cm="1">
        <f t="array" ref="AJ56">_xlfn.XLOOKUP(MIN(ABS($AZ$3:$AZ$31 - MEDIAN(MIN($AZ$3:$AZ$31), MAX($AZ$3:$AZ$31), AJ26))), ABS($AZ$3:$AZ$31 - MEDIAN(MIN($AZ$3:$AZ$31), MAX($AZ$3:$AZ$31), AJ26)), $BA$3:$BA$31, "Error", 0)</f>
        <v>7</v>
      </c>
      <c r="AK56" s="186" cm="1">
        <f t="array" ref="AK56">_xlfn.XLOOKUP(MIN(ABS($AZ$3:$AZ$31 - MEDIAN(MIN($AZ$3:$AZ$31), MAX($AZ$3:$AZ$31), AK26))), ABS($AZ$3:$AZ$31 - MEDIAN(MIN($AZ$3:$AZ$31), MAX($AZ$3:$AZ$31), AK26)), $BA$3:$BA$31, "Error", 0)</f>
        <v>7</v>
      </c>
      <c r="AL56" s="186" cm="1">
        <f t="array" ref="AL56">_xlfn.XLOOKUP(MIN(ABS($AZ$3:$AZ$31 - MEDIAN(MIN($AZ$3:$AZ$31), MAX($AZ$3:$AZ$31), AL26))), ABS($AZ$3:$AZ$31 - MEDIAN(MIN($AZ$3:$AZ$31), MAX($AZ$3:$AZ$31), AL26)), $BA$3:$BA$31, "Error", 0)</f>
        <v>6</v>
      </c>
      <c r="AM56" s="186" cm="1">
        <f t="array" ref="AM56">_xlfn.XLOOKUP(MIN(ABS($AZ$3:$AZ$31 - MEDIAN(MIN($AZ$3:$AZ$31), MAX($AZ$3:$AZ$31), AM26))), ABS($AZ$3:$AZ$31 - MEDIAN(MIN($AZ$3:$AZ$31), MAX($AZ$3:$AZ$31), AM26)), $BA$3:$BA$31, "Error", 0)</f>
        <v>6</v>
      </c>
      <c r="AN56" s="186" cm="1">
        <f t="array" ref="AN56">_xlfn.XLOOKUP(MIN(ABS($AZ$3:$AZ$31 - MEDIAN(MIN($AZ$3:$AZ$31), MAX($AZ$3:$AZ$31), AN26))), ABS($AZ$3:$AZ$31 - MEDIAN(MIN($AZ$3:$AZ$31), MAX($AZ$3:$AZ$31), AN26)), $BA$3:$BA$31, "Error", 0)</f>
        <v>6</v>
      </c>
      <c r="AO56" s="186" cm="1">
        <f t="array" ref="AO56">_xlfn.XLOOKUP(MIN(ABS($AZ$3:$AZ$31 - MEDIAN(MIN($AZ$3:$AZ$31), MAX($AZ$3:$AZ$31), AO26))), ABS($AZ$3:$AZ$31 - MEDIAN(MIN($AZ$3:$AZ$31), MAX($AZ$3:$AZ$31), AO26)), $BA$3:$BA$31, "Error", 0)</f>
        <v>6</v>
      </c>
      <c r="AP56" s="186" cm="1">
        <f t="array" ref="AP56">_xlfn.XLOOKUP(MIN(ABS($AZ$3:$AZ$31 - MEDIAN(MIN($AZ$3:$AZ$31), MAX($AZ$3:$AZ$31), AP26))), ABS($AZ$3:$AZ$31 - MEDIAN(MIN($AZ$3:$AZ$31), MAX($AZ$3:$AZ$31), AP26)), $BA$3:$BA$31, "Error", 0)</f>
        <v>6</v>
      </c>
      <c r="AQ56" s="186" cm="1">
        <f t="array" ref="AQ56">_xlfn.XLOOKUP(MIN(ABS($AZ$3:$AZ$31 - MEDIAN(MIN($AZ$3:$AZ$31), MAX($AZ$3:$AZ$31), AQ26))), ABS($AZ$3:$AZ$31 - MEDIAN(MIN($AZ$3:$AZ$31), MAX($AZ$3:$AZ$31), AQ26)), $BA$3:$BA$31, "Error", 0)</f>
        <v>6</v>
      </c>
      <c r="AR56" s="186" cm="1">
        <f t="array" ref="AR56">_xlfn.XLOOKUP(MIN(ABS($AZ$3:$AZ$31 - MEDIAN(MIN($AZ$3:$AZ$31), MAX($AZ$3:$AZ$31), AR26))), ABS($AZ$3:$AZ$31 - MEDIAN(MIN($AZ$3:$AZ$31), MAX($AZ$3:$AZ$31), AR26)), $BA$3:$BA$31, "Error", 0)</f>
        <v>6</v>
      </c>
      <c r="AS56" s="186" cm="1">
        <f t="array" ref="AS56">_xlfn.XLOOKUP(MIN(ABS($AZ$3:$AZ$31 - MEDIAN(MIN($AZ$3:$AZ$31), MAX($AZ$3:$AZ$31), AS26))), ABS($AZ$3:$AZ$31 - MEDIAN(MIN($AZ$3:$AZ$31), MAX($AZ$3:$AZ$31), AS26)), $BA$3:$BA$31, "Error", 0)</f>
        <v>6</v>
      </c>
      <c r="AT56" s="186" cm="1">
        <f t="array" ref="AT56">_xlfn.XLOOKUP(MIN(ABS($AZ$3:$AZ$31 - MEDIAN(MIN($AZ$3:$AZ$31), MAX($AZ$3:$AZ$31), AT26))), ABS($AZ$3:$AZ$31 - MEDIAN(MIN($AZ$3:$AZ$31), MAX($AZ$3:$AZ$31), AT26)), $BA$3:$BA$31, "Error", 0)</f>
        <v>6</v>
      </c>
      <c r="AU56" s="186" cm="1">
        <f t="array" ref="AU56">_xlfn.XLOOKUP(MIN(ABS($AZ$3:$AZ$31 - MEDIAN(MIN($AZ$3:$AZ$31), MAX($AZ$3:$AZ$31), AU26))), ABS($AZ$3:$AZ$31 - MEDIAN(MIN($AZ$3:$AZ$31), MAX($AZ$3:$AZ$31), AU26)), $BA$3:$BA$31, "Error", 0)</f>
        <v>6</v>
      </c>
      <c r="AV56" s="186" cm="1">
        <f t="array" ref="AV56">_xlfn.XLOOKUP(MIN(ABS($AZ$3:$AZ$31 - MEDIAN(MIN($AZ$3:$AZ$31), MAX($AZ$3:$AZ$31), AV26))), ABS($AZ$3:$AZ$31 - MEDIAN(MIN($AZ$3:$AZ$31), MAX($AZ$3:$AZ$31), AV26)), $BA$3:$BA$31, "Error", 0)</f>
        <v>6</v>
      </c>
      <c r="AW56" s="186" cm="1">
        <f t="array" ref="AW56">_xlfn.XLOOKUP(MIN(ABS($AZ$3:$AZ$31 - MEDIAN(MIN($AZ$3:$AZ$31), MAX($AZ$3:$AZ$31), AW26))), ABS($AZ$3:$AZ$31 - MEDIAN(MIN($AZ$3:$AZ$31), MAX($AZ$3:$AZ$31), AW26)), $BA$3:$BA$31, "Error", 0)</f>
        <v>5</v>
      </c>
      <c r="AX56" s="192" t="e" cm="1">
        <f t="array" ref="AX56">_xlfn.XLOOKUP(MIN(ABS($AZ$3:$AZ$31 - MEDIAN(MIN($AZ$3:$AZ$31), MAX($AZ$3:$AZ$31), AX26))), ABS($AZ$3:$AZ$31 - MEDIAN(MIN($AZ$3:$AZ$31), MAX($AZ$3:$AZ$31), AX26)), $BA$3:$BA$31, "Error", 0)</f>
        <v>#VALUE!</v>
      </c>
      <c r="AY56" s="195"/>
      <c r="AZ56" s="195"/>
      <c r="BA56" s="195"/>
      <c r="BB56" s="195"/>
      <c r="BC56" s="195"/>
      <c r="BD56" s="195"/>
      <c r="BE56" s="195"/>
      <c r="BF56" s="195"/>
      <c r="BG56" s="195"/>
      <c r="BH56" s="195"/>
      <c r="BI56" s="195"/>
      <c r="BJ56" s="195"/>
    </row>
    <row r="57" spans="2:62" ht="25" customHeight="1">
      <c r="B57" s="163" t="s">
        <v>53</v>
      </c>
      <c r="C57" s="186" cm="1">
        <f t="array" ref="C57">_xlfn.XLOOKUP(MIN(ABS($AZ$3:$AZ$31 - MEDIAN(MIN($AZ$3:$AZ$31), MAX($AZ$3:$AZ$31), C27))), ABS($AZ$3:$AZ$31 - MEDIAN(MIN($AZ$3:$AZ$31), MAX($AZ$3:$AZ$31), C27)), $BA$3:$BA$31, "Error", 0)</f>
        <v>5</v>
      </c>
      <c r="D57" s="186" cm="1">
        <f t="array" ref="D57">_xlfn.XLOOKUP(MIN(ABS($AZ$3:$AZ$31 - MEDIAN(MIN($AZ$3:$AZ$31), MAX($AZ$3:$AZ$31), D27))), ABS($AZ$3:$AZ$31 - MEDIAN(MIN($AZ$3:$AZ$31), MAX($AZ$3:$AZ$31), D27)), $BA$3:$BA$31, "Error", 0)</f>
        <v>6</v>
      </c>
      <c r="E57" s="186" cm="1">
        <f t="array" ref="E57">_xlfn.XLOOKUP(MIN(ABS($AZ$3:$AZ$31 - MEDIAN(MIN($AZ$3:$AZ$31), MAX($AZ$3:$AZ$31), E27))), ABS($AZ$3:$AZ$31 - MEDIAN(MIN($AZ$3:$AZ$31), MAX($AZ$3:$AZ$31), E27)), $BA$3:$BA$31, "Error", 0)</f>
        <v>6</v>
      </c>
      <c r="F57" s="186" cm="1">
        <f t="array" ref="F57">_xlfn.XLOOKUP(MIN(ABS($AZ$3:$AZ$31 - MEDIAN(MIN($AZ$3:$AZ$31), MAX($AZ$3:$AZ$31), F27))), ABS($AZ$3:$AZ$31 - MEDIAN(MIN($AZ$3:$AZ$31), MAX($AZ$3:$AZ$31), F27)), $BA$3:$BA$31, "Error", 0)</f>
        <v>6</v>
      </c>
      <c r="G57" s="186" cm="1">
        <f t="array" ref="G57">_xlfn.XLOOKUP(MIN(ABS($AZ$3:$AZ$31 - MEDIAN(MIN($AZ$3:$AZ$31), MAX($AZ$3:$AZ$31), G27))), ABS($AZ$3:$AZ$31 - MEDIAN(MIN($AZ$3:$AZ$31), MAX($AZ$3:$AZ$31), G27)), $BA$3:$BA$31, "Error", 0)</f>
        <v>6</v>
      </c>
      <c r="H57" s="186" cm="1">
        <f t="array" ref="H57">_xlfn.XLOOKUP(MIN(ABS($AZ$3:$AZ$31 - MEDIAN(MIN($AZ$3:$AZ$31), MAX($AZ$3:$AZ$31), H27))), ABS($AZ$3:$AZ$31 - MEDIAN(MIN($AZ$3:$AZ$31), MAX($AZ$3:$AZ$31), H27)), $BA$3:$BA$31, "Error", 0)</f>
        <v>7</v>
      </c>
      <c r="I57" s="186" cm="1">
        <f t="array" ref="I57">_xlfn.XLOOKUP(MIN(ABS($AZ$3:$AZ$31 - MEDIAN(MIN($AZ$3:$AZ$31), MAX($AZ$3:$AZ$31), I27))), ABS($AZ$3:$AZ$31 - MEDIAN(MIN($AZ$3:$AZ$31), MAX($AZ$3:$AZ$31), I27)), $BA$3:$BA$31, "Error", 0)</f>
        <v>7</v>
      </c>
      <c r="J57" s="186" cm="1">
        <f t="array" ref="J57">_xlfn.XLOOKUP(MIN(ABS($AZ$3:$AZ$31 - MEDIAN(MIN($AZ$3:$AZ$31), MAX($AZ$3:$AZ$31), J27))), ABS($AZ$3:$AZ$31 - MEDIAN(MIN($AZ$3:$AZ$31), MAX($AZ$3:$AZ$31), J27)), $BA$3:$BA$31, "Error", 0)</f>
        <v>7</v>
      </c>
      <c r="K57" s="186" cm="1">
        <f t="array" ref="K57">_xlfn.XLOOKUP(MIN(ABS($AZ$3:$AZ$31 - MEDIAN(MIN($AZ$3:$AZ$31), MAX($AZ$3:$AZ$31), K27))), ABS($AZ$3:$AZ$31 - MEDIAN(MIN($AZ$3:$AZ$31), MAX($AZ$3:$AZ$31), K27)), $BA$3:$BA$31, "Error", 0)</f>
        <v>7</v>
      </c>
      <c r="L57" s="186" cm="1">
        <f t="array" ref="L57">_xlfn.XLOOKUP(MIN(ABS($AZ$3:$AZ$31 - MEDIAN(MIN($AZ$3:$AZ$31), MAX($AZ$3:$AZ$31), L27))), ABS($AZ$3:$AZ$31 - MEDIAN(MIN($AZ$3:$AZ$31), MAX($AZ$3:$AZ$31), L27)), $BA$3:$BA$31, "Error", 0)</f>
        <v>7</v>
      </c>
      <c r="M57" s="186" cm="1">
        <f t="array" ref="M57">_xlfn.XLOOKUP(MIN(ABS($AZ$3:$AZ$31 - MEDIAN(MIN($AZ$3:$AZ$31), MAX($AZ$3:$AZ$31), M27))), ABS($AZ$3:$AZ$31 - MEDIAN(MIN($AZ$3:$AZ$31), MAX($AZ$3:$AZ$31), M27)), $BA$3:$BA$31, "Error", 0)</f>
        <v>7</v>
      </c>
      <c r="N57" s="186" cm="1">
        <f t="array" ref="N57">_xlfn.XLOOKUP(MIN(ABS($AZ$3:$AZ$31 - MEDIAN(MIN($AZ$3:$AZ$31), MAX($AZ$3:$AZ$31), N27))), ABS($AZ$3:$AZ$31 - MEDIAN(MIN($AZ$3:$AZ$31), MAX($AZ$3:$AZ$31), N27)), $BA$3:$BA$31, "Error", 0)</f>
        <v>7</v>
      </c>
      <c r="O57" s="186" cm="1">
        <f t="array" ref="O57">_xlfn.XLOOKUP(MIN(ABS($AZ$3:$AZ$31 - MEDIAN(MIN($AZ$3:$AZ$31), MAX($AZ$3:$AZ$31), O27))), ABS($AZ$3:$AZ$31 - MEDIAN(MIN($AZ$3:$AZ$31), MAX($AZ$3:$AZ$31), O27)), $BA$3:$BA$31, "Error", 0)</f>
        <v>7</v>
      </c>
      <c r="P57" s="186" cm="1">
        <f t="array" ref="P57">_xlfn.XLOOKUP(MIN(ABS($AZ$3:$AZ$31 - MEDIAN(MIN($AZ$3:$AZ$31), MAX($AZ$3:$AZ$31), P27))), ABS($AZ$3:$AZ$31 - MEDIAN(MIN($AZ$3:$AZ$31), MAX($AZ$3:$AZ$31), P27)), $BA$3:$BA$31, "Error", 0)</f>
        <v>7</v>
      </c>
      <c r="Q57" s="186" cm="1">
        <f t="array" ref="Q57">_xlfn.XLOOKUP(MIN(ABS($AZ$3:$AZ$31 - MEDIAN(MIN($AZ$3:$AZ$31), MAX($AZ$3:$AZ$31), Q27))), ABS($AZ$3:$AZ$31 - MEDIAN(MIN($AZ$3:$AZ$31), MAX($AZ$3:$AZ$31), Q27)), $BA$3:$BA$31, "Error", 0)</f>
        <v>8</v>
      </c>
      <c r="R57" s="186" cm="1">
        <f t="array" ref="R57">_xlfn.XLOOKUP(MIN(ABS($AZ$3:$AZ$31 - MEDIAN(MIN($AZ$3:$AZ$31), MAX($AZ$3:$AZ$31), R27))), ABS($AZ$3:$AZ$31 - MEDIAN(MIN($AZ$3:$AZ$31), MAX($AZ$3:$AZ$31), R27)), $BA$3:$BA$31, "Error", 0)</f>
        <v>8</v>
      </c>
      <c r="S57" s="186" cm="1">
        <f t="array" ref="S57">_xlfn.XLOOKUP(MIN(ABS($AZ$3:$AZ$31 - MEDIAN(MIN($AZ$3:$AZ$31), MAX($AZ$3:$AZ$31), S27))), ABS($AZ$3:$AZ$31 - MEDIAN(MIN($AZ$3:$AZ$31), MAX($AZ$3:$AZ$31), S27)), $BA$3:$BA$31, "Error", 0)</f>
        <v>8</v>
      </c>
      <c r="T57" s="186" cm="1">
        <f t="array" ref="T57">_xlfn.XLOOKUP(MIN(ABS($AZ$3:$AZ$31 - MEDIAN(MIN($AZ$3:$AZ$31), MAX($AZ$3:$AZ$31), T27))), ABS($AZ$3:$AZ$31 - MEDIAN(MIN($AZ$3:$AZ$31), MAX($AZ$3:$AZ$31), T27)), $BA$3:$BA$31, "Error", 0)</f>
        <v>8</v>
      </c>
      <c r="U57" s="186" cm="1">
        <f t="array" ref="U57">_xlfn.XLOOKUP(MIN(ABS($AZ$3:$AZ$31 - MEDIAN(MIN($AZ$3:$AZ$31), MAX($AZ$3:$AZ$31), U27))), ABS($AZ$3:$AZ$31 - MEDIAN(MIN($AZ$3:$AZ$31), MAX($AZ$3:$AZ$31), U27)), $BA$3:$BA$31, "Error", 0)</f>
        <v>8</v>
      </c>
      <c r="V57" s="186" cm="1">
        <f t="array" ref="V57">_xlfn.XLOOKUP(MIN(ABS($AZ$3:$AZ$31 - MEDIAN(MIN($AZ$3:$AZ$31), MAX($AZ$3:$AZ$31), V27))), ABS($AZ$3:$AZ$31 - MEDIAN(MIN($AZ$3:$AZ$31), MAX($AZ$3:$AZ$31), V27)), $BA$3:$BA$31, "Error", 0)</f>
        <v>8</v>
      </c>
      <c r="W57" s="186" cm="1">
        <f t="array" ref="W57">_xlfn.XLOOKUP(MIN(ABS($AZ$3:$AZ$31 - MEDIAN(MIN($AZ$3:$AZ$31), MAX($AZ$3:$AZ$31), W27))), ABS($AZ$3:$AZ$31 - MEDIAN(MIN($AZ$3:$AZ$31), MAX($AZ$3:$AZ$31), W27)), $BA$3:$BA$31, "Error", 0)</f>
        <v>8</v>
      </c>
      <c r="X57" s="186" cm="1">
        <f t="array" ref="X57">_xlfn.XLOOKUP(MIN(ABS($AZ$3:$AZ$31 - MEDIAN(MIN($AZ$3:$AZ$31), MAX($AZ$3:$AZ$31), X27))), ABS($AZ$3:$AZ$31 - MEDIAN(MIN($AZ$3:$AZ$31), MAX($AZ$3:$AZ$31), X27)), $BA$3:$BA$31, "Error", 0)</f>
        <v>8</v>
      </c>
      <c r="Y57" s="186" cm="1">
        <f t="array" ref="Y57">_xlfn.XLOOKUP(MIN(ABS($AZ$3:$AZ$31 - MEDIAN(MIN($AZ$3:$AZ$31), MAX($AZ$3:$AZ$31), Y27))), ABS($AZ$3:$AZ$31 - MEDIAN(MIN($AZ$3:$AZ$31), MAX($AZ$3:$AZ$31), Y27)), $BA$3:$BA$31, "Error", 0)</f>
        <v>8</v>
      </c>
      <c r="Z57" s="186" cm="1">
        <f t="array" ref="Z57">_xlfn.XLOOKUP(MIN(ABS($AZ$3:$AZ$31 - MEDIAN(MIN($AZ$3:$AZ$31), MAX($AZ$3:$AZ$31), Z27))), ABS($AZ$3:$AZ$31 - MEDIAN(MIN($AZ$3:$AZ$31), MAX($AZ$3:$AZ$31), Z27)), $BA$3:$BA$31, "Error", 0)</f>
        <v>9</v>
      </c>
      <c r="AA57" s="186" cm="1">
        <f t="array" ref="AA57">_xlfn.XLOOKUP(MIN(ABS($AZ$3:$AZ$31 - MEDIAN(MIN($AZ$3:$AZ$31), MAX($AZ$3:$AZ$31), AA27))), ABS($AZ$3:$AZ$31 - MEDIAN(MIN($AZ$3:$AZ$31), MAX($AZ$3:$AZ$31), AA27)), $BA$3:$BA$31, "Error", 0)</f>
        <v>9</v>
      </c>
      <c r="AB57" s="186" cm="1">
        <f t="array" ref="AB57">_xlfn.XLOOKUP(MIN(ABS($AZ$3:$AZ$31 - MEDIAN(MIN($AZ$3:$AZ$31), MAX($AZ$3:$AZ$31), AB27))), ABS($AZ$3:$AZ$31 - MEDIAN(MIN($AZ$3:$AZ$31), MAX($AZ$3:$AZ$31), AB27)), $BA$3:$BA$31, "Error", 0)</f>
        <v>8</v>
      </c>
      <c r="AC57" s="186" cm="1">
        <f t="array" ref="AC57">_xlfn.XLOOKUP(MIN(ABS($AZ$3:$AZ$31 - MEDIAN(MIN($AZ$3:$AZ$31), MAX($AZ$3:$AZ$31), AC27))), ABS($AZ$3:$AZ$31 - MEDIAN(MIN($AZ$3:$AZ$31), MAX($AZ$3:$AZ$31), AC27)), $BA$3:$BA$31, "Error", 0)</f>
        <v>9</v>
      </c>
      <c r="AD57" s="186" cm="1">
        <f t="array" ref="AD57">_xlfn.XLOOKUP(MIN(ABS($AZ$3:$AZ$31 - MEDIAN(MIN($AZ$3:$AZ$31), MAX($AZ$3:$AZ$31), AD27))), ABS($AZ$3:$AZ$31 - MEDIAN(MIN($AZ$3:$AZ$31), MAX($AZ$3:$AZ$31), AD27)), $BA$3:$BA$31, "Error", 0)</f>
        <v>9</v>
      </c>
      <c r="AE57" s="186" cm="1">
        <f t="array" ref="AE57">_xlfn.XLOOKUP(MIN(ABS($AZ$3:$AZ$31 - MEDIAN(MIN($AZ$3:$AZ$31), MAX($AZ$3:$AZ$31), AE27))), ABS($AZ$3:$AZ$31 - MEDIAN(MIN($AZ$3:$AZ$31), MAX($AZ$3:$AZ$31), AE27)), $BA$3:$BA$31, "Error", 0)</f>
        <v>8</v>
      </c>
      <c r="AF57" s="186" cm="1">
        <f t="array" ref="AF57">_xlfn.XLOOKUP(MIN(ABS($AZ$3:$AZ$31 - MEDIAN(MIN($AZ$3:$AZ$31), MAX($AZ$3:$AZ$31), AF27))), ABS($AZ$3:$AZ$31 - MEDIAN(MIN($AZ$3:$AZ$31), MAX($AZ$3:$AZ$31), AF27)), $BA$3:$BA$31, "Error", 0)</f>
        <v>9</v>
      </c>
      <c r="AG57" s="186" cm="1">
        <f t="array" ref="AG57">_xlfn.XLOOKUP(MIN(ABS($AZ$3:$AZ$31 - MEDIAN(MIN($AZ$3:$AZ$31), MAX($AZ$3:$AZ$31), AG27))), ABS($AZ$3:$AZ$31 - MEDIAN(MIN($AZ$3:$AZ$31), MAX($AZ$3:$AZ$31), AG27)), $BA$3:$BA$31, "Error", 0)</f>
        <v>9</v>
      </c>
      <c r="AH57" s="186" cm="1">
        <f t="array" ref="AH57">_xlfn.XLOOKUP(MIN(ABS($AZ$3:$AZ$31 - MEDIAN(MIN($AZ$3:$AZ$31), MAX($AZ$3:$AZ$31), AH27))), ABS($AZ$3:$AZ$31 - MEDIAN(MIN($AZ$3:$AZ$31), MAX($AZ$3:$AZ$31), AH27)), $BA$3:$BA$31, "Error", 0)</f>
        <v>8</v>
      </c>
      <c r="AI57" s="186" cm="1">
        <f t="array" ref="AI57">_xlfn.XLOOKUP(MIN(ABS($AZ$3:$AZ$31 - MEDIAN(MIN($AZ$3:$AZ$31), MAX($AZ$3:$AZ$31), AI27))), ABS($AZ$3:$AZ$31 - MEDIAN(MIN($AZ$3:$AZ$31), MAX($AZ$3:$AZ$31), AI27)), $BA$3:$BA$31, "Error", 0)</f>
        <v>8</v>
      </c>
      <c r="AJ57" s="186" cm="1">
        <f t="array" ref="AJ57">_xlfn.XLOOKUP(MIN(ABS($AZ$3:$AZ$31 - MEDIAN(MIN($AZ$3:$AZ$31), MAX($AZ$3:$AZ$31), AJ27))), ABS($AZ$3:$AZ$31 - MEDIAN(MIN($AZ$3:$AZ$31), MAX($AZ$3:$AZ$31), AJ27)), $BA$3:$BA$31, "Error", 0)</f>
        <v>8</v>
      </c>
      <c r="AK57" s="186" cm="1">
        <f t="array" ref="AK57">_xlfn.XLOOKUP(MIN(ABS($AZ$3:$AZ$31 - MEDIAN(MIN($AZ$3:$AZ$31), MAX($AZ$3:$AZ$31), AK27))), ABS($AZ$3:$AZ$31 - MEDIAN(MIN($AZ$3:$AZ$31), MAX($AZ$3:$AZ$31), AK27)), $BA$3:$BA$31, "Error", 0)</f>
        <v>8</v>
      </c>
      <c r="AL57" s="186" cm="1">
        <f t="array" ref="AL57">_xlfn.XLOOKUP(MIN(ABS($AZ$3:$AZ$31 - MEDIAN(MIN($AZ$3:$AZ$31), MAX($AZ$3:$AZ$31), AL27))), ABS($AZ$3:$AZ$31 - MEDIAN(MIN($AZ$3:$AZ$31), MAX($AZ$3:$AZ$31), AL27)), $BA$3:$BA$31, "Error", 0)</f>
        <v>8</v>
      </c>
      <c r="AM57" s="186" cm="1">
        <f t="array" ref="AM57">_xlfn.XLOOKUP(MIN(ABS($AZ$3:$AZ$31 - MEDIAN(MIN($AZ$3:$AZ$31), MAX($AZ$3:$AZ$31), AM27))), ABS($AZ$3:$AZ$31 - MEDIAN(MIN($AZ$3:$AZ$31), MAX($AZ$3:$AZ$31), AM27)), $BA$3:$BA$31, "Error", 0)</f>
        <v>8</v>
      </c>
      <c r="AN57" s="186" cm="1">
        <f t="array" ref="AN57">_xlfn.XLOOKUP(MIN(ABS($AZ$3:$AZ$31 - MEDIAN(MIN($AZ$3:$AZ$31), MAX($AZ$3:$AZ$31), AN27))), ABS($AZ$3:$AZ$31 - MEDIAN(MIN($AZ$3:$AZ$31), MAX($AZ$3:$AZ$31), AN27)), $BA$3:$BA$31, "Error", 0)</f>
        <v>8</v>
      </c>
      <c r="AO57" s="186" cm="1">
        <f t="array" ref="AO57">_xlfn.XLOOKUP(MIN(ABS($AZ$3:$AZ$31 - MEDIAN(MIN($AZ$3:$AZ$31), MAX($AZ$3:$AZ$31), AO27))), ABS($AZ$3:$AZ$31 - MEDIAN(MIN($AZ$3:$AZ$31), MAX($AZ$3:$AZ$31), AO27)), $BA$3:$BA$31, "Error", 0)</f>
        <v>8</v>
      </c>
      <c r="AP57" s="186" cm="1">
        <f t="array" ref="AP57">_xlfn.XLOOKUP(MIN(ABS($AZ$3:$AZ$31 - MEDIAN(MIN($AZ$3:$AZ$31), MAX($AZ$3:$AZ$31), AP27))), ABS($AZ$3:$AZ$31 - MEDIAN(MIN($AZ$3:$AZ$31), MAX($AZ$3:$AZ$31), AP27)), $BA$3:$BA$31, "Error", 0)</f>
        <v>8</v>
      </c>
      <c r="AQ57" s="186" cm="1">
        <f t="array" ref="AQ57">_xlfn.XLOOKUP(MIN(ABS($AZ$3:$AZ$31 - MEDIAN(MIN($AZ$3:$AZ$31), MAX($AZ$3:$AZ$31), AQ27))), ABS($AZ$3:$AZ$31 - MEDIAN(MIN($AZ$3:$AZ$31), MAX($AZ$3:$AZ$31), AQ27)), $BA$3:$BA$31, "Error", 0)</f>
        <v>8</v>
      </c>
      <c r="AR57" s="186" cm="1">
        <f t="array" ref="AR57">_xlfn.XLOOKUP(MIN(ABS($AZ$3:$AZ$31 - MEDIAN(MIN($AZ$3:$AZ$31), MAX($AZ$3:$AZ$31), AR27))), ABS($AZ$3:$AZ$31 - MEDIAN(MIN($AZ$3:$AZ$31), MAX($AZ$3:$AZ$31), AR27)), $BA$3:$BA$31, "Error", 0)</f>
        <v>8</v>
      </c>
      <c r="AS57" s="186" cm="1">
        <f t="array" ref="AS57">_xlfn.XLOOKUP(MIN(ABS($AZ$3:$AZ$31 - MEDIAN(MIN($AZ$3:$AZ$31), MAX($AZ$3:$AZ$31), AS27))), ABS($AZ$3:$AZ$31 - MEDIAN(MIN($AZ$3:$AZ$31), MAX($AZ$3:$AZ$31), AS27)), $BA$3:$BA$31, "Error", 0)</f>
        <v>8</v>
      </c>
      <c r="AT57" s="186" cm="1">
        <f t="array" ref="AT57">_xlfn.XLOOKUP(MIN(ABS($AZ$3:$AZ$31 - MEDIAN(MIN($AZ$3:$AZ$31), MAX($AZ$3:$AZ$31), AT27))), ABS($AZ$3:$AZ$31 - MEDIAN(MIN($AZ$3:$AZ$31), MAX($AZ$3:$AZ$31), AT27)), $BA$3:$BA$31, "Error", 0)</f>
        <v>8</v>
      </c>
      <c r="AU57" s="186" cm="1">
        <f t="array" ref="AU57">_xlfn.XLOOKUP(MIN(ABS($AZ$3:$AZ$31 - MEDIAN(MIN($AZ$3:$AZ$31), MAX($AZ$3:$AZ$31), AU27))), ABS($AZ$3:$AZ$31 - MEDIAN(MIN($AZ$3:$AZ$31), MAX($AZ$3:$AZ$31), AU27)), $BA$3:$BA$31, "Error", 0)</f>
        <v>8</v>
      </c>
      <c r="AV57" s="186" cm="1">
        <f t="array" ref="AV57">_xlfn.XLOOKUP(MIN(ABS($AZ$3:$AZ$31 - MEDIAN(MIN($AZ$3:$AZ$31), MAX($AZ$3:$AZ$31), AV27))), ABS($AZ$3:$AZ$31 - MEDIAN(MIN($AZ$3:$AZ$31), MAX($AZ$3:$AZ$31), AV27)), $BA$3:$BA$31, "Error", 0)</f>
        <v>8</v>
      </c>
      <c r="AW57" s="186" cm="1">
        <f t="array" ref="AW57">_xlfn.XLOOKUP(MIN(ABS($AZ$3:$AZ$31 - MEDIAN(MIN($AZ$3:$AZ$31), MAX($AZ$3:$AZ$31), AW27))), ABS($AZ$3:$AZ$31 - MEDIAN(MIN($AZ$3:$AZ$31), MAX($AZ$3:$AZ$31), AW27)), $BA$3:$BA$31, "Error", 0)</f>
        <v>8</v>
      </c>
      <c r="AX57" s="192" t="e" cm="1">
        <f t="array" ref="AX57">_xlfn.XLOOKUP(MIN(ABS($AZ$3:$AZ$31 - MEDIAN(MIN($AZ$3:$AZ$31), MAX($AZ$3:$AZ$31), AX27))), ABS($AZ$3:$AZ$31 - MEDIAN(MIN($AZ$3:$AZ$31), MAX($AZ$3:$AZ$31), AX27)), $BA$3:$BA$31, "Error", 0)</f>
        <v>#VALUE!</v>
      </c>
      <c r="AY57" s="195"/>
      <c r="AZ57" s="195"/>
      <c r="BA57" s="195"/>
      <c r="BB57" s="195"/>
      <c r="BC57" s="195"/>
      <c r="BD57" s="195"/>
      <c r="BE57" s="195"/>
      <c r="BF57" s="195"/>
      <c r="BG57" s="195"/>
      <c r="BH57" s="195"/>
      <c r="BI57" s="195"/>
      <c r="BJ57" s="195"/>
    </row>
    <row r="58" spans="2:62" ht="25" customHeight="1">
      <c r="B58" s="163" t="s">
        <v>54</v>
      </c>
      <c r="C58" s="186" cm="1">
        <f t="array" ref="C58">_xlfn.XLOOKUP(MIN(ABS($AZ$3:$AZ$31 - MEDIAN(MIN($AZ$3:$AZ$31), MAX($AZ$3:$AZ$31), C28))), ABS($AZ$3:$AZ$31 - MEDIAN(MIN($AZ$3:$AZ$31), MAX($AZ$3:$AZ$31), C28)), $BA$3:$BA$31, "Error", 0)</f>
        <v>-2</v>
      </c>
      <c r="D58" s="186" cm="1">
        <f t="array" ref="D58">_xlfn.XLOOKUP(MIN(ABS($AZ$3:$AZ$31 - MEDIAN(MIN($AZ$3:$AZ$31), MAX($AZ$3:$AZ$31), D28))), ABS($AZ$3:$AZ$31 - MEDIAN(MIN($AZ$3:$AZ$31), MAX($AZ$3:$AZ$31), D28)), $BA$3:$BA$31, "Error", 0)</f>
        <v>-1</v>
      </c>
      <c r="E58" s="186" cm="1">
        <f t="array" ref="E58">_xlfn.XLOOKUP(MIN(ABS($AZ$3:$AZ$31 - MEDIAN(MIN($AZ$3:$AZ$31), MAX($AZ$3:$AZ$31), E28))), ABS($AZ$3:$AZ$31 - MEDIAN(MIN($AZ$3:$AZ$31), MAX($AZ$3:$AZ$31), E28)), $BA$3:$BA$31, "Error", 0)</f>
        <v>0</v>
      </c>
      <c r="F58" s="186" cm="1">
        <f t="array" ref="F58">_xlfn.XLOOKUP(MIN(ABS($AZ$3:$AZ$31 - MEDIAN(MIN($AZ$3:$AZ$31), MAX($AZ$3:$AZ$31), F28))), ABS($AZ$3:$AZ$31 - MEDIAN(MIN($AZ$3:$AZ$31), MAX($AZ$3:$AZ$31), F28)), $BA$3:$BA$31, "Error", 0)</f>
        <v>0</v>
      </c>
      <c r="G58" s="186" cm="1">
        <f t="array" ref="G58">_xlfn.XLOOKUP(MIN(ABS($AZ$3:$AZ$31 - MEDIAN(MIN($AZ$3:$AZ$31), MAX($AZ$3:$AZ$31), G28))), ABS($AZ$3:$AZ$31 - MEDIAN(MIN($AZ$3:$AZ$31), MAX($AZ$3:$AZ$31), G28)), $BA$3:$BA$31, "Error", 0)</f>
        <v>0</v>
      </c>
      <c r="H58" s="186" cm="1">
        <f t="array" ref="H58">_xlfn.XLOOKUP(MIN(ABS($AZ$3:$AZ$31 - MEDIAN(MIN($AZ$3:$AZ$31), MAX($AZ$3:$AZ$31), H28))), ABS($AZ$3:$AZ$31 - MEDIAN(MIN($AZ$3:$AZ$31), MAX($AZ$3:$AZ$31), H28)), $BA$3:$BA$31, "Error", 0)</f>
        <v>1</v>
      </c>
      <c r="I58" s="186" cm="1">
        <f t="array" ref="I58">_xlfn.XLOOKUP(MIN(ABS($AZ$3:$AZ$31 - MEDIAN(MIN($AZ$3:$AZ$31), MAX($AZ$3:$AZ$31), I28))), ABS($AZ$3:$AZ$31 - MEDIAN(MIN($AZ$3:$AZ$31), MAX($AZ$3:$AZ$31), I28)), $BA$3:$BA$31, "Error", 0)</f>
        <v>0</v>
      </c>
      <c r="J58" s="186" cm="1">
        <f t="array" ref="J58">_xlfn.XLOOKUP(MIN(ABS($AZ$3:$AZ$31 - MEDIAN(MIN($AZ$3:$AZ$31), MAX($AZ$3:$AZ$31), J28))), ABS($AZ$3:$AZ$31 - MEDIAN(MIN($AZ$3:$AZ$31), MAX($AZ$3:$AZ$31), J28)), $BA$3:$BA$31, "Error", 0)</f>
        <v>1</v>
      </c>
      <c r="K58" s="186" cm="1">
        <f t="array" ref="K58">_xlfn.XLOOKUP(MIN(ABS($AZ$3:$AZ$31 - MEDIAN(MIN($AZ$3:$AZ$31), MAX($AZ$3:$AZ$31), K28))), ABS($AZ$3:$AZ$31 - MEDIAN(MIN($AZ$3:$AZ$31), MAX($AZ$3:$AZ$31), K28)), $BA$3:$BA$31, "Error", 0)</f>
        <v>1</v>
      </c>
      <c r="L58" s="186" cm="1">
        <f t="array" ref="L58">_xlfn.XLOOKUP(MIN(ABS($AZ$3:$AZ$31 - MEDIAN(MIN($AZ$3:$AZ$31), MAX($AZ$3:$AZ$31), L28))), ABS($AZ$3:$AZ$31 - MEDIAN(MIN($AZ$3:$AZ$31), MAX($AZ$3:$AZ$31), L28)), $BA$3:$BA$31, "Error", 0)</f>
        <v>1</v>
      </c>
      <c r="M58" s="186" cm="1">
        <f t="array" ref="M58">_xlfn.XLOOKUP(MIN(ABS($AZ$3:$AZ$31 - MEDIAN(MIN($AZ$3:$AZ$31), MAX($AZ$3:$AZ$31), M28))), ABS($AZ$3:$AZ$31 - MEDIAN(MIN($AZ$3:$AZ$31), MAX($AZ$3:$AZ$31), M28)), $BA$3:$BA$31, "Error", 0)</f>
        <v>1</v>
      </c>
      <c r="N58" s="186" cm="1">
        <f t="array" ref="N58">_xlfn.XLOOKUP(MIN(ABS($AZ$3:$AZ$31 - MEDIAN(MIN($AZ$3:$AZ$31), MAX($AZ$3:$AZ$31), N28))), ABS($AZ$3:$AZ$31 - MEDIAN(MIN($AZ$3:$AZ$31), MAX($AZ$3:$AZ$31), N28)), $BA$3:$BA$31, "Error", 0)</f>
        <v>1</v>
      </c>
      <c r="O58" s="186" cm="1">
        <f t="array" ref="O58">_xlfn.XLOOKUP(MIN(ABS($AZ$3:$AZ$31 - MEDIAN(MIN($AZ$3:$AZ$31), MAX($AZ$3:$AZ$31), O28))), ABS($AZ$3:$AZ$31 - MEDIAN(MIN($AZ$3:$AZ$31), MAX($AZ$3:$AZ$31), O28)), $BA$3:$BA$31, "Error", 0)</f>
        <v>1</v>
      </c>
      <c r="P58" s="186" cm="1">
        <f t="array" ref="P58">_xlfn.XLOOKUP(MIN(ABS($AZ$3:$AZ$31 - MEDIAN(MIN($AZ$3:$AZ$31), MAX($AZ$3:$AZ$31), P28))), ABS($AZ$3:$AZ$31 - MEDIAN(MIN($AZ$3:$AZ$31), MAX($AZ$3:$AZ$31), P28)), $BA$3:$BA$31, "Error", 0)</f>
        <v>1</v>
      </c>
      <c r="Q58" s="186" cm="1">
        <f t="array" ref="Q58">_xlfn.XLOOKUP(MIN(ABS($AZ$3:$AZ$31 - MEDIAN(MIN($AZ$3:$AZ$31), MAX($AZ$3:$AZ$31), Q28))), ABS($AZ$3:$AZ$31 - MEDIAN(MIN($AZ$3:$AZ$31), MAX($AZ$3:$AZ$31), Q28)), $BA$3:$BA$31, "Error", 0)</f>
        <v>1</v>
      </c>
      <c r="R58" s="186" cm="1">
        <f t="array" ref="R58">_xlfn.XLOOKUP(MIN(ABS($AZ$3:$AZ$31 - MEDIAN(MIN($AZ$3:$AZ$31), MAX($AZ$3:$AZ$31), R28))), ABS($AZ$3:$AZ$31 - MEDIAN(MIN($AZ$3:$AZ$31), MAX($AZ$3:$AZ$31), R28)), $BA$3:$BA$31, "Error", 0)</f>
        <v>1</v>
      </c>
      <c r="S58" s="186" cm="1">
        <f t="array" ref="S58">_xlfn.XLOOKUP(MIN(ABS($AZ$3:$AZ$31 - MEDIAN(MIN($AZ$3:$AZ$31), MAX($AZ$3:$AZ$31), S28))), ABS($AZ$3:$AZ$31 - MEDIAN(MIN($AZ$3:$AZ$31), MAX($AZ$3:$AZ$31), S28)), $BA$3:$BA$31, "Error", 0)</f>
        <v>1</v>
      </c>
      <c r="T58" s="186" cm="1">
        <f t="array" ref="T58">_xlfn.XLOOKUP(MIN(ABS($AZ$3:$AZ$31 - MEDIAN(MIN($AZ$3:$AZ$31), MAX($AZ$3:$AZ$31), T28))), ABS($AZ$3:$AZ$31 - MEDIAN(MIN($AZ$3:$AZ$31), MAX($AZ$3:$AZ$31), T28)), $BA$3:$BA$31, "Error", 0)</f>
        <v>1</v>
      </c>
      <c r="U58" s="186" cm="1">
        <f t="array" ref="U58">_xlfn.XLOOKUP(MIN(ABS($AZ$3:$AZ$31 - MEDIAN(MIN($AZ$3:$AZ$31), MAX($AZ$3:$AZ$31), U28))), ABS($AZ$3:$AZ$31 - MEDIAN(MIN($AZ$3:$AZ$31), MAX($AZ$3:$AZ$31), U28)), $BA$3:$BA$31, "Error", 0)</f>
        <v>2</v>
      </c>
      <c r="V58" s="186" cm="1">
        <f t="array" ref="V58">_xlfn.XLOOKUP(MIN(ABS($AZ$3:$AZ$31 - MEDIAN(MIN($AZ$3:$AZ$31), MAX($AZ$3:$AZ$31), V28))), ABS($AZ$3:$AZ$31 - MEDIAN(MIN($AZ$3:$AZ$31), MAX($AZ$3:$AZ$31), V28)), $BA$3:$BA$31, "Error", 0)</f>
        <v>1</v>
      </c>
      <c r="W58" s="186" cm="1">
        <f t="array" ref="W58">_xlfn.XLOOKUP(MIN(ABS($AZ$3:$AZ$31 - MEDIAN(MIN($AZ$3:$AZ$31), MAX($AZ$3:$AZ$31), W28))), ABS($AZ$3:$AZ$31 - MEDIAN(MIN($AZ$3:$AZ$31), MAX($AZ$3:$AZ$31), W28)), $BA$3:$BA$31, "Error", 0)</f>
        <v>2</v>
      </c>
      <c r="X58" s="186" cm="1">
        <f t="array" ref="X58">_xlfn.XLOOKUP(MIN(ABS($AZ$3:$AZ$31 - MEDIAN(MIN($AZ$3:$AZ$31), MAX($AZ$3:$AZ$31), X28))), ABS($AZ$3:$AZ$31 - MEDIAN(MIN($AZ$3:$AZ$31), MAX($AZ$3:$AZ$31), X28)), $BA$3:$BA$31, "Error", 0)</f>
        <v>3</v>
      </c>
      <c r="Y58" s="186" cm="1">
        <f t="array" ref="Y58">_xlfn.XLOOKUP(MIN(ABS($AZ$3:$AZ$31 - MEDIAN(MIN($AZ$3:$AZ$31), MAX($AZ$3:$AZ$31), Y28))), ABS($AZ$3:$AZ$31 - MEDIAN(MIN($AZ$3:$AZ$31), MAX($AZ$3:$AZ$31), Y28)), $BA$3:$BA$31, "Error", 0)</f>
        <v>2</v>
      </c>
      <c r="Z58" s="186" cm="1">
        <f t="array" ref="Z58">_xlfn.XLOOKUP(MIN(ABS($AZ$3:$AZ$31 - MEDIAN(MIN($AZ$3:$AZ$31), MAX($AZ$3:$AZ$31), Z28))), ABS($AZ$3:$AZ$31 - MEDIAN(MIN($AZ$3:$AZ$31), MAX($AZ$3:$AZ$31), Z28)), $BA$3:$BA$31, "Error", 0)</f>
        <v>3</v>
      </c>
      <c r="AA58" s="186" cm="1">
        <f t="array" ref="AA58">_xlfn.XLOOKUP(MIN(ABS($AZ$3:$AZ$31 - MEDIAN(MIN($AZ$3:$AZ$31), MAX($AZ$3:$AZ$31), AA28))), ABS($AZ$3:$AZ$31 - MEDIAN(MIN($AZ$3:$AZ$31), MAX($AZ$3:$AZ$31), AA28)), $BA$3:$BA$31, "Error", 0)</f>
        <v>4</v>
      </c>
      <c r="AB58" s="186" cm="1">
        <f t="array" ref="AB58">_xlfn.XLOOKUP(MIN(ABS($AZ$3:$AZ$31 - MEDIAN(MIN($AZ$3:$AZ$31), MAX($AZ$3:$AZ$31), AB28))), ABS($AZ$3:$AZ$31 - MEDIAN(MIN($AZ$3:$AZ$31), MAX($AZ$3:$AZ$31), AB28)), $BA$3:$BA$31, "Error", 0)</f>
        <v>3</v>
      </c>
      <c r="AC58" s="186" cm="1">
        <f t="array" ref="AC58">_xlfn.XLOOKUP(MIN(ABS($AZ$3:$AZ$31 - MEDIAN(MIN($AZ$3:$AZ$31), MAX($AZ$3:$AZ$31), AC28))), ABS($AZ$3:$AZ$31 - MEDIAN(MIN($AZ$3:$AZ$31), MAX($AZ$3:$AZ$31), AC28)), $BA$3:$BA$31, "Error", 0)</f>
        <v>4</v>
      </c>
      <c r="AD58" s="186" cm="1">
        <f t="array" ref="AD58">_xlfn.XLOOKUP(MIN(ABS($AZ$3:$AZ$31 - MEDIAN(MIN($AZ$3:$AZ$31), MAX($AZ$3:$AZ$31), AD28))), ABS($AZ$3:$AZ$31 - MEDIAN(MIN($AZ$3:$AZ$31), MAX($AZ$3:$AZ$31), AD28)), $BA$3:$BA$31, "Error", 0)</f>
        <v>4</v>
      </c>
      <c r="AE58" s="186" cm="1">
        <f t="array" ref="AE58">_xlfn.XLOOKUP(MIN(ABS($AZ$3:$AZ$31 - MEDIAN(MIN($AZ$3:$AZ$31), MAX($AZ$3:$AZ$31), AE28))), ABS($AZ$3:$AZ$31 - MEDIAN(MIN($AZ$3:$AZ$31), MAX($AZ$3:$AZ$31), AE28)), $BA$3:$BA$31, "Error", 0)</f>
        <v>3</v>
      </c>
      <c r="AF58" s="186" cm="1">
        <f t="array" ref="AF58">_xlfn.XLOOKUP(MIN(ABS($AZ$3:$AZ$31 - MEDIAN(MIN($AZ$3:$AZ$31), MAX($AZ$3:$AZ$31), AF28))), ABS($AZ$3:$AZ$31 - MEDIAN(MIN($AZ$3:$AZ$31), MAX($AZ$3:$AZ$31), AF28)), $BA$3:$BA$31, "Error", 0)</f>
        <v>3</v>
      </c>
      <c r="AG58" s="186" cm="1">
        <f t="array" ref="AG58">_xlfn.XLOOKUP(MIN(ABS($AZ$3:$AZ$31 - MEDIAN(MIN($AZ$3:$AZ$31), MAX($AZ$3:$AZ$31), AG28))), ABS($AZ$3:$AZ$31 - MEDIAN(MIN($AZ$3:$AZ$31), MAX($AZ$3:$AZ$31), AG28)), $BA$3:$BA$31, "Error", 0)</f>
        <v>3</v>
      </c>
      <c r="AH58" s="186" cm="1">
        <f t="array" ref="AH58">_xlfn.XLOOKUP(MIN(ABS($AZ$3:$AZ$31 - MEDIAN(MIN($AZ$3:$AZ$31), MAX($AZ$3:$AZ$31), AH28))), ABS($AZ$3:$AZ$31 - MEDIAN(MIN($AZ$3:$AZ$31), MAX($AZ$3:$AZ$31), AH28)), $BA$3:$BA$31, "Error", 0)</f>
        <v>3</v>
      </c>
      <c r="AI58" s="186" cm="1">
        <f t="array" ref="AI58">_xlfn.XLOOKUP(MIN(ABS($AZ$3:$AZ$31 - MEDIAN(MIN($AZ$3:$AZ$31), MAX($AZ$3:$AZ$31), AI28))), ABS($AZ$3:$AZ$31 - MEDIAN(MIN($AZ$3:$AZ$31), MAX($AZ$3:$AZ$31), AI28)), $BA$3:$BA$31, "Error", 0)</f>
        <v>3</v>
      </c>
      <c r="AJ58" s="186" cm="1">
        <f t="array" ref="AJ58">_xlfn.XLOOKUP(MIN(ABS($AZ$3:$AZ$31 - MEDIAN(MIN($AZ$3:$AZ$31), MAX($AZ$3:$AZ$31), AJ28))), ABS($AZ$3:$AZ$31 - MEDIAN(MIN($AZ$3:$AZ$31), MAX($AZ$3:$AZ$31), AJ28)), $BA$3:$BA$31, "Error", 0)</f>
        <v>4</v>
      </c>
      <c r="AK58" s="186" cm="1">
        <f t="array" ref="AK58">_xlfn.XLOOKUP(MIN(ABS($AZ$3:$AZ$31 - MEDIAN(MIN($AZ$3:$AZ$31), MAX($AZ$3:$AZ$31), AK28))), ABS($AZ$3:$AZ$31 - MEDIAN(MIN($AZ$3:$AZ$31), MAX($AZ$3:$AZ$31), AK28)), $BA$3:$BA$31, "Error", 0)</f>
        <v>4</v>
      </c>
      <c r="AL58" s="186" cm="1">
        <f t="array" ref="AL58">_xlfn.XLOOKUP(MIN(ABS($AZ$3:$AZ$31 - MEDIAN(MIN($AZ$3:$AZ$31), MAX($AZ$3:$AZ$31), AL28))), ABS($AZ$3:$AZ$31 - MEDIAN(MIN($AZ$3:$AZ$31), MAX($AZ$3:$AZ$31), AL28)), $BA$3:$BA$31, "Error", 0)</f>
        <v>3</v>
      </c>
      <c r="AM58" s="186" cm="1">
        <f t="array" ref="AM58">_xlfn.XLOOKUP(MIN(ABS($AZ$3:$AZ$31 - MEDIAN(MIN($AZ$3:$AZ$31), MAX($AZ$3:$AZ$31), AM28))), ABS($AZ$3:$AZ$31 - MEDIAN(MIN($AZ$3:$AZ$31), MAX($AZ$3:$AZ$31), AM28)), $BA$3:$BA$31, "Error", 0)</f>
        <v>3</v>
      </c>
      <c r="AN58" s="186" cm="1">
        <f t="array" ref="AN58">_xlfn.XLOOKUP(MIN(ABS($AZ$3:$AZ$31 - MEDIAN(MIN($AZ$3:$AZ$31), MAX($AZ$3:$AZ$31), AN28))), ABS($AZ$3:$AZ$31 - MEDIAN(MIN($AZ$3:$AZ$31), MAX($AZ$3:$AZ$31), AN28)), $BA$3:$BA$31, "Error", 0)</f>
        <v>3</v>
      </c>
      <c r="AO58" s="186" cm="1">
        <f t="array" ref="AO58">_xlfn.XLOOKUP(MIN(ABS($AZ$3:$AZ$31 - MEDIAN(MIN($AZ$3:$AZ$31), MAX($AZ$3:$AZ$31), AO28))), ABS($AZ$3:$AZ$31 - MEDIAN(MIN($AZ$3:$AZ$31), MAX($AZ$3:$AZ$31), AO28)), $BA$3:$BA$31, "Error", 0)</f>
        <v>3</v>
      </c>
      <c r="AP58" s="186" cm="1">
        <f t="array" ref="AP58">_xlfn.XLOOKUP(MIN(ABS($AZ$3:$AZ$31 - MEDIAN(MIN($AZ$3:$AZ$31), MAX($AZ$3:$AZ$31), AP28))), ABS($AZ$3:$AZ$31 - MEDIAN(MIN($AZ$3:$AZ$31), MAX($AZ$3:$AZ$31), AP28)), $BA$3:$BA$31, "Error", 0)</f>
        <v>3</v>
      </c>
      <c r="AQ58" s="186" cm="1">
        <f t="array" ref="AQ58">_xlfn.XLOOKUP(MIN(ABS($AZ$3:$AZ$31 - MEDIAN(MIN($AZ$3:$AZ$31), MAX($AZ$3:$AZ$31), AQ28))), ABS($AZ$3:$AZ$31 - MEDIAN(MIN($AZ$3:$AZ$31), MAX($AZ$3:$AZ$31), AQ28)), $BA$3:$BA$31, "Error", 0)</f>
        <v>3</v>
      </c>
      <c r="AR58" s="186" cm="1">
        <f t="array" ref="AR58">_xlfn.XLOOKUP(MIN(ABS($AZ$3:$AZ$31 - MEDIAN(MIN($AZ$3:$AZ$31), MAX($AZ$3:$AZ$31), AR28))), ABS($AZ$3:$AZ$31 - MEDIAN(MIN($AZ$3:$AZ$31), MAX($AZ$3:$AZ$31), AR28)), $BA$3:$BA$31, "Error", 0)</f>
        <v>3</v>
      </c>
      <c r="AS58" s="186" cm="1">
        <f t="array" ref="AS58">_xlfn.XLOOKUP(MIN(ABS($AZ$3:$AZ$31 - MEDIAN(MIN($AZ$3:$AZ$31), MAX($AZ$3:$AZ$31), AS28))), ABS($AZ$3:$AZ$31 - MEDIAN(MIN($AZ$3:$AZ$31), MAX($AZ$3:$AZ$31), AS28)), $BA$3:$BA$31, "Error", 0)</f>
        <v>3</v>
      </c>
      <c r="AT58" s="186" cm="1">
        <f t="array" ref="AT58">_xlfn.XLOOKUP(MIN(ABS($AZ$3:$AZ$31 - MEDIAN(MIN($AZ$3:$AZ$31), MAX($AZ$3:$AZ$31), AT28))), ABS($AZ$3:$AZ$31 - MEDIAN(MIN($AZ$3:$AZ$31), MAX($AZ$3:$AZ$31), AT28)), $BA$3:$BA$31, "Error", 0)</f>
        <v>3</v>
      </c>
      <c r="AU58" s="186" cm="1">
        <f t="array" ref="AU58">_xlfn.XLOOKUP(MIN(ABS($AZ$3:$AZ$31 - MEDIAN(MIN($AZ$3:$AZ$31), MAX($AZ$3:$AZ$31), AU28))), ABS($AZ$3:$AZ$31 - MEDIAN(MIN($AZ$3:$AZ$31), MAX($AZ$3:$AZ$31), AU28)), $BA$3:$BA$31, "Error", 0)</f>
        <v>3</v>
      </c>
      <c r="AV58" s="186" cm="1">
        <f t="array" ref="AV58">_xlfn.XLOOKUP(MIN(ABS($AZ$3:$AZ$31 - MEDIAN(MIN($AZ$3:$AZ$31), MAX($AZ$3:$AZ$31), AV28))), ABS($AZ$3:$AZ$31 - MEDIAN(MIN($AZ$3:$AZ$31), MAX($AZ$3:$AZ$31), AV28)), $BA$3:$BA$31, "Error", 0)</f>
        <v>3</v>
      </c>
      <c r="AW58" s="186" cm="1">
        <f t="array" ref="AW58">_xlfn.XLOOKUP(MIN(ABS($AZ$3:$AZ$31 - MEDIAN(MIN($AZ$3:$AZ$31), MAX($AZ$3:$AZ$31), AW28))), ABS($AZ$3:$AZ$31 - MEDIAN(MIN($AZ$3:$AZ$31), MAX($AZ$3:$AZ$31), AW28)), $BA$3:$BA$31, "Error", 0)</f>
        <v>3</v>
      </c>
      <c r="AX58" s="192" t="e" cm="1">
        <f t="array" ref="AX58">_xlfn.XLOOKUP(MIN(ABS($AZ$3:$AZ$31 - MEDIAN(MIN($AZ$3:$AZ$31), MAX($AZ$3:$AZ$31), AX28))), ABS($AZ$3:$AZ$31 - MEDIAN(MIN($AZ$3:$AZ$31), MAX($AZ$3:$AZ$31), AX28)), $BA$3:$BA$31, "Error", 0)</f>
        <v>#VALUE!</v>
      </c>
      <c r="AY58" s="195"/>
      <c r="AZ58" s="195"/>
      <c r="BA58" s="195"/>
      <c r="BB58" s="195"/>
      <c r="BC58" s="195"/>
      <c r="BD58" s="195"/>
      <c r="BE58" s="195"/>
      <c r="BF58" s="195"/>
      <c r="BG58" s="195"/>
      <c r="BH58" s="195"/>
      <c r="BI58" s="195"/>
      <c r="BJ58" s="195"/>
    </row>
    <row r="59" spans="2:62" ht="25" customHeight="1">
      <c r="B59" s="163" t="s">
        <v>55</v>
      </c>
      <c r="C59" s="186" cm="1">
        <f t="array" ref="C59">_xlfn.XLOOKUP(MIN(ABS($AZ$3:$AZ$31 - MEDIAN(MIN($AZ$3:$AZ$31), MAX($AZ$3:$AZ$31), C29))), ABS($AZ$3:$AZ$31 - MEDIAN(MIN($AZ$3:$AZ$31), MAX($AZ$3:$AZ$31), C29)), $BA$3:$BA$31, "Error", 0)</f>
        <v>1</v>
      </c>
      <c r="D59" s="186" cm="1">
        <f t="array" ref="D59">_xlfn.XLOOKUP(MIN(ABS($AZ$3:$AZ$31 - MEDIAN(MIN($AZ$3:$AZ$31), MAX($AZ$3:$AZ$31), D29))), ABS($AZ$3:$AZ$31 - MEDIAN(MIN($AZ$3:$AZ$31), MAX($AZ$3:$AZ$31), D29)), $BA$3:$BA$31, "Error", 0)</f>
        <v>1</v>
      </c>
      <c r="E59" s="186" cm="1">
        <f t="array" ref="E59">_xlfn.XLOOKUP(MIN(ABS($AZ$3:$AZ$31 - MEDIAN(MIN($AZ$3:$AZ$31), MAX($AZ$3:$AZ$31), E29))), ABS($AZ$3:$AZ$31 - MEDIAN(MIN($AZ$3:$AZ$31), MAX($AZ$3:$AZ$31), E29)), $BA$3:$BA$31, "Error", 0)</f>
        <v>1</v>
      </c>
      <c r="F59" s="186" cm="1">
        <f t="array" ref="F59">_xlfn.XLOOKUP(MIN(ABS($AZ$3:$AZ$31 - MEDIAN(MIN($AZ$3:$AZ$31), MAX($AZ$3:$AZ$31), F29))), ABS($AZ$3:$AZ$31 - MEDIAN(MIN($AZ$3:$AZ$31), MAX($AZ$3:$AZ$31), F29)), $BA$3:$BA$31, "Error", 0)</f>
        <v>1</v>
      </c>
      <c r="G59" s="186" cm="1">
        <f t="array" ref="G59">_xlfn.XLOOKUP(MIN(ABS($AZ$3:$AZ$31 - MEDIAN(MIN($AZ$3:$AZ$31), MAX($AZ$3:$AZ$31), G29))), ABS($AZ$3:$AZ$31 - MEDIAN(MIN($AZ$3:$AZ$31), MAX($AZ$3:$AZ$31), G29)), $BA$3:$BA$31, "Error", 0)</f>
        <v>1</v>
      </c>
      <c r="H59" s="186" cm="1">
        <f t="array" ref="H59">_xlfn.XLOOKUP(MIN(ABS($AZ$3:$AZ$31 - MEDIAN(MIN($AZ$3:$AZ$31), MAX($AZ$3:$AZ$31), H29))), ABS($AZ$3:$AZ$31 - MEDIAN(MIN($AZ$3:$AZ$31), MAX($AZ$3:$AZ$31), H29)), $BA$3:$BA$31, "Error", 0)</f>
        <v>2</v>
      </c>
      <c r="I59" s="186" cm="1">
        <f t="array" ref="I59">_xlfn.XLOOKUP(MIN(ABS($AZ$3:$AZ$31 - MEDIAN(MIN($AZ$3:$AZ$31), MAX($AZ$3:$AZ$31), I29))), ABS($AZ$3:$AZ$31 - MEDIAN(MIN($AZ$3:$AZ$31), MAX($AZ$3:$AZ$31), I29)), $BA$3:$BA$31, "Error", 0)</f>
        <v>2</v>
      </c>
      <c r="J59" s="186" cm="1">
        <f t="array" ref="J59">_xlfn.XLOOKUP(MIN(ABS($AZ$3:$AZ$31 - MEDIAN(MIN($AZ$3:$AZ$31), MAX($AZ$3:$AZ$31), J29))), ABS($AZ$3:$AZ$31 - MEDIAN(MIN($AZ$3:$AZ$31), MAX($AZ$3:$AZ$31), J29)), $BA$3:$BA$31, "Error", 0)</f>
        <v>2</v>
      </c>
      <c r="K59" s="186" cm="1">
        <f t="array" ref="K59">_xlfn.XLOOKUP(MIN(ABS($AZ$3:$AZ$31 - MEDIAN(MIN($AZ$3:$AZ$31), MAX($AZ$3:$AZ$31), K29))), ABS($AZ$3:$AZ$31 - MEDIAN(MIN($AZ$3:$AZ$31), MAX($AZ$3:$AZ$31), K29)), $BA$3:$BA$31, "Error", 0)</f>
        <v>2</v>
      </c>
      <c r="L59" s="186" cm="1">
        <f t="array" ref="L59">_xlfn.XLOOKUP(MIN(ABS($AZ$3:$AZ$31 - MEDIAN(MIN($AZ$3:$AZ$31), MAX($AZ$3:$AZ$31), L29))), ABS($AZ$3:$AZ$31 - MEDIAN(MIN($AZ$3:$AZ$31), MAX($AZ$3:$AZ$31), L29)), $BA$3:$BA$31, "Error", 0)</f>
        <v>2</v>
      </c>
      <c r="M59" s="186" cm="1">
        <f t="array" ref="M59">_xlfn.XLOOKUP(MIN(ABS($AZ$3:$AZ$31 - MEDIAN(MIN($AZ$3:$AZ$31), MAX($AZ$3:$AZ$31), M29))), ABS($AZ$3:$AZ$31 - MEDIAN(MIN($AZ$3:$AZ$31), MAX($AZ$3:$AZ$31), M29)), $BA$3:$BA$31, "Error", 0)</f>
        <v>2</v>
      </c>
      <c r="N59" s="186" cm="1">
        <f t="array" ref="N59">_xlfn.XLOOKUP(MIN(ABS($AZ$3:$AZ$31 - MEDIAN(MIN($AZ$3:$AZ$31), MAX($AZ$3:$AZ$31), N29))), ABS($AZ$3:$AZ$31 - MEDIAN(MIN($AZ$3:$AZ$31), MAX($AZ$3:$AZ$31), N29)), $BA$3:$BA$31, "Error", 0)</f>
        <v>2</v>
      </c>
      <c r="O59" s="186" cm="1">
        <f t="array" ref="O59">_xlfn.XLOOKUP(MIN(ABS($AZ$3:$AZ$31 - MEDIAN(MIN($AZ$3:$AZ$31), MAX($AZ$3:$AZ$31), O29))), ABS($AZ$3:$AZ$31 - MEDIAN(MIN($AZ$3:$AZ$31), MAX($AZ$3:$AZ$31), O29)), $BA$3:$BA$31, "Error", 0)</f>
        <v>2</v>
      </c>
      <c r="P59" s="186" cm="1">
        <f t="array" ref="P59">_xlfn.XLOOKUP(MIN(ABS($AZ$3:$AZ$31 - MEDIAN(MIN($AZ$3:$AZ$31), MAX($AZ$3:$AZ$31), P29))), ABS($AZ$3:$AZ$31 - MEDIAN(MIN($AZ$3:$AZ$31), MAX($AZ$3:$AZ$31), P29)), $BA$3:$BA$31, "Error", 0)</f>
        <v>2</v>
      </c>
      <c r="Q59" s="186" cm="1">
        <f t="array" ref="Q59">_xlfn.XLOOKUP(MIN(ABS($AZ$3:$AZ$31 - MEDIAN(MIN($AZ$3:$AZ$31), MAX($AZ$3:$AZ$31), Q29))), ABS($AZ$3:$AZ$31 - MEDIAN(MIN($AZ$3:$AZ$31), MAX($AZ$3:$AZ$31), Q29)), $BA$3:$BA$31, "Error", 0)</f>
        <v>2</v>
      </c>
      <c r="R59" s="186" cm="1">
        <f t="array" ref="R59">_xlfn.XLOOKUP(MIN(ABS($AZ$3:$AZ$31 - MEDIAN(MIN($AZ$3:$AZ$31), MAX($AZ$3:$AZ$31), R29))), ABS($AZ$3:$AZ$31 - MEDIAN(MIN($AZ$3:$AZ$31), MAX($AZ$3:$AZ$31), R29)), $BA$3:$BA$31, "Error", 0)</f>
        <v>2</v>
      </c>
      <c r="S59" s="186" cm="1">
        <f t="array" ref="S59">_xlfn.XLOOKUP(MIN(ABS($AZ$3:$AZ$31 - MEDIAN(MIN($AZ$3:$AZ$31), MAX($AZ$3:$AZ$31), S29))), ABS($AZ$3:$AZ$31 - MEDIAN(MIN($AZ$3:$AZ$31), MAX($AZ$3:$AZ$31), S29)), $BA$3:$BA$31, "Error", 0)</f>
        <v>2</v>
      </c>
      <c r="T59" s="186" cm="1">
        <f t="array" ref="T59">_xlfn.XLOOKUP(MIN(ABS($AZ$3:$AZ$31 - MEDIAN(MIN($AZ$3:$AZ$31), MAX($AZ$3:$AZ$31), T29))), ABS($AZ$3:$AZ$31 - MEDIAN(MIN($AZ$3:$AZ$31), MAX($AZ$3:$AZ$31), T29)), $BA$3:$BA$31, "Error", 0)</f>
        <v>2</v>
      </c>
      <c r="U59" s="186" cm="1">
        <f t="array" ref="U59">_xlfn.XLOOKUP(MIN(ABS($AZ$3:$AZ$31 - MEDIAN(MIN($AZ$3:$AZ$31), MAX($AZ$3:$AZ$31), U29))), ABS($AZ$3:$AZ$31 - MEDIAN(MIN($AZ$3:$AZ$31), MAX($AZ$3:$AZ$31), U29)), $BA$3:$BA$31, "Error", 0)</f>
        <v>2</v>
      </c>
      <c r="V59" s="186" cm="1">
        <f t="array" ref="V59">_xlfn.XLOOKUP(MIN(ABS($AZ$3:$AZ$31 - MEDIAN(MIN($AZ$3:$AZ$31), MAX($AZ$3:$AZ$31), V29))), ABS($AZ$3:$AZ$31 - MEDIAN(MIN($AZ$3:$AZ$31), MAX($AZ$3:$AZ$31), V29)), $BA$3:$BA$31, "Error", 0)</f>
        <v>1</v>
      </c>
      <c r="W59" s="186" cm="1">
        <f t="array" ref="W59">_xlfn.XLOOKUP(MIN(ABS($AZ$3:$AZ$31 - MEDIAN(MIN($AZ$3:$AZ$31), MAX($AZ$3:$AZ$31), W29))), ABS($AZ$3:$AZ$31 - MEDIAN(MIN($AZ$3:$AZ$31), MAX($AZ$3:$AZ$31), W29)), $BA$3:$BA$31, "Error", 0)</f>
        <v>1</v>
      </c>
      <c r="X59" s="186" cm="1">
        <f t="array" ref="X59">_xlfn.XLOOKUP(MIN(ABS($AZ$3:$AZ$31 - MEDIAN(MIN($AZ$3:$AZ$31), MAX($AZ$3:$AZ$31), X29))), ABS($AZ$3:$AZ$31 - MEDIAN(MIN($AZ$3:$AZ$31), MAX($AZ$3:$AZ$31), X29)), $BA$3:$BA$31, "Error", 0)</f>
        <v>1</v>
      </c>
      <c r="Y59" s="186" cm="1">
        <f t="array" ref="Y59">_xlfn.XLOOKUP(MIN(ABS($AZ$3:$AZ$31 - MEDIAN(MIN($AZ$3:$AZ$31), MAX($AZ$3:$AZ$31), Y29))), ABS($AZ$3:$AZ$31 - MEDIAN(MIN($AZ$3:$AZ$31), MAX($AZ$3:$AZ$31), Y29)), $BA$3:$BA$31, "Error", 0)</f>
        <v>1</v>
      </c>
      <c r="Z59" s="186" cm="1">
        <f t="array" ref="Z59">_xlfn.XLOOKUP(MIN(ABS($AZ$3:$AZ$31 - MEDIAN(MIN($AZ$3:$AZ$31), MAX($AZ$3:$AZ$31), Z29))), ABS($AZ$3:$AZ$31 - MEDIAN(MIN($AZ$3:$AZ$31), MAX($AZ$3:$AZ$31), Z29)), $BA$3:$BA$31, "Error", 0)</f>
        <v>1</v>
      </c>
      <c r="AA59" s="186" cm="1">
        <f t="array" ref="AA59">_xlfn.XLOOKUP(MIN(ABS($AZ$3:$AZ$31 - MEDIAN(MIN($AZ$3:$AZ$31), MAX($AZ$3:$AZ$31), AA29))), ABS($AZ$3:$AZ$31 - MEDIAN(MIN($AZ$3:$AZ$31), MAX($AZ$3:$AZ$31), AA29)), $BA$3:$BA$31, "Error", 0)</f>
        <v>1</v>
      </c>
      <c r="AB59" s="186" cm="1">
        <f t="array" ref="AB59">_xlfn.XLOOKUP(MIN(ABS($AZ$3:$AZ$31 - MEDIAN(MIN($AZ$3:$AZ$31), MAX($AZ$3:$AZ$31), AB29))), ABS($AZ$3:$AZ$31 - MEDIAN(MIN($AZ$3:$AZ$31), MAX($AZ$3:$AZ$31), AB29)), $BA$3:$BA$31, "Error", 0)</f>
        <v>1</v>
      </c>
      <c r="AC59" s="186" cm="1">
        <f t="array" ref="AC59">_xlfn.XLOOKUP(MIN(ABS($AZ$3:$AZ$31 - MEDIAN(MIN($AZ$3:$AZ$31), MAX($AZ$3:$AZ$31), AC29))), ABS($AZ$3:$AZ$31 - MEDIAN(MIN($AZ$3:$AZ$31), MAX($AZ$3:$AZ$31), AC29)), $BA$3:$BA$31, "Error", 0)</f>
        <v>1</v>
      </c>
      <c r="AD59" s="186" cm="1">
        <f t="array" ref="AD59">_xlfn.XLOOKUP(MIN(ABS($AZ$3:$AZ$31 - MEDIAN(MIN($AZ$3:$AZ$31), MAX($AZ$3:$AZ$31), AD29))), ABS($AZ$3:$AZ$31 - MEDIAN(MIN($AZ$3:$AZ$31), MAX($AZ$3:$AZ$31), AD29)), $BA$3:$BA$31, "Error", 0)</f>
        <v>1</v>
      </c>
      <c r="AE59" s="186" cm="1">
        <f t="array" ref="AE59">_xlfn.XLOOKUP(MIN(ABS($AZ$3:$AZ$31 - MEDIAN(MIN($AZ$3:$AZ$31), MAX($AZ$3:$AZ$31), AE29))), ABS($AZ$3:$AZ$31 - MEDIAN(MIN($AZ$3:$AZ$31), MAX($AZ$3:$AZ$31), AE29)), $BA$3:$BA$31, "Error", 0)</f>
        <v>1</v>
      </c>
      <c r="AF59" s="186" cm="1">
        <f t="array" ref="AF59">_xlfn.XLOOKUP(MIN(ABS($AZ$3:$AZ$31 - MEDIAN(MIN($AZ$3:$AZ$31), MAX($AZ$3:$AZ$31), AF29))), ABS($AZ$3:$AZ$31 - MEDIAN(MIN($AZ$3:$AZ$31), MAX($AZ$3:$AZ$31), AF29)), $BA$3:$BA$31, "Error", 0)</f>
        <v>1</v>
      </c>
      <c r="AG59" s="186" cm="1">
        <f t="array" ref="AG59">_xlfn.XLOOKUP(MIN(ABS($AZ$3:$AZ$31 - MEDIAN(MIN($AZ$3:$AZ$31), MAX($AZ$3:$AZ$31), AG29))), ABS($AZ$3:$AZ$31 - MEDIAN(MIN($AZ$3:$AZ$31), MAX($AZ$3:$AZ$31), AG29)), $BA$3:$BA$31, "Error", 0)</f>
        <v>1</v>
      </c>
      <c r="AH59" s="186" cm="1">
        <f t="array" ref="AH59">_xlfn.XLOOKUP(MIN(ABS($AZ$3:$AZ$31 - MEDIAN(MIN($AZ$3:$AZ$31), MAX($AZ$3:$AZ$31), AH29))), ABS($AZ$3:$AZ$31 - MEDIAN(MIN($AZ$3:$AZ$31), MAX($AZ$3:$AZ$31), AH29)), $BA$3:$BA$31, "Error", 0)</f>
        <v>1</v>
      </c>
      <c r="AI59" s="186" cm="1">
        <f t="array" ref="AI59">_xlfn.XLOOKUP(MIN(ABS($AZ$3:$AZ$31 - MEDIAN(MIN($AZ$3:$AZ$31), MAX($AZ$3:$AZ$31), AI29))), ABS($AZ$3:$AZ$31 - MEDIAN(MIN($AZ$3:$AZ$31), MAX($AZ$3:$AZ$31), AI29)), $BA$3:$BA$31, "Error", 0)</f>
        <v>1</v>
      </c>
      <c r="AJ59" s="186" cm="1">
        <f t="array" ref="AJ59">_xlfn.XLOOKUP(MIN(ABS($AZ$3:$AZ$31 - MEDIAN(MIN($AZ$3:$AZ$31), MAX($AZ$3:$AZ$31), AJ29))), ABS($AZ$3:$AZ$31 - MEDIAN(MIN($AZ$3:$AZ$31), MAX($AZ$3:$AZ$31), AJ29)), $BA$3:$BA$31, "Error", 0)</f>
        <v>1</v>
      </c>
      <c r="AK59" s="186" cm="1">
        <f t="array" ref="AK59">_xlfn.XLOOKUP(MIN(ABS($AZ$3:$AZ$31 - MEDIAN(MIN($AZ$3:$AZ$31), MAX($AZ$3:$AZ$31), AK29))), ABS($AZ$3:$AZ$31 - MEDIAN(MIN($AZ$3:$AZ$31), MAX($AZ$3:$AZ$31), AK29)), $BA$3:$BA$31, "Error", 0)</f>
        <v>1</v>
      </c>
      <c r="AL59" s="186" cm="1">
        <f t="array" ref="AL59">_xlfn.XLOOKUP(MIN(ABS($AZ$3:$AZ$31 - MEDIAN(MIN($AZ$3:$AZ$31), MAX($AZ$3:$AZ$31), AL29))), ABS($AZ$3:$AZ$31 - MEDIAN(MIN($AZ$3:$AZ$31), MAX($AZ$3:$AZ$31), AL29)), $BA$3:$BA$31, "Error", 0)</f>
        <v>0</v>
      </c>
      <c r="AM59" s="186" cm="1">
        <f t="array" ref="AM59">_xlfn.XLOOKUP(MIN(ABS($AZ$3:$AZ$31 - MEDIAN(MIN($AZ$3:$AZ$31), MAX($AZ$3:$AZ$31), AM29))), ABS($AZ$3:$AZ$31 - MEDIAN(MIN($AZ$3:$AZ$31), MAX($AZ$3:$AZ$31), AM29)), $BA$3:$BA$31, "Error", 0)</f>
        <v>0</v>
      </c>
      <c r="AN59" s="186" cm="1">
        <f t="array" ref="AN59">_xlfn.XLOOKUP(MIN(ABS($AZ$3:$AZ$31 - MEDIAN(MIN($AZ$3:$AZ$31), MAX($AZ$3:$AZ$31), AN29))), ABS($AZ$3:$AZ$31 - MEDIAN(MIN($AZ$3:$AZ$31), MAX($AZ$3:$AZ$31), AN29)), $BA$3:$BA$31, "Error", 0)</f>
        <v>0</v>
      </c>
      <c r="AO59" s="186" cm="1">
        <f t="array" ref="AO59">_xlfn.XLOOKUP(MIN(ABS($AZ$3:$AZ$31 - MEDIAN(MIN($AZ$3:$AZ$31), MAX($AZ$3:$AZ$31), AO29))), ABS($AZ$3:$AZ$31 - MEDIAN(MIN($AZ$3:$AZ$31), MAX($AZ$3:$AZ$31), AO29)), $BA$3:$BA$31, "Error", 0)</f>
        <v>0</v>
      </c>
      <c r="AP59" s="186" cm="1">
        <f t="array" ref="AP59">_xlfn.XLOOKUP(MIN(ABS($AZ$3:$AZ$31 - MEDIAN(MIN($AZ$3:$AZ$31), MAX($AZ$3:$AZ$31), AP29))), ABS($AZ$3:$AZ$31 - MEDIAN(MIN($AZ$3:$AZ$31), MAX($AZ$3:$AZ$31), AP29)), $BA$3:$BA$31, "Error", 0)</f>
        <v>-1</v>
      </c>
      <c r="AQ59" s="186" cm="1">
        <f t="array" ref="AQ59">_xlfn.XLOOKUP(MIN(ABS($AZ$3:$AZ$31 - MEDIAN(MIN($AZ$3:$AZ$31), MAX($AZ$3:$AZ$31), AQ29))), ABS($AZ$3:$AZ$31 - MEDIAN(MIN($AZ$3:$AZ$31), MAX($AZ$3:$AZ$31), AQ29)), $BA$3:$BA$31, "Error", 0)</f>
        <v>-1</v>
      </c>
      <c r="AR59" s="186" cm="1">
        <f t="array" ref="AR59">_xlfn.XLOOKUP(MIN(ABS($AZ$3:$AZ$31 - MEDIAN(MIN($AZ$3:$AZ$31), MAX($AZ$3:$AZ$31), AR29))), ABS($AZ$3:$AZ$31 - MEDIAN(MIN($AZ$3:$AZ$31), MAX($AZ$3:$AZ$31), AR29)), $BA$3:$BA$31, "Error", 0)</f>
        <v>-1</v>
      </c>
      <c r="AS59" s="186" cm="1">
        <f t="array" ref="AS59">_xlfn.XLOOKUP(MIN(ABS($AZ$3:$AZ$31 - MEDIAN(MIN($AZ$3:$AZ$31), MAX($AZ$3:$AZ$31), AS29))), ABS($AZ$3:$AZ$31 - MEDIAN(MIN($AZ$3:$AZ$31), MAX($AZ$3:$AZ$31), AS29)), $BA$3:$BA$31, "Error", 0)</f>
        <v>-1</v>
      </c>
      <c r="AT59" s="186" cm="1">
        <f t="array" ref="AT59">_xlfn.XLOOKUP(MIN(ABS($AZ$3:$AZ$31 - MEDIAN(MIN($AZ$3:$AZ$31), MAX($AZ$3:$AZ$31), AT29))), ABS($AZ$3:$AZ$31 - MEDIAN(MIN($AZ$3:$AZ$31), MAX($AZ$3:$AZ$31), AT29)), $BA$3:$BA$31, "Error", 0)</f>
        <v>-1</v>
      </c>
      <c r="AU59" s="186" cm="1">
        <f t="array" ref="AU59">_xlfn.XLOOKUP(MIN(ABS($AZ$3:$AZ$31 - MEDIAN(MIN($AZ$3:$AZ$31), MAX($AZ$3:$AZ$31), AU29))), ABS($AZ$3:$AZ$31 - MEDIAN(MIN($AZ$3:$AZ$31), MAX($AZ$3:$AZ$31), AU29)), $BA$3:$BA$31, "Error", 0)</f>
        <v>-1</v>
      </c>
      <c r="AV59" s="186" cm="1">
        <f t="array" ref="AV59">_xlfn.XLOOKUP(MIN(ABS($AZ$3:$AZ$31 - MEDIAN(MIN($AZ$3:$AZ$31), MAX($AZ$3:$AZ$31), AV29))), ABS($AZ$3:$AZ$31 - MEDIAN(MIN($AZ$3:$AZ$31), MAX($AZ$3:$AZ$31), AV29)), $BA$3:$BA$31, "Error", 0)</f>
        <v>-1</v>
      </c>
      <c r="AW59" s="186" cm="1">
        <f t="array" ref="AW59">_xlfn.XLOOKUP(MIN(ABS($AZ$3:$AZ$31 - MEDIAN(MIN($AZ$3:$AZ$31), MAX($AZ$3:$AZ$31), AW29))), ABS($AZ$3:$AZ$31 - MEDIAN(MIN($AZ$3:$AZ$31), MAX($AZ$3:$AZ$31), AW29)), $BA$3:$BA$31, "Error", 0)</f>
        <v>-2</v>
      </c>
      <c r="AX59" s="192" t="e" cm="1">
        <f t="array" ref="AX59">_xlfn.XLOOKUP(MIN(ABS($AZ$3:$AZ$31 - MEDIAN(MIN($AZ$3:$AZ$31), MAX($AZ$3:$AZ$31), AX29))), ABS($AZ$3:$AZ$31 - MEDIAN(MIN($AZ$3:$AZ$31), MAX($AZ$3:$AZ$31), AX29)), $BA$3:$BA$31, "Error", 0)</f>
        <v>#VALUE!</v>
      </c>
      <c r="AY59" s="195"/>
      <c r="AZ59" s="195"/>
      <c r="BA59" s="195"/>
      <c r="BB59" s="195"/>
      <c r="BC59" s="195"/>
      <c r="BD59" s="195"/>
      <c r="BE59" s="195"/>
      <c r="BF59" s="195"/>
      <c r="BG59" s="195"/>
      <c r="BH59" s="195"/>
      <c r="BI59" s="195"/>
      <c r="BJ59" s="195"/>
    </row>
    <row r="60" spans="2:62" ht="25" customHeight="1">
      <c r="B60" s="164" t="s">
        <v>56</v>
      </c>
      <c r="C60" s="186" cm="1">
        <f t="array" ref="C60">_xlfn.XLOOKUP(MIN(ABS($AZ$3:$AZ$31 - MEDIAN(MIN($AZ$3:$AZ$31), MAX($AZ$3:$AZ$31), C30))), ABS($AZ$3:$AZ$31 - MEDIAN(MIN($AZ$3:$AZ$31), MAX($AZ$3:$AZ$31), C30)), $BA$3:$BA$31, "Error", 0)</f>
        <v>-1</v>
      </c>
      <c r="D60" s="186" cm="1">
        <f t="array" ref="D60">_xlfn.XLOOKUP(MIN(ABS($AZ$3:$AZ$31 - MEDIAN(MIN($AZ$3:$AZ$31), MAX($AZ$3:$AZ$31), D30))), ABS($AZ$3:$AZ$31 - MEDIAN(MIN($AZ$3:$AZ$31), MAX($AZ$3:$AZ$31), D30)), $BA$3:$BA$31, "Error", 0)</f>
        <v>-1</v>
      </c>
      <c r="E60" s="186" cm="1">
        <f t="array" ref="E60">_xlfn.XLOOKUP(MIN(ABS($AZ$3:$AZ$31 - MEDIAN(MIN($AZ$3:$AZ$31), MAX($AZ$3:$AZ$31), E30))), ABS($AZ$3:$AZ$31 - MEDIAN(MIN($AZ$3:$AZ$31), MAX($AZ$3:$AZ$31), E30)), $BA$3:$BA$31, "Error", 0)</f>
        <v>-1</v>
      </c>
      <c r="F60" s="186" cm="1">
        <f t="array" ref="F60">_xlfn.XLOOKUP(MIN(ABS($AZ$3:$AZ$31 - MEDIAN(MIN($AZ$3:$AZ$31), MAX($AZ$3:$AZ$31), F30))), ABS($AZ$3:$AZ$31 - MEDIAN(MIN($AZ$3:$AZ$31), MAX($AZ$3:$AZ$31), F30)), $BA$3:$BA$31, "Error", 0)</f>
        <v>-2</v>
      </c>
      <c r="G60" s="186" cm="1">
        <f t="array" ref="G60">_xlfn.XLOOKUP(MIN(ABS($AZ$3:$AZ$31 - MEDIAN(MIN($AZ$3:$AZ$31), MAX($AZ$3:$AZ$31), G30))), ABS($AZ$3:$AZ$31 - MEDIAN(MIN($AZ$3:$AZ$31), MAX($AZ$3:$AZ$31), G30)), $BA$3:$BA$31, "Error", 0)</f>
        <v>-2</v>
      </c>
      <c r="H60" s="186" cm="1">
        <f t="array" ref="H60">_xlfn.XLOOKUP(MIN(ABS($AZ$3:$AZ$31 - MEDIAN(MIN($AZ$3:$AZ$31), MAX($AZ$3:$AZ$31), H30))), ABS($AZ$3:$AZ$31 - MEDIAN(MIN($AZ$3:$AZ$31), MAX($AZ$3:$AZ$31), H30)), $BA$3:$BA$31, "Error", 0)</f>
        <v>-1</v>
      </c>
      <c r="I60" s="186" cm="1">
        <f t="array" ref="I60">_xlfn.XLOOKUP(MIN(ABS($AZ$3:$AZ$31 - MEDIAN(MIN($AZ$3:$AZ$31), MAX($AZ$3:$AZ$31), I30))), ABS($AZ$3:$AZ$31 - MEDIAN(MIN($AZ$3:$AZ$31), MAX($AZ$3:$AZ$31), I30)), $BA$3:$BA$31, "Error", 0)</f>
        <v>-1</v>
      </c>
      <c r="J60" s="186" cm="1">
        <f t="array" ref="J60">_xlfn.XLOOKUP(MIN(ABS($AZ$3:$AZ$31 - MEDIAN(MIN($AZ$3:$AZ$31), MAX($AZ$3:$AZ$31), J30))), ABS($AZ$3:$AZ$31 - MEDIAN(MIN($AZ$3:$AZ$31), MAX($AZ$3:$AZ$31), J30)), $BA$3:$BA$31, "Error", 0)</f>
        <v>0</v>
      </c>
      <c r="K60" s="186" cm="1">
        <f t="array" ref="K60">_xlfn.XLOOKUP(MIN(ABS($AZ$3:$AZ$31 - MEDIAN(MIN($AZ$3:$AZ$31), MAX($AZ$3:$AZ$31), K30))), ABS($AZ$3:$AZ$31 - MEDIAN(MIN($AZ$3:$AZ$31), MAX($AZ$3:$AZ$31), K30)), $BA$3:$BA$31, "Error", 0)</f>
        <v>0</v>
      </c>
      <c r="L60" s="186" cm="1">
        <f t="array" ref="L60">_xlfn.XLOOKUP(MIN(ABS($AZ$3:$AZ$31 - MEDIAN(MIN($AZ$3:$AZ$31), MAX($AZ$3:$AZ$31), L30))), ABS($AZ$3:$AZ$31 - MEDIAN(MIN($AZ$3:$AZ$31), MAX($AZ$3:$AZ$31), L30)), $BA$3:$BA$31, "Error", 0)</f>
        <v>0</v>
      </c>
      <c r="M60" s="186" cm="1">
        <f t="array" ref="M60">_xlfn.XLOOKUP(MIN(ABS($AZ$3:$AZ$31 - MEDIAN(MIN($AZ$3:$AZ$31), MAX($AZ$3:$AZ$31), M30))), ABS($AZ$3:$AZ$31 - MEDIAN(MIN($AZ$3:$AZ$31), MAX($AZ$3:$AZ$31), M30)), $BA$3:$BA$31, "Error", 0)</f>
        <v>0</v>
      </c>
      <c r="N60" s="186" cm="1">
        <f t="array" ref="N60">_xlfn.XLOOKUP(MIN(ABS($AZ$3:$AZ$31 - MEDIAN(MIN($AZ$3:$AZ$31), MAX($AZ$3:$AZ$31), N30))), ABS($AZ$3:$AZ$31 - MEDIAN(MIN($AZ$3:$AZ$31), MAX($AZ$3:$AZ$31), N30)), $BA$3:$BA$31, "Error", 0)</f>
        <v>0</v>
      </c>
      <c r="O60" s="186" cm="1">
        <f t="array" ref="O60">_xlfn.XLOOKUP(MIN(ABS($AZ$3:$AZ$31 - MEDIAN(MIN($AZ$3:$AZ$31), MAX($AZ$3:$AZ$31), O30))), ABS($AZ$3:$AZ$31 - MEDIAN(MIN($AZ$3:$AZ$31), MAX($AZ$3:$AZ$31), O30)), $BA$3:$BA$31, "Error", 0)</f>
        <v>0</v>
      </c>
      <c r="P60" s="186" cm="1">
        <f t="array" ref="P60">_xlfn.XLOOKUP(MIN(ABS($AZ$3:$AZ$31 - MEDIAN(MIN($AZ$3:$AZ$31), MAX($AZ$3:$AZ$31), P30))), ABS($AZ$3:$AZ$31 - MEDIAN(MIN($AZ$3:$AZ$31), MAX($AZ$3:$AZ$31), P30)), $BA$3:$BA$31, "Error", 0)</f>
        <v>0</v>
      </c>
      <c r="Q60" s="186" cm="1">
        <f t="array" ref="Q60">_xlfn.XLOOKUP(MIN(ABS($AZ$3:$AZ$31 - MEDIAN(MIN($AZ$3:$AZ$31), MAX($AZ$3:$AZ$31), Q30))), ABS($AZ$3:$AZ$31 - MEDIAN(MIN($AZ$3:$AZ$31), MAX($AZ$3:$AZ$31), Q30)), $BA$3:$BA$31, "Error", 0)</f>
        <v>0</v>
      </c>
      <c r="R60" s="186" cm="1">
        <f t="array" ref="R60">_xlfn.XLOOKUP(MIN(ABS($AZ$3:$AZ$31 - MEDIAN(MIN($AZ$3:$AZ$31), MAX($AZ$3:$AZ$31), R30))), ABS($AZ$3:$AZ$31 - MEDIAN(MIN($AZ$3:$AZ$31), MAX($AZ$3:$AZ$31), R30)), $BA$3:$BA$31, "Error", 0)</f>
        <v>0</v>
      </c>
      <c r="S60" s="186" cm="1">
        <f t="array" ref="S60">_xlfn.XLOOKUP(MIN(ABS($AZ$3:$AZ$31 - MEDIAN(MIN($AZ$3:$AZ$31), MAX($AZ$3:$AZ$31), S30))), ABS($AZ$3:$AZ$31 - MEDIAN(MIN($AZ$3:$AZ$31), MAX($AZ$3:$AZ$31), S30)), $BA$3:$BA$31, "Error", 0)</f>
        <v>0</v>
      </c>
      <c r="T60" s="186" cm="1">
        <f t="array" ref="T60">_xlfn.XLOOKUP(MIN(ABS($AZ$3:$AZ$31 - MEDIAN(MIN($AZ$3:$AZ$31), MAX($AZ$3:$AZ$31), T30))), ABS($AZ$3:$AZ$31 - MEDIAN(MIN($AZ$3:$AZ$31), MAX($AZ$3:$AZ$31), T30)), $BA$3:$BA$31, "Error", 0)</f>
        <v>0</v>
      </c>
      <c r="U60" s="186" cm="1">
        <f t="array" ref="U60">_xlfn.XLOOKUP(MIN(ABS($AZ$3:$AZ$31 - MEDIAN(MIN($AZ$3:$AZ$31), MAX($AZ$3:$AZ$31), U30))), ABS($AZ$3:$AZ$31 - MEDIAN(MIN($AZ$3:$AZ$31), MAX($AZ$3:$AZ$31), U30)), $BA$3:$BA$31, "Error", 0)</f>
        <v>0</v>
      </c>
      <c r="V60" s="186" cm="1">
        <f t="array" ref="V60">_xlfn.XLOOKUP(MIN(ABS($AZ$3:$AZ$31 - MEDIAN(MIN($AZ$3:$AZ$31), MAX($AZ$3:$AZ$31), V30))), ABS($AZ$3:$AZ$31 - MEDIAN(MIN($AZ$3:$AZ$31), MAX($AZ$3:$AZ$31), V30)), $BA$3:$BA$31, "Error", 0)</f>
        <v>0</v>
      </c>
      <c r="W60" s="186" cm="1">
        <f t="array" ref="W60">_xlfn.XLOOKUP(MIN(ABS($AZ$3:$AZ$31 - MEDIAN(MIN($AZ$3:$AZ$31), MAX($AZ$3:$AZ$31), W30))), ABS($AZ$3:$AZ$31 - MEDIAN(MIN($AZ$3:$AZ$31), MAX($AZ$3:$AZ$31), W30)), $BA$3:$BA$31, "Error", 0)</f>
        <v>1</v>
      </c>
      <c r="X60" s="186" cm="1">
        <f t="array" ref="X60">_xlfn.XLOOKUP(MIN(ABS($AZ$3:$AZ$31 - MEDIAN(MIN($AZ$3:$AZ$31), MAX($AZ$3:$AZ$31), X30))), ABS($AZ$3:$AZ$31 - MEDIAN(MIN($AZ$3:$AZ$31), MAX($AZ$3:$AZ$31), X30)), $BA$3:$BA$31, "Error", 0)</f>
        <v>1</v>
      </c>
      <c r="Y60" s="186" cm="1">
        <f t="array" ref="Y60">_xlfn.XLOOKUP(MIN(ABS($AZ$3:$AZ$31 - MEDIAN(MIN($AZ$3:$AZ$31), MAX($AZ$3:$AZ$31), Y30))), ABS($AZ$3:$AZ$31 - MEDIAN(MIN($AZ$3:$AZ$31), MAX($AZ$3:$AZ$31), Y30)), $BA$3:$BA$31, "Error", 0)</f>
        <v>1</v>
      </c>
      <c r="Z60" s="186" cm="1">
        <f t="array" ref="Z60">_xlfn.XLOOKUP(MIN(ABS($AZ$3:$AZ$31 - MEDIAN(MIN($AZ$3:$AZ$31), MAX($AZ$3:$AZ$31), Z30))), ABS($AZ$3:$AZ$31 - MEDIAN(MIN($AZ$3:$AZ$31), MAX($AZ$3:$AZ$31), Z30)), $BA$3:$BA$31, "Error", 0)</f>
        <v>1</v>
      </c>
      <c r="AA60" s="186" cm="1">
        <f t="array" ref="AA60">_xlfn.XLOOKUP(MIN(ABS($AZ$3:$AZ$31 - MEDIAN(MIN($AZ$3:$AZ$31), MAX($AZ$3:$AZ$31), AA30))), ABS($AZ$3:$AZ$31 - MEDIAN(MIN($AZ$3:$AZ$31), MAX($AZ$3:$AZ$31), AA30)), $BA$3:$BA$31, "Error", 0)</f>
        <v>1</v>
      </c>
      <c r="AB60" s="186" cm="1">
        <f t="array" ref="AB60">_xlfn.XLOOKUP(MIN(ABS($AZ$3:$AZ$31 - MEDIAN(MIN($AZ$3:$AZ$31), MAX($AZ$3:$AZ$31), AB30))), ABS($AZ$3:$AZ$31 - MEDIAN(MIN($AZ$3:$AZ$31), MAX($AZ$3:$AZ$31), AB30)), $BA$3:$BA$31, "Error", 0)</f>
        <v>2</v>
      </c>
      <c r="AC60" s="186" cm="1">
        <f t="array" ref="AC60">_xlfn.XLOOKUP(MIN(ABS($AZ$3:$AZ$31 - MEDIAN(MIN($AZ$3:$AZ$31), MAX($AZ$3:$AZ$31), AC30))), ABS($AZ$3:$AZ$31 - MEDIAN(MIN($AZ$3:$AZ$31), MAX($AZ$3:$AZ$31), AC30)), $BA$3:$BA$31, "Error", 0)</f>
        <v>2</v>
      </c>
      <c r="AD60" s="186" cm="1">
        <f t="array" ref="AD60">_xlfn.XLOOKUP(MIN(ABS($AZ$3:$AZ$31 - MEDIAN(MIN($AZ$3:$AZ$31), MAX($AZ$3:$AZ$31), AD30))), ABS($AZ$3:$AZ$31 - MEDIAN(MIN($AZ$3:$AZ$31), MAX($AZ$3:$AZ$31), AD30)), $BA$3:$BA$31, "Error", 0)</f>
        <v>2</v>
      </c>
      <c r="AE60" s="186" cm="1">
        <f t="array" ref="AE60">_xlfn.XLOOKUP(MIN(ABS($AZ$3:$AZ$31 - MEDIAN(MIN($AZ$3:$AZ$31), MAX($AZ$3:$AZ$31), AE30))), ABS($AZ$3:$AZ$31 - MEDIAN(MIN($AZ$3:$AZ$31), MAX($AZ$3:$AZ$31), AE30)), $BA$3:$BA$31, "Error", 0)</f>
        <v>2</v>
      </c>
      <c r="AF60" s="186" cm="1">
        <f t="array" ref="AF60">_xlfn.XLOOKUP(MIN(ABS($AZ$3:$AZ$31 - MEDIAN(MIN($AZ$3:$AZ$31), MAX($AZ$3:$AZ$31), AF30))), ABS($AZ$3:$AZ$31 - MEDIAN(MIN($AZ$3:$AZ$31), MAX($AZ$3:$AZ$31), AF30)), $BA$3:$BA$31, "Error", 0)</f>
        <v>2</v>
      </c>
      <c r="AG60" s="186" cm="1">
        <f t="array" ref="AG60">_xlfn.XLOOKUP(MIN(ABS($AZ$3:$AZ$31 - MEDIAN(MIN($AZ$3:$AZ$31), MAX($AZ$3:$AZ$31), AG30))), ABS($AZ$3:$AZ$31 - MEDIAN(MIN($AZ$3:$AZ$31), MAX($AZ$3:$AZ$31), AG30)), $BA$3:$BA$31, "Error", 0)</f>
        <v>2</v>
      </c>
      <c r="AH60" s="186" cm="1">
        <f t="array" ref="AH60">_xlfn.XLOOKUP(MIN(ABS($AZ$3:$AZ$31 - MEDIAN(MIN($AZ$3:$AZ$31), MAX($AZ$3:$AZ$31), AH30))), ABS($AZ$3:$AZ$31 - MEDIAN(MIN($AZ$3:$AZ$31), MAX($AZ$3:$AZ$31), AH30)), $BA$3:$BA$31, "Error", 0)</f>
        <v>2</v>
      </c>
      <c r="AI60" s="186" cm="1">
        <f t="array" ref="AI60">_xlfn.XLOOKUP(MIN(ABS($AZ$3:$AZ$31 - MEDIAN(MIN($AZ$3:$AZ$31), MAX($AZ$3:$AZ$31), AI30))), ABS($AZ$3:$AZ$31 - MEDIAN(MIN($AZ$3:$AZ$31), MAX($AZ$3:$AZ$31), AI30)), $BA$3:$BA$31, "Error", 0)</f>
        <v>2</v>
      </c>
      <c r="AJ60" s="186" cm="1">
        <f t="array" ref="AJ60">_xlfn.XLOOKUP(MIN(ABS($AZ$3:$AZ$31 - MEDIAN(MIN($AZ$3:$AZ$31), MAX($AZ$3:$AZ$31), AJ30))), ABS($AZ$3:$AZ$31 - MEDIAN(MIN($AZ$3:$AZ$31), MAX($AZ$3:$AZ$31), AJ30)), $BA$3:$BA$31, "Error", 0)</f>
        <v>3</v>
      </c>
      <c r="AK60" s="186" cm="1">
        <f t="array" ref="AK60">_xlfn.XLOOKUP(MIN(ABS($AZ$3:$AZ$31 - MEDIAN(MIN($AZ$3:$AZ$31), MAX($AZ$3:$AZ$31), AK30))), ABS($AZ$3:$AZ$31 - MEDIAN(MIN($AZ$3:$AZ$31), MAX($AZ$3:$AZ$31), AK30)), $BA$3:$BA$31, "Error", 0)</f>
        <v>4</v>
      </c>
      <c r="AL60" s="186" cm="1">
        <f t="array" ref="AL60">_xlfn.XLOOKUP(MIN(ABS($AZ$3:$AZ$31 - MEDIAN(MIN($AZ$3:$AZ$31), MAX($AZ$3:$AZ$31), AL30))), ABS($AZ$3:$AZ$31 - MEDIAN(MIN($AZ$3:$AZ$31), MAX($AZ$3:$AZ$31), AL30)), $BA$3:$BA$31, "Error", 0)</f>
        <v>3</v>
      </c>
      <c r="AM60" s="186" cm="1">
        <f t="array" ref="AM60">_xlfn.XLOOKUP(MIN(ABS($AZ$3:$AZ$31 - MEDIAN(MIN($AZ$3:$AZ$31), MAX($AZ$3:$AZ$31), AM30))), ABS($AZ$3:$AZ$31 - MEDIAN(MIN($AZ$3:$AZ$31), MAX($AZ$3:$AZ$31), AM30)), $BA$3:$BA$31, "Error", 0)</f>
        <v>3</v>
      </c>
      <c r="AN60" s="186" cm="1">
        <f t="array" ref="AN60">_xlfn.XLOOKUP(MIN(ABS($AZ$3:$AZ$31 - MEDIAN(MIN($AZ$3:$AZ$31), MAX($AZ$3:$AZ$31), AN30))), ABS($AZ$3:$AZ$31 - MEDIAN(MIN($AZ$3:$AZ$31), MAX($AZ$3:$AZ$31), AN30)), $BA$3:$BA$31, "Error", 0)</f>
        <v>3</v>
      </c>
      <c r="AO60" s="186" cm="1">
        <f t="array" ref="AO60">_xlfn.XLOOKUP(MIN(ABS($AZ$3:$AZ$31 - MEDIAN(MIN($AZ$3:$AZ$31), MAX($AZ$3:$AZ$31), AO30))), ABS($AZ$3:$AZ$31 - MEDIAN(MIN($AZ$3:$AZ$31), MAX($AZ$3:$AZ$31), AO30)), $BA$3:$BA$31, "Error", 0)</f>
        <v>3</v>
      </c>
      <c r="AP60" s="186" cm="1">
        <f t="array" ref="AP60">_xlfn.XLOOKUP(MIN(ABS($AZ$3:$AZ$31 - MEDIAN(MIN($AZ$3:$AZ$31), MAX($AZ$3:$AZ$31), AP30))), ABS($AZ$3:$AZ$31 - MEDIAN(MIN($AZ$3:$AZ$31), MAX($AZ$3:$AZ$31), AP30)), $BA$3:$BA$31, "Error", 0)</f>
        <v>3</v>
      </c>
      <c r="AQ60" s="186" cm="1">
        <f t="array" ref="AQ60">_xlfn.XLOOKUP(MIN(ABS($AZ$3:$AZ$31 - MEDIAN(MIN($AZ$3:$AZ$31), MAX($AZ$3:$AZ$31), AQ30))), ABS($AZ$3:$AZ$31 - MEDIAN(MIN($AZ$3:$AZ$31), MAX($AZ$3:$AZ$31), AQ30)), $BA$3:$BA$31, "Error", 0)</f>
        <v>3</v>
      </c>
      <c r="AR60" s="186" cm="1">
        <f t="array" ref="AR60">_xlfn.XLOOKUP(MIN(ABS($AZ$3:$AZ$31 - MEDIAN(MIN($AZ$3:$AZ$31), MAX($AZ$3:$AZ$31), AR30))), ABS($AZ$3:$AZ$31 - MEDIAN(MIN($AZ$3:$AZ$31), MAX($AZ$3:$AZ$31), AR30)), $BA$3:$BA$31, "Error", 0)</f>
        <v>3</v>
      </c>
      <c r="AS60" s="186" cm="1">
        <f t="array" ref="AS60">_xlfn.XLOOKUP(MIN(ABS($AZ$3:$AZ$31 - MEDIAN(MIN($AZ$3:$AZ$31), MAX($AZ$3:$AZ$31), AS30))), ABS($AZ$3:$AZ$31 - MEDIAN(MIN($AZ$3:$AZ$31), MAX($AZ$3:$AZ$31), AS30)), $BA$3:$BA$31, "Error", 0)</f>
        <v>3</v>
      </c>
      <c r="AT60" s="186" cm="1">
        <f t="array" ref="AT60">_xlfn.XLOOKUP(MIN(ABS($AZ$3:$AZ$31 - MEDIAN(MIN($AZ$3:$AZ$31), MAX($AZ$3:$AZ$31), AT30))), ABS($AZ$3:$AZ$31 - MEDIAN(MIN($AZ$3:$AZ$31), MAX($AZ$3:$AZ$31), AT30)), $BA$3:$BA$31, "Error", 0)</f>
        <v>3</v>
      </c>
      <c r="AU60" s="186" cm="1">
        <f t="array" ref="AU60">_xlfn.XLOOKUP(MIN(ABS($AZ$3:$AZ$31 - MEDIAN(MIN($AZ$3:$AZ$31), MAX($AZ$3:$AZ$31), AU30))), ABS($AZ$3:$AZ$31 - MEDIAN(MIN($AZ$3:$AZ$31), MAX($AZ$3:$AZ$31), AU30)), $BA$3:$BA$31, "Error", 0)</f>
        <v>2</v>
      </c>
      <c r="AV60" s="186" cm="1">
        <f t="array" ref="AV60">_xlfn.XLOOKUP(MIN(ABS($AZ$3:$AZ$31 - MEDIAN(MIN($AZ$3:$AZ$31), MAX($AZ$3:$AZ$31), AV30))), ABS($AZ$3:$AZ$31 - MEDIAN(MIN($AZ$3:$AZ$31), MAX($AZ$3:$AZ$31), AV30)), $BA$3:$BA$31, "Error", 0)</f>
        <v>2</v>
      </c>
      <c r="AW60" s="186" cm="1">
        <f t="array" ref="AW60">_xlfn.XLOOKUP(MIN(ABS($AZ$3:$AZ$31 - MEDIAN(MIN($AZ$3:$AZ$31), MAX($AZ$3:$AZ$31), AW30))), ABS($AZ$3:$AZ$31 - MEDIAN(MIN($AZ$3:$AZ$31), MAX($AZ$3:$AZ$31), AW30)), $BA$3:$BA$31, "Error", 0)</f>
        <v>2</v>
      </c>
      <c r="AX60" s="192" t="e" cm="1">
        <f t="array" ref="AX60">_xlfn.XLOOKUP(MIN(ABS($AZ$3:$AZ$31 - MEDIAN(MIN($AZ$3:$AZ$31), MAX($AZ$3:$AZ$31), AX30))), ABS($AZ$3:$AZ$31 - MEDIAN(MIN($AZ$3:$AZ$31), MAX($AZ$3:$AZ$31), AX30)), $BA$3:$BA$31, "Error", 0)</f>
        <v>#VALUE!</v>
      </c>
      <c r="AY60" s="195"/>
      <c r="AZ60" s="195"/>
      <c r="BA60" s="195"/>
      <c r="BB60" s="195"/>
      <c r="BC60" s="195"/>
      <c r="BD60" s="195"/>
      <c r="BE60" s="195"/>
      <c r="BF60" s="195"/>
      <c r="BG60" s="195"/>
      <c r="BH60" s="195"/>
      <c r="BI60" s="195"/>
      <c r="BJ60" s="195"/>
    </row>
    <row r="61" spans="2:62" ht="25" customHeight="1">
      <c r="B61" s="165" t="s">
        <v>57</v>
      </c>
      <c r="C61" s="186" cm="1">
        <f t="array" ref="C61">_xlfn.XLOOKUP(MIN(ABS($AZ$3:$AZ$31 - MEDIAN(MIN($AZ$3:$AZ$31), MAX($AZ$3:$AZ$31), C31))), ABS($AZ$3:$AZ$31 - MEDIAN(MIN($AZ$3:$AZ$31), MAX($AZ$3:$AZ$31), C31)), $BA$3:$BA$31, "Error", 0)</f>
        <v>2</v>
      </c>
      <c r="D61" s="186" cm="1">
        <f t="array" ref="D61">_xlfn.XLOOKUP(MIN(ABS($AZ$3:$AZ$31 - MEDIAN(MIN($AZ$3:$AZ$31), MAX($AZ$3:$AZ$31), D31))), ABS($AZ$3:$AZ$31 - MEDIAN(MIN($AZ$3:$AZ$31), MAX($AZ$3:$AZ$31), D31)), $BA$3:$BA$31, "Error", 0)</f>
        <v>2</v>
      </c>
      <c r="E61" s="186" cm="1">
        <f t="array" ref="E61">_xlfn.XLOOKUP(MIN(ABS($AZ$3:$AZ$31 - MEDIAN(MIN($AZ$3:$AZ$31), MAX($AZ$3:$AZ$31), E31))), ABS($AZ$3:$AZ$31 - MEDIAN(MIN($AZ$3:$AZ$31), MAX($AZ$3:$AZ$31), E31)), $BA$3:$BA$31, "Error", 0)</f>
        <v>3</v>
      </c>
      <c r="F61" s="186" cm="1">
        <f t="array" ref="F61">_xlfn.XLOOKUP(MIN(ABS($AZ$3:$AZ$31 - MEDIAN(MIN($AZ$3:$AZ$31), MAX($AZ$3:$AZ$31), F31))), ABS($AZ$3:$AZ$31 - MEDIAN(MIN($AZ$3:$AZ$31), MAX($AZ$3:$AZ$31), F31)), $BA$3:$BA$31, "Error", 0)</f>
        <v>3</v>
      </c>
      <c r="G61" s="186" cm="1">
        <f t="array" ref="G61">_xlfn.XLOOKUP(MIN(ABS($AZ$3:$AZ$31 - MEDIAN(MIN($AZ$3:$AZ$31), MAX($AZ$3:$AZ$31), G31))), ABS($AZ$3:$AZ$31 - MEDIAN(MIN($AZ$3:$AZ$31), MAX($AZ$3:$AZ$31), G31)), $BA$3:$BA$31, "Error", 0)</f>
        <v>3</v>
      </c>
      <c r="H61" s="186" cm="1">
        <f t="array" ref="H61">_xlfn.XLOOKUP(MIN(ABS($AZ$3:$AZ$31 - MEDIAN(MIN($AZ$3:$AZ$31), MAX($AZ$3:$AZ$31), H31))), ABS($AZ$3:$AZ$31 - MEDIAN(MIN($AZ$3:$AZ$31), MAX($AZ$3:$AZ$31), H31)), $BA$3:$BA$31, "Error", 0)</f>
        <v>4</v>
      </c>
      <c r="I61" s="186" cm="1">
        <f t="array" ref="I61">_xlfn.XLOOKUP(MIN(ABS($AZ$3:$AZ$31 - MEDIAN(MIN($AZ$3:$AZ$31), MAX($AZ$3:$AZ$31), I31))), ABS($AZ$3:$AZ$31 - MEDIAN(MIN($AZ$3:$AZ$31), MAX($AZ$3:$AZ$31), I31)), $BA$3:$BA$31, "Error", 0)</f>
        <v>4</v>
      </c>
      <c r="J61" s="186" cm="1">
        <f t="array" ref="J61">_xlfn.XLOOKUP(MIN(ABS($AZ$3:$AZ$31 - MEDIAN(MIN($AZ$3:$AZ$31), MAX($AZ$3:$AZ$31), J31))), ABS($AZ$3:$AZ$31 - MEDIAN(MIN($AZ$3:$AZ$31), MAX($AZ$3:$AZ$31), J31)), $BA$3:$BA$31, "Error", 0)</f>
        <v>4</v>
      </c>
      <c r="K61" s="186" cm="1">
        <f t="array" ref="K61">_xlfn.XLOOKUP(MIN(ABS($AZ$3:$AZ$31 - MEDIAN(MIN($AZ$3:$AZ$31), MAX($AZ$3:$AZ$31), K31))), ABS($AZ$3:$AZ$31 - MEDIAN(MIN($AZ$3:$AZ$31), MAX($AZ$3:$AZ$31), K31)), $BA$3:$BA$31, "Error", 0)</f>
        <v>4</v>
      </c>
      <c r="L61" s="186" cm="1">
        <f t="array" ref="L61">_xlfn.XLOOKUP(MIN(ABS($AZ$3:$AZ$31 - MEDIAN(MIN($AZ$3:$AZ$31), MAX($AZ$3:$AZ$31), L31))), ABS($AZ$3:$AZ$31 - MEDIAN(MIN($AZ$3:$AZ$31), MAX($AZ$3:$AZ$31), L31)), $BA$3:$BA$31, "Error", 0)</f>
        <v>4</v>
      </c>
      <c r="M61" s="186" cm="1">
        <f t="array" ref="M61">_xlfn.XLOOKUP(MIN(ABS($AZ$3:$AZ$31 - MEDIAN(MIN($AZ$3:$AZ$31), MAX($AZ$3:$AZ$31), M31))), ABS($AZ$3:$AZ$31 - MEDIAN(MIN($AZ$3:$AZ$31), MAX($AZ$3:$AZ$31), M31)), $BA$3:$BA$31, "Error", 0)</f>
        <v>4</v>
      </c>
      <c r="N61" s="186" cm="1">
        <f t="array" ref="N61">_xlfn.XLOOKUP(MIN(ABS($AZ$3:$AZ$31 - MEDIAN(MIN($AZ$3:$AZ$31), MAX($AZ$3:$AZ$31), N31))), ABS($AZ$3:$AZ$31 - MEDIAN(MIN($AZ$3:$AZ$31), MAX($AZ$3:$AZ$31), N31)), $BA$3:$BA$31, "Error", 0)</f>
        <v>4</v>
      </c>
      <c r="O61" s="186" cm="1">
        <f t="array" ref="O61">_xlfn.XLOOKUP(MIN(ABS($AZ$3:$AZ$31 - MEDIAN(MIN($AZ$3:$AZ$31), MAX($AZ$3:$AZ$31), O31))), ABS($AZ$3:$AZ$31 - MEDIAN(MIN($AZ$3:$AZ$31), MAX($AZ$3:$AZ$31), O31)), $BA$3:$BA$31, "Error", 0)</f>
        <v>4</v>
      </c>
      <c r="P61" s="186" cm="1">
        <f t="array" ref="P61">_xlfn.XLOOKUP(MIN(ABS($AZ$3:$AZ$31 - MEDIAN(MIN($AZ$3:$AZ$31), MAX($AZ$3:$AZ$31), P31))), ABS($AZ$3:$AZ$31 - MEDIAN(MIN($AZ$3:$AZ$31), MAX($AZ$3:$AZ$31), P31)), $BA$3:$BA$31, "Error", 0)</f>
        <v>4</v>
      </c>
      <c r="Q61" s="186" cm="1">
        <f t="array" ref="Q61">_xlfn.XLOOKUP(MIN(ABS($AZ$3:$AZ$31 - MEDIAN(MIN($AZ$3:$AZ$31), MAX($AZ$3:$AZ$31), Q31))), ABS($AZ$3:$AZ$31 - MEDIAN(MIN($AZ$3:$AZ$31), MAX($AZ$3:$AZ$31), Q31)), $BA$3:$BA$31, "Error", 0)</f>
        <v>3</v>
      </c>
      <c r="R61" s="186" cm="1">
        <f t="array" ref="R61">_xlfn.XLOOKUP(MIN(ABS($AZ$3:$AZ$31 - MEDIAN(MIN($AZ$3:$AZ$31), MAX($AZ$3:$AZ$31), R31))), ABS($AZ$3:$AZ$31 - MEDIAN(MIN($AZ$3:$AZ$31), MAX($AZ$3:$AZ$31), R31)), $BA$3:$BA$31, "Error", 0)</f>
        <v>3</v>
      </c>
      <c r="S61" s="186" cm="1">
        <f t="array" ref="S61">_xlfn.XLOOKUP(MIN(ABS($AZ$3:$AZ$31 - MEDIAN(MIN($AZ$3:$AZ$31), MAX($AZ$3:$AZ$31), S31))), ABS($AZ$3:$AZ$31 - MEDIAN(MIN($AZ$3:$AZ$31), MAX($AZ$3:$AZ$31), S31)), $BA$3:$BA$31, "Error", 0)</f>
        <v>3</v>
      </c>
      <c r="T61" s="186" cm="1">
        <f t="array" ref="T61">_xlfn.XLOOKUP(MIN(ABS($AZ$3:$AZ$31 - MEDIAN(MIN($AZ$3:$AZ$31), MAX($AZ$3:$AZ$31), T31))), ABS($AZ$3:$AZ$31 - MEDIAN(MIN($AZ$3:$AZ$31), MAX($AZ$3:$AZ$31), T31)), $BA$3:$BA$31, "Error", 0)</f>
        <v>2</v>
      </c>
      <c r="U61" s="186" cm="1">
        <f t="array" ref="U61">_xlfn.XLOOKUP(MIN(ABS($AZ$3:$AZ$31 - MEDIAN(MIN($AZ$3:$AZ$31), MAX($AZ$3:$AZ$31), U31))), ABS($AZ$3:$AZ$31 - MEDIAN(MIN($AZ$3:$AZ$31), MAX($AZ$3:$AZ$31), U31)), $BA$3:$BA$31, "Error", 0)</f>
        <v>2</v>
      </c>
      <c r="V61" s="186" cm="1">
        <f t="array" ref="V61">_xlfn.XLOOKUP(MIN(ABS($AZ$3:$AZ$31 - MEDIAN(MIN($AZ$3:$AZ$31), MAX($AZ$3:$AZ$31), V31))), ABS($AZ$3:$AZ$31 - MEDIAN(MIN($AZ$3:$AZ$31), MAX($AZ$3:$AZ$31), V31)), $BA$3:$BA$31, "Error", 0)</f>
        <v>2</v>
      </c>
      <c r="W61" s="186" cm="1">
        <f t="array" ref="W61">_xlfn.XLOOKUP(MIN(ABS($AZ$3:$AZ$31 - MEDIAN(MIN($AZ$3:$AZ$31), MAX($AZ$3:$AZ$31), W31))), ABS($AZ$3:$AZ$31 - MEDIAN(MIN($AZ$3:$AZ$31), MAX($AZ$3:$AZ$31), W31)), $BA$3:$BA$31, "Error", 0)</f>
        <v>2</v>
      </c>
      <c r="X61" s="186" cm="1">
        <f t="array" ref="X61">_xlfn.XLOOKUP(MIN(ABS($AZ$3:$AZ$31 - MEDIAN(MIN($AZ$3:$AZ$31), MAX($AZ$3:$AZ$31), X31))), ABS($AZ$3:$AZ$31 - MEDIAN(MIN($AZ$3:$AZ$31), MAX($AZ$3:$AZ$31), X31)), $BA$3:$BA$31, "Error", 0)</f>
        <v>2</v>
      </c>
      <c r="Y61" s="186" cm="1">
        <f t="array" ref="Y61">_xlfn.XLOOKUP(MIN(ABS($AZ$3:$AZ$31 - MEDIAN(MIN($AZ$3:$AZ$31), MAX($AZ$3:$AZ$31), Y31))), ABS($AZ$3:$AZ$31 - MEDIAN(MIN($AZ$3:$AZ$31), MAX($AZ$3:$AZ$31), Y31)), $BA$3:$BA$31, "Error", 0)</f>
        <v>2</v>
      </c>
      <c r="Z61" s="186" cm="1">
        <f t="array" ref="Z61">_xlfn.XLOOKUP(MIN(ABS($AZ$3:$AZ$31 - MEDIAN(MIN($AZ$3:$AZ$31), MAX($AZ$3:$AZ$31), Z31))), ABS($AZ$3:$AZ$31 - MEDIAN(MIN($AZ$3:$AZ$31), MAX($AZ$3:$AZ$31), Z31)), $BA$3:$BA$31, "Error", 0)</f>
        <v>1</v>
      </c>
      <c r="AA61" s="186" cm="1">
        <f t="array" ref="AA61">_xlfn.XLOOKUP(MIN(ABS($AZ$3:$AZ$31 - MEDIAN(MIN($AZ$3:$AZ$31), MAX($AZ$3:$AZ$31), AA31))), ABS($AZ$3:$AZ$31 - MEDIAN(MIN($AZ$3:$AZ$31), MAX($AZ$3:$AZ$31), AA31)), $BA$3:$BA$31, "Error", 0)</f>
        <v>0</v>
      </c>
      <c r="AB61" s="186" cm="1">
        <f t="array" ref="AB61">_xlfn.XLOOKUP(MIN(ABS($AZ$3:$AZ$31 - MEDIAN(MIN($AZ$3:$AZ$31), MAX($AZ$3:$AZ$31), AB31))), ABS($AZ$3:$AZ$31 - MEDIAN(MIN($AZ$3:$AZ$31), MAX($AZ$3:$AZ$31), AB31)), $BA$3:$BA$31, "Error", 0)</f>
        <v>0</v>
      </c>
      <c r="AC61" s="186" cm="1">
        <f t="array" ref="AC61">_xlfn.XLOOKUP(MIN(ABS($AZ$3:$AZ$31 - MEDIAN(MIN($AZ$3:$AZ$31), MAX($AZ$3:$AZ$31), AC31))), ABS($AZ$3:$AZ$31 - MEDIAN(MIN($AZ$3:$AZ$31), MAX($AZ$3:$AZ$31), AC31)), $BA$3:$BA$31, "Error", 0)</f>
        <v>0</v>
      </c>
      <c r="AD61" s="186" cm="1">
        <f t="array" ref="AD61">_xlfn.XLOOKUP(MIN(ABS($AZ$3:$AZ$31 - MEDIAN(MIN($AZ$3:$AZ$31), MAX($AZ$3:$AZ$31), AD31))), ABS($AZ$3:$AZ$31 - MEDIAN(MIN($AZ$3:$AZ$31), MAX($AZ$3:$AZ$31), AD31)), $BA$3:$BA$31, "Error", 0)</f>
        <v>0</v>
      </c>
      <c r="AE61" s="186" cm="1">
        <f t="array" ref="AE61">_xlfn.XLOOKUP(MIN(ABS($AZ$3:$AZ$31 - MEDIAN(MIN($AZ$3:$AZ$31), MAX($AZ$3:$AZ$31), AE31))), ABS($AZ$3:$AZ$31 - MEDIAN(MIN($AZ$3:$AZ$31), MAX($AZ$3:$AZ$31), AE31)), $BA$3:$BA$31, "Error", 0)</f>
        <v>0</v>
      </c>
      <c r="AF61" s="186" cm="1">
        <f t="array" ref="AF61">_xlfn.XLOOKUP(MIN(ABS($AZ$3:$AZ$31 - MEDIAN(MIN($AZ$3:$AZ$31), MAX($AZ$3:$AZ$31), AF31))), ABS($AZ$3:$AZ$31 - MEDIAN(MIN($AZ$3:$AZ$31), MAX($AZ$3:$AZ$31), AF31)), $BA$3:$BA$31, "Error", 0)</f>
        <v>-1</v>
      </c>
      <c r="AG61" s="186" cm="1">
        <f t="array" ref="AG61">_xlfn.XLOOKUP(MIN(ABS($AZ$3:$AZ$31 - MEDIAN(MIN($AZ$3:$AZ$31), MAX($AZ$3:$AZ$31), AG31))), ABS($AZ$3:$AZ$31 - MEDIAN(MIN($AZ$3:$AZ$31), MAX($AZ$3:$AZ$31), AG31)), $BA$3:$BA$31, "Error", 0)</f>
        <v>-1</v>
      </c>
      <c r="AH61" s="186" cm="1">
        <f t="array" ref="AH61">_xlfn.XLOOKUP(MIN(ABS($AZ$3:$AZ$31 - MEDIAN(MIN($AZ$3:$AZ$31), MAX($AZ$3:$AZ$31), AH31))), ABS($AZ$3:$AZ$31 - MEDIAN(MIN($AZ$3:$AZ$31), MAX($AZ$3:$AZ$31), AH31)), $BA$3:$BA$31, "Error", 0)</f>
        <v>-1</v>
      </c>
      <c r="AI61" s="186" cm="1">
        <f t="array" ref="AI61">_xlfn.XLOOKUP(MIN(ABS($AZ$3:$AZ$31 - MEDIAN(MIN($AZ$3:$AZ$31), MAX($AZ$3:$AZ$31), AI31))), ABS($AZ$3:$AZ$31 - MEDIAN(MIN($AZ$3:$AZ$31), MAX($AZ$3:$AZ$31), AI31)), $BA$3:$BA$31, "Error", 0)</f>
        <v>-1</v>
      </c>
      <c r="AJ61" s="186" cm="1">
        <f t="array" ref="AJ61">_xlfn.XLOOKUP(MIN(ABS($AZ$3:$AZ$31 - MEDIAN(MIN($AZ$3:$AZ$31), MAX($AZ$3:$AZ$31), AJ31))), ABS($AZ$3:$AZ$31 - MEDIAN(MIN($AZ$3:$AZ$31), MAX($AZ$3:$AZ$31), AJ31)), $BA$3:$BA$31, "Error", 0)</f>
        <v>-1</v>
      </c>
      <c r="AK61" s="186" cm="1">
        <f t="array" ref="AK61">_xlfn.XLOOKUP(MIN(ABS($AZ$3:$AZ$31 - MEDIAN(MIN($AZ$3:$AZ$31), MAX($AZ$3:$AZ$31), AK31))), ABS($AZ$3:$AZ$31 - MEDIAN(MIN($AZ$3:$AZ$31), MAX($AZ$3:$AZ$31), AK31)), $BA$3:$BA$31, "Error", 0)</f>
        <v>-1</v>
      </c>
      <c r="AL61" s="186" cm="1">
        <f t="array" ref="AL61">_xlfn.XLOOKUP(MIN(ABS($AZ$3:$AZ$31 - MEDIAN(MIN($AZ$3:$AZ$31), MAX($AZ$3:$AZ$31), AL31))), ABS($AZ$3:$AZ$31 - MEDIAN(MIN($AZ$3:$AZ$31), MAX($AZ$3:$AZ$31), AL31)), $BA$3:$BA$31, "Error", 0)</f>
        <v>-1</v>
      </c>
      <c r="AM61" s="186" cm="1">
        <f t="array" ref="AM61">_xlfn.XLOOKUP(MIN(ABS($AZ$3:$AZ$31 - MEDIAN(MIN($AZ$3:$AZ$31), MAX($AZ$3:$AZ$31), AM31))), ABS($AZ$3:$AZ$31 - MEDIAN(MIN($AZ$3:$AZ$31), MAX($AZ$3:$AZ$31), AM31)), $BA$3:$BA$31, "Error", 0)</f>
        <v>-1</v>
      </c>
      <c r="AN61" s="186" cm="1">
        <f t="array" ref="AN61">_xlfn.XLOOKUP(MIN(ABS($AZ$3:$AZ$31 - MEDIAN(MIN($AZ$3:$AZ$31), MAX($AZ$3:$AZ$31), AN31))), ABS($AZ$3:$AZ$31 - MEDIAN(MIN($AZ$3:$AZ$31), MAX($AZ$3:$AZ$31), AN31)), $BA$3:$BA$31, "Error", 0)</f>
        <v>-1</v>
      </c>
      <c r="AO61" s="186" cm="1">
        <f t="array" ref="AO61">_xlfn.XLOOKUP(MIN(ABS($AZ$3:$AZ$31 - MEDIAN(MIN($AZ$3:$AZ$31), MAX($AZ$3:$AZ$31), AO31))), ABS($AZ$3:$AZ$31 - MEDIAN(MIN($AZ$3:$AZ$31), MAX($AZ$3:$AZ$31), AO31)), $BA$3:$BA$31, "Error", 0)</f>
        <v>-1</v>
      </c>
      <c r="AP61" s="186" cm="1">
        <f t="array" ref="AP61">_xlfn.XLOOKUP(MIN(ABS($AZ$3:$AZ$31 - MEDIAN(MIN($AZ$3:$AZ$31), MAX($AZ$3:$AZ$31), AP31))), ABS($AZ$3:$AZ$31 - MEDIAN(MIN($AZ$3:$AZ$31), MAX($AZ$3:$AZ$31), AP31)), $BA$3:$BA$31, "Error", 0)</f>
        <v>-1</v>
      </c>
      <c r="AQ61" s="186" cm="1">
        <f t="array" ref="AQ61">_xlfn.XLOOKUP(MIN(ABS($AZ$3:$AZ$31 - MEDIAN(MIN($AZ$3:$AZ$31), MAX($AZ$3:$AZ$31), AQ31))), ABS($AZ$3:$AZ$31 - MEDIAN(MIN($AZ$3:$AZ$31), MAX($AZ$3:$AZ$31), AQ31)), $BA$3:$BA$31, "Error", 0)</f>
        <v>-1</v>
      </c>
      <c r="AR61" s="186" cm="1">
        <f t="array" ref="AR61">_xlfn.XLOOKUP(MIN(ABS($AZ$3:$AZ$31 - MEDIAN(MIN($AZ$3:$AZ$31), MAX($AZ$3:$AZ$31), AR31))), ABS($AZ$3:$AZ$31 - MEDIAN(MIN($AZ$3:$AZ$31), MAX($AZ$3:$AZ$31), AR31)), $BA$3:$BA$31, "Error", 0)</f>
        <v>-2</v>
      </c>
      <c r="AS61" s="186" cm="1">
        <f t="array" ref="AS61">_xlfn.XLOOKUP(MIN(ABS($AZ$3:$AZ$31 - MEDIAN(MIN($AZ$3:$AZ$31), MAX($AZ$3:$AZ$31), AS31))), ABS($AZ$3:$AZ$31 - MEDIAN(MIN($AZ$3:$AZ$31), MAX($AZ$3:$AZ$31), AS31)), $BA$3:$BA$31, "Error", 0)</f>
        <v>-2</v>
      </c>
      <c r="AT61" s="186" cm="1">
        <f t="array" ref="AT61">_xlfn.XLOOKUP(MIN(ABS($AZ$3:$AZ$31 - MEDIAN(MIN($AZ$3:$AZ$31), MAX($AZ$3:$AZ$31), AT31))), ABS($AZ$3:$AZ$31 - MEDIAN(MIN($AZ$3:$AZ$31), MAX($AZ$3:$AZ$31), AT31)), $BA$3:$BA$31, "Error", 0)</f>
        <v>-2</v>
      </c>
      <c r="AU61" s="186" cm="1">
        <f t="array" ref="AU61">_xlfn.XLOOKUP(MIN(ABS($AZ$3:$AZ$31 - MEDIAN(MIN($AZ$3:$AZ$31), MAX($AZ$3:$AZ$31), AU31))), ABS($AZ$3:$AZ$31 - MEDIAN(MIN($AZ$3:$AZ$31), MAX($AZ$3:$AZ$31), AU31)), $BA$3:$BA$31, "Error", 0)</f>
        <v>-2</v>
      </c>
      <c r="AV61" s="186" cm="1">
        <f t="array" ref="AV61">_xlfn.XLOOKUP(MIN(ABS($AZ$3:$AZ$31 - MEDIAN(MIN($AZ$3:$AZ$31), MAX($AZ$3:$AZ$31), AV31))), ABS($AZ$3:$AZ$31 - MEDIAN(MIN($AZ$3:$AZ$31), MAX($AZ$3:$AZ$31), AV31)), $BA$3:$BA$31, "Error", 0)</f>
        <v>-2</v>
      </c>
      <c r="AW61" s="186" cm="1">
        <f t="array" ref="AW61">_xlfn.XLOOKUP(MIN(ABS($AZ$3:$AZ$31 - MEDIAN(MIN($AZ$3:$AZ$31), MAX($AZ$3:$AZ$31), AW31))), ABS($AZ$3:$AZ$31 - MEDIAN(MIN($AZ$3:$AZ$31), MAX($AZ$3:$AZ$31), AW31)), $BA$3:$BA$31, "Error", 0)</f>
        <v>-2</v>
      </c>
      <c r="AX61" s="192" t="e" cm="1">
        <f t="array" ref="AX61">_xlfn.XLOOKUP(MIN(ABS($AZ$3:$AZ$31 - MEDIAN(MIN($AZ$3:$AZ$31), MAX($AZ$3:$AZ$31), AX31))), ABS($AZ$3:$AZ$31 - MEDIAN(MIN($AZ$3:$AZ$31), MAX($AZ$3:$AZ$31), AX31)), $BA$3:$BA$31, "Error", 0)</f>
        <v>#VALUE!</v>
      </c>
      <c r="AY61" s="195"/>
      <c r="AZ61" s="195"/>
      <c r="BA61" s="195"/>
      <c r="BB61" s="195"/>
      <c r="BC61" s="195"/>
      <c r="BD61" s="195"/>
      <c r="BE61" s="195"/>
      <c r="BF61" s="195"/>
      <c r="BG61" s="195"/>
      <c r="BH61" s="195"/>
      <c r="BI61" s="195"/>
      <c r="BJ61" s="195"/>
    </row>
    <row r="62" spans="2:62" ht="25" customHeight="1">
      <c r="B62" s="168" t="s">
        <v>10</v>
      </c>
      <c r="C62" s="186" cm="1">
        <f t="array" ref="C62">_xlfn.XLOOKUP(MIN(ABS($AZ$3:$AZ$31 - MEDIAN(MIN($AZ$3:$AZ$31), MAX($AZ$3:$AZ$31), C32))), ABS($AZ$3:$AZ$31 - MEDIAN(MIN($AZ$3:$AZ$31), MAX($AZ$3:$AZ$31), C32)), $BA$3:$BA$31, "Error", 0)</f>
        <v>-3</v>
      </c>
      <c r="D62" s="186" cm="1">
        <f t="array" ref="D62">_xlfn.XLOOKUP(MIN(ABS($AZ$3:$AZ$31 - MEDIAN(MIN($AZ$3:$AZ$31), MAX($AZ$3:$AZ$31), D32))), ABS($AZ$3:$AZ$31 - MEDIAN(MIN($AZ$3:$AZ$31), MAX($AZ$3:$AZ$31), D32)), $BA$3:$BA$31, "Error", 0)</f>
        <v>-3</v>
      </c>
      <c r="E62" s="186" cm="1">
        <f t="array" ref="E62">_xlfn.XLOOKUP(MIN(ABS($AZ$3:$AZ$31 - MEDIAN(MIN($AZ$3:$AZ$31), MAX($AZ$3:$AZ$31), E32))), ABS($AZ$3:$AZ$31 - MEDIAN(MIN($AZ$3:$AZ$31), MAX($AZ$3:$AZ$31), E32)), $BA$3:$BA$31, "Error", 0)</f>
        <v>-3</v>
      </c>
      <c r="F62" s="186" cm="1">
        <f t="array" ref="F62">_xlfn.XLOOKUP(MIN(ABS($AZ$3:$AZ$31 - MEDIAN(MIN($AZ$3:$AZ$31), MAX($AZ$3:$AZ$31), F32))), ABS($AZ$3:$AZ$31 - MEDIAN(MIN($AZ$3:$AZ$31), MAX($AZ$3:$AZ$31), F32)), $BA$3:$BA$31, "Error", 0)</f>
        <v>-3</v>
      </c>
      <c r="G62" s="186" cm="1">
        <f t="array" ref="G62">_xlfn.XLOOKUP(MIN(ABS($AZ$3:$AZ$31 - MEDIAN(MIN($AZ$3:$AZ$31), MAX($AZ$3:$AZ$31), G32))), ABS($AZ$3:$AZ$31 - MEDIAN(MIN($AZ$3:$AZ$31), MAX($AZ$3:$AZ$31), G32)), $BA$3:$BA$31, "Error", 0)</f>
        <v>-3</v>
      </c>
      <c r="H62" s="186" cm="1">
        <f t="array" ref="H62">_xlfn.XLOOKUP(MIN(ABS($AZ$3:$AZ$31 - MEDIAN(MIN($AZ$3:$AZ$31), MAX($AZ$3:$AZ$31), H32))), ABS($AZ$3:$AZ$31 - MEDIAN(MIN($AZ$3:$AZ$31), MAX($AZ$3:$AZ$31), H32)), $BA$3:$BA$31, "Error", 0)</f>
        <v>-2</v>
      </c>
      <c r="I62" s="186" cm="1">
        <f t="array" ref="I62">_xlfn.XLOOKUP(MIN(ABS($AZ$3:$AZ$31 - MEDIAN(MIN($AZ$3:$AZ$31), MAX($AZ$3:$AZ$31), I32))), ABS($AZ$3:$AZ$31 - MEDIAN(MIN($AZ$3:$AZ$31), MAX($AZ$3:$AZ$31), I32)), $BA$3:$BA$31, "Error", 0)</f>
        <v>-3</v>
      </c>
      <c r="J62" s="186" cm="1">
        <f t="array" ref="J62">_xlfn.XLOOKUP(MIN(ABS($AZ$3:$AZ$31 - MEDIAN(MIN($AZ$3:$AZ$31), MAX($AZ$3:$AZ$31), J32))), ABS($AZ$3:$AZ$31 - MEDIAN(MIN($AZ$3:$AZ$31), MAX($AZ$3:$AZ$31), J32)), $BA$3:$BA$31, "Error", 0)</f>
        <v>-3</v>
      </c>
      <c r="K62" s="186" cm="1">
        <f t="array" ref="K62">_xlfn.XLOOKUP(MIN(ABS($AZ$3:$AZ$31 - MEDIAN(MIN($AZ$3:$AZ$31), MAX($AZ$3:$AZ$31), K32))), ABS($AZ$3:$AZ$31 - MEDIAN(MIN($AZ$3:$AZ$31), MAX($AZ$3:$AZ$31), K32)), $BA$3:$BA$31, "Error", 0)</f>
        <v>-3</v>
      </c>
      <c r="L62" s="186" cm="1">
        <f t="array" ref="L62">_xlfn.XLOOKUP(MIN(ABS($AZ$3:$AZ$31 - MEDIAN(MIN($AZ$3:$AZ$31), MAX($AZ$3:$AZ$31), L32))), ABS($AZ$3:$AZ$31 - MEDIAN(MIN($AZ$3:$AZ$31), MAX($AZ$3:$AZ$31), L32)), $BA$3:$BA$31, "Error", 0)</f>
        <v>-3</v>
      </c>
      <c r="M62" s="186" cm="1">
        <f t="array" ref="M62">_xlfn.XLOOKUP(MIN(ABS($AZ$3:$AZ$31 - MEDIAN(MIN($AZ$3:$AZ$31), MAX($AZ$3:$AZ$31), M32))), ABS($AZ$3:$AZ$31 - MEDIAN(MIN($AZ$3:$AZ$31), MAX($AZ$3:$AZ$31), M32)), $BA$3:$BA$31, "Error", 0)</f>
        <v>-2</v>
      </c>
      <c r="N62" s="186" cm="1">
        <f t="array" ref="N62">_xlfn.XLOOKUP(MIN(ABS($AZ$3:$AZ$31 - MEDIAN(MIN($AZ$3:$AZ$31), MAX($AZ$3:$AZ$31), N32))), ABS($AZ$3:$AZ$31 - MEDIAN(MIN($AZ$3:$AZ$31), MAX($AZ$3:$AZ$31), N32)), $BA$3:$BA$31, "Error", 0)</f>
        <v>-2</v>
      </c>
      <c r="O62" s="186" cm="1">
        <f t="array" ref="O62">_xlfn.XLOOKUP(MIN(ABS($AZ$3:$AZ$31 - MEDIAN(MIN($AZ$3:$AZ$31), MAX($AZ$3:$AZ$31), O32))), ABS($AZ$3:$AZ$31 - MEDIAN(MIN($AZ$3:$AZ$31), MAX($AZ$3:$AZ$31), O32)), $BA$3:$BA$31, "Error", 0)</f>
        <v>-2</v>
      </c>
      <c r="P62" s="186" cm="1">
        <f t="array" ref="P62">_xlfn.XLOOKUP(MIN(ABS($AZ$3:$AZ$31 - MEDIAN(MIN($AZ$3:$AZ$31), MAX($AZ$3:$AZ$31), P32))), ABS($AZ$3:$AZ$31 - MEDIAN(MIN($AZ$3:$AZ$31), MAX($AZ$3:$AZ$31), P32)), $BA$3:$BA$31, "Error", 0)</f>
        <v>-2</v>
      </c>
      <c r="Q62" s="186" cm="1">
        <f t="array" ref="Q62">_xlfn.XLOOKUP(MIN(ABS($AZ$3:$AZ$31 - MEDIAN(MIN($AZ$3:$AZ$31), MAX($AZ$3:$AZ$31), Q32))), ABS($AZ$3:$AZ$31 - MEDIAN(MIN($AZ$3:$AZ$31), MAX($AZ$3:$AZ$31), Q32)), $BA$3:$BA$31, "Error", 0)</f>
        <v>-2</v>
      </c>
      <c r="R62" s="186" cm="1">
        <f t="array" ref="R62">_xlfn.XLOOKUP(MIN(ABS($AZ$3:$AZ$31 - MEDIAN(MIN($AZ$3:$AZ$31), MAX($AZ$3:$AZ$31), R32))), ABS($AZ$3:$AZ$31 - MEDIAN(MIN($AZ$3:$AZ$31), MAX($AZ$3:$AZ$31), R32)), $BA$3:$BA$31, "Error", 0)</f>
        <v>-2</v>
      </c>
      <c r="S62" s="186" cm="1">
        <f t="array" ref="S62">_xlfn.XLOOKUP(MIN(ABS($AZ$3:$AZ$31 - MEDIAN(MIN($AZ$3:$AZ$31), MAX($AZ$3:$AZ$31), S32))), ABS($AZ$3:$AZ$31 - MEDIAN(MIN($AZ$3:$AZ$31), MAX($AZ$3:$AZ$31), S32)), $BA$3:$BA$31, "Error", 0)</f>
        <v>-2</v>
      </c>
      <c r="T62" s="186" cm="1">
        <f t="array" ref="T62">_xlfn.XLOOKUP(MIN(ABS($AZ$3:$AZ$31 - MEDIAN(MIN($AZ$3:$AZ$31), MAX($AZ$3:$AZ$31), T32))), ABS($AZ$3:$AZ$31 - MEDIAN(MIN($AZ$3:$AZ$31), MAX($AZ$3:$AZ$31), T32)), $BA$3:$BA$31, "Error", 0)</f>
        <v>-2</v>
      </c>
      <c r="U62" s="186" cm="1">
        <f t="array" ref="U62">_xlfn.XLOOKUP(MIN(ABS($AZ$3:$AZ$31 - MEDIAN(MIN($AZ$3:$AZ$31), MAX($AZ$3:$AZ$31), U32))), ABS($AZ$3:$AZ$31 - MEDIAN(MIN($AZ$3:$AZ$31), MAX($AZ$3:$AZ$31), U32)), $BA$3:$BA$31, "Error", 0)</f>
        <v>-2</v>
      </c>
      <c r="V62" s="186" cm="1">
        <f t="array" ref="V62">_xlfn.XLOOKUP(MIN(ABS($AZ$3:$AZ$31 - MEDIAN(MIN($AZ$3:$AZ$31), MAX($AZ$3:$AZ$31), V32))), ABS($AZ$3:$AZ$31 - MEDIAN(MIN($AZ$3:$AZ$31), MAX($AZ$3:$AZ$31), V32)), $BA$3:$BA$31, "Error", 0)</f>
        <v>-2</v>
      </c>
      <c r="W62" s="186" cm="1">
        <f t="array" ref="W62">_xlfn.XLOOKUP(MIN(ABS($AZ$3:$AZ$31 - MEDIAN(MIN($AZ$3:$AZ$31), MAX($AZ$3:$AZ$31), W32))), ABS($AZ$3:$AZ$31 - MEDIAN(MIN($AZ$3:$AZ$31), MAX($AZ$3:$AZ$31), W32)), $BA$3:$BA$31, "Error", 0)</f>
        <v>-1</v>
      </c>
      <c r="X62" s="186" cm="1">
        <f t="array" ref="X62">_xlfn.XLOOKUP(MIN(ABS($AZ$3:$AZ$31 - MEDIAN(MIN($AZ$3:$AZ$31), MAX($AZ$3:$AZ$31), X32))), ABS($AZ$3:$AZ$31 - MEDIAN(MIN($AZ$3:$AZ$31), MAX($AZ$3:$AZ$31), X32)), $BA$3:$BA$31, "Error", 0)</f>
        <v>-1</v>
      </c>
      <c r="Y62" s="186" cm="1">
        <f t="array" ref="Y62">_xlfn.XLOOKUP(MIN(ABS($AZ$3:$AZ$31 - MEDIAN(MIN($AZ$3:$AZ$31), MAX($AZ$3:$AZ$31), Y32))), ABS($AZ$3:$AZ$31 - MEDIAN(MIN($AZ$3:$AZ$31), MAX($AZ$3:$AZ$31), Y32)), $BA$3:$BA$31, "Error", 0)</f>
        <v>-1</v>
      </c>
      <c r="Z62" s="186" cm="1">
        <f t="array" ref="Z62">_xlfn.XLOOKUP(MIN(ABS($AZ$3:$AZ$31 - MEDIAN(MIN($AZ$3:$AZ$31), MAX($AZ$3:$AZ$31), Z32))), ABS($AZ$3:$AZ$31 - MEDIAN(MIN($AZ$3:$AZ$31), MAX($AZ$3:$AZ$31), Z32)), $BA$3:$BA$31, "Error", 0)</f>
        <v>0</v>
      </c>
      <c r="AA62" s="186" cm="1">
        <f t="array" ref="AA62">_xlfn.XLOOKUP(MIN(ABS($AZ$3:$AZ$31 - MEDIAN(MIN($AZ$3:$AZ$31), MAX($AZ$3:$AZ$31), AA32))), ABS($AZ$3:$AZ$31 - MEDIAN(MIN($AZ$3:$AZ$31), MAX($AZ$3:$AZ$31), AA32)), $BA$3:$BA$31, "Error", 0)</f>
        <v>0</v>
      </c>
      <c r="AB62" s="186" cm="1">
        <f t="array" ref="AB62">_xlfn.XLOOKUP(MIN(ABS($AZ$3:$AZ$31 - MEDIAN(MIN($AZ$3:$AZ$31), MAX($AZ$3:$AZ$31), AB32))), ABS($AZ$3:$AZ$31 - MEDIAN(MIN($AZ$3:$AZ$31), MAX($AZ$3:$AZ$31), AB32)), $BA$3:$BA$31, "Error", 0)</f>
        <v>-1</v>
      </c>
      <c r="AC62" s="186" cm="1">
        <f t="array" ref="AC62">_xlfn.XLOOKUP(MIN(ABS($AZ$3:$AZ$31 - MEDIAN(MIN($AZ$3:$AZ$31), MAX($AZ$3:$AZ$31), AC32))), ABS($AZ$3:$AZ$31 - MEDIAN(MIN($AZ$3:$AZ$31), MAX($AZ$3:$AZ$31), AC32)), $BA$3:$BA$31, "Error", 0)</f>
        <v>-1</v>
      </c>
      <c r="AD62" s="186" cm="1">
        <f t="array" ref="AD62">_xlfn.XLOOKUP(MIN(ABS($AZ$3:$AZ$31 - MEDIAN(MIN($AZ$3:$AZ$31), MAX($AZ$3:$AZ$31), AD32))), ABS($AZ$3:$AZ$31 - MEDIAN(MIN($AZ$3:$AZ$31), MAX($AZ$3:$AZ$31), AD32)), $BA$3:$BA$31, "Error", 0)</f>
        <v>-1</v>
      </c>
      <c r="AE62" s="186" cm="1">
        <f t="array" ref="AE62">_xlfn.XLOOKUP(MIN(ABS($AZ$3:$AZ$31 - MEDIAN(MIN($AZ$3:$AZ$31), MAX($AZ$3:$AZ$31), AE32))), ABS($AZ$3:$AZ$31 - MEDIAN(MIN($AZ$3:$AZ$31), MAX($AZ$3:$AZ$31), AE32)), $BA$3:$BA$31, "Error", 0)</f>
        <v>-1</v>
      </c>
      <c r="AF62" s="186" cm="1">
        <f t="array" ref="AF62">_xlfn.XLOOKUP(MIN(ABS($AZ$3:$AZ$31 - MEDIAN(MIN($AZ$3:$AZ$31), MAX($AZ$3:$AZ$31), AF32))), ABS($AZ$3:$AZ$31 - MEDIAN(MIN($AZ$3:$AZ$31), MAX($AZ$3:$AZ$31), AF32)), $BA$3:$BA$31, "Error", 0)</f>
        <v>-1</v>
      </c>
      <c r="AG62" s="186" cm="1">
        <f t="array" ref="AG62">_xlfn.XLOOKUP(MIN(ABS($AZ$3:$AZ$31 - MEDIAN(MIN($AZ$3:$AZ$31), MAX($AZ$3:$AZ$31), AG32))), ABS($AZ$3:$AZ$31 - MEDIAN(MIN($AZ$3:$AZ$31), MAX($AZ$3:$AZ$31), AG32)), $BA$3:$BA$31, "Error", 0)</f>
        <v>-1</v>
      </c>
      <c r="AH62" s="186" cm="1">
        <f t="array" ref="AH62">_xlfn.XLOOKUP(MIN(ABS($AZ$3:$AZ$31 - MEDIAN(MIN($AZ$3:$AZ$31), MAX($AZ$3:$AZ$31), AH32))), ABS($AZ$3:$AZ$31 - MEDIAN(MIN($AZ$3:$AZ$31), MAX($AZ$3:$AZ$31), AH32)), $BA$3:$BA$31, "Error", 0)</f>
        <v>-2</v>
      </c>
      <c r="AI62" s="186" cm="1">
        <f t="array" ref="AI62">_xlfn.XLOOKUP(MIN(ABS($AZ$3:$AZ$31 - MEDIAN(MIN($AZ$3:$AZ$31), MAX($AZ$3:$AZ$31), AI32))), ABS($AZ$3:$AZ$31 - MEDIAN(MIN($AZ$3:$AZ$31), MAX($AZ$3:$AZ$31), AI32)), $BA$3:$BA$31, "Error", 0)</f>
        <v>-1</v>
      </c>
      <c r="AJ62" s="186" cm="1">
        <f t="array" ref="AJ62">_xlfn.XLOOKUP(MIN(ABS($AZ$3:$AZ$31 - MEDIAN(MIN($AZ$3:$AZ$31), MAX($AZ$3:$AZ$31), AJ32))), ABS($AZ$3:$AZ$31 - MEDIAN(MIN($AZ$3:$AZ$31), MAX($AZ$3:$AZ$31), AJ32)), $BA$3:$BA$31, "Error", 0)</f>
        <v>-1</v>
      </c>
      <c r="AK62" s="186" cm="1">
        <f t="array" ref="AK62">_xlfn.XLOOKUP(MIN(ABS($AZ$3:$AZ$31 - MEDIAN(MIN($AZ$3:$AZ$31), MAX($AZ$3:$AZ$31), AK32))), ABS($AZ$3:$AZ$31 - MEDIAN(MIN($AZ$3:$AZ$31), MAX($AZ$3:$AZ$31), AK32)), $BA$3:$BA$31, "Error", 0)</f>
        <v>-1</v>
      </c>
      <c r="AL62" s="186" cm="1">
        <f t="array" ref="AL62">_xlfn.XLOOKUP(MIN(ABS($AZ$3:$AZ$31 - MEDIAN(MIN($AZ$3:$AZ$31), MAX($AZ$3:$AZ$31), AL32))), ABS($AZ$3:$AZ$31 - MEDIAN(MIN($AZ$3:$AZ$31), MAX($AZ$3:$AZ$31), AL32)), $BA$3:$BA$31, "Error", 0)</f>
        <v>0</v>
      </c>
      <c r="AM62" s="186" cm="1">
        <f t="array" ref="AM62">_xlfn.XLOOKUP(MIN(ABS($AZ$3:$AZ$31 - MEDIAN(MIN($AZ$3:$AZ$31), MAX($AZ$3:$AZ$31), AM32))), ABS($AZ$3:$AZ$31 - MEDIAN(MIN($AZ$3:$AZ$31), MAX($AZ$3:$AZ$31), AM32)), $BA$3:$BA$31, "Error", 0)</f>
        <v>0</v>
      </c>
      <c r="AN62" s="186" cm="1">
        <f t="array" ref="AN62">_xlfn.XLOOKUP(MIN(ABS($AZ$3:$AZ$31 - MEDIAN(MIN($AZ$3:$AZ$31), MAX($AZ$3:$AZ$31), AN32))), ABS($AZ$3:$AZ$31 - MEDIAN(MIN($AZ$3:$AZ$31), MAX($AZ$3:$AZ$31), AN32)), $BA$3:$BA$31, "Error", 0)</f>
        <v>0</v>
      </c>
      <c r="AO62" s="186" cm="1">
        <f t="array" ref="AO62">_xlfn.XLOOKUP(MIN(ABS($AZ$3:$AZ$31 - MEDIAN(MIN($AZ$3:$AZ$31), MAX($AZ$3:$AZ$31), AO32))), ABS($AZ$3:$AZ$31 - MEDIAN(MIN($AZ$3:$AZ$31), MAX($AZ$3:$AZ$31), AO32)), $BA$3:$BA$31, "Error", 0)</f>
        <v>0</v>
      </c>
      <c r="AP62" s="186" cm="1">
        <f t="array" ref="AP62">_xlfn.XLOOKUP(MIN(ABS($AZ$3:$AZ$31 - MEDIAN(MIN($AZ$3:$AZ$31), MAX($AZ$3:$AZ$31), AP32))), ABS($AZ$3:$AZ$31 - MEDIAN(MIN($AZ$3:$AZ$31), MAX($AZ$3:$AZ$31), AP32)), $BA$3:$BA$31, "Error", 0)</f>
        <v>1</v>
      </c>
      <c r="AQ62" s="186" cm="1">
        <f t="array" ref="AQ62">_xlfn.XLOOKUP(MIN(ABS($AZ$3:$AZ$31 - MEDIAN(MIN($AZ$3:$AZ$31), MAX($AZ$3:$AZ$31), AQ32))), ABS($AZ$3:$AZ$31 - MEDIAN(MIN($AZ$3:$AZ$31), MAX($AZ$3:$AZ$31), AQ32)), $BA$3:$BA$31, "Error", 0)</f>
        <v>1</v>
      </c>
      <c r="AR62" s="186" cm="1">
        <f t="array" ref="AR62">_xlfn.XLOOKUP(MIN(ABS($AZ$3:$AZ$31 - MEDIAN(MIN($AZ$3:$AZ$31), MAX($AZ$3:$AZ$31), AR32))), ABS($AZ$3:$AZ$31 - MEDIAN(MIN($AZ$3:$AZ$31), MAX($AZ$3:$AZ$31), AR32)), $BA$3:$BA$31, "Error", 0)</f>
        <v>1</v>
      </c>
      <c r="AS62" s="186" cm="1">
        <f t="array" ref="AS62">_xlfn.XLOOKUP(MIN(ABS($AZ$3:$AZ$31 - MEDIAN(MIN($AZ$3:$AZ$31), MAX($AZ$3:$AZ$31), AS32))), ABS($AZ$3:$AZ$31 - MEDIAN(MIN($AZ$3:$AZ$31), MAX($AZ$3:$AZ$31), AS32)), $BA$3:$BA$31, "Error", 0)</f>
        <v>1</v>
      </c>
      <c r="AT62" s="186" cm="1">
        <f t="array" ref="AT62">_xlfn.XLOOKUP(MIN(ABS($AZ$3:$AZ$31 - MEDIAN(MIN($AZ$3:$AZ$31), MAX($AZ$3:$AZ$31), AT32))), ABS($AZ$3:$AZ$31 - MEDIAN(MIN($AZ$3:$AZ$31), MAX($AZ$3:$AZ$31), AT32)), $BA$3:$BA$31, "Error", 0)</f>
        <v>1</v>
      </c>
      <c r="AU62" s="186" cm="1">
        <f t="array" ref="AU62">_xlfn.XLOOKUP(MIN(ABS($AZ$3:$AZ$31 - MEDIAN(MIN($AZ$3:$AZ$31), MAX($AZ$3:$AZ$31), AU32))), ABS($AZ$3:$AZ$31 - MEDIAN(MIN($AZ$3:$AZ$31), MAX($AZ$3:$AZ$31), AU32)), $BA$3:$BA$31, "Error", 0)</f>
        <v>1</v>
      </c>
      <c r="AV62" s="186" cm="1">
        <f t="array" ref="AV62">_xlfn.XLOOKUP(MIN(ABS($AZ$3:$AZ$31 - MEDIAN(MIN($AZ$3:$AZ$31), MAX($AZ$3:$AZ$31), AV32))), ABS($AZ$3:$AZ$31 - MEDIAN(MIN($AZ$3:$AZ$31), MAX($AZ$3:$AZ$31), AV32)), $BA$3:$BA$31, "Error", 0)</f>
        <v>1</v>
      </c>
      <c r="AW62" s="186" cm="1">
        <f t="array" ref="AW62">_xlfn.XLOOKUP(MIN(ABS($AZ$3:$AZ$31 - MEDIAN(MIN($AZ$3:$AZ$31), MAX($AZ$3:$AZ$31), AW32))), ABS($AZ$3:$AZ$31 - MEDIAN(MIN($AZ$3:$AZ$31), MAX($AZ$3:$AZ$31), AW32)), $BA$3:$BA$31, "Error", 0)</f>
        <v>1</v>
      </c>
      <c r="AX62" s="192" t="e" cm="1">
        <f t="array" ref="AX62">_xlfn.XLOOKUP(MIN(ABS($AZ$3:$AZ$31 - MEDIAN(MIN($AZ$3:$AZ$31), MAX($AZ$3:$AZ$31), AX32))), ABS($AZ$3:$AZ$31 - MEDIAN(MIN($AZ$3:$AZ$31), MAX($AZ$3:$AZ$31), AX32)), $BA$3:$BA$31, "Error", 0)</f>
        <v>#VALUE!</v>
      </c>
      <c r="AY62" s="195"/>
      <c r="AZ62" s="195"/>
      <c r="BA62" s="195"/>
      <c r="BB62" s="195"/>
      <c r="BC62" s="195"/>
      <c r="BD62" s="195"/>
      <c r="BE62" s="195"/>
      <c r="BF62" s="195"/>
      <c r="BG62" s="195"/>
      <c r="BH62" s="195"/>
      <c r="BI62" s="195"/>
      <c r="BJ62" s="195"/>
    </row>
    <row r="63" spans="2:62" ht="25" customHeight="1">
      <c r="B63" s="168" t="s">
        <v>58</v>
      </c>
      <c r="C63" s="186" cm="1">
        <f t="array" ref="C63">_xlfn.XLOOKUP(MIN(ABS($AZ$3:$AZ$31 - MEDIAN(MIN($AZ$3:$AZ$31), MAX($AZ$3:$AZ$31), C33))), ABS($AZ$3:$AZ$31 - MEDIAN(MIN($AZ$3:$AZ$31), MAX($AZ$3:$AZ$31), C33)), $BA$3:$BA$31, "Error", 0)</f>
        <v>4</v>
      </c>
      <c r="D63" s="186" cm="1">
        <f t="array" ref="D63">_xlfn.XLOOKUP(MIN(ABS($AZ$3:$AZ$31 - MEDIAN(MIN($AZ$3:$AZ$31), MAX($AZ$3:$AZ$31), D33))), ABS($AZ$3:$AZ$31 - MEDIAN(MIN($AZ$3:$AZ$31), MAX($AZ$3:$AZ$31), D33)), $BA$3:$BA$31, "Error", 0)</f>
        <v>5</v>
      </c>
      <c r="E63" s="186" cm="1">
        <f t="array" ref="E63">_xlfn.XLOOKUP(MIN(ABS($AZ$3:$AZ$31 - MEDIAN(MIN($AZ$3:$AZ$31), MAX($AZ$3:$AZ$31), E33))), ABS($AZ$3:$AZ$31 - MEDIAN(MIN($AZ$3:$AZ$31), MAX($AZ$3:$AZ$31), E33)), $BA$3:$BA$31, "Error", 0)</f>
        <v>4</v>
      </c>
      <c r="F63" s="186" cm="1">
        <f t="array" ref="F63">_xlfn.XLOOKUP(MIN(ABS($AZ$3:$AZ$31 - MEDIAN(MIN($AZ$3:$AZ$31), MAX($AZ$3:$AZ$31), F33))), ABS($AZ$3:$AZ$31 - MEDIAN(MIN($AZ$3:$AZ$31), MAX($AZ$3:$AZ$31), F33)), $BA$3:$BA$31, "Error", 0)</f>
        <v>4</v>
      </c>
      <c r="G63" s="186" cm="1">
        <f t="array" ref="G63">_xlfn.XLOOKUP(MIN(ABS($AZ$3:$AZ$31 - MEDIAN(MIN($AZ$3:$AZ$31), MAX($AZ$3:$AZ$31), G33))), ABS($AZ$3:$AZ$31 - MEDIAN(MIN($AZ$3:$AZ$31), MAX($AZ$3:$AZ$31), G33)), $BA$3:$BA$31, "Error", 0)</f>
        <v>5</v>
      </c>
      <c r="H63" s="186" cm="1">
        <f t="array" ref="H63">_xlfn.XLOOKUP(MIN(ABS($AZ$3:$AZ$31 - MEDIAN(MIN($AZ$3:$AZ$31), MAX($AZ$3:$AZ$31), H33))), ABS($AZ$3:$AZ$31 - MEDIAN(MIN($AZ$3:$AZ$31), MAX($AZ$3:$AZ$31), H33)), $BA$3:$BA$31, "Error", 0)</f>
        <v>5</v>
      </c>
      <c r="I63" s="186" cm="1">
        <f t="array" ref="I63">_xlfn.XLOOKUP(MIN(ABS($AZ$3:$AZ$31 - MEDIAN(MIN($AZ$3:$AZ$31), MAX($AZ$3:$AZ$31), I33))), ABS($AZ$3:$AZ$31 - MEDIAN(MIN($AZ$3:$AZ$31), MAX($AZ$3:$AZ$31), I33)), $BA$3:$BA$31, "Error", 0)</f>
        <v>5</v>
      </c>
      <c r="J63" s="186" cm="1">
        <f t="array" ref="J63">_xlfn.XLOOKUP(MIN(ABS($AZ$3:$AZ$31 - MEDIAN(MIN($AZ$3:$AZ$31), MAX($AZ$3:$AZ$31), J33))), ABS($AZ$3:$AZ$31 - MEDIAN(MIN($AZ$3:$AZ$31), MAX($AZ$3:$AZ$31), J33)), $BA$3:$BA$31, "Error", 0)</f>
        <v>5</v>
      </c>
      <c r="K63" s="186" cm="1">
        <f t="array" ref="K63">_xlfn.XLOOKUP(MIN(ABS($AZ$3:$AZ$31 - MEDIAN(MIN($AZ$3:$AZ$31), MAX($AZ$3:$AZ$31), K33))), ABS($AZ$3:$AZ$31 - MEDIAN(MIN($AZ$3:$AZ$31), MAX($AZ$3:$AZ$31), K33)), $BA$3:$BA$31, "Error", 0)</f>
        <v>5</v>
      </c>
      <c r="L63" s="186" cm="1">
        <f t="array" ref="L63">_xlfn.XLOOKUP(MIN(ABS($AZ$3:$AZ$31 - MEDIAN(MIN($AZ$3:$AZ$31), MAX($AZ$3:$AZ$31), L33))), ABS($AZ$3:$AZ$31 - MEDIAN(MIN($AZ$3:$AZ$31), MAX($AZ$3:$AZ$31), L33)), $BA$3:$BA$31, "Error", 0)</f>
        <v>5</v>
      </c>
      <c r="M63" s="186" cm="1">
        <f t="array" ref="M63">_xlfn.XLOOKUP(MIN(ABS($AZ$3:$AZ$31 - MEDIAN(MIN($AZ$3:$AZ$31), MAX($AZ$3:$AZ$31), M33))), ABS($AZ$3:$AZ$31 - MEDIAN(MIN($AZ$3:$AZ$31), MAX($AZ$3:$AZ$31), M33)), $BA$3:$BA$31, "Error", 0)</f>
        <v>5</v>
      </c>
      <c r="N63" s="186" cm="1">
        <f t="array" ref="N63">_xlfn.XLOOKUP(MIN(ABS($AZ$3:$AZ$31 - MEDIAN(MIN($AZ$3:$AZ$31), MAX($AZ$3:$AZ$31), N33))), ABS($AZ$3:$AZ$31 - MEDIAN(MIN($AZ$3:$AZ$31), MAX($AZ$3:$AZ$31), N33)), $BA$3:$BA$31, "Error", 0)</f>
        <v>5</v>
      </c>
      <c r="O63" s="186" cm="1">
        <f t="array" ref="O63">_xlfn.XLOOKUP(MIN(ABS($AZ$3:$AZ$31 - MEDIAN(MIN($AZ$3:$AZ$31), MAX($AZ$3:$AZ$31), O33))), ABS($AZ$3:$AZ$31 - MEDIAN(MIN($AZ$3:$AZ$31), MAX($AZ$3:$AZ$31), O33)), $BA$3:$BA$31, "Error", 0)</f>
        <v>5</v>
      </c>
      <c r="P63" s="186" cm="1">
        <f t="array" ref="P63">_xlfn.XLOOKUP(MIN(ABS($AZ$3:$AZ$31 - MEDIAN(MIN($AZ$3:$AZ$31), MAX($AZ$3:$AZ$31), P33))), ABS($AZ$3:$AZ$31 - MEDIAN(MIN($AZ$3:$AZ$31), MAX($AZ$3:$AZ$31), P33)), $BA$3:$BA$31, "Error", 0)</f>
        <v>5</v>
      </c>
      <c r="Q63" s="186" cm="1">
        <f t="array" ref="Q63">_xlfn.XLOOKUP(MIN(ABS($AZ$3:$AZ$31 - MEDIAN(MIN($AZ$3:$AZ$31), MAX($AZ$3:$AZ$31), Q33))), ABS($AZ$3:$AZ$31 - MEDIAN(MIN($AZ$3:$AZ$31), MAX($AZ$3:$AZ$31), Q33)), $BA$3:$BA$31, "Error", 0)</f>
        <v>6</v>
      </c>
      <c r="R63" s="186" cm="1">
        <f t="array" ref="R63">_xlfn.XLOOKUP(MIN(ABS($AZ$3:$AZ$31 - MEDIAN(MIN($AZ$3:$AZ$31), MAX($AZ$3:$AZ$31), R33))), ABS($AZ$3:$AZ$31 - MEDIAN(MIN($AZ$3:$AZ$31), MAX($AZ$3:$AZ$31), R33)), $BA$3:$BA$31, "Error", 0)</f>
        <v>6</v>
      </c>
      <c r="S63" s="186" cm="1">
        <f t="array" ref="S63">_xlfn.XLOOKUP(MIN(ABS($AZ$3:$AZ$31 - MEDIAN(MIN($AZ$3:$AZ$31), MAX($AZ$3:$AZ$31), S33))), ABS($AZ$3:$AZ$31 - MEDIAN(MIN($AZ$3:$AZ$31), MAX($AZ$3:$AZ$31), S33)), $BA$3:$BA$31, "Error", 0)</f>
        <v>6</v>
      </c>
      <c r="T63" s="186" cm="1">
        <f t="array" ref="T63">_xlfn.XLOOKUP(MIN(ABS($AZ$3:$AZ$31 - MEDIAN(MIN($AZ$3:$AZ$31), MAX($AZ$3:$AZ$31), T33))), ABS($AZ$3:$AZ$31 - MEDIAN(MIN($AZ$3:$AZ$31), MAX($AZ$3:$AZ$31), T33)), $BA$3:$BA$31, "Error", 0)</f>
        <v>6</v>
      </c>
      <c r="U63" s="186" cm="1">
        <f t="array" ref="U63">_xlfn.XLOOKUP(MIN(ABS($AZ$3:$AZ$31 - MEDIAN(MIN($AZ$3:$AZ$31), MAX($AZ$3:$AZ$31), U33))), ABS($AZ$3:$AZ$31 - MEDIAN(MIN($AZ$3:$AZ$31), MAX($AZ$3:$AZ$31), U33)), $BA$3:$BA$31, "Error", 0)</f>
        <v>6</v>
      </c>
      <c r="V63" s="186" cm="1">
        <f t="array" ref="V63">_xlfn.XLOOKUP(MIN(ABS($AZ$3:$AZ$31 - MEDIAN(MIN($AZ$3:$AZ$31), MAX($AZ$3:$AZ$31), V33))), ABS($AZ$3:$AZ$31 - MEDIAN(MIN($AZ$3:$AZ$31), MAX($AZ$3:$AZ$31), V33)), $BA$3:$BA$31, "Error", 0)</f>
        <v>6</v>
      </c>
      <c r="W63" s="186" cm="1">
        <f t="array" ref="W63">_xlfn.XLOOKUP(MIN(ABS($AZ$3:$AZ$31 - MEDIAN(MIN($AZ$3:$AZ$31), MAX($AZ$3:$AZ$31), W33))), ABS($AZ$3:$AZ$31 - MEDIAN(MIN($AZ$3:$AZ$31), MAX($AZ$3:$AZ$31), W33)), $BA$3:$BA$31, "Error", 0)</f>
        <v>7</v>
      </c>
      <c r="X63" s="186" cm="1">
        <f t="array" ref="X63">_xlfn.XLOOKUP(MIN(ABS($AZ$3:$AZ$31 - MEDIAN(MIN($AZ$3:$AZ$31), MAX($AZ$3:$AZ$31), X33))), ABS($AZ$3:$AZ$31 - MEDIAN(MIN($AZ$3:$AZ$31), MAX($AZ$3:$AZ$31), X33)), $BA$3:$BA$31, "Error", 0)</f>
        <v>7</v>
      </c>
      <c r="Y63" s="186" cm="1">
        <f t="array" ref="Y63">_xlfn.XLOOKUP(MIN(ABS($AZ$3:$AZ$31 - MEDIAN(MIN($AZ$3:$AZ$31), MAX($AZ$3:$AZ$31), Y33))), ABS($AZ$3:$AZ$31 - MEDIAN(MIN($AZ$3:$AZ$31), MAX($AZ$3:$AZ$31), Y33)), $BA$3:$BA$31, "Error", 0)</f>
        <v>7</v>
      </c>
      <c r="Z63" s="186" cm="1">
        <f t="array" ref="Z63">_xlfn.XLOOKUP(MIN(ABS($AZ$3:$AZ$31 - MEDIAN(MIN($AZ$3:$AZ$31), MAX($AZ$3:$AZ$31), Z33))), ABS($AZ$3:$AZ$31 - MEDIAN(MIN($AZ$3:$AZ$31), MAX($AZ$3:$AZ$31), Z33)), $BA$3:$BA$31, "Error", 0)</f>
        <v>8</v>
      </c>
      <c r="AA63" s="186" cm="1">
        <f t="array" ref="AA63">_xlfn.XLOOKUP(MIN(ABS($AZ$3:$AZ$31 - MEDIAN(MIN($AZ$3:$AZ$31), MAX($AZ$3:$AZ$31), AA33))), ABS($AZ$3:$AZ$31 - MEDIAN(MIN($AZ$3:$AZ$31), MAX($AZ$3:$AZ$31), AA33)), $BA$3:$BA$31, "Error", 0)</f>
        <v>8</v>
      </c>
      <c r="AB63" s="186" cm="1">
        <f t="array" ref="AB63">_xlfn.XLOOKUP(MIN(ABS($AZ$3:$AZ$31 - MEDIAN(MIN($AZ$3:$AZ$31), MAX($AZ$3:$AZ$31), AB33))), ABS($AZ$3:$AZ$31 - MEDIAN(MIN($AZ$3:$AZ$31), MAX($AZ$3:$AZ$31), AB33)), $BA$3:$BA$31, "Error", 0)</f>
        <v>7</v>
      </c>
      <c r="AC63" s="186" cm="1">
        <f t="array" ref="AC63">_xlfn.XLOOKUP(MIN(ABS($AZ$3:$AZ$31 - MEDIAN(MIN($AZ$3:$AZ$31), MAX($AZ$3:$AZ$31), AC33))), ABS($AZ$3:$AZ$31 - MEDIAN(MIN($AZ$3:$AZ$31), MAX($AZ$3:$AZ$31), AC33)), $BA$3:$BA$31, "Error", 0)</f>
        <v>8</v>
      </c>
      <c r="AD63" s="186" cm="1">
        <f t="array" ref="AD63">_xlfn.XLOOKUP(MIN(ABS($AZ$3:$AZ$31 - MEDIAN(MIN($AZ$3:$AZ$31), MAX($AZ$3:$AZ$31), AD33))), ABS($AZ$3:$AZ$31 - MEDIAN(MIN($AZ$3:$AZ$31), MAX($AZ$3:$AZ$31), AD33)), $BA$3:$BA$31, "Error", 0)</f>
        <v>8</v>
      </c>
      <c r="AE63" s="186" cm="1">
        <f t="array" ref="AE63">_xlfn.XLOOKUP(MIN(ABS($AZ$3:$AZ$31 - MEDIAN(MIN($AZ$3:$AZ$31), MAX($AZ$3:$AZ$31), AE33))), ABS($AZ$3:$AZ$31 - MEDIAN(MIN($AZ$3:$AZ$31), MAX($AZ$3:$AZ$31), AE33)), $BA$3:$BA$31, "Error", 0)</f>
        <v>7</v>
      </c>
      <c r="AF63" s="186" cm="1">
        <f t="array" ref="AF63">_xlfn.XLOOKUP(MIN(ABS($AZ$3:$AZ$31 - MEDIAN(MIN($AZ$3:$AZ$31), MAX($AZ$3:$AZ$31), AF33))), ABS($AZ$3:$AZ$31 - MEDIAN(MIN($AZ$3:$AZ$31), MAX($AZ$3:$AZ$31), AF33)), $BA$3:$BA$31, "Error", 0)</f>
        <v>8</v>
      </c>
      <c r="AG63" s="186" cm="1">
        <f t="array" ref="AG63">_xlfn.XLOOKUP(MIN(ABS($AZ$3:$AZ$31 - MEDIAN(MIN($AZ$3:$AZ$31), MAX($AZ$3:$AZ$31), AG33))), ABS($AZ$3:$AZ$31 - MEDIAN(MIN($AZ$3:$AZ$31), MAX($AZ$3:$AZ$31), AG33)), $BA$3:$BA$31, "Error", 0)</f>
        <v>8</v>
      </c>
      <c r="AH63" s="186" cm="1">
        <f t="array" ref="AH63">_xlfn.XLOOKUP(MIN(ABS($AZ$3:$AZ$31 - MEDIAN(MIN($AZ$3:$AZ$31), MAX($AZ$3:$AZ$31), AH33))), ABS($AZ$3:$AZ$31 - MEDIAN(MIN($AZ$3:$AZ$31), MAX($AZ$3:$AZ$31), AH33)), $BA$3:$BA$31, "Error", 0)</f>
        <v>7</v>
      </c>
      <c r="AI63" s="186" cm="1">
        <f t="array" ref="AI63">_xlfn.XLOOKUP(MIN(ABS($AZ$3:$AZ$31 - MEDIAN(MIN($AZ$3:$AZ$31), MAX($AZ$3:$AZ$31), AI33))), ABS($AZ$3:$AZ$31 - MEDIAN(MIN($AZ$3:$AZ$31), MAX($AZ$3:$AZ$31), AI33)), $BA$3:$BA$31, "Error", 0)</f>
        <v>7</v>
      </c>
      <c r="AJ63" s="186" cm="1">
        <f t="array" ref="AJ63">_xlfn.XLOOKUP(MIN(ABS($AZ$3:$AZ$31 - MEDIAN(MIN($AZ$3:$AZ$31), MAX($AZ$3:$AZ$31), AJ33))), ABS($AZ$3:$AZ$31 - MEDIAN(MIN($AZ$3:$AZ$31), MAX($AZ$3:$AZ$31), AJ33)), $BA$3:$BA$31, "Error", 0)</f>
        <v>7</v>
      </c>
      <c r="AK63" s="186" cm="1">
        <f t="array" ref="AK63">_xlfn.XLOOKUP(MIN(ABS($AZ$3:$AZ$31 - MEDIAN(MIN($AZ$3:$AZ$31), MAX($AZ$3:$AZ$31), AK33))), ABS($AZ$3:$AZ$31 - MEDIAN(MIN($AZ$3:$AZ$31), MAX($AZ$3:$AZ$31), AK33)), $BA$3:$BA$31, "Error", 0)</f>
        <v>7</v>
      </c>
      <c r="AL63" s="186" cm="1">
        <f t="array" ref="AL63">_xlfn.XLOOKUP(MIN(ABS($AZ$3:$AZ$31 - MEDIAN(MIN($AZ$3:$AZ$31), MAX($AZ$3:$AZ$31), AL33))), ABS($AZ$3:$AZ$31 - MEDIAN(MIN($AZ$3:$AZ$31), MAX($AZ$3:$AZ$31), AL33)), $BA$3:$BA$31, "Error", 0)</f>
        <v>7</v>
      </c>
      <c r="AM63" s="186" cm="1">
        <f t="array" ref="AM63">_xlfn.XLOOKUP(MIN(ABS($AZ$3:$AZ$31 - MEDIAN(MIN($AZ$3:$AZ$31), MAX($AZ$3:$AZ$31), AM33))), ABS($AZ$3:$AZ$31 - MEDIAN(MIN($AZ$3:$AZ$31), MAX($AZ$3:$AZ$31), AM33)), $BA$3:$BA$31, "Error", 0)</f>
        <v>7</v>
      </c>
      <c r="AN63" s="186" cm="1">
        <f t="array" ref="AN63">_xlfn.XLOOKUP(MIN(ABS($AZ$3:$AZ$31 - MEDIAN(MIN($AZ$3:$AZ$31), MAX($AZ$3:$AZ$31), AN33))), ABS($AZ$3:$AZ$31 - MEDIAN(MIN($AZ$3:$AZ$31), MAX($AZ$3:$AZ$31), AN33)), $BA$3:$BA$31, "Error", 0)</f>
        <v>8</v>
      </c>
      <c r="AO63" s="186" cm="1">
        <f t="array" ref="AO63">_xlfn.XLOOKUP(MIN(ABS($AZ$3:$AZ$31 - MEDIAN(MIN($AZ$3:$AZ$31), MAX($AZ$3:$AZ$31), AO33))), ABS($AZ$3:$AZ$31 - MEDIAN(MIN($AZ$3:$AZ$31), MAX($AZ$3:$AZ$31), AO33)), $BA$3:$BA$31, "Error", 0)</f>
        <v>8</v>
      </c>
      <c r="AP63" s="186" cm="1">
        <f t="array" ref="AP63">_xlfn.XLOOKUP(MIN(ABS($AZ$3:$AZ$31 - MEDIAN(MIN($AZ$3:$AZ$31), MAX($AZ$3:$AZ$31), AP33))), ABS($AZ$3:$AZ$31 - MEDIAN(MIN($AZ$3:$AZ$31), MAX($AZ$3:$AZ$31), AP33)), $BA$3:$BA$31, "Error", 0)</f>
        <v>8</v>
      </c>
      <c r="AQ63" s="186" cm="1">
        <f t="array" ref="AQ63">_xlfn.XLOOKUP(MIN(ABS($AZ$3:$AZ$31 - MEDIAN(MIN($AZ$3:$AZ$31), MAX($AZ$3:$AZ$31), AQ33))), ABS($AZ$3:$AZ$31 - MEDIAN(MIN($AZ$3:$AZ$31), MAX($AZ$3:$AZ$31), AQ33)), $BA$3:$BA$31, "Error", 0)</f>
        <v>9</v>
      </c>
      <c r="AR63" s="186" cm="1">
        <f t="array" ref="AR63">_xlfn.XLOOKUP(MIN(ABS($AZ$3:$AZ$31 - MEDIAN(MIN($AZ$3:$AZ$31), MAX($AZ$3:$AZ$31), AR33))), ABS($AZ$3:$AZ$31 - MEDIAN(MIN($AZ$3:$AZ$31), MAX($AZ$3:$AZ$31), AR33)), $BA$3:$BA$31, "Error", 0)</f>
        <v>9</v>
      </c>
      <c r="AS63" s="186" cm="1">
        <f t="array" ref="AS63">_xlfn.XLOOKUP(MIN(ABS($AZ$3:$AZ$31 - MEDIAN(MIN($AZ$3:$AZ$31), MAX($AZ$3:$AZ$31), AS33))), ABS($AZ$3:$AZ$31 - MEDIAN(MIN($AZ$3:$AZ$31), MAX($AZ$3:$AZ$31), AS33)), $BA$3:$BA$31, "Error", 0)</f>
        <v>9</v>
      </c>
      <c r="AT63" s="186" cm="1">
        <f t="array" ref="AT63">_xlfn.XLOOKUP(MIN(ABS($AZ$3:$AZ$31 - MEDIAN(MIN($AZ$3:$AZ$31), MAX($AZ$3:$AZ$31), AT33))), ABS($AZ$3:$AZ$31 - MEDIAN(MIN($AZ$3:$AZ$31), MAX($AZ$3:$AZ$31), AT33)), $BA$3:$BA$31, "Error", 0)</f>
        <v>9</v>
      </c>
      <c r="AU63" s="186" cm="1">
        <f t="array" ref="AU63">_xlfn.XLOOKUP(MIN(ABS($AZ$3:$AZ$31 - MEDIAN(MIN($AZ$3:$AZ$31), MAX($AZ$3:$AZ$31), AU33))), ABS($AZ$3:$AZ$31 - MEDIAN(MIN($AZ$3:$AZ$31), MAX($AZ$3:$AZ$31), AU33)), $BA$3:$BA$31, "Error", 0)</f>
        <v>9</v>
      </c>
      <c r="AV63" s="186" cm="1">
        <f t="array" ref="AV63">_xlfn.XLOOKUP(MIN(ABS($AZ$3:$AZ$31 - MEDIAN(MIN($AZ$3:$AZ$31), MAX($AZ$3:$AZ$31), AV33))), ABS($AZ$3:$AZ$31 - MEDIAN(MIN($AZ$3:$AZ$31), MAX($AZ$3:$AZ$31), AV33)), $BA$3:$BA$31, "Error", 0)</f>
        <v>9</v>
      </c>
      <c r="AW63" s="186" cm="1">
        <f t="array" ref="AW63">_xlfn.XLOOKUP(MIN(ABS($AZ$3:$AZ$31 - MEDIAN(MIN($AZ$3:$AZ$31), MAX($AZ$3:$AZ$31), AW33))), ABS($AZ$3:$AZ$31 - MEDIAN(MIN($AZ$3:$AZ$31), MAX($AZ$3:$AZ$31), AW33)), $BA$3:$BA$31, "Error", 0)</f>
        <v>9</v>
      </c>
      <c r="AX63" s="192" t="e" cm="1">
        <f t="array" ref="AX63">_xlfn.XLOOKUP(MIN(ABS($AZ$3:$AZ$31 - MEDIAN(MIN($AZ$3:$AZ$31), MAX($AZ$3:$AZ$31), AX33))), ABS($AZ$3:$AZ$31 - MEDIAN(MIN($AZ$3:$AZ$31), MAX($AZ$3:$AZ$31), AX33)), $BA$3:$BA$31, "Error", 0)</f>
        <v>#VALUE!</v>
      </c>
      <c r="AY63" s="195"/>
      <c r="AZ63" s="195"/>
      <c r="BA63" s="195"/>
      <c r="BB63" s="195"/>
      <c r="BC63" s="195"/>
      <c r="BD63" s="195"/>
      <c r="BE63" s="195"/>
      <c r="BF63" s="195"/>
      <c r="BG63" s="195"/>
      <c r="BH63" s="195"/>
      <c r="BI63" s="195"/>
      <c r="BJ63" s="195"/>
    </row>
    <row r="64" spans="2:62" ht="25" customHeight="1">
      <c r="B64" s="168" t="s">
        <v>18</v>
      </c>
      <c r="C64" s="186" cm="1">
        <f t="array" ref="C64">_xlfn.XLOOKUP(MIN(ABS($AZ$3:$AZ$31 - MEDIAN(MIN($AZ$3:$AZ$31), MAX($AZ$3:$AZ$31), C34))), ABS($AZ$3:$AZ$31 - MEDIAN(MIN($AZ$3:$AZ$31), MAX($AZ$3:$AZ$31), C34)), $BA$3:$BA$31, "Error", 0)</f>
        <v>6</v>
      </c>
      <c r="D64" s="186" cm="1">
        <f t="array" ref="D64">_xlfn.XLOOKUP(MIN(ABS($AZ$3:$AZ$31 - MEDIAN(MIN($AZ$3:$AZ$31), MAX($AZ$3:$AZ$31), D34))), ABS($AZ$3:$AZ$31 - MEDIAN(MIN($AZ$3:$AZ$31), MAX($AZ$3:$AZ$31), D34)), $BA$3:$BA$31, "Error", 0)</f>
        <v>7</v>
      </c>
      <c r="E64" s="186" cm="1">
        <f t="array" ref="E64">_xlfn.XLOOKUP(MIN(ABS($AZ$3:$AZ$31 - MEDIAN(MIN($AZ$3:$AZ$31), MAX($AZ$3:$AZ$31), E34))), ABS($AZ$3:$AZ$31 - MEDIAN(MIN($AZ$3:$AZ$31), MAX($AZ$3:$AZ$31), E34)), $BA$3:$BA$31, "Error", 0)</f>
        <v>7</v>
      </c>
      <c r="F64" s="186" cm="1">
        <f t="array" ref="F64">_xlfn.XLOOKUP(MIN(ABS($AZ$3:$AZ$31 - MEDIAN(MIN($AZ$3:$AZ$31), MAX($AZ$3:$AZ$31), F34))), ABS($AZ$3:$AZ$31 - MEDIAN(MIN($AZ$3:$AZ$31), MAX($AZ$3:$AZ$31), F34)), $BA$3:$BA$31, "Error", 0)</f>
        <v>7</v>
      </c>
      <c r="G64" s="186" cm="1">
        <f t="array" ref="G64">_xlfn.XLOOKUP(MIN(ABS($AZ$3:$AZ$31 - MEDIAN(MIN($AZ$3:$AZ$31), MAX($AZ$3:$AZ$31), G34))), ABS($AZ$3:$AZ$31 - MEDIAN(MIN($AZ$3:$AZ$31), MAX($AZ$3:$AZ$31), G34)), $BA$3:$BA$31, "Error", 0)</f>
        <v>8</v>
      </c>
      <c r="H64" s="186" cm="1">
        <f t="array" ref="H64">_xlfn.XLOOKUP(MIN(ABS($AZ$3:$AZ$31 - MEDIAN(MIN($AZ$3:$AZ$31), MAX($AZ$3:$AZ$31), H34))), ABS($AZ$3:$AZ$31 - MEDIAN(MIN($AZ$3:$AZ$31), MAX($AZ$3:$AZ$31), H34)), $BA$3:$BA$31, "Error", 0)</f>
        <v>8</v>
      </c>
      <c r="I64" s="186" cm="1">
        <f t="array" ref="I64">_xlfn.XLOOKUP(MIN(ABS($AZ$3:$AZ$31 - MEDIAN(MIN($AZ$3:$AZ$31), MAX($AZ$3:$AZ$31), I34))), ABS($AZ$3:$AZ$31 - MEDIAN(MIN($AZ$3:$AZ$31), MAX($AZ$3:$AZ$31), I34)), $BA$3:$BA$31, "Error", 0)</f>
        <v>8</v>
      </c>
      <c r="J64" s="186" cm="1">
        <f t="array" ref="J64">_xlfn.XLOOKUP(MIN(ABS($AZ$3:$AZ$31 - MEDIAN(MIN($AZ$3:$AZ$31), MAX($AZ$3:$AZ$31), J34))), ABS($AZ$3:$AZ$31 - MEDIAN(MIN($AZ$3:$AZ$31), MAX($AZ$3:$AZ$31), J34)), $BA$3:$BA$31, "Error", 0)</f>
        <v>8</v>
      </c>
      <c r="K64" s="186" cm="1">
        <f t="array" ref="K64">_xlfn.XLOOKUP(MIN(ABS($AZ$3:$AZ$31 - MEDIAN(MIN($AZ$3:$AZ$31), MAX($AZ$3:$AZ$31), K34))), ABS($AZ$3:$AZ$31 - MEDIAN(MIN($AZ$3:$AZ$31), MAX($AZ$3:$AZ$31), K34)), $BA$3:$BA$31, "Error", 0)</f>
        <v>8</v>
      </c>
      <c r="L64" s="186" cm="1">
        <f t="array" ref="L64">_xlfn.XLOOKUP(MIN(ABS($AZ$3:$AZ$31 - MEDIAN(MIN($AZ$3:$AZ$31), MAX($AZ$3:$AZ$31), L34))), ABS($AZ$3:$AZ$31 - MEDIAN(MIN($AZ$3:$AZ$31), MAX($AZ$3:$AZ$31), L34)), $BA$3:$BA$31, "Error", 0)</f>
        <v>8</v>
      </c>
      <c r="M64" s="186" cm="1">
        <f t="array" ref="M64">_xlfn.XLOOKUP(MIN(ABS($AZ$3:$AZ$31 - MEDIAN(MIN($AZ$3:$AZ$31), MAX($AZ$3:$AZ$31), M34))), ABS($AZ$3:$AZ$31 - MEDIAN(MIN($AZ$3:$AZ$31), MAX($AZ$3:$AZ$31), M34)), $BA$3:$BA$31, "Error", 0)</f>
        <v>9</v>
      </c>
      <c r="N64" s="186" cm="1">
        <f t="array" ref="N64">_xlfn.XLOOKUP(MIN(ABS($AZ$3:$AZ$31 - MEDIAN(MIN($AZ$3:$AZ$31), MAX($AZ$3:$AZ$31), N34))), ABS($AZ$3:$AZ$31 - MEDIAN(MIN($AZ$3:$AZ$31), MAX($AZ$3:$AZ$31), N34)), $BA$3:$BA$31, "Error", 0)</f>
        <v>9</v>
      </c>
      <c r="O64" s="186" cm="1">
        <f t="array" ref="O64">_xlfn.XLOOKUP(MIN(ABS($AZ$3:$AZ$31 - MEDIAN(MIN($AZ$3:$AZ$31), MAX($AZ$3:$AZ$31), O34))), ABS($AZ$3:$AZ$31 - MEDIAN(MIN($AZ$3:$AZ$31), MAX($AZ$3:$AZ$31), O34)), $BA$3:$BA$31, "Error", 0)</f>
        <v>9</v>
      </c>
      <c r="P64" s="186" cm="1">
        <f t="array" ref="P64">_xlfn.XLOOKUP(MIN(ABS($AZ$3:$AZ$31 - MEDIAN(MIN($AZ$3:$AZ$31), MAX($AZ$3:$AZ$31), P34))), ABS($AZ$3:$AZ$31 - MEDIAN(MIN($AZ$3:$AZ$31), MAX($AZ$3:$AZ$31), P34)), $BA$3:$BA$31, "Error", 0)</f>
        <v>9</v>
      </c>
      <c r="Q64" s="186" cm="1">
        <f t="array" ref="Q64">_xlfn.XLOOKUP(MIN(ABS($AZ$3:$AZ$31 - MEDIAN(MIN($AZ$3:$AZ$31), MAX($AZ$3:$AZ$31), Q34))), ABS($AZ$3:$AZ$31 - MEDIAN(MIN($AZ$3:$AZ$31), MAX($AZ$3:$AZ$31), Q34)), $BA$3:$BA$31, "Error", 0)</f>
        <v>9</v>
      </c>
      <c r="R64" s="186" cm="1">
        <f t="array" ref="R64">_xlfn.XLOOKUP(MIN(ABS($AZ$3:$AZ$31 - MEDIAN(MIN($AZ$3:$AZ$31), MAX($AZ$3:$AZ$31), R34))), ABS($AZ$3:$AZ$31 - MEDIAN(MIN($AZ$3:$AZ$31), MAX($AZ$3:$AZ$31), R34)), $BA$3:$BA$31, "Error", 0)</f>
        <v>9</v>
      </c>
      <c r="S64" s="186" cm="1">
        <f t="array" ref="S64">_xlfn.XLOOKUP(MIN(ABS($AZ$3:$AZ$31 - MEDIAN(MIN($AZ$3:$AZ$31), MAX($AZ$3:$AZ$31), S34))), ABS($AZ$3:$AZ$31 - MEDIAN(MIN($AZ$3:$AZ$31), MAX($AZ$3:$AZ$31), S34)), $BA$3:$BA$31, "Error", 0)</f>
        <v>9</v>
      </c>
      <c r="T64" s="186" cm="1">
        <f t="array" ref="T64">_xlfn.XLOOKUP(MIN(ABS($AZ$3:$AZ$31 - MEDIAN(MIN($AZ$3:$AZ$31), MAX($AZ$3:$AZ$31), T34))), ABS($AZ$3:$AZ$31 - MEDIAN(MIN($AZ$3:$AZ$31), MAX($AZ$3:$AZ$31), T34)), $BA$3:$BA$31, "Error", 0)</f>
        <v>9</v>
      </c>
      <c r="U64" s="186" cm="1">
        <f t="array" ref="U64">_xlfn.XLOOKUP(MIN(ABS($AZ$3:$AZ$31 - MEDIAN(MIN($AZ$3:$AZ$31), MAX($AZ$3:$AZ$31), U34))), ABS($AZ$3:$AZ$31 - MEDIAN(MIN($AZ$3:$AZ$31), MAX($AZ$3:$AZ$31), U34)), $BA$3:$BA$31, "Error", 0)</f>
        <v>8</v>
      </c>
      <c r="V64" s="186" cm="1">
        <f t="array" ref="V64">_xlfn.XLOOKUP(MIN(ABS($AZ$3:$AZ$31 - MEDIAN(MIN($AZ$3:$AZ$31), MAX($AZ$3:$AZ$31), V34))), ABS($AZ$3:$AZ$31 - MEDIAN(MIN($AZ$3:$AZ$31), MAX($AZ$3:$AZ$31), V34)), $BA$3:$BA$31, "Error", 0)</f>
        <v>8</v>
      </c>
      <c r="W64" s="186" cm="1">
        <f t="array" ref="W64">_xlfn.XLOOKUP(MIN(ABS($AZ$3:$AZ$31 - MEDIAN(MIN($AZ$3:$AZ$31), MAX($AZ$3:$AZ$31), W34))), ABS($AZ$3:$AZ$31 - MEDIAN(MIN($AZ$3:$AZ$31), MAX($AZ$3:$AZ$31), W34)), $BA$3:$BA$31, "Error", 0)</f>
        <v>8</v>
      </c>
      <c r="X64" s="186" cm="1">
        <f t="array" ref="X64">_xlfn.XLOOKUP(MIN(ABS($AZ$3:$AZ$31 - MEDIAN(MIN($AZ$3:$AZ$31), MAX($AZ$3:$AZ$31), X34))), ABS($AZ$3:$AZ$31 - MEDIAN(MIN($AZ$3:$AZ$31), MAX($AZ$3:$AZ$31), X34)), $BA$3:$BA$31, "Error", 0)</f>
        <v>8</v>
      </c>
      <c r="Y64" s="186" cm="1">
        <f t="array" ref="Y64">_xlfn.XLOOKUP(MIN(ABS($AZ$3:$AZ$31 - MEDIAN(MIN($AZ$3:$AZ$31), MAX($AZ$3:$AZ$31), Y34))), ABS($AZ$3:$AZ$31 - MEDIAN(MIN($AZ$3:$AZ$31), MAX($AZ$3:$AZ$31), Y34)), $BA$3:$BA$31, "Error", 0)</f>
        <v>8</v>
      </c>
      <c r="Z64" s="186" cm="1">
        <f t="array" ref="Z64">_xlfn.XLOOKUP(MIN(ABS($AZ$3:$AZ$31 - MEDIAN(MIN($AZ$3:$AZ$31), MAX($AZ$3:$AZ$31), Z34))), ABS($AZ$3:$AZ$31 - MEDIAN(MIN($AZ$3:$AZ$31), MAX($AZ$3:$AZ$31), Z34)), $BA$3:$BA$31, "Error", 0)</f>
        <v>8</v>
      </c>
      <c r="AA64" s="186" cm="1">
        <f t="array" ref="AA64">_xlfn.XLOOKUP(MIN(ABS($AZ$3:$AZ$31 - MEDIAN(MIN($AZ$3:$AZ$31), MAX($AZ$3:$AZ$31), AA34))), ABS($AZ$3:$AZ$31 - MEDIAN(MIN($AZ$3:$AZ$31), MAX($AZ$3:$AZ$31), AA34)), $BA$3:$BA$31, "Error", 0)</f>
        <v>8</v>
      </c>
      <c r="AB64" s="186" cm="1">
        <f t="array" ref="AB64">_xlfn.XLOOKUP(MIN(ABS($AZ$3:$AZ$31 - MEDIAN(MIN($AZ$3:$AZ$31), MAX($AZ$3:$AZ$31), AB34))), ABS($AZ$3:$AZ$31 - MEDIAN(MIN($AZ$3:$AZ$31), MAX($AZ$3:$AZ$31), AB34)), $BA$3:$BA$31, "Error", 0)</f>
        <v>7</v>
      </c>
      <c r="AC64" s="186" cm="1">
        <f t="array" ref="AC64">_xlfn.XLOOKUP(MIN(ABS($AZ$3:$AZ$31 - MEDIAN(MIN($AZ$3:$AZ$31), MAX($AZ$3:$AZ$31), AC34))), ABS($AZ$3:$AZ$31 - MEDIAN(MIN($AZ$3:$AZ$31), MAX($AZ$3:$AZ$31), AC34)), $BA$3:$BA$31, "Error", 0)</f>
        <v>7</v>
      </c>
      <c r="AD64" s="186" cm="1">
        <f t="array" ref="AD64">_xlfn.XLOOKUP(MIN(ABS($AZ$3:$AZ$31 - MEDIAN(MIN($AZ$3:$AZ$31), MAX($AZ$3:$AZ$31), AD34))), ABS($AZ$3:$AZ$31 - MEDIAN(MIN($AZ$3:$AZ$31), MAX($AZ$3:$AZ$31), AD34)), $BA$3:$BA$31, "Error", 0)</f>
        <v>7</v>
      </c>
      <c r="AE64" s="186" cm="1">
        <f t="array" ref="AE64">_xlfn.XLOOKUP(MIN(ABS($AZ$3:$AZ$31 - MEDIAN(MIN($AZ$3:$AZ$31), MAX($AZ$3:$AZ$31), AE34))), ABS($AZ$3:$AZ$31 - MEDIAN(MIN($AZ$3:$AZ$31), MAX($AZ$3:$AZ$31), AE34)), $BA$3:$BA$31, "Error", 0)</f>
        <v>7</v>
      </c>
      <c r="AF64" s="186" cm="1">
        <f t="array" ref="AF64">_xlfn.XLOOKUP(MIN(ABS($AZ$3:$AZ$31 - MEDIAN(MIN($AZ$3:$AZ$31), MAX($AZ$3:$AZ$31), AF34))), ABS($AZ$3:$AZ$31 - MEDIAN(MIN($AZ$3:$AZ$31), MAX($AZ$3:$AZ$31), AF34)), $BA$3:$BA$31, "Error", 0)</f>
        <v>7</v>
      </c>
      <c r="AG64" s="186" cm="1">
        <f t="array" ref="AG64">_xlfn.XLOOKUP(MIN(ABS($AZ$3:$AZ$31 - MEDIAN(MIN($AZ$3:$AZ$31), MAX($AZ$3:$AZ$31), AG34))), ABS($AZ$3:$AZ$31 - MEDIAN(MIN($AZ$3:$AZ$31), MAX($AZ$3:$AZ$31), AG34)), $BA$3:$BA$31, "Error", 0)</f>
        <v>7</v>
      </c>
      <c r="AH64" s="186" cm="1">
        <f t="array" ref="AH64">_xlfn.XLOOKUP(MIN(ABS($AZ$3:$AZ$31 - MEDIAN(MIN($AZ$3:$AZ$31), MAX($AZ$3:$AZ$31), AH34))), ABS($AZ$3:$AZ$31 - MEDIAN(MIN($AZ$3:$AZ$31), MAX($AZ$3:$AZ$31), AH34)), $BA$3:$BA$31, "Error", 0)</f>
        <v>6</v>
      </c>
      <c r="AI64" s="186" cm="1">
        <f t="array" ref="AI64">_xlfn.XLOOKUP(MIN(ABS($AZ$3:$AZ$31 - MEDIAN(MIN($AZ$3:$AZ$31), MAX($AZ$3:$AZ$31), AI34))), ABS($AZ$3:$AZ$31 - MEDIAN(MIN($AZ$3:$AZ$31), MAX($AZ$3:$AZ$31), AI34)), $BA$3:$BA$31, "Error", 0)</f>
        <v>6</v>
      </c>
      <c r="AJ64" s="186" cm="1">
        <f t="array" ref="AJ64">_xlfn.XLOOKUP(MIN(ABS($AZ$3:$AZ$31 - MEDIAN(MIN($AZ$3:$AZ$31), MAX($AZ$3:$AZ$31), AJ34))), ABS($AZ$3:$AZ$31 - MEDIAN(MIN($AZ$3:$AZ$31), MAX($AZ$3:$AZ$31), AJ34)), $BA$3:$BA$31, "Error", 0)</f>
        <v>6</v>
      </c>
      <c r="AK64" s="186" cm="1">
        <f t="array" ref="AK64">_xlfn.XLOOKUP(MIN(ABS($AZ$3:$AZ$31 - MEDIAN(MIN($AZ$3:$AZ$31), MAX($AZ$3:$AZ$31), AK34))), ABS($AZ$3:$AZ$31 - MEDIAN(MIN($AZ$3:$AZ$31), MAX($AZ$3:$AZ$31), AK34)), $BA$3:$BA$31, "Error", 0)</f>
        <v>6</v>
      </c>
      <c r="AL64" s="186" cm="1">
        <f t="array" ref="AL64">_xlfn.XLOOKUP(MIN(ABS($AZ$3:$AZ$31 - MEDIAN(MIN($AZ$3:$AZ$31), MAX($AZ$3:$AZ$31), AL34))), ABS($AZ$3:$AZ$31 - MEDIAN(MIN($AZ$3:$AZ$31), MAX($AZ$3:$AZ$31), AL34)), $BA$3:$BA$31, "Error", 0)</f>
        <v>6</v>
      </c>
      <c r="AM64" s="186" cm="1">
        <f t="array" ref="AM64">_xlfn.XLOOKUP(MIN(ABS($AZ$3:$AZ$31 - MEDIAN(MIN($AZ$3:$AZ$31), MAX($AZ$3:$AZ$31), AM34))), ABS($AZ$3:$AZ$31 - MEDIAN(MIN($AZ$3:$AZ$31), MAX($AZ$3:$AZ$31), AM34)), $BA$3:$BA$31, "Error", 0)</f>
        <v>6</v>
      </c>
      <c r="AN64" s="186" cm="1">
        <f t="array" ref="AN64">_xlfn.XLOOKUP(MIN(ABS($AZ$3:$AZ$31 - MEDIAN(MIN($AZ$3:$AZ$31), MAX($AZ$3:$AZ$31), AN34))), ABS($AZ$3:$AZ$31 - MEDIAN(MIN($AZ$3:$AZ$31), MAX($AZ$3:$AZ$31), AN34)), $BA$3:$BA$31, "Error", 0)</f>
        <v>6</v>
      </c>
      <c r="AO64" s="186" cm="1">
        <f t="array" ref="AO64">_xlfn.XLOOKUP(MIN(ABS($AZ$3:$AZ$31 - MEDIAN(MIN($AZ$3:$AZ$31), MAX($AZ$3:$AZ$31), AO34))), ABS($AZ$3:$AZ$31 - MEDIAN(MIN($AZ$3:$AZ$31), MAX($AZ$3:$AZ$31), AO34)), $BA$3:$BA$31, "Error", 0)</f>
        <v>6</v>
      </c>
      <c r="AP64" s="186" cm="1">
        <f t="array" ref="AP64">_xlfn.XLOOKUP(MIN(ABS($AZ$3:$AZ$31 - MEDIAN(MIN($AZ$3:$AZ$31), MAX($AZ$3:$AZ$31), AP34))), ABS($AZ$3:$AZ$31 - MEDIAN(MIN($AZ$3:$AZ$31), MAX($AZ$3:$AZ$31), AP34)), $BA$3:$BA$31, "Error", 0)</f>
        <v>7</v>
      </c>
      <c r="AQ64" s="186" cm="1">
        <f t="array" ref="AQ64">_xlfn.XLOOKUP(MIN(ABS($AZ$3:$AZ$31 - MEDIAN(MIN($AZ$3:$AZ$31), MAX($AZ$3:$AZ$31), AQ34))), ABS($AZ$3:$AZ$31 - MEDIAN(MIN($AZ$3:$AZ$31), MAX($AZ$3:$AZ$31), AQ34)), $BA$3:$BA$31, "Error", 0)</f>
        <v>7</v>
      </c>
      <c r="AR64" s="186" cm="1">
        <f t="array" ref="AR64">_xlfn.XLOOKUP(MIN(ABS($AZ$3:$AZ$31 - MEDIAN(MIN($AZ$3:$AZ$31), MAX($AZ$3:$AZ$31), AR34))), ABS($AZ$3:$AZ$31 - MEDIAN(MIN($AZ$3:$AZ$31), MAX($AZ$3:$AZ$31), AR34)), $BA$3:$BA$31, "Error", 0)</f>
        <v>7</v>
      </c>
      <c r="AS64" s="186" cm="1">
        <f t="array" ref="AS64">_xlfn.XLOOKUP(MIN(ABS($AZ$3:$AZ$31 - MEDIAN(MIN($AZ$3:$AZ$31), MAX($AZ$3:$AZ$31), AS34))), ABS($AZ$3:$AZ$31 - MEDIAN(MIN($AZ$3:$AZ$31), MAX($AZ$3:$AZ$31), AS34)), $BA$3:$BA$31, "Error", 0)</f>
        <v>7</v>
      </c>
      <c r="AT64" s="186" cm="1">
        <f t="array" ref="AT64">_xlfn.XLOOKUP(MIN(ABS($AZ$3:$AZ$31 - MEDIAN(MIN($AZ$3:$AZ$31), MAX($AZ$3:$AZ$31), AT34))), ABS($AZ$3:$AZ$31 - MEDIAN(MIN($AZ$3:$AZ$31), MAX($AZ$3:$AZ$31), AT34)), $BA$3:$BA$31, "Error", 0)</f>
        <v>7</v>
      </c>
      <c r="AU64" s="186" cm="1">
        <f t="array" ref="AU64">_xlfn.XLOOKUP(MIN(ABS($AZ$3:$AZ$31 - MEDIAN(MIN($AZ$3:$AZ$31), MAX($AZ$3:$AZ$31), AU34))), ABS($AZ$3:$AZ$31 - MEDIAN(MIN($AZ$3:$AZ$31), MAX($AZ$3:$AZ$31), AU34)), $BA$3:$BA$31, "Error", 0)</f>
        <v>7</v>
      </c>
      <c r="AV64" s="186" cm="1">
        <f t="array" ref="AV64">_xlfn.XLOOKUP(MIN(ABS($AZ$3:$AZ$31 - MEDIAN(MIN($AZ$3:$AZ$31), MAX($AZ$3:$AZ$31), AV34))), ABS($AZ$3:$AZ$31 - MEDIAN(MIN($AZ$3:$AZ$31), MAX($AZ$3:$AZ$31), AV34)), $BA$3:$BA$31, "Error", 0)</f>
        <v>7</v>
      </c>
      <c r="AW64" s="186" cm="1">
        <f t="array" ref="AW64">_xlfn.XLOOKUP(MIN(ABS($AZ$3:$AZ$31 - MEDIAN(MIN($AZ$3:$AZ$31), MAX($AZ$3:$AZ$31), AW34))), ABS($AZ$3:$AZ$31 - MEDIAN(MIN($AZ$3:$AZ$31), MAX($AZ$3:$AZ$31), AW34)), $BA$3:$BA$31, "Error", 0)</f>
        <v>7</v>
      </c>
      <c r="AX64" s="192" t="e" cm="1">
        <f t="array" ref="AX64">_xlfn.XLOOKUP(MIN(ABS($AZ$3:$AZ$31 - MEDIAN(MIN($AZ$3:$AZ$31), MAX($AZ$3:$AZ$31), AX34))), ABS($AZ$3:$AZ$31 - MEDIAN(MIN($AZ$3:$AZ$31), MAX($AZ$3:$AZ$31), AX34)), $BA$3:$BA$31, "Error", 0)</f>
        <v>#VALUE!</v>
      </c>
      <c r="AY64" s="195"/>
      <c r="AZ64" s="195"/>
      <c r="BA64" s="195"/>
      <c r="BB64" s="195"/>
      <c r="BC64" s="195"/>
      <c r="BD64" s="195"/>
      <c r="BE64" s="195"/>
      <c r="BF64" s="195"/>
      <c r="BG64" s="195"/>
      <c r="BH64" s="195"/>
      <c r="BI64" s="195"/>
      <c r="BJ64" s="195"/>
    </row>
    <row r="65" spans="2:62" ht="25" customHeight="1">
      <c r="B65" s="169" t="s">
        <v>59</v>
      </c>
      <c r="C65" s="186" cm="1">
        <f t="array" ref="C65">_xlfn.XLOOKUP(MIN(ABS($AZ$3:$AZ$31 - MEDIAN(MIN($AZ$3:$AZ$31), MAX($AZ$3:$AZ$31), C35))), ABS($AZ$3:$AZ$31 - MEDIAN(MIN($AZ$3:$AZ$31), MAX($AZ$3:$AZ$31), C35)), $BA$3:$BA$31, "Error", 0)</f>
        <v>-2</v>
      </c>
      <c r="D65" s="186" cm="1">
        <f t="array" ref="D65">_xlfn.XLOOKUP(MIN(ABS($AZ$3:$AZ$31 - MEDIAN(MIN($AZ$3:$AZ$31), MAX($AZ$3:$AZ$31), D35))), ABS($AZ$3:$AZ$31 - MEDIAN(MIN($AZ$3:$AZ$31), MAX($AZ$3:$AZ$31), D35)), $BA$3:$BA$31, "Error", 0)</f>
        <v>-3</v>
      </c>
      <c r="E65" s="186" cm="1">
        <f t="array" ref="E65">_xlfn.XLOOKUP(MIN(ABS($AZ$3:$AZ$31 - MEDIAN(MIN($AZ$3:$AZ$31), MAX($AZ$3:$AZ$31), E35))), ABS($AZ$3:$AZ$31 - MEDIAN(MIN($AZ$3:$AZ$31), MAX($AZ$3:$AZ$31), E35)), $BA$3:$BA$31, "Error", 0)</f>
        <v>-2</v>
      </c>
      <c r="F65" s="186" cm="1">
        <f t="array" ref="F65">_xlfn.XLOOKUP(MIN(ABS($AZ$3:$AZ$31 - MEDIAN(MIN($AZ$3:$AZ$31), MAX($AZ$3:$AZ$31), F35))), ABS($AZ$3:$AZ$31 - MEDIAN(MIN($AZ$3:$AZ$31), MAX($AZ$3:$AZ$31), F35)), $BA$3:$BA$31, "Error", 0)</f>
        <v>-3</v>
      </c>
      <c r="G65" s="186" cm="1">
        <f t="array" ref="G65">_xlfn.XLOOKUP(MIN(ABS($AZ$3:$AZ$31 - MEDIAN(MIN($AZ$3:$AZ$31), MAX($AZ$3:$AZ$31), G35))), ABS($AZ$3:$AZ$31 - MEDIAN(MIN($AZ$3:$AZ$31), MAX($AZ$3:$AZ$31), G35)), $BA$3:$BA$31, "Error", 0)</f>
        <v>-3</v>
      </c>
      <c r="H65" s="186" cm="1">
        <f t="array" ref="H65">_xlfn.XLOOKUP(MIN(ABS($AZ$3:$AZ$31 - MEDIAN(MIN($AZ$3:$AZ$31), MAX($AZ$3:$AZ$31), H35))), ABS($AZ$3:$AZ$31 - MEDIAN(MIN($AZ$3:$AZ$31), MAX($AZ$3:$AZ$31), H35)), $BA$3:$BA$31, "Error", 0)</f>
        <v>-3</v>
      </c>
      <c r="I65" s="186" cm="1">
        <f t="array" ref="I65">_xlfn.XLOOKUP(MIN(ABS($AZ$3:$AZ$31 - MEDIAN(MIN($AZ$3:$AZ$31), MAX($AZ$3:$AZ$31), I35))), ABS($AZ$3:$AZ$31 - MEDIAN(MIN($AZ$3:$AZ$31), MAX($AZ$3:$AZ$31), I35)), $BA$3:$BA$31, "Error", 0)</f>
        <v>-3</v>
      </c>
      <c r="J65" s="186" cm="1">
        <f t="array" ref="J65">_xlfn.XLOOKUP(MIN(ABS($AZ$3:$AZ$31 - MEDIAN(MIN($AZ$3:$AZ$31), MAX($AZ$3:$AZ$31), J35))), ABS($AZ$3:$AZ$31 - MEDIAN(MIN($AZ$3:$AZ$31), MAX($AZ$3:$AZ$31), J35)), $BA$3:$BA$31, "Error", 0)</f>
        <v>-3</v>
      </c>
      <c r="K65" s="186" cm="1">
        <f t="array" ref="K65">_xlfn.XLOOKUP(MIN(ABS($AZ$3:$AZ$31 - MEDIAN(MIN($AZ$3:$AZ$31), MAX($AZ$3:$AZ$31), K35))), ABS($AZ$3:$AZ$31 - MEDIAN(MIN($AZ$3:$AZ$31), MAX($AZ$3:$AZ$31), K35)), $BA$3:$BA$31, "Error", 0)</f>
        <v>-3</v>
      </c>
      <c r="L65" s="186" cm="1">
        <f t="array" ref="L65">_xlfn.XLOOKUP(MIN(ABS($AZ$3:$AZ$31 - MEDIAN(MIN($AZ$3:$AZ$31), MAX($AZ$3:$AZ$31), L35))), ABS($AZ$3:$AZ$31 - MEDIAN(MIN($AZ$3:$AZ$31), MAX($AZ$3:$AZ$31), L35)), $BA$3:$BA$31, "Error", 0)</f>
        <v>-3</v>
      </c>
      <c r="M65" s="186" cm="1">
        <f t="array" ref="M65">_xlfn.XLOOKUP(MIN(ABS($AZ$3:$AZ$31 - MEDIAN(MIN($AZ$3:$AZ$31), MAX($AZ$3:$AZ$31), M35))), ABS($AZ$3:$AZ$31 - MEDIAN(MIN($AZ$3:$AZ$31), MAX($AZ$3:$AZ$31), M35)), $BA$3:$BA$31, "Error", 0)</f>
        <v>-2</v>
      </c>
      <c r="N65" s="186" cm="1">
        <f t="array" ref="N65">_xlfn.XLOOKUP(MIN(ABS($AZ$3:$AZ$31 - MEDIAN(MIN($AZ$3:$AZ$31), MAX($AZ$3:$AZ$31), N35))), ABS($AZ$3:$AZ$31 - MEDIAN(MIN($AZ$3:$AZ$31), MAX($AZ$3:$AZ$31), N35)), $BA$3:$BA$31, "Error", 0)</f>
        <v>-2</v>
      </c>
      <c r="O65" s="186" cm="1">
        <f t="array" ref="O65">_xlfn.XLOOKUP(MIN(ABS($AZ$3:$AZ$31 - MEDIAN(MIN($AZ$3:$AZ$31), MAX($AZ$3:$AZ$31), O35))), ABS($AZ$3:$AZ$31 - MEDIAN(MIN($AZ$3:$AZ$31), MAX($AZ$3:$AZ$31), O35)), $BA$3:$BA$31, "Error", 0)</f>
        <v>-2</v>
      </c>
      <c r="P65" s="186" cm="1">
        <f t="array" ref="P65">_xlfn.XLOOKUP(MIN(ABS($AZ$3:$AZ$31 - MEDIAN(MIN($AZ$3:$AZ$31), MAX($AZ$3:$AZ$31), P35))), ABS($AZ$3:$AZ$31 - MEDIAN(MIN($AZ$3:$AZ$31), MAX($AZ$3:$AZ$31), P35)), $BA$3:$BA$31, "Error", 0)</f>
        <v>-2</v>
      </c>
      <c r="Q65" s="186" cm="1">
        <f t="array" ref="Q65">_xlfn.XLOOKUP(MIN(ABS($AZ$3:$AZ$31 - MEDIAN(MIN($AZ$3:$AZ$31), MAX($AZ$3:$AZ$31), Q35))), ABS($AZ$3:$AZ$31 - MEDIAN(MIN($AZ$3:$AZ$31), MAX($AZ$3:$AZ$31), Q35)), $BA$3:$BA$31, "Error", 0)</f>
        <v>-2</v>
      </c>
      <c r="R65" s="186" cm="1">
        <f t="array" ref="R65">_xlfn.XLOOKUP(MIN(ABS($AZ$3:$AZ$31 - MEDIAN(MIN($AZ$3:$AZ$31), MAX($AZ$3:$AZ$31), R35))), ABS($AZ$3:$AZ$31 - MEDIAN(MIN($AZ$3:$AZ$31), MAX($AZ$3:$AZ$31), R35)), $BA$3:$BA$31, "Error", 0)</f>
        <v>-2</v>
      </c>
      <c r="S65" s="186" cm="1">
        <f t="array" ref="S65">_xlfn.XLOOKUP(MIN(ABS($AZ$3:$AZ$31 - MEDIAN(MIN($AZ$3:$AZ$31), MAX($AZ$3:$AZ$31), S35))), ABS($AZ$3:$AZ$31 - MEDIAN(MIN($AZ$3:$AZ$31), MAX($AZ$3:$AZ$31), S35)), $BA$3:$BA$31, "Error", 0)</f>
        <v>-2</v>
      </c>
      <c r="T65" s="186" cm="1">
        <f t="array" ref="T65">_xlfn.XLOOKUP(MIN(ABS($AZ$3:$AZ$31 - MEDIAN(MIN($AZ$3:$AZ$31), MAX($AZ$3:$AZ$31), T35))), ABS($AZ$3:$AZ$31 - MEDIAN(MIN($AZ$3:$AZ$31), MAX($AZ$3:$AZ$31), T35)), $BA$3:$BA$31, "Error", 0)</f>
        <v>-2</v>
      </c>
      <c r="U65" s="186" cm="1">
        <f t="array" ref="U65">_xlfn.XLOOKUP(MIN(ABS($AZ$3:$AZ$31 - MEDIAN(MIN($AZ$3:$AZ$31), MAX($AZ$3:$AZ$31), U35))), ABS($AZ$3:$AZ$31 - MEDIAN(MIN($AZ$3:$AZ$31), MAX($AZ$3:$AZ$31), U35)), $BA$3:$BA$31, "Error", 0)</f>
        <v>-2</v>
      </c>
      <c r="V65" s="186" cm="1">
        <f t="array" ref="V65">_xlfn.XLOOKUP(MIN(ABS($AZ$3:$AZ$31 - MEDIAN(MIN($AZ$3:$AZ$31), MAX($AZ$3:$AZ$31), V35))), ABS($AZ$3:$AZ$31 - MEDIAN(MIN($AZ$3:$AZ$31), MAX($AZ$3:$AZ$31), V35)), $BA$3:$BA$31, "Error", 0)</f>
        <v>-2</v>
      </c>
      <c r="W65" s="186" cm="1">
        <f t="array" ref="W65">_xlfn.XLOOKUP(MIN(ABS($AZ$3:$AZ$31 - MEDIAN(MIN($AZ$3:$AZ$31), MAX($AZ$3:$AZ$31), W35))), ABS($AZ$3:$AZ$31 - MEDIAN(MIN($AZ$3:$AZ$31), MAX($AZ$3:$AZ$31), W35)), $BA$3:$BA$31, "Error", 0)</f>
        <v>-1</v>
      </c>
      <c r="X65" s="186" cm="1">
        <f t="array" ref="X65">_xlfn.XLOOKUP(MIN(ABS($AZ$3:$AZ$31 - MEDIAN(MIN($AZ$3:$AZ$31), MAX($AZ$3:$AZ$31), X35))), ABS($AZ$3:$AZ$31 - MEDIAN(MIN($AZ$3:$AZ$31), MAX($AZ$3:$AZ$31), X35)), $BA$3:$BA$31, "Error", 0)</f>
        <v>-1</v>
      </c>
      <c r="Y65" s="186" cm="1">
        <f t="array" ref="Y65">_xlfn.XLOOKUP(MIN(ABS($AZ$3:$AZ$31 - MEDIAN(MIN($AZ$3:$AZ$31), MAX($AZ$3:$AZ$31), Y35))), ABS($AZ$3:$AZ$31 - MEDIAN(MIN($AZ$3:$AZ$31), MAX($AZ$3:$AZ$31), Y35)), $BA$3:$BA$31, "Error", 0)</f>
        <v>0</v>
      </c>
      <c r="Z65" s="186" cm="1">
        <f t="array" ref="Z65">_xlfn.XLOOKUP(MIN(ABS($AZ$3:$AZ$31 - MEDIAN(MIN($AZ$3:$AZ$31), MAX($AZ$3:$AZ$31), Z35))), ABS($AZ$3:$AZ$31 - MEDIAN(MIN($AZ$3:$AZ$31), MAX($AZ$3:$AZ$31), Z35)), $BA$3:$BA$31, "Error", 0)</f>
        <v>0</v>
      </c>
      <c r="AA65" s="186" cm="1">
        <f t="array" ref="AA65">_xlfn.XLOOKUP(MIN(ABS($AZ$3:$AZ$31 - MEDIAN(MIN($AZ$3:$AZ$31), MAX($AZ$3:$AZ$31), AA35))), ABS($AZ$3:$AZ$31 - MEDIAN(MIN($AZ$3:$AZ$31), MAX($AZ$3:$AZ$31), AA35)), $BA$3:$BA$31, "Error", 0)</f>
        <v>0</v>
      </c>
      <c r="AB65" s="186" cm="1">
        <f t="array" ref="AB65">_xlfn.XLOOKUP(MIN(ABS($AZ$3:$AZ$31 - MEDIAN(MIN($AZ$3:$AZ$31), MAX($AZ$3:$AZ$31), AB35))), ABS($AZ$3:$AZ$31 - MEDIAN(MIN($AZ$3:$AZ$31), MAX($AZ$3:$AZ$31), AB35)), $BA$3:$BA$31, "Error", 0)</f>
        <v>1</v>
      </c>
      <c r="AC65" s="186" cm="1">
        <f t="array" ref="AC65">_xlfn.XLOOKUP(MIN(ABS($AZ$3:$AZ$31 - MEDIAN(MIN($AZ$3:$AZ$31), MAX($AZ$3:$AZ$31), AC35))), ABS($AZ$3:$AZ$31 - MEDIAN(MIN($AZ$3:$AZ$31), MAX($AZ$3:$AZ$31), AC35)), $BA$3:$BA$31, "Error", 0)</f>
        <v>1</v>
      </c>
      <c r="AD65" s="186" cm="1">
        <f t="array" ref="AD65">_xlfn.XLOOKUP(MIN(ABS($AZ$3:$AZ$31 - MEDIAN(MIN($AZ$3:$AZ$31), MAX($AZ$3:$AZ$31), AD35))), ABS($AZ$3:$AZ$31 - MEDIAN(MIN($AZ$3:$AZ$31), MAX($AZ$3:$AZ$31), AD35)), $BA$3:$BA$31, "Error", 0)</f>
        <v>1</v>
      </c>
      <c r="AE65" s="186" cm="1">
        <f t="array" ref="AE65">_xlfn.XLOOKUP(MIN(ABS($AZ$3:$AZ$31 - MEDIAN(MIN($AZ$3:$AZ$31), MAX($AZ$3:$AZ$31), AE35))), ABS($AZ$3:$AZ$31 - MEDIAN(MIN($AZ$3:$AZ$31), MAX($AZ$3:$AZ$31), AE35)), $BA$3:$BA$31, "Error", 0)</f>
        <v>1</v>
      </c>
      <c r="AF65" s="186" cm="1">
        <f t="array" ref="AF65">_xlfn.XLOOKUP(MIN(ABS($AZ$3:$AZ$31 - MEDIAN(MIN($AZ$3:$AZ$31), MAX($AZ$3:$AZ$31), AF35))), ABS($AZ$3:$AZ$31 - MEDIAN(MIN($AZ$3:$AZ$31), MAX($AZ$3:$AZ$31), AF35)), $BA$3:$BA$31, "Error", 0)</f>
        <v>1</v>
      </c>
      <c r="AG65" s="186" cm="1">
        <f t="array" ref="AG65">_xlfn.XLOOKUP(MIN(ABS($AZ$3:$AZ$31 - MEDIAN(MIN($AZ$3:$AZ$31), MAX($AZ$3:$AZ$31), AG35))), ABS($AZ$3:$AZ$31 - MEDIAN(MIN($AZ$3:$AZ$31), MAX($AZ$3:$AZ$31), AG35)), $BA$3:$BA$31, "Error", 0)</f>
        <v>1</v>
      </c>
      <c r="AH65" s="186" cm="1">
        <f t="array" ref="AH65">_xlfn.XLOOKUP(MIN(ABS($AZ$3:$AZ$31 - MEDIAN(MIN($AZ$3:$AZ$31), MAX($AZ$3:$AZ$31), AH35))), ABS($AZ$3:$AZ$31 - MEDIAN(MIN($AZ$3:$AZ$31), MAX($AZ$3:$AZ$31), AH35)), $BA$3:$BA$31, "Error", 0)</f>
        <v>1</v>
      </c>
      <c r="AI65" s="186" cm="1">
        <f t="array" ref="AI65">_xlfn.XLOOKUP(MIN(ABS($AZ$3:$AZ$31 - MEDIAN(MIN($AZ$3:$AZ$31), MAX($AZ$3:$AZ$31), AI35))), ABS($AZ$3:$AZ$31 - MEDIAN(MIN($AZ$3:$AZ$31), MAX($AZ$3:$AZ$31), AI35)), $BA$3:$BA$31, "Error", 0)</f>
        <v>1</v>
      </c>
      <c r="AJ65" s="186" cm="1">
        <f t="array" ref="AJ65">_xlfn.XLOOKUP(MIN(ABS($AZ$3:$AZ$31 - MEDIAN(MIN($AZ$3:$AZ$31), MAX($AZ$3:$AZ$31), AJ35))), ABS($AZ$3:$AZ$31 - MEDIAN(MIN($AZ$3:$AZ$31), MAX($AZ$3:$AZ$31), AJ35)), $BA$3:$BA$31, "Error", 0)</f>
        <v>2</v>
      </c>
      <c r="AK65" s="186" cm="1">
        <f t="array" ref="AK65">_xlfn.XLOOKUP(MIN(ABS($AZ$3:$AZ$31 - MEDIAN(MIN($AZ$3:$AZ$31), MAX($AZ$3:$AZ$31), AK35))), ABS($AZ$3:$AZ$31 - MEDIAN(MIN($AZ$3:$AZ$31), MAX($AZ$3:$AZ$31), AK35)), $BA$3:$BA$31, "Error", 0)</f>
        <v>3</v>
      </c>
      <c r="AL65" s="186" cm="1">
        <f t="array" ref="AL65">_xlfn.XLOOKUP(MIN(ABS($AZ$3:$AZ$31 - MEDIAN(MIN($AZ$3:$AZ$31), MAX($AZ$3:$AZ$31), AL35))), ABS($AZ$3:$AZ$31 - MEDIAN(MIN($AZ$3:$AZ$31), MAX($AZ$3:$AZ$31), AL35)), $BA$3:$BA$31, "Error", 0)</f>
        <v>3</v>
      </c>
      <c r="AM65" s="186" cm="1">
        <f t="array" ref="AM65">_xlfn.XLOOKUP(MIN(ABS($AZ$3:$AZ$31 - MEDIAN(MIN($AZ$3:$AZ$31), MAX($AZ$3:$AZ$31), AM35))), ABS($AZ$3:$AZ$31 - MEDIAN(MIN($AZ$3:$AZ$31), MAX($AZ$3:$AZ$31), AM35)), $BA$3:$BA$31, "Error", 0)</f>
        <v>3</v>
      </c>
      <c r="AN65" s="186" cm="1">
        <f t="array" ref="AN65">_xlfn.XLOOKUP(MIN(ABS($AZ$3:$AZ$31 - MEDIAN(MIN($AZ$3:$AZ$31), MAX($AZ$3:$AZ$31), AN35))), ABS($AZ$3:$AZ$31 - MEDIAN(MIN($AZ$3:$AZ$31), MAX($AZ$3:$AZ$31), AN35)), $BA$3:$BA$31, "Error", 0)</f>
        <v>3</v>
      </c>
      <c r="AO65" s="186" cm="1">
        <f t="array" ref="AO65">_xlfn.XLOOKUP(MIN(ABS($AZ$3:$AZ$31 - MEDIAN(MIN($AZ$3:$AZ$31), MAX($AZ$3:$AZ$31), AO35))), ABS($AZ$3:$AZ$31 - MEDIAN(MIN($AZ$3:$AZ$31), MAX($AZ$3:$AZ$31), AO35)), $BA$3:$BA$31, "Error", 0)</f>
        <v>3</v>
      </c>
      <c r="AP65" s="186" cm="1">
        <f t="array" ref="AP65">_xlfn.XLOOKUP(MIN(ABS($AZ$3:$AZ$31 - MEDIAN(MIN($AZ$3:$AZ$31), MAX($AZ$3:$AZ$31), AP35))), ABS($AZ$3:$AZ$31 - MEDIAN(MIN($AZ$3:$AZ$31), MAX($AZ$3:$AZ$31), AP35)), $BA$3:$BA$31, "Error", 0)</f>
        <v>4</v>
      </c>
      <c r="AQ65" s="186" cm="1">
        <f t="array" ref="AQ65">_xlfn.XLOOKUP(MIN(ABS($AZ$3:$AZ$31 - MEDIAN(MIN($AZ$3:$AZ$31), MAX($AZ$3:$AZ$31), AQ35))), ABS($AZ$3:$AZ$31 - MEDIAN(MIN($AZ$3:$AZ$31), MAX($AZ$3:$AZ$31), AQ35)), $BA$3:$BA$31, "Error", 0)</f>
        <v>4</v>
      </c>
      <c r="AR65" s="186" cm="1">
        <f t="array" ref="AR65">_xlfn.XLOOKUP(MIN(ABS($AZ$3:$AZ$31 - MEDIAN(MIN($AZ$3:$AZ$31), MAX($AZ$3:$AZ$31), AR35))), ABS($AZ$3:$AZ$31 - MEDIAN(MIN($AZ$3:$AZ$31), MAX($AZ$3:$AZ$31), AR35)), $BA$3:$BA$31, "Error", 0)</f>
        <v>4</v>
      </c>
      <c r="AS65" s="186" cm="1">
        <f t="array" ref="AS65">_xlfn.XLOOKUP(MIN(ABS($AZ$3:$AZ$31 - MEDIAN(MIN($AZ$3:$AZ$31), MAX($AZ$3:$AZ$31), AS35))), ABS($AZ$3:$AZ$31 - MEDIAN(MIN($AZ$3:$AZ$31), MAX($AZ$3:$AZ$31), AS35)), $BA$3:$BA$31, "Error", 0)</f>
        <v>4</v>
      </c>
      <c r="AT65" s="186" cm="1">
        <f t="array" ref="AT65">_xlfn.XLOOKUP(MIN(ABS($AZ$3:$AZ$31 - MEDIAN(MIN($AZ$3:$AZ$31), MAX($AZ$3:$AZ$31), AT35))), ABS($AZ$3:$AZ$31 - MEDIAN(MIN($AZ$3:$AZ$31), MAX($AZ$3:$AZ$31), AT35)), $BA$3:$BA$31, "Error", 0)</f>
        <v>4</v>
      </c>
      <c r="AU65" s="186" cm="1">
        <f t="array" ref="AU65">_xlfn.XLOOKUP(MIN(ABS($AZ$3:$AZ$31 - MEDIAN(MIN($AZ$3:$AZ$31), MAX($AZ$3:$AZ$31), AU35))), ABS($AZ$3:$AZ$31 - MEDIAN(MIN($AZ$3:$AZ$31), MAX($AZ$3:$AZ$31), AU35)), $BA$3:$BA$31, "Error", 0)</f>
        <v>3</v>
      </c>
      <c r="AV65" s="186" cm="1">
        <f t="array" ref="AV65">_xlfn.XLOOKUP(MIN(ABS($AZ$3:$AZ$31 - MEDIAN(MIN($AZ$3:$AZ$31), MAX($AZ$3:$AZ$31), AV35))), ABS($AZ$3:$AZ$31 - MEDIAN(MIN($AZ$3:$AZ$31), MAX($AZ$3:$AZ$31), AV35)), $BA$3:$BA$31, "Error", 0)</f>
        <v>3</v>
      </c>
      <c r="AW65" s="186" cm="1">
        <f t="array" ref="AW65">_xlfn.XLOOKUP(MIN(ABS($AZ$3:$AZ$31 - MEDIAN(MIN($AZ$3:$AZ$31), MAX($AZ$3:$AZ$31), AW35))), ABS($AZ$3:$AZ$31 - MEDIAN(MIN($AZ$3:$AZ$31), MAX($AZ$3:$AZ$31), AW35)), $BA$3:$BA$31, "Error", 0)</f>
        <v>3</v>
      </c>
      <c r="AX65" s="192" t="e" cm="1">
        <f t="array" ref="AX65">_xlfn.XLOOKUP(MIN(ABS($AZ$3:$AZ$31 - MEDIAN(MIN($AZ$3:$AZ$31), MAX($AZ$3:$AZ$31), AX35))), ABS($AZ$3:$AZ$31 - MEDIAN(MIN($AZ$3:$AZ$31), MAX($AZ$3:$AZ$31), AX35)), $BA$3:$BA$31, "Error", 0)</f>
        <v>#VALUE!</v>
      </c>
      <c r="AY65" s="195"/>
      <c r="AZ65" s="195"/>
      <c r="BA65" s="195"/>
      <c r="BB65" s="195"/>
      <c r="BC65" s="195"/>
      <c r="BD65" s="195"/>
      <c r="BE65" s="195"/>
      <c r="BF65" s="195"/>
      <c r="BG65" s="195"/>
      <c r="BH65" s="195"/>
      <c r="BI65" s="195"/>
      <c r="BJ65" s="195"/>
    </row>
    <row r="66" spans="2:62" ht="25" customHeight="1">
      <c r="B66" s="169" t="s">
        <v>20</v>
      </c>
      <c r="C66" s="186" cm="1">
        <f t="array" ref="C66">_xlfn.XLOOKUP(MIN(ABS($AZ$3:$AZ$31 - MEDIAN(MIN($AZ$3:$AZ$31), MAX($AZ$3:$AZ$31), C36))), ABS($AZ$3:$AZ$31 - MEDIAN(MIN($AZ$3:$AZ$31), MAX($AZ$3:$AZ$31), C36)), $BA$3:$BA$31, "Error", 0)</f>
        <v>-3</v>
      </c>
      <c r="D66" s="186" cm="1">
        <f t="array" ref="D66">_xlfn.XLOOKUP(MIN(ABS($AZ$3:$AZ$31 - MEDIAN(MIN($AZ$3:$AZ$31), MAX($AZ$3:$AZ$31), D36))), ABS($AZ$3:$AZ$31 - MEDIAN(MIN($AZ$3:$AZ$31), MAX($AZ$3:$AZ$31), D36)), $BA$3:$BA$31, "Error", 0)</f>
        <v>-2</v>
      </c>
      <c r="E66" s="186" cm="1">
        <f t="array" ref="E66">_xlfn.XLOOKUP(MIN(ABS($AZ$3:$AZ$31 - MEDIAN(MIN($AZ$3:$AZ$31), MAX($AZ$3:$AZ$31), E36))), ABS($AZ$3:$AZ$31 - MEDIAN(MIN($AZ$3:$AZ$31), MAX($AZ$3:$AZ$31), E36)), $BA$3:$BA$31, "Error", 0)</f>
        <v>-2</v>
      </c>
      <c r="F66" s="186" cm="1">
        <f t="array" ref="F66">_xlfn.XLOOKUP(MIN(ABS($AZ$3:$AZ$31 - MEDIAN(MIN($AZ$3:$AZ$31), MAX($AZ$3:$AZ$31), F36))), ABS($AZ$3:$AZ$31 - MEDIAN(MIN($AZ$3:$AZ$31), MAX($AZ$3:$AZ$31), F36)), $BA$3:$BA$31, "Error", 0)</f>
        <v>-2</v>
      </c>
      <c r="G66" s="186" cm="1">
        <f t="array" ref="G66">_xlfn.XLOOKUP(MIN(ABS($AZ$3:$AZ$31 - MEDIAN(MIN($AZ$3:$AZ$31), MAX($AZ$3:$AZ$31), G36))), ABS($AZ$3:$AZ$31 - MEDIAN(MIN($AZ$3:$AZ$31), MAX($AZ$3:$AZ$31), G36)), $BA$3:$BA$31, "Error", 0)</f>
        <v>-1</v>
      </c>
      <c r="H66" s="186" cm="1">
        <f t="array" ref="H66">_xlfn.XLOOKUP(MIN(ABS($AZ$3:$AZ$31 - MEDIAN(MIN($AZ$3:$AZ$31), MAX($AZ$3:$AZ$31), H36))), ABS($AZ$3:$AZ$31 - MEDIAN(MIN($AZ$3:$AZ$31), MAX($AZ$3:$AZ$31), H36)), $BA$3:$BA$31, "Error", 0)</f>
        <v>-1</v>
      </c>
      <c r="I66" s="186" cm="1">
        <f t="array" ref="I66">_xlfn.XLOOKUP(MIN(ABS($AZ$3:$AZ$31 - MEDIAN(MIN($AZ$3:$AZ$31), MAX($AZ$3:$AZ$31), I36))), ABS($AZ$3:$AZ$31 - MEDIAN(MIN($AZ$3:$AZ$31), MAX($AZ$3:$AZ$31), I36)), $BA$3:$BA$31, "Error", 0)</f>
        <v>-2</v>
      </c>
      <c r="J66" s="186" cm="1">
        <f t="array" ref="J66">_xlfn.XLOOKUP(MIN(ABS($AZ$3:$AZ$31 - MEDIAN(MIN($AZ$3:$AZ$31), MAX($AZ$3:$AZ$31), J36))), ABS($AZ$3:$AZ$31 - MEDIAN(MIN($AZ$3:$AZ$31), MAX($AZ$3:$AZ$31), J36)), $BA$3:$BA$31, "Error", 0)</f>
        <v>-2</v>
      </c>
      <c r="K66" s="186" cm="1">
        <f t="array" ref="K66">_xlfn.XLOOKUP(MIN(ABS($AZ$3:$AZ$31 - MEDIAN(MIN($AZ$3:$AZ$31), MAX($AZ$3:$AZ$31), K36))), ABS($AZ$3:$AZ$31 - MEDIAN(MIN($AZ$3:$AZ$31), MAX($AZ$3:$AZ$31), K36)), $BA$3:$BA$31, "Error", 0)</f>
        <v>-2</v>
      </c>
      <c r="L66" s="186" cm="1">
        <f t="array" ref="L66">_xlfn.XLOOKUP(MIN(ABS($AZ$3:$AZ$31 - MEDIAN(MIN($AZ$3:$AZ$31), MAX($AZ$3:$AZ$31), L36))), ABS($AZ$3:$AZ$31 - MEDIAN(MIN($AZ$3:$AZ$31), MAX($AZ$3:$AZ$31), L36)), $BA$3:$BA$31, "Error", 0)</f>
        <v>-2</v>
      </c>
      <c r="M66" s="186" cm="1">
        <f t="array" ref="M66">_xlfn.XLOOKUP(MIN(ABS($AZ$3:$AZ$31 - MEDIAN(MIN($AZ$3:$AZ$31), MAX($AZ$3:$AZ$31), M36))), ABS($AZ$3:$AZ$31 - MEDIAN(MIN($AZ$3:$AZ$31), MAX($AZ$3:$AZ$31), M36)), $BA$3:$BA$31, "Error", 0)</f>
        <v>-1</v>
      </c>
      <c r="N66" s="186" cm="1">
        <f t="array" ref="N66">_xlfn.XLOOKUP(MIN(ABS($AZ$3:$AZ$31 - MEDIAN(MIN($AZ$3:$AZ$31), MAX($AZ$3:$AZ$31), N36))), ABS($AZ$3:$AZ$31 - MEDIAN(MIN($AZ$3:$AZ$31), MAX($AZ$3:$AZ$31), N36)), $BA$3:$BA$31, "Error", 0)</f>
        <v>-1</v>
      </c>
      <c r="O66" s="186" cm="1">
        <f t="array" ref="O66">_xlfn.XLOOKUP(MIN(ABS($AZ$3:$AZ$31 - MEDIAN(MIN($AZ$3:$AZ$31), MAX($AZ$3:$AZ$31), O36))), ABS($AZ$3:$AZ$31 - MEDIAN(MIN($AZ$3:$AZ$31), MAX($AZ$3:$AZ$31), O36)), $BA$3:$BA$31, "Error", 0)</f>
        <v>-1</v>
      </c>
      <c r="P66" s="186" cm="1">
        <f t="array" ref="P66">_xlfn.XLOOKUP(MIN(ABS($AZ$3:$AZ$31 - MEDIAN(MIN($AZ$3:$AZ$31), MAX($AZ$3:$AZ$31), P36))), ABS($AZ$3:$AZ$31 - MEDIAN(MIN($AZ$3:$AZ$31), MAX($AZ$3:$AZ$31), P36)), $BA$3:$BA$31, "Error", 0)</f>
        <v>-1</v>
      </c>
      <c r="Q66" s="186" cm="1">
        <f t="array" ref="Q66">_xlfn.XLOOKUP(MIN(ABS($AZ$3:$AZ$31 - MEDIAN(MIN($AZ$3:$AZ$31), MAX($AZ$3:$AZ$31), Q36))), ABS($AZ$3:$AZ$31 - MEDIAN(MIN($AZ$3:$AZ$31), MAX($AZ$3:$AZ$31), Q36)), $BA$3:$BA$31, "Error", 0)</f>
        <v>-1</v>
      </c>
      <c r="R66" s="186" cm="1">
        <f t="array" ref="R66">_xlfn.XLOOKUP(MIN(ABS($AZ$3:$AZ$31 - MEDIAN(MIN($AZ$3:$AZ$31), MAX($AZ$3:$AZ$31), R36))), ABS($AZ$3:$AZ$31 - MEDIAN(MIN($AZ$3:$AZ$31), MAX($AZ$3:$AZ$31), R36)), $BA$3:$BA$31, "Error", 0)</f>
        <v>-1</v>
      </c>
      <c r="S66" s="186" cm="1">
        <f t="array" ref="S66">_xlfn.XLOOKUP(MIN(ABS($AZ$3:$AZ$31 - MEDIAN(MIN($AZ$3:$AZ$31), MAX($AZ$3:$AZ$31), S36))), ABS($AZ$3:$AZ$31 - MEDIAN(MIN($AZ$3:$AZ$31), MAX($AZ$3:$AZ$31), S36)), $BA$3:$BA$31, "Error", 0)</f>
        <v>-1</v>
      </c>
      <c r="T66" s="186" cm="1">
        <f t="array" ref="T66">_xlfn.XLOOKUP(MIN(ABS($AZ$3:$AZ$31 - MEDIAN(MIN($AZ$3:$AZ$31), MAX($AZ$3:$AZ$31), T36))), ABS($AZ$3:$AZ$31 - MEDIAN(MIN($AZ$3:$AZ$31), MAX($AZ$3:$AZ$31), T36)), $BA$3:$BA$31, "Error", 0)</f>
        <v>-1</v>
      </c>
      <c r="U66" s="186" cm="1">
        <f t="array" ref="U66">_xlfn.XLOOKUP(MIN(ABS($AZ$3:$AZ$31 - MEDIAN(MIN($AZ$3:$AZ$31), MAX($AZ$3:$AZ$31), U36))), ABS($AZ$3:$AZ$31 - MEDIAN(MIN($AZ$3:$AZ$31), MAX($AZ$3:$AZ$31), U36)), $BA$3:$BA$31, "Error", 0)</f>
        <v>0</v>
      </c>
      <c r="V66" s="186" cm="1">
        <f t="array" ref="V66">_xlfn.XLOOKUP(MIN(ABS($AZ$3:$AZ$31 - MEDIAN(MIN($AZ$3:$AZ$31), MAX($AZ$3:$AZ$31), V36))), ABS($AZ$3:$AZ$31 - MEDIAN(MIN($AZ$3:$AZ$31), MAX($AZ$3:$AZ$31), V36)), $BA$3:$BA$31, "Error", 0)</f>
        <v>0</v>
      </c>
      <c r="W66" s="186" cm="1">
        <f t="array" ref="W66">_xlfn.XLOOKUP(MIN(ABS($AZ$3:$AZ$31 - MEDIAN(MIN($AZ$3:$AZ$31), MAX($AZ$3:$AZ$31), W36))), ABS($AZ$3:$AZ$31 - MEDIAN(MIN($AZ$3:$AZ$31), MAX($AZ$3:$AZ$31), W36)), $BA$3:$BA$31, "Error", 0)</f>
        <v>0</v>
      </c>
      <c r="X66" s="186" cm="1">
        <f t="array" ref="X66">_xlfn.XLOOKUP(MIN(ABS($AZ$3:$AZ$31 - MEDIAN(MIN($AZ$3:$AZ$31), MAX($AZ$3:$AZ$31), X36))), ABS($AZ$3:$AZ$31 - MEDIAN(MIN($AZ$3:$AZ$31), MAX($AZ$3:$AZ$31), X36)), $BA$3:$BA$31, "Error", 0)</f>
        <v>1</v>
      </c>
      <c r="Y66" s="186" cm="1">
        <f t="array" ref="Y66">_xlfn.XLOOKUP(MIN(ABS($AZ$3:$AZ$31 - MEDIAN(MIN($AZ$3:$AZ$31), MAX($AZ$3:$AZ$31), Y36))), ABS($AZ$3:$AZ$31 - MEDIAN(MIN($AZ$3:$AZ$31), MAX($AZ$3:$AZ$31), Y36)), $BA$3:$BA$31, "Error", 0)</f>
        <v>1</v>
      </c>
      <c r="Z66" s="186" cm="1">
        <f t="array" ref="Z66">_xlfn.XLOOKUP(MIN(ABS($AZ$3:$AZ$31 - MEDIAN(MIN($AZ$3:$AZ$31), MAX($AZ$3:$AZ$31), Z36))), ABS($AZ$3:$AZ$31 - MEDIAN(MIN($AZ$3:$AZ$31), MAX($AZ$3:$AZ$31), Z36)), $BA$3:$BA$31, "Error", 0)</f>
        <v>2</v>
      </c>
      <c r="AA66" s="186" cm="1">
        <f t="array" ref="AA66">_xlfn.XLOOKUP(MIN(ABS($AZ$3:$AZ$31 - MEDIAN(MIN($AZ$3:$AZ$31), MAX($AZ$3:$AZ$31), AA36))), ABS($AZ$3:$AZ$31 - MEDIAN(MIN($AZ$3:$AZ$31), MAX($AZ$3:$AZ$31), AA36)), $BA$3:$BA$31, "Error", 0)</f>
        <v>3</v>
      </c>
      <c r="AB66" s="186" cm="1">
        <f t="array" ref="AB66">_xlfn.XLOOKUP(MIN(ABS($AZ$3:$AZ$31 - MEDIAN(MIN($AZ$3:$AZ$31), MAX($AZ$3:$AZ$31), AB36))), ABS($AZ$3:$AZ$31 - MEDIAN(MIN($AZ$3:$AZ$31), MAX($AZ$3:$AZ$31), AB36)), $BA$3:$BA$31, "Error", 0)</f>
        <v>2</v>
      </c>
      <c r="AC66" s="186" cm="1">
        <f t="array" ref="AC66">_xlfn.XLOOKUP(MIN(ABS($AZ$3:$AZ$31 - MEDIAN(MIN($AZ$3:$AZ$31), MAX($AZ$3:$AZ$31), AC36))), ABS($AZ$3:$AZ$31 - MEDIAN(MIN($AZ$3:$AZ$31), MAX($AZ$3:$AZ$31), AC36)), $BA$3:$BA$31, "Error", 0)</f>
        <v>3</v>
      </c>
      <c r="AD66" s="186" cm="1">
        <f t="array" ref="AD66">_xlfn.XLOOKUP(MIN(ABS($AZ$3:$AZ$31 - MEDIAN(MIN($AZ$3:$AZ$31), MAX($AZ$3:$AZ$31), AD36))), ABS($AZ$3:$AZ$31 - MEDIAN(MIN($AZ$3:$AZ$31), MAX($AZ$3:$AZ$31), AD36)), $BA$3:$BA$31, "Error", 0)</f>
        <v>3</v>
      </c>
      <c r="AE66" s="186" cm="1">
        <f t="array" ref="AE66">_xlfn.XLOOKUP(MIN(ABS($AZ$3:$AZ$31 - MEDIAN(MIN($AZ$3:$AZ$31), MAX($AZ$3:$AZ$31), AE36))), ABS($AZ$3:$AZ$31 - MEDIAN(MIN($AZ$3:$AZ$31), MAX($AZ$3:$AZ$31), AE36)), $BA$3:$BA$31, "Error", 0)</f>
        <v>2</v>
      </c>
      <c r="AF66" s="186" cm="1">
        <f t="array" ref="AF66">_xlfn.XLOOKUP(MIN(ABS($AZ$3:$AZ$31 - MEDIAN(MIN($AZ$3:$AZ$31), MAX($AZ$3:$AZ$31), AF36))), ABS($AZ$3:$AZ$31 - MEDIAN(MIN($AZ$3:$AZ$31), MAX($AZ$3:$AZ$31), AF36)), $BA$3:$BA$31, "Error", 0)</f>
        <v>2</v>
      </c>
      <c r="AG66" s="186" cm="1">
        <f t="array" ref="AG66">_xlfn.XLOOKUP(MIN(ABS($AZ$3:$AZ$31 - MEDIAN(MIN($AZ$3:$AZ$31), MAX($AZ$3:$AZ$31), AG36))), ABS($AZ$3:$AZ$31 - MEDIAN(MIN($AZ$3:$AZ$31), MAX($AZ$3:$AZ$31), AG36)), $BA$3:$BA$31, "Error", 0)</f>
        <v>2</v>
      </c>
      <c r="AH66" s="186" cm="1">
        <f t="array" ref="AH66">_xlfn.XLOOKUP(MIN(ABS($AZ$3:$AZ$31 - MEDIAN(MIN($AZ$3:$AZ$31), MAX($AZ$3:$AZ$31), AH36))), ABS($AZ$3:$AZ$31 - MEDIAN(MIN($AZ$3:$AZ$31), MAX($AZ$3:$AZ$31), AH36)), $BA$3:$BA$31, "Error", 0)</f>
        <v>2</v>
      </c>
      <c r="AI66" s="186" cm="1">
        <f t="array" ref="AI66">_xlfn.XLOOKUP(MIN(ABS($AZ$3:$AZ$31 - MEDIAN(MIN($AZ$3:$AZ$31), MAX($AZ$3:$AZ$31), AI36))), ABS($AZ$3:$AZ$31 - MEDIAN(MIN($AZ$3:$AZ$31), MAX($AZ$3:$AZ$31), AI36)), $BA$3:$BA$31, "Error", 0)</f>
        <v>2</v>
      </c>
      <c r="AJ66" s="186" cm="1">
        <f t="array" ref="AJ66">_xlfn.XLOOKUP(MIN(ABS($AZ$3:$AZ$31 - MEDIAN(MIN($AZ$3:$AZ$31), MAX($AZ$3:$AZ$31), AJ36))), ABS($AZ$3:$AZ$31 - MEDIAN(MIN($AZ$3:$AZ$31), MAX($AZ$3:$AZ$31), AJ36)), $BA$3:$BA$31, "Error", 0)</f>
        <v>3</v>
      </c>
      <c r="AK66" s="186" cm="1">
        <f t="array" ref="AK66">_xlfn.XLOOKUP(MIN(ABS($AZ$3:$AZ$31 - MEDIAN(MIN($AZ$3:$AZ$31), MAX($AZ$3:$AZ$31), AK36))), ABS($AZ$3:$AZ$31 - MEDIAN(MIN($AZ$3:$AZ$31), MAX($AZ$3:$AZ$31), AK36)), $BA$3:$BA$31, "Error", 0)</f>
        <v>3</v>
      </c>
      <c r="AL66" s="186" cm="1">
        <f t="array" ref="AL66">_xlfn.XLOOKUP(MIN(ABS($AZ$3:$AZ$31 - MEDIAN(MIN($AZ$3:$AZ$31), MAX($AZ$3:$AZ$31), AL36))), ABS($AZ$3:$AZ$31 - MEDIAN(MIN($AZ$3:$AZ$31), MAX($AZ$3:$AZ$31), AL36)), $BA$3:$BA$31, "Error", 0)</f>
        <v>3</v>
      </c>
      <c r="AM66" s="186" cm="1">
        <f t="array" ref="AM66">_xlfn.XLOOKUP(MIN(ABS($AZ$3:$AZ$31 - MEDIAN(MIN($AZ$3:$AZ$31), MAX($AZ$3:$AZ$31), AM36))), ABS($AZ$3:$AZ$31 - MEDIAN(MIN($AZ$3:$AZ$31), MAX($AZ$3:$AZ$31), AM36)), $BA$3:$BA$31, "Error", 0)</f>
        <v>3</v>
      </c>
      <c r="AN66" s="186" cm="1">
        <f t="array" ref="AN66">_xlfn.XLOOKUP(MIN(ABS($AZ$3:$AZ$31 - MEDIAN(MIN($AZ$3:$AZ$31), MAX($AZ$3:$AZ$31), AN36))), ABS($AZ$3:$AZ$31 - MEDIAN(MIN($AZ$3:$AZ$31), MAX($AZ$3:$AZ$31), AN36)), $BA$3:$BA$31, "Error", 0)</f>
        <v>3</v>
      </c>
      <c r="AO66" s="186" cm="1">
        <f t="array" ref="AO66">_xlfn.XLOOKUP(MIN(ABS($AZ$3:$AZ$31 - MEDIAN(MIN($AZ$3:$AZ$31), MAX($AZ$3:$AZ$31), AO36))), ABS($AZ$3:$AZ$31 - MEDIAN(MIN($AZ$3:$AZ$31), MAX($AZ$3:$AZ$31), AO36)), $BA$3:$BA$31, "Error", 0)</f>
        <v>3</v>
      </c>
      <c r="AP66" s="186" cm="1">
        <f t="array" ref="AP66">_xlfn.XLOOKUP(MIN(ABS($AZ$3:$AZ$31 - MEDIAN(MIN($AZ$3:$AZ$31), MAX($AZ$3:$AZ$31), AP36))), ABS($AZ$3:$AZ$31 - MEDIAN(MIN($AZ$3:$AZ$31), MAX($AZ$3:$AZ$31), AP36)), $BA$3:$BA$31, "Error", 0)</f>
        <v>4</v>
      </c>
      <c r="AQ66" s="186" cm="1">
        <f t="array" ref="AQ66">_xlfn.XLOOKUP(MIN(ABS($AZ$3:$AZ$31 - MEDIAN(MIN($AZ$3:$AZ$31), MAX($AZ$3:$AZ$31), AQ36))), ABS($AZ$3:$AZ$31 - MEDIAN(MIN($AZ$3:$AZ$31), MAX($AZ$3:$AZ$31), AQ36)), $BA$3:$BA$31, "Error", 0)</f>
        <v>4</v>
      </c>
      <c r="AR66" s="186" cm="1">
        <f t="array" ref="AR66">_xlfn.XLOOKUP(MIN(ABS($AZ$3:$AZ$31 - MEDIAN(MIN($AZ$3:$AZ$31), MAX($AZ$3:$AZ$31), AR36))), ABS($AZ$3:$AZ$31 - MEDIAN(MIN($AZ$3:$AZ$31), MAX($AZ$3:$AZ$31), AR36)), $BA$3:$BA$31, "Error", 0)</f>
        <v>4</v>
      </c>
      <c r="AS66" s="186" cm="1">
        <f t="array" ref="AS66">_xlfn.XLOOKUP(MIN(ABS($AZ$3:$AZ$31 - MEDIAN(MIN($AZ$3:$AZ$31), MAX($AZ$3:$AZ$31), AS36))), ABS($AZ$3:$AZ$31 - MEDIAN(MIN($AZ$3:$AZ$31), MAX($AZ$3:$AZ$31), AS36)), $BA$3:$BA$31, "Error", 0)</f>
        <v>4</v>
      </c>
      <c r="AT66" s="186" cm="1">
        <f t="array" ref="AT66">_xlfn.XLOOKUP(MIN(ABS($AZ$3:$AZ$31 - MEDIAN(MIN($AZ$3:$AZ$31), MAX($AZ$3:$AZ$31), AT36))), ABS($AZ$3:$AZ$31 - MEDIAN(MIN($AZ$3:$AZ$31), MAX($AZ$3:$AZ$31), AT36)), $BA$3:$BA$31, "Error", 0)</f>
        <v>4</v>
      </c>
      <c r="AU66" s="186" cm="1">
        <f t="array" ref="AU66">_xlfn.XLOOKUP(MIN(ABS($AZ$3:$AZ$31 - MEDIAN(MIN($AZ$3:$AZ$31), MAX($AZ$3:$AZ$31), AU36))), ABS($AZ$3:$AZ$31 - MEDIAN(MIN($AZ$3:$AZ$31), MAX($AZ$3:$AZ$31), AU36)), $BA$3:$BA$31, "Error", 0)</f>
        <v>4</v>
      </c>
      <c r="AV66" s="186" cm="1">
        <f t="array" ref="AV66">_xlfn.XLOOKUP(MIN(ABS($AZ$3:$AZ$31 - MEDIAN(MIN($AZ$3:$AZ$31), MAX($AZ$3:$AZ$31), AV36))), ABS($AZ$3:$AZ$31 - MEDIAN(MIN($AZ$3:$AZ$31), MAX($AZ$3:$AZ$31), AV36)), $BA$3:$BA$31, "Error", 0)</f>
        <v>4</v>
      </c>
      <c r="AW66" s="186" cm="1">
        <f t="array" ref="AW66">_xlfn.XLOOKUP(MIN(ABS($AZ$3:$AZ$31 - MEDIAN(MIN($AZ$3:$AZ$31), MAX($AZ$3:$AZ$31), AW36))), ABS($AZ$3:$AZ$31 - MEDIAN(MIN($AZ$3:$AZ$31), MAX($AZ$3:$AZ$31), AW36)), $BA$3:$BA$31, "Error", 0)</f>
        <v>5</v>
      </c>
      <c r="AX66" s="192" t="e" cm="1">
        <f t="array" ref="AX66">_xlfn.XLOOKUP(MIN(ABS($AZ$3:$AZ$31 - MEDIAN(MIN($AZ$3:$AZ$31), MAX($AZ$3:$AZ$31), AX36))), ABS($AZ$3:$AZ$31 - MEDIAN(MIN($AZ$3:$AZ$31), MAX($AZ$3:$AZ$31), AX36)), $BA$3:$BA$31, "Error", 0)</f>
        <v>#VALUE!</v>
      </c>
      <c r="AY66" s="195"/>
      <c r="AZ66" s="195"/>
      <c r="BA66" s="195"/>
      <c r="BB66" s="195"/>
      <c r="BC66" s="195"/>
      <c r="BD66" s="195"/>
      <c r="BE66" s="195"/>
      <c r="BF66" s="195"/>
      <c r="BG66" s="195"/>
      <c r="BH66" s="195"/>
      <c r="BI66" s="195"/>
      <c r="BJ66" s="195"/>
    </row>
    <row r="67" spans="2:62" ht="25" customHeight="1">
      <c r="B67" s="170" t="s">
        <v>19</v>
      </c>
      <c r="C67" s="186" cm="1">
        <f t="array" ref="C67">_xlfn.XLOOKUP(MIN(ABS($AZ$3:$AZ$31 - MEDIAN(MIN($AZ$3:$AZ$31), MAX($AZ$3:$AZ$31), C37))), ABS($AZ$3:$AZ$31 - MEDIAN(MIN($AZ$3:$AZ$31), MAX($AZ$3:$AZ$31), C37)), $BA$3:$BA$31, "Error", 0)</f>
        <v>9</v>
      </c>
      <c r="D67" s="186" cm="1">
        <f t="array" ref="D67">_xlfn.XLOOKUP(MIN(ABS($AZ$3:$AZ$31 - MEDIAN(MIN($AZ$3:$AZ$31), MAX($AZ$3:$AZ$31), D37))), ABS($AZ$3:$AZ$31 - MEDIAN(MIN($AZ$3:$AZ$31), MAX($AZ$3:$AZ$31), D37)), $BA$3:$BA$31, "Error", 0)</f>
        <v>9</v>
      </c>
      <c r="E67" s="186" cm="1">
        <f t="array" ref="E67">_xlfn.XLOOKUP(MIN(ABS($AZ$3:$AZ$31 - MEDIAN(MIN($AZ$3:$AZ$31), MAX($AZ$3:$AZ$31), E37))), ABS($AZ$3:$AZ$31 - MEDIAN(MIN($AZ$3:$AZ$31), MAX($AZ$3:$AZ$31), E37)), $BA$3:$BA$31, "Error", 0)</f>
        <v>9</v>
      </c>
      <c r="F67" s="186" cm="1">
        <f t="array" ref="F67">_xlfn.XLOOKUP(MIN(ABS($AZ$3:$AZ$31 - MEDIAN(MIN($AZ$3:$AZ$31), MAX($AZ$3:$AZ$31), F37))), ABS($AZ$3:$AZ$31 - MEDIAN(MIN($AZ$3:$AZ$31), MAX($AZ$3:$AZ$31), F37)), $BA$3:$BA$31, "Error", 0)</f>
        <v>9</v>
      </c>
      <c r="G67" s="186" cm="1">
        <f t="array" ref="G67">_xlfn.XLOOKUP(MIN(ABS($AZ$3:$AZ$31 - MEDIAN(MIN($AZ$3:$AZ$31), MAX($AZ$3:$AZ$31), G37))), ABS($AZ$3:$AZ$31 - MEDIAN(MIN($AZ$3:$AZ$31), MAX($AZ$3:$AZ$31), G37)), $BA$3:$BA$31, "Error", 0)</f>
        <v>9</v>
      </c>
      <c r="H67" s="186" cm="1">
        <f t="array" ref="H67">_xlfn.XLOOKUP(MIN(ABS($AZ$3:$AZ$31 - MEDIAN(MIN($AZ$3:$AZ$31), MAX($AZ$3:$AZ$31), H37))), ABS($AZ$3:$AZ$31 - MEDIAN(MIN($AZ$3:$AZ$31), MAX($AZ$3:$AZ$31), H37)), $BA$3:$BA$31, "Error", 0)</f>
        <v>10</v>
      </c>
      <c r="I67" s="186" cm="1">
        <f t="array" ref="I67">_xlfn.XLOOKUP(MIN(ABS($AZ$3:$AZ$31 - MEDIAN(MIN($AZ$3:$AZ$31), MAX($AZ$3:$AZ$31), I37))), ABS($AZ$3:$AZ$31 - MEDIAN(MIN($AZ$3:$AZ$31), MAX($AZ$3:$AZ$31), I37)), $BA$3:$BA$31, "Error", 0)</f>
        <v>10</v>
      </c>
      <c r="J67" s="186" cm="1">
        <f t="array" ref="J67">_xlfn.XLOOKUP(MIN(ABS($AZ$3:$AZ$31 - MEDIAN(MIN($AZ$3:$AZ$31), MAX($AZ$3:$AZ$31), J37))), ABS($AZ$3:$AZ$31 - MEDIAN(MIN($AZ$3:$AZ$31), MAX($AZ$3:$AZ$31), J37)), $BA$3:$BA$31, "Error", 0)</f>
        <v>10</v>
      </c>
      <c r="K67" s="186" cm="1">
        <f t="array" ref="K67">_xlfn.XLOOKUP(MIN(ABS($AZ$3:$AZ$31 - MEDIAN(MIN($AZ$3:$AZ$31), MAX($AZ$3:$AZ$31), K37))), ABS($AZ$3:$AZ$31 - MEDIAN(MIN($AZ$3:$AZ$31), MAX($AZ$3:$AZ$31), K37)), $BA$3:$BA$31, "Error", 0)</f>
        <v>10</v>
      </c>
      <c r="L67" s="186" cm="1">
        <f t="array" ref="L67">_xlfn.XLOOKUP(MIN(ABS($AZ$3:$AZ$31 - MEDIAN(MIN($AZ$3:$AZ$31), MAX($AZ$3:$AZ$31), L37))), ABS($AZ$3:$AZ$31 - MEDIAN(MIN($AZ$3:$AZ$31), MAX($AZ$3:$AZ$31), L37)), $BA$3:$BA$31, "Error", 0)</f>
        <v>10</v>
      </c>
      <c r="M67" s="186" cm="1">
        <f t="array" ref="M67">_xlfn.XLOOKUP(MIN(ABS($AZ$3:$AZ$31 - MEDIAN(MIN($AZ$3:$AZ$31), MAX($AZ$3:$AZ$31), M37))), ABS($AZ$3:$AZ$31 - MEDIAN(MIN($AZ$3:$AZ$31), MAX($AZ$3:$AZ$31), M37)), $BA$3:$BA$31, "Error", 0)</f>
        <v>10</v>
      </c>
      <c r="N67" s="186" cm="1">
        <f t="array" ref="N67">_xlfn.XLOOKUP(MIN(ABS($AZ$3:$AZ$31 - MEDIAN(MIN($AZ$3:$AZ$31), MAX($AZ$3:$AZ$31), N37))), ABS($AZ$3:$AZ$31 - MEDIAN(MIN($AZ$3:$AZ$31), MAX($AZ$3:$AZ$31), N37)), $BA$3:$BA$31, "Error", 0)</f>
        <v>10</v>
      </c>
      <c r="O67" s="186" cm="1">
        <f t="array" ref="O67">_xlfn.XLOOKUP(MIN(ABS($AZ$3:$AZ$31 - MEDIAN(MIN($AZ$3:$AZ$31), MAX($AZ$3:$AZ$31), O37))), ABS($AZ$3:$AZ$31 - MEDIAN(MIN($AZ$3:$AZ$31), MAX($AZ$3:$AZ$31), O37)), $BA$3:$BA$31, "Error", 0)</f>
        <v>10</v>
      </c>
      <c r="P67" s="186" cm="1">
        <f t="array" ref="P67">_xlfn.XLOOKUP(MIN(ABS($AZ$3:$AZ$31 - MEDIAN(MIN($AZ$3:$AZ$31), MAX($AZ$3:$AZ$31), P37))), ABS($AZ$3:$AZ$31 - MEDIAN(MIN($AZ$3:$AZ$31), MAX($AZ$3:$AZ$31), P37)), $BA$3:$BA$31, "Error", 0)</f>
        <v>10</v>
      </c>
      <c r="Q67" s="186" cm="1">
        <f t="array" ref="Q67">_xlfn.XLOOKUP(MIN(ABS($AZ$3:$AZ$31 - MEDIAN(MIN($AZ$3:$AZ$31), MAX($AZ$3:$AZ$31), Q37))), ABS($AZ$3:$AZ$31 - MEDIAN(MIN($AZ$3:$AZ$31), MAX($AZ$3:$AZ$31), Q37)), $BA$3:$BA$31, "Error", 0)</f>
        <v>10</v>
      </c>
      <c r="R67" s="186" cm="1">
        <f t="array" ref="R67">_xlfn.XLOOKUP(MIN(ABS($AZ$3:$AZ$31 - MEDIAN(MIN($AZ$3:$AZ$31), MAX($AZ$3:$AZ$31), R37))), ABS($AZ$3:$AZ$31 - MEDIAN(MIN($AZ$3:$AZ$31), MAX($AZ$3:$AZ$31), R37)), $BA$3:$BA$31, "Error", 0)</f>
        <v>10</v>
      </c>
      <c r="S67" s="186" cm="1">
        <f t="array" ref="S67">_xlfn.XLOOKUP(MIN(ABS($AZ$3:$AZ$31 - MEDIAN(MIN($AZ$3:$AZ$31), MAX($AZ$3:$AZ$31), S37))), ABS($AZ$3:$AZ$31 - MEDIAN(MIN($AZ$3:$AZ$31), MAX($AZ$3:$AZ$31), S37)), $BA$3:$BA$31, "Error", 0)</f>
        <v>10</v>
      </c>
      <c r="T67" s="186" cm="1">
        <f t="array" ref="T67">_xlfn.XLOOKUP(MIN(ABS($AZ$3:$AZ$31 - MEDIAN(MIN($AZ$3:$AZ$31), MAX($AZ$3:$AZ$31), T37))), ABS($AZ$3:$AZ$31 - MEDIAN(MIN($AZ$3:$AZ$31), MAX($AZ$3:$AZ$31), T37)), $BA$3:$BA$31, "Error", 0)</f>
        <v>9</v>
      </c>
      <c r="U67" s="186" cm="1">
        <f t="array" ref="U67">_xlfn.XLOOKUP(MIN(ABS($AZ$3:$AZ$31 - MEDIAN(MIN($AZ$3:$AZ$31), MAX($AZ$3:$AZ$31), U37))), ABS($AZ$3:$AZ$31 - MEDIAN(MIN($AZ$3:$AZ$31), MAX($AZ$3:$AZ$31), U37)), $BA$3:$BA$31, "Error", 0)</f>
        <v>9</v>
      </c>
      <c r="V67" s="186" cm="1">
        <f t="array" ref="V67">_xlfn.XLOOKUP(MIN(ABS($AZ$3:$AZ$31 - MEDIAN(MIN($AZ$3:$AZ$31), MAX($AZ$3:$AZ$31), V37))), ABS($AZ$3:$AZ$31 - MEDIAN(MIN($AZ$3:$AZ$31), MAX($AZ$3:$AZ$31), V37)), $BA$3:$BA$31, "Error", 0)</f>
        <v>9</v>
      </c>
      <c r="W67" s="186" cm="1">
        <f t="array" ref="W67">_xlfn.XLOOKUP(MIN(ABS($AZ$3:$AZ$31 - MEDIAN(MIN($AZ$3:$AZ$31), MAX($AZ$3:$AZ$31), W37))), ABS($AZ$3:$AZ$31 - MEDIAN(MIN($AZ$3:$AZ$31), MAX($AZ$3:$AZ$31), W37)), $BA$3:$BA$31, "Error", 0)</f>
        <v>8</v>
      </c>
      <c r="X67" s="186" cm="1">
        <f t="array" ref="X67">_xlfn.XLOOKUP(MIN(ABS($AZ$3:$AZ$31 - MEDIAN(MIN($AZ$3:$AZ$31), MAX($AZ$3:$AZ$31), X37))), ABS($AZ$3:$AZ$31 - MEDIAN(MIN($AZ$3:$AZ$31), MAX($AZ$3:$AZ$31), X37)), $BA$3:$BA$31, "Error", 0)</f>
        <v>7</v>
      </c>
      <c r="Y67" s="186" cm="1">
        <f t="array" ref="Y67">_xlfn.XLOOKUP(MIN(ABS($AZ$3:$AZ$31 - MEDIAN(MIN($AZ$3:$AZ$31), MAX($AZ$3:$AZ$31), Y37))), ABS($AZ$3:$AZ$31 - MEDIAN(MIN($AZ$3:$AZ$31), MAX($AZ$3:$AZ$31), Y37)), $BA$3:$BA$31, "Error", 0)</f>
        <v>7</v>
      </c>
      <c r="Z67" s="186" cm="1">
        <f t="array" ref="Z67">_xlfn.XLOOKUP(MIN(ABS($AZ$3:$AZ$31 - MEDIAN(MIN($AZ$3:$AZ$31), MAX($AZ$3:$AZ$31), Z37))), ABS($AZ$3:$AZ$31 - MEDIAN(MIN($AZ$3:$AZ$31), MAX($AZ$3:$AZ$31), Z37)), $BA$3:$BA$31, "Error", 0)</f>
        <v>6</v>
      </c>
      <c r="AA67" s="186" cm="1">
        <f t="array" ref="AA67">_xlfn.XLOOKUP(MIN(ABS($AZ$3:$AZ$31 - MEDIAN(MIN($AZ$3:$AZ$31), MAX($AZ$3:$AZ$31), AA37))), ABS($AZ$3:$AZ$31 - MEDIAN(MIN($AZ$3:$AZ$31), MAX($AZ$3:$AZ$31), AA37)), $BA$3:$BA$31, "Error", 0)</f>
        <v>5</v>
      </c>
      <c r="AB67" s="186" cm="1">
        <f t="array" ref="AB67">_xlfn.XLOOKUP(MIN(ABS($AZ$3:$AZ$31 - MEDIAN(MIN($AZ$3:$AZ$31), MAX($AZ$3:$AZ$31), AB37))), ABS($AZ$3:$AZ$31 - MEDIAN(MIN($AZ$3:$AZ$31), MAX($AZ$3:$AZ$31), AB37)), $BA$3:$BA$31, "Error", 0)</f>
        <v>5</v>
      </c>
      <c r="AC67" s="186" cm="1">
        <f t="array" ref="AC67">_xlfn.XLOOKUP(MIN(ABS($AZ$3:$AZ$31 - MEDIAN(MIN($AZ$3:$AZ$31), MAX($AZ$3:$AZ$31), AC37))), ABS($AZ$3:$AZ$31 - MEDIAN(MIN($AZ$3:$AZ$31), MAX($AZ$3:$AZ$31), AC37)), $BA$3:$BA$31, "Error", 0)</f>
        <v>5</v>
      </c>
      <c r="AD67" s="186" cm="1">
        <f t="array" ref="AD67">_xlfn.XLOOKUP(MIN(ABS($AZ$3:$AZ$31 - MEDIAN(MIN($AZ$3:$AZ$31), MAX($AZ$3:$AZ$31), AD37))), ABS($AZ$3:$AZ$31 - MEDIAN(MIN($AZ$3:$AZ$31), MAX($AZ$3:$AZ$31), AD37)), $BA$3:$BA$31, "Error", 0)</f>
        <v>5</v>
      </c>
      <c r="AE67" s="186" cm="1">
        <f t="array" ref="AE67">_xlfn.XLOOKUP(MIN(ABS($AZ$3:$AZ$31 - MEDIAN(MIN($AZ$3:$AZ$31), MAX($AZ$3:$AZ$31), AE37))), ABS($AZ$3:$AZ$31 - MEDIAN(MIN($AZ$3:$AZ$31), MAX($AZ$3:$AZ$31), AE37)), $BA$3:$BA$31, "Error", 0)</f>
        <v>5</v>
      </c>
      <c r="AF67" s="186" cm="1">
        <f t="array" ref="AF67">_xlfn.XLOOKUP(MIN(ABS($AZ$3:$AZ$31 - MEDIAN(MIN($AZ$3:$AZ$31), MAX($AZ$3:$AZ$31), AF37))), ABS($AZ$3:$AZ$31 - MEDIAN(MIN($AZ$3:$AZ$31), MAX($AZ$3:$AZ$31), AF37)), $BA$3:$BA$31, "Error", 0)</f>
        <v>5</v>
      </c>
      <c r="AG67" s="186" cm="1">
        <f t="array" ref="AG67">_xlfn.XLOOKUP(MIN(ABS($AZ$3:$AZ$31 - MEDIAN(MIN($AZ$3:$AZ$31), MAX($AZ$3:$AZ$31), AG37))), ABS($AZ$3:$AZ$31 - MEDIAN(MIN($AZ$3:$AZ$31), MAX($AZ$3:$AZ$31), AG37)), $BA$3:$BA$31, "Error", 0)</f>
        <v>5</v>
      </c>
      <c r="AH67" s="186" cm="1">
        <f t="array" ref="AH67">_xlfn.XLOOKUP(MIN(ABS($AZ$3:$AZ$31 - MEDIAN(MIN($AZ$3:$AZ$31), MAX($AZ$3:$AZ$31), AH37))), ABS($AZ$3:$AZ$31 - MEDIAN(MIN($AZ$3:$AZ$31), MAX($AZ$3:$AZ$31), AH37)), $BA$3:$BA$31, "Error", 0)</f>
        <v>5</v>
      </c>
      <c r="AI67" s="186" cm="1">
        <f t="array" ref="AI67">_xlfn.XLOOKUP(MIN(ABS($AZ$3:$AZ$31 - MEDIAN(MIN($AZ$3:$AZ$31), MAX($AZ$3:$AZ$31), AI37))), ABS($AZ$3:$AZ$31 - MEDIAN(MIN($AZ$3:$AZ$31), MAX($AZ$3:$AZ$31), AI37)), $BA$3:$BA$31, "Error", 0)</f>
        <v>4</v>
      </c>
      <c r="AJ67" s="186" cm="1">
        <f t="array" ref="AJ67">_xlfn.XLOOKUP(MIN(ABS($AZ$3:$AZ$31 - MEDIAN(MIN($AZ$3:$AZ$31), MAX($AZ$3:$AZ$31), AJ37))), ABS($AZ$3:$AZ$31 - MEDIAN(MIN($AZ$3:$AZ$31), MAX($AZ$3:$AZ$31), AJ37)), $BA$3:$BA$31, "Error", 0)</f>
        <v>4</v>
      </c>
      <c r="AK67" s="186" cm="1">
        <f t="array" ref="AK67">_xlfn.XLOOKUP(MIN(ABS($AZ$3:$AZ$31 - MEDIAN(MIN($AZ$3:$AZ$31), MAX($AZ$3:$AZ$31), AK37))), ABS($AZ$3:$AZ$31 - MEDIAN(MIN($AZ$3:$AZ$31), MAX($AZ$3:$AZ$31), AK37)), $BA$3:$BA$31, "Error", 0)</f>
        <v>4</v>
      </c>
      <c r="AL67" s="186" cm="1">
        <f t="array" ref="AL67">_xlfn.XLOOKUP(MIN(ABS($AZ$3:$AZ$31 - MEDIAN(MIN($AZ$3:$AZ$31), MAX($AZ$3:$AZ$31), AL37))), ABS($AZ$3:$AZ$31 - MEDIAN(MIN($AZ$3:$AZ$31), MAX($AZ$3:$AZ$31), AL37)), $BA$3:$BA$31, "Error", 0)</f>
        <v>3</v>
      </c>
      <c r="AM67" s="186" cm="1">
        <f t="array" ref="AM67">_xlfn.XLOOKUP(MIN(ABS($AZ$3:$AZ$31 - MEDIAN(MIN($AZ$3:$AZ$31), MAX($AZ$3:$AZ$31), AM37))), ABS($AZ$3:$AZ$31 - MEDIAN(MIN($AZ$3:$AZ$31), MAX($AZ$3:$AZ$31), AM37)), $BA$3:$BA$31, "Error", 0)</f>
        <v>3</v>
      </c>
      <c r="AN67" s="186" cm="1">
        <f t="array" ref="AN67">_xlfn.XLOOKUP(MIN(ABS($AZ$3:$AZ$31 - MEDIAN(MIN($AZ$3:$AZ$31), MAX($AZ$3:$AZ$31), AN37))), ABS($AZ$3:$AZ$31 - MEDIAN(MIN($AZ$3:$AZ$31), MAX($AZ$3:$AZ$31), AN37)), $BA$3:$BA$31, "Error", 0)</f>
        <v>3</v>
      </c>
      <c r="AO67" s="186" cm="1">
        <f t="array" ref="AO67">_xlfn.XLOOKUP(MIN(ABS($AZ$3:$AZ$31 - MEDIAN(MIN($AZ$3:$AZ$31), MAX($AZ$3:$AZ$31), AO37))), ABS($AZ$3:$AZ$31 - MEDIAN(MIN($AZ$3:$AZ$31), MAX($AZ$3:$AZ$31), AO37)), $BA$3:$BA$31, "Error", 0)</f>
        <v>3</v>
      </c>
      <c r="AP67" s="186" cm="1">
        <f t="array" ref="AP67">_xlfn.XLOOKUP(MIN(ABS($AZ$3:$AZ$31 - MEDIAN(MIN($AZ$3:$AZ$31), MAX($AZ$3:$AZ$31), AP37))), ABS($AZ$3:$AZ$31 - MEDIAN(MIN($AZ$3:$AZ$31), MAX($AZ$3:$AZ$31), AP37)), $BA$3:$BA$31, "Error", 0)</f>
        <v>3</v>
      </c>
      <c r="AQ67" s="186" cm="1">
        <f t="array" ref="AQ67">_xlfn.XLOOKUP(MIN(ABS($AZ$3:$AZ$31 - MEDIAN(MIN($AZ$3:$AZ$31), MAX($AZ$3:$AZ$31), AQ37))), ABS($AZ$3:$AZ$31 - MEDIAN(MIN($AZ$3:$AZ$31), MAX($AZ$3:$AZ$31), AQ37)), $BA$3:$BA$31, "Error", 0)</f>
        <v>3</v>
      </c>
      <c r="AR67" s="186" cm="1">
        <f t="array" ref="AR67">_xlfn.XLOOKUP(MIN(ABS($AZ$3:$AZ$31 - MEDIAN(MIN($AZ$3:$AZ$31), MAX($AZ$3:$AZ$31), AR37))), ABS($AZ$3:$AZ$31 - MEDIAN(MIN($AZ$3:$AZ$31), MAX($AZ$3:$AZ$31), AR37)), $BA$3:$BA$31, "Error", 0)</f>
        <v>3</v>
      </c>
      <c r="AS67" s="186" cm="1">
        <f t="array" ref="AS67">_xlfn.XLOOKUP(MIN(ABS($AZ$3:$AZ$31 - MEDIAN(MIN($AZ$3:$AZ$31), MAX($AZ$3:$AZ$31), AS37))), ABS($AZ$3:$AZ$31 - MEDIAN(MIN($AZ$3:$AZ$31), MAX($AZ$3:$AZ$31), AS37)), $BA$3:$BA$31, "Error", 0)</f>
        <v>3</v>
      </c>
      <c r="AT67" s="186" cm="1">
        <f t="array" ref="AT67">_xlfn.XLOOKUP(MIN(ABS($AZ$3:$AZ$31 - MEDIAN(MIN($AZ$3:$AZ$31), MAX($AZ$3:$AZ$31), AT37))), ABS($AZ$3:$AZ$31 - MEDIAN(MIN($AZ$3:$AZ$31), MAX($AZ$3:$AZ$31), AT37)), $BA$3:$BA$31, "Error", 0)</f>
        <v>3</v>
      </c>
      <c r="AU67" s="186" cm="1">
        <f t="array" ref="AU67">_xlfn.XLOOKUP(MIN(ABS($AZ$3:$AZ$31 - MEDIAN(MIN($AZ$3:$AZ$31), MAX($AZ$3:$AZ$31), AU37))), ABS($AZ$3:$AZ$31 - MEDIAN(MIN($AZ$3:$AZ$31), MAX($AZ$3:$AZ$31), AU37)), $BA$3:$BA$31, "Error", 0)</f>
        <v>3</v>
      </c>
      <c r="AV67" s="186" cm="1">
        <f t="array" ref="AV67">_xlfn.XLOOKUP(MIN(ABS($AZ$3:$AZ$31 - MEDIAN(MIN($AZ$3:$AZ$31), MAX($AZ$3:$AZ$31), AV37))), ABS($AZ$3:$AZ$31 - MEDIAN(MIN($AZ$3:$AZ$31), MAX($AZ$3:$AZ$31), AV37)), $BA$3:$BA$31, "Error", 0)</f>
        <v>3</v>
      </c>
      <c r="AW67" s="186" cm="1">
        <f t="array" ref="AW67">_xlfn.XLOOKUP(MIN(ABS($AZ$3:$AZ$31 - MEDIAN(MIN($AZ$3:$AZ$31), MAX($AZ$3:$AZ$31), AW37))), ABS($AZ$3:$AZ$31 - MEDIAN(MIN($AZ$3:$AZ$31), MAX($AZ$3:$AZ$31), AW37)), $BA$3:$BA$31, "Error", 0)</f>
        <v>2</v>
      </c>
      <c r="AX67" s="192" t="e" cm="1">
        <f t="array" ref="AX67">_xlfn.XLOOKUP(MIN(ABS($AZ$3:$AZ$31 - MEDIAN(MIN($AZ$3:$AZ$31), MAX($AZ$3:$AZ$31), AX37))), ABS($AZ$3:$AZ$31 - MEDIAN(MIN($AZ$3:$AZ$31), MAX($AZ$3:$AZ$31), AX37)), $BA$3:$BA$31, "Error", 0)</f>
        <v>#VALUE!</v>
      </c>
      <c r="AY67" s="195"/>
      <c r="AZ67" s="195"/>
      <c r="BA67" s="195"/>
      <c r="BB67" s="195"/>
      <c r="BC67" s="195"/>
      <c r="BD67" s="195"/>
      <c r="BE67" s="195"/>
      <c r="BF67" s="195"/>
      <c r="BG67" s="195"/>
      <c r="BH67" s="195"/>
      <c r="BI67" s="195"/>
      <c r="BJ67" s="195"/>
    </row>
    <row r="68" spans="2:62" ht="14.5" customHeight="1">
      <c r="Z68" s="172"/>
      <c r="BF68" s="172"/>
    </row>
  </sheetData>
  <hyperlinks>
    <hyperlink ref="B10" r:id="rId1" xr:uid="{81E4BF28-D344-B047-B497-918005684A80}"/>
  </hyperlinks>
  <pageMargins left="0.7" right="0.7" top="0.75" bottom="0.75" header="0.39" footer="0.39"/>
  <pageSetup paperSize="9" fitToWidth="0" fitToHeight="0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7DB3-8A5C-8047-A0E0-46B1CF37FE87}">
  <dimension ref="A4:BW313"/>
  <sheetViews>
    <sheetView topLeftCell="A98" zoomScale="92" zoomScaleNormal="50" workbookViewId="0">
      <pane xSplit="1" topLeftCell="AR1" activePane="topRight" state="frozen"/>
      <selection pane="topRight" activeCell="AW108" sqref="AW108"/>
    </sheetView>
  </sheetViews>
  <sheetFormatPr baseColWidth="10" defaultColWidth="10.1640625" defaultRowHeight="14.5" customHeight="1"/>
  <cols>
    <col min="1" max="1" width="25.5" style="133" customWidth="1"/>
    <col min="2" max="26" width="28.33203125" style="133" customWidth="1"/>
    <col min="27" max="50" width="20.83203125" style="133" customWidth="1"/>
    <col min="51" max="51" width="16.33203125" style="133" customWidth="1"/>
    <col min="52" max="55" width="10.1640625" style="133"/>
    <col min="56" max="56" width="13.83203125" style="133" bestFit="1" customWidth="1"/>
    <col min="57" max="61" width="10.1640625" style="133"/>
    <col min="62" max="62" width="12.6640625" style="133" bestFit="1" customWidth="1"/>
    <col min="63" max="66" width="10.1640625" style="133"/>
    <col min="67" max="67" width="33.33203125" style="133" customWidth="1"/>
    <col min="68" max="75" width="14.83203125" style="133" customWidth="1"/>
    <col min="76" max="16384" width="10.1640625" style="133"/>
  </cols>
  <sheetData>
    <row r="4" spans="1:75" ht="53" customHeight="1"/>
    <row r="5" spans="1:75" ht="25" customHeight="1">
      <c r="C5" s="202">
        <v>44927</v>
      </c>
      <c r="D5" s="202">
        <v>44958</v>
      </c>
      <c r="E5" s="202">
        <v>44986</v>
      </c>
      <c r="F5" s="202">
        <v>45017</v>
      </c>
      <c r="G5" s="202">
        <v>45047</v>
      </c>
      <c r="H5" s="202">
        <v>45078</v>
      </c>
      <c r="I5" s="202">
        <v>45108</v>
      </c>
      <c r="J5" s="202">
        <v>45139</v>
      </c>
      <c r="K5" s="202">
        <v>45170</v>
      </c>
      <c r="L5" s="202">
        <v>45200</v>
      </c>
      <c r="M5" s="202">
        <v>45231</v>
      </c>
      <c r="N5" s="202">
        <v>45261</v>
      </c>
      <c r="O5" s="202">
        <v>45292</v>
      </c>
      <c r="P5" s="202">
        <v>45323</v>
      </c>
      <c r="Q5" s="202">
        <v>45352</v>
      </c>
      <c r="R5" s="202">
        <v>45383</v>
      </c>
      <c r="S5" s="202">
        <v>45413</v>
      </c>
      <c r="T5" s="202">
        <v>45444</v>
      </c>
      <c r="U5" s="202">
        <v>45474</v>
      </c>
      <c r="V5" s="202">
        <v>45505</v>
      </c>
      <c r="W5" s="202">
        <v>45536</v>
      </c>
      <c r="X5" s="202">
        <v>45566</v>
      </c>
      <c r="Y5" s="202">
        <v>45597</v>
      </c>
      <c r="Z5" s="202">
        <v>45627</v>
      </c>
      <c r="AA5" s="202">
        <v>45658</v>
      </c>
      <c r="AB5" s="202">
        <v>45689</v>
      </c>
      <c r="AC5" s="202">
        <v>45717</v>
      </c>
      <c r="AD5" s="202">
        <v>45748</v>
      </c>
      <c r="AE5" s="202">
        <v>45778</v>
      </c>
      <c r="AF5" s="202">
        <v>45809</v>
      </c>
      <c r="AG5" s="202">
        <v>45839</v>
      </c>
      <c r="AH5" s="202">
        <v>45870</v>
      </c>
      <c r="AI5" s="202">
        <v>45901</v>
      </c>
      <c r="AJ5" s="202">
        <v>45931</v>
      </c>
      <c r="AK5" s="202">
        <v>45962</v>
      </c>
      <c r="AL5" s="202">
        <v>45992</v>
      </c>
      <c r="AM5" s="202">
        <v>46023</v>
      </c>
      <c r="AN5" s="202">
        <v>46054</v>
      </c>
      <c r="AO5" s="202">
        <v>46082</v>
      </c>
      <c r="AP5" s="202">
        <v>46113</v>
      </c>
      <c r="AQ5" s="202">
        <v>46143</v>
      </c>
      <c r="AR5" s="202">
        <v>46174</v>
      </c>
      <c r="AS5" s="202">
        <v>46204</v>
      </c>
      <c r="AT5" s="202">
        <v>46235</v>
      </c>
      <c r="AU5" s="202"/>
      <c r="AV5" s="202">
        <v>46266</v>
      </c>
      <c r="AW5" s="202">
        <v>46296</v>
      </c>
      <c r="AX5" s="202">
        <v>46327</v>
      </c>
      <c r="AY5" s="202">
        <v>46357</v>
      </c>
      <c r="AZ5" s="155"/>
      <c r="BA5" s="155"/>
      <c r="BB5" s="156"/>
      <c r="BC5" s="156"/>
      <c r="BD5" s="156" t="s">
        <v>14</v>
      </c>
      <c r="BE5" s="156"/>
      <c r="BF5" s="156"/>
      <c r="BG5" s="156" t="s">
        <v>81</v>
      </c>
      <c r="BH5" s="156"/>
      <c r="BI5" s="156"/>
      <c r="BJ5" s="156"/>
      <c r="BK5" s="156"/>
      <c r="BP5" s="202">
        <v>46143</v>
      </c>
      <c r="BQ5" s="202">
        <v>46174</v>
      </c>
      <c r="BR5" s="202">
        <v>46204</v>
      </c>
      <c r="BS5" s="202">
        <v>46235</v>
      </c>
      <c r="BT5" s="202">
        <v>46266</v>
      </c>
      <c r="BU5" s="202">
        <v>46296</v>
      </c>
      <c r="BV5" s="202">
        <v>46327</v>
      </c>
      <c r="BW5" s="202">
        <v>46357</v>
      </c>
    </row>
    <row r="6" spans="1:75" ht="44">
      <c r="A6" s="280" t="s">
        <v>16</v>
      </c>
      <c r="B6" s="196" t="s">
        <v>76</v>
      </c>
      <c r="C6" s="233">
        <v>601456.10474871099</v>
      </c>
      <c r="D6" s="233">
        <v>601456.10474871099</v>
      </c>
      <c r="E6" s="233">
        <v>601456.10474871099</v>
      </c>
      <c r="F6" s="233">
        <v>601456.10474871099</v>
      </c>
      <c r="G6" s="233">
        <v>601456.10474871099</v>
      </c>
      <c r="H6" s="233">
        <v>646626.74823299795</v>
      </c>
      <c r="I6" s="233">
        <v>667605.86541089404</v>
      </c>
      <c r="J6" s="233">
        <v>675516.23968386697</v>
      </c>
      <c r="K6" s="233">
        <v>675516.23968386697</v>
      </c>
      <c r="L6" s="233">
        <v>675516.23968386697</v>
      </c>
      <c r="M6" s="233">
        <v>696876.29912797397</v>
      </c>
      <c r="N6" s="233">
        <v>696876.29912797397</v>
      </c>
      <c r="O6" s="233">
        <v>733652.50693607295</v>
      </c>
      <c r="P6" s="233">
        <v>770936.99475790595</v>
      </c>
      <c r="Q6" s="233">
        <v>799962.38452364504</v>
      </c>
      <c r="R6" s="233">
        <v>799962.38452364504</v>
      </c>
      <c r="S6" s="233">
        <v>843920.83895474696</v>
      </c>
      <c r="T6" s="233">
        <v>890637.24445067404</v>
      </c>
      <c r="U6" s="233">
        <v>890637.24445067404</v>
      </c>
      <c r="V6" s="233">
        <v>890637.24445067404</v>
      </c>
      <c r="W6" s="233">
        <v>890637.24445067404</v>
      </c>
      <c r="X6" s="233">
        <v>904506.85502438305</v>
      </c>
      <c r="Y6" s="233">
        <v>947399.47185486602</v>
      </c>
      <c r="Z6" s="233">
        <v>964252.77309579402</v>
      </c>
      <c r="AA6" s="204">
        <v>964252.77309579402</v>
      </c>
      <c r="AB6" s="204">
        <v>964252.77309579402</v>
      </c>
      <c r="AC6" s="204">
        <v>964252.77309579402</v>
      </c>
      <c r="AD6" s="204">
        <v>964252.77309579402</v>
      </c>
      <c r="AE6" s="204">
        <v>964252.77309579402</v>
      </c>
      <c r="AF6" s="204">
        <v>964252.77309579402</v>
      </c>
      <c r="AG6" s="204">
        <v>968076.36296571803</v>
      </c>
      <c r="AH6" s="204">
        <v>982189.48380705004</v>
      </c>
      <c r="AI6" s="204">
        <v>1004492.51777217</v>
      </c>
      <c r="AJ6" s="204">
        <v>1068784.1661044999</v>
      </c>
      <c r="AK6" s="204">
        <v>1086628.7847195701</v>
      </c>
      <c r="AL6" s="204">
        <v>1095716.0994368601</v>
      </c>
      <c r="AM6" s="204">
        <v>1095716.0994368601</v>
      </c>
      <c r="AN6" s="204">
        <v>1100270.2388559</v>
      </c>
      <c r="AO6" s="204">
        <v>1100270.2388559</v>
      </c>
      <c r="AP6" s="204">
        <v>1100270.2388559</v>
      </c>
      <c r="AQ6" s="204">
        <v>1213187.8434488201</v>
      </c>
      <c r="AR6" s="204">
        <v>1239546</v>
      </c>
      <c r="AS6" s="204">
        <v>1239546</v>
      </c>
      <c r="AT6" s="204">
        <v>1239546</v>
      </c>
      <c r="AU6" s="204">
        <v>1239546</v>
      </c>
      <c r="AV6" s="196" t="s">
        <v>76</v>
      </c>
      <c r="AW6" s="184"/>
      <c r="AX6" s="184"/>
      <c r="AY6" s="184"/>
      <c r="AZ6" s="155"/>
      <c r="BA6" s="155"/>
      <c r="BB6" s="156"/>
      <c r="BC6" s="173">
        <v>45658</v>
      </c>
      <c r="BD6" s="174" t="e">
        <f>#REF!</f>
        <v>#REF!</v>
      </c>
      <c r="BE6" s="156">
        <v>2</v>
      </c>
      <c r="BF6" s="156" t="e" cm="1">
        <f t="array" ref="BF6">_xlfn.XLOOKUP(MIN(ABS($BJ$7:$BJ$29 - MEDIAN(MIN($BJ$7:$BJ$29), MAX($BJ$7:$BJ$29), BD6))), ABS($BJ$7:$BJ$29 - MEDIAN(MIN($BJ$7:$BJ$29), MAX($BJ$7:$BJ$29), BD6)), $BK$7:$BK$29, "Error", 0)</f>
        <v>#REF!</v>
      </c>
      <c r="BG6" s="183"/>
      <c r="BH6" s="156"/>
      <c r="BI6" s="156" cm="1">
        <f t="array" ref="BI6">_xlfn.XLOOKUP(MIN(ABS($BJ$7:$BJ$29 - MEDIAN(MIN($BJ$7:$BJ$29), MAX($BJ$7:$BJ$29), BG6))), ABS($BJ$7:$BJ$29 - MEDIAN(MIN($BJ$7:$BJ$29), MAX($BJ$7:$BJ$29), BG6)), $BK$7:$BK$29, "Error", 0)</f>
        <v>0</v>
      </c>
      <c r="BJ6" s="156"/>
      <c r="BK6" s="156"/>
      <c r="BO6" s="253" t="s">
        <v>83</v>
      </c>
    </row>
    <row r="7" spans="1:75" ht="22">
      <c r="A7" s="281"/>
      <c r="B7" s="196" t="s">
        <v>77</v>
      </c>
      <c r="C7" s="233">
        <v>531910.72006630898</v>
      </c>
      <c r="D7" s="233">
        <v>541198.92956880503</v>
      </c>
      <c r="E7" s="233">
        <v>547364.22566836304</v>
      </c>
      <c r="F7" s="233">
        <v>568383.54147568403</v>
      </c>
      <c r="G7" s="233">
        <v>584306.83740547299</v>
      </c>
      <c r="H7" s="233">
        <v>646626.74823299795</v>
      </c>
      <c r="I7" s="233">
        <v>667605.86541089404</v>
      </c>
      <c r="J7" s="233">
        <v>675516.23968386697</v>
      </c>
      <c r="K7" s="233">
        <v>640505.97838842904</v>
      </c>
      <c r="L7" s="233">
        <v>625341.65093657398</v>
      </c>
      <c r="M7" s="233">
        <v>696876.29912797397</v>
      </c>
      <c r="N7" s="233">
        <v>672641.45799609995</v>
      </c>
      <c r="O7" s="233">
        <v>733652.50693607295</v>
      </c>
      <c r="P7" s="233">
        <v>770936.99475790595</v>
      </c>
      <c r="Q7" s="233">
        <v>799962.38452364504</v>
      </c>
      <c r="R7" s="233">
        <v>787148.81414206303</v>
      </c>
      <c r="S7" s="233">
        <v>843920.83895474696</v>
      </c>
      <c r="T7" s="233">
        <v>890637.24445067404</v>
      </c>
      <c r="U7" s="233">
        <v>843089.50107000803</v>
      </c>
      <c r="V7" s="233">
        <v>825513.611252442</v>
      </c>
      <c r="W7" s="233">
        <v>822784.20648495096</v>
      </c>
      <c r="X7" s="233">
        <v>904506.85502438305</v>
      </c>
      <c r="Y7" s="233">
        <v>947399.47185486602</v>
      </c>
      <c r="Z7" s="233">
        <v>964252.77309579402</v>
      </c>
      <c r="AA7" s="204">
        <v>930827.51904059201</v>
      </c>
      <c r="AB7" s="204">
        <v>893246.41474914597</v>
      </c>
      <c r="AC7" s="204">
        <v>839628.20072248601</v>
      </c>
      <c r="AD7" s="204">
        <v>792471.65484387404</v>
      </c>
      <c r="AE7" s="204">
        <v>851519.77946985501</v>
      </c>
      <c r="AF7" s="204">
        <v>896720.77677181398</v>
      </c>
      <c r="AG7" s="204">
        <v>968076.36296571803</v>
      </c>
      <c r="AH7" s="204">
        <v>982189.48380705004</v>
      </c>
      <c r="AI7" s="204">
        <v>1004492.51777217</v>
      </c>
      <c r="AJ7" s="204">
        <v>1068784.1661044999</v>
      </c>
      <c r="AK7" s="204">
        <v>1086628.7847195701</v>
      </c>
      <c r="AL7" s="204">
        <v>1095716.0994368601</v>
      </c>
      <c r="AM7" s="204">
        <v>1073745.50707231</v>
      </c>
      <c r="AN7" s="204">
        <v>1100270.2388559</v>
      </c>
      <c r="AO7" s="204">
        <v>1043525.19075617</v>
      </c>
      <c r="AP7" s="204">
        <v>1084649.0201050299</v>
      </c>
      <c r="AQ7" s="204">
        <v>1213187.8434488201</v>
      </c>
      <c r="AR7" s="204">
        <v>1239546</v>
      </c>
      <c r="AS7" s="204">
        <v>1228144</v>
      </c>
      <c r="AT7" s="204">
        <v>1228144</v>
      </c>
      <c r="AU7" s="204">
        <v>1228144</v>
      </c>
      <c r="AV7" s="196" t="s">
        <v>77</v>
      </c>
      <c r="AW7" s="184"/>
      <c r="AX7" s="184"/>
      <c r="AY7" s="184"/>
      <c r="AZ7" s="155"/>
      <c r="BA7" s="155"/>
      <c r="BB7" s="156"/>
      <c r="BC7" s="173">
        <v>45689</v>
      </c>
      <c r="BD7" s="174" t="e">
        <f>#REF!</f>
        <v>#REF!</v>
      </c>
      <c r="BE7" s="156">
        <v>3</v>
      </c>
      <c r="BF7" s="156" t="e" cm="1">
        <f t="array" ref="BF7">_xlfn.XLOOKUP(MIN(ABS($BJ$7:$BJ$29 - MEDIAN(MIN($BJ$7:$BJ$29), MAX($BJ$7:$BJ$29), BD7))), ABS($BJ$7:$BJ$29 - MEDIAN(MIN($BJ$7:$BJ$29), MAX($BJ$7:$BJ$29), BD7)), $BK$7:$BK$29, "Error", 0)</f>
        <v>#REF!</v>
      </c>
      <c r="BG7" s="183"/>
      <c r="BH7" s="156"/>
      <c r="BI7" s="156" cm="1">
        <f t="array" ref="BI7">_xlfn.XLOOKUP(MIN(ABS($BJ$7:$BJ$29 - MEDIAN(MIN($BJ$7:$BJ$29), MAX($BJ$7:$BJ$29), BG7))), ABS($BJ$7:$BJ$29 - MEDIAN(MIN($BJ$7:$BJ$29), MAX($BJ$7:$BJ$29), BG7)), $BK$7:$BK$29, "Error", 0)</f>
        <v>0</v>
      </c>
      <c r="BJ7" s="176">
        <v>0.25</v>
      </c>
      <c r="BK7" s="177">
        <v>2</v>
      </c>
      <c r="BL7" s="178">
        <v>25</v>
      </c>
      <c r="BO7" s="253" t="s">
        <v>84</v>
      </c>
    </row>
    <row r="8" spans="1:75" ht="22">
      <c r="A8" s="281"/>
      <c r="B8" s="196" t="s">
        <v>78</v>
      </c>
      <c r="C8" s="230">
        <f t="shared" ref="C8:Z8" si="0">+(C7-C6)/C6</f>
        <v>-0.11562836279042865</v>
      </c>
      <c r="D8" s="230">
        <f t="shared" si="0"/>
        <v>-0.10018549101780498</v>
      </c>
      <c r="E8" s="230">
        <f t="shared" si="0"/>
        <v>-8.9934874138400497E-2</v>
      </c>
      <c r="F8" s="230">
        <f t="shared" si="0"/>
        <v>-5.4987492872559184E-2</v>
      </c>
      <c r="G8" s="230">
        <f t="shared" si="0"/>
        <v>-2.8512915918282977E-2</v>
      </c>
      <c r="H8" s="230">
        <f t="shared" si="0"/>
        <v>0</v>
      </c>
      <c r="I8" s="230">
        <f t="shared" si="0"/>
        <v>0</v>
      </c>
      <c r="J8" s="230">
        <f t="shared" si="0"/>
        <v>0</v>
      </c>
      <c r="K8" s="230">
        <f t="shared" si="0"/>
        <v>-5.1827416187392158E-2</v>
      </c>
      <c r="L8" s="230">
        <f t="shared" si="0"/>
        <v>-7.4275917882853648E-2</v>
      </c>
      <c r="M8" s="230">
        <f t="shared" si="0"/>
        <v>0</v>
      </c>
      <c r="N8" s="230">
        <f t="shared" si="0"/>
        <v>-3.4776388811328392E-2</v>
      </c>
      <c r="O8" s="230">
        <f t="shared" si="0"/>
        <v>0</v>
      </c>
      <c r="P8" s="230">
        <f t="shared" si="0"/>
        <v>0</v>
      </c>
      <c r="Q8" s="230">
        <f t="shared" si="0"/>
        <v>0</v>
      </c>
      <c r="R8" s="230">
        <f t="shared" si="0"/>
        <v>-1.6017716119504963E-2</v>
      </c>
      <c r="S8" s="230">
        <f t="shared" si="0"/>
        <v>0</v>
      </c>
      <c r="T8" s="230">
        <f t="shared" si="0"/>
        <v>0</v>
      </c>
      <c r="U8" s="230">
        <f t="shared" si="0"/>
        <v>-5.3386205974344181E-2</v>
      </c>
      <c r="V8" s="230">
        <f t="shared" si="0"/>
        <v>-7.3120267094151106E-2</v>
      </c>
      <c r="W8" s="230">
        <f t="shared" si="0"/>
        <v>-7.6184819788861824E-2</v>
      </c>
      <c r="X8" s="230">
        <f t="shared" si="0"/>
        <v>0</v>
      </c>
      <c r="Y8" s="230">
        <f t="shared" si="0"/>
        <v>0</v>
      </c>
      <c r="Z8" s="230">
        <f t="shared" si="0"/>
        <v>0</v>
      </c>
      <c r="AA8" s="230">
        <f>+(AA7-AA6)/AA6</f>
        <v>-3.4664410606658806E-2</v>
      </c>
      <c r="AB8" s="205">
        <f t="shared" ref="AB8:AP8" si="1">+(AB7-AB6)/AB6</f>
        <v>-7.3638739060793865E-2</v>
      </c>
      <c r="AC8" s="205">
        <f t="shared" si="1"/>
        <v>-0.12924471243488675</v>
      </c>
      <c r="AD8" s="205">
        <f t="shared" si="1"/>
        <v>-0.17814946769653139</v>
      </c>
      <c r="AE8" s="205">
        <f t="shared" si="1"/>
        <v>-0.11691228355403392</v>
      </c>
      <c r="AF8" s="205">
        <f t="shared" si="1"/>
        <v>-7.0035573874643195E-2</v>
      </c>
      <c r="AG8" s="205">
        <f t="shared" si="1"/>
        <v>0</v>
      </c>
      <c r="AH8" s="205">
        <f t="shared" si="1"/>
        <v>0</v>
      </c>
      <c r="AI8" s="205">
        <f t="shared" si="1"/>
        <v>0</v>
      </c>
      <c r="AJ8" s="205">
        <f t="shared" si="1"/>
        <v>0</v>
      </c>
      <c r="AK8" s="205">
        <f t="shared" si="1"/>
        <v>0</v>
      </c>
      <c r="AL8" s="205">
        <f t="shared" si="1"/>
        <v>0</v>
      </c>
      <c r="AM8" s="205">
        <f t="shared" si="1"/>
        <v>-2.0051354886399701E-2</v>
      </c>
      <c r="AN8" s="205">
        <f t="shared" si="1"/>
        <v>0</v>
      </c>
      <c r="AO8" s="205">
        <f t="shared" si="1"/>
        <v>-5.1573737156369474E-2</v>
      </c>
      <c r="AP8" s="205">
        <f t="shared" si="1"/>
        <v>-1.4197620002076567E-2</v>
      </c>
      <c r="AQ8" s="205">
        <f>+(AQ7-AQ6)/AQ6</f>
        <v>0</v>
      </c>
      <c r="AR8" s="205">
        <f>+(AR7-AR6)/AR6</f>
        <v>0</v>
      </c>
      <c r="AS8" s="205">
        <f>+(AS7-AS6)/AS6</f>
        <v>-9.1985291388944016E-3</v>
      </c>
      <c r="AT8" s="205">
        <f>+(AT7-AT6)/AT6</f>
        <v>-9.1985291388944016E-3</v>
      </c>
      <c r="AU8" s="205">
        <f>+(AU7-AU6)/AU6</f>
        <v>-9.1985291388944016E-3</v>
      </c>
      <c r="AV8" s="196" t="s">
        <v>78</v>
      </c>
      <c r="AW8" s="184"/>
      <c r="AX8" s="184"/>
      <c r="AY8" s="184"/>
      <c r="AZ8" s="155"/>
      <c r="BA8" s="155"/>
      <c r="BB8" s="156"/>
      <c r="BC8" s="173">
        <v>45717</v>
      </c>
      <c r="BD8" s="174" t="e">
        <f>#REF!</f>
        <v>#REF!</v>
      </c>
      <c r="BE8" s="156">
        <v>5</v>
      </c>
      <c r="BF8" s="156" t="e" cm="1">
        <f t="array" ref="BF8">_xlfn.XLOOKUP(MIN(ABS($BJ$7:$BJ$29 - MEDIAN(MIN($BJ$7:$BJ$29), MAX($BJ$7:$BJ$29), BD8))), ABS($BJ$7:$BJ$29 - MEDIAN(MIN($BJ$7:$BJ$29), MAX($BJ$7:$BJ$29), BD8)), $BK$7:$BK$29, "Error", 0)</f>
        <v>#REF!</v>
      </c>
      <c r="BG8" s="183"/>
      <c r="BH8" s="156"/>
      <c r="BI8" s="156" cm="1">
        <f t="array" ref="BI8">_xlfn.XLOOKUP(MIN(ABS($BJ$7:$BJ$29 - MEDIAN(MIN($BJ$7:$BJ$29), MAX($BJ$7:$BJ$29), BG8))), ABS($BJ$7:$BJ$29 - MEDIAN(MIN($BJ$7:$BJ$29), MAX($BJ$7:$BJ$29), BG8)), $BK$7:$BK$29, "Error", 0)</f>
        <v>0</v>
      </c>
      <c r="BJ8" s="176">
        <v>0.2</v>
      </c>
      <c r="BK8" s="177">
        <v>3</v>
      </c>
      <c r="BL8" s="178">
        <v>20</v>
      </c>
      <c r="BO8" s="254" t="s">
        <v>91</v>
      </c>
    </row>
    <row r="9" spans="1:75" ht="44">
      <c r="A9" s="281"/>
      <c r="B9" s="196" t="s">
        <v>83</v>
      </c>
      <c r="C9" s="233">
        <v>4808.93017578125</v>
      </c>
      <c r="D9" s="233">
        <v>4808.93017578125</v>
      </c>
      <c r="E9" s="233">
        <v>4808.93017578125</v>
      </c>
      <c r="F9" s="233">
        <v>4808.93017578125</v>
      </c>
      <c r="G9" s="233">
        <v>4808.93017578125</v>
      </c>
      <c r="H9" s="233">
        <v>4808.93017578125</v>
      </c>
      <c r="I9" s="233">
        <v>4808.93017578125</v>
      </c>
      <c r="J9" s="233">
        <v>4808.93017578125</v>
      </c>
      <c r="K9" s="233">
        <v>4808.93017578125</v>
      </c>
      <c r="L9" s="233">
        <v>4808.93017578125</v>
      </c>
      <c r="M9" s="233">
        <v>4808.93017578125</v>
      </c>
      <c r="N9" s="233">
        <v>4808.93017578125</v>
      </c>
      <c r="O9" s="233">
        <v>4931.08984375</v>
      </c>
      <c r="P9" s="233">
        <v>5111.06005859375</v>
      </c>
      <c r="Q9" s="233">
        <v>5264.85009765625</v>
      </c>
      <c r="R9" s="233">
        <v>5264.85009765625</v>
      </c>
      <c r="S9" s="233">
        <v>5341.8798828125</v>
      </c>
      <c r="T9" s="233">
        <v>5523.64013671875</v>
      </c>
      <c r="U9" s="233">
        <v>5669.669921875</v>
      </c>
      <c r="V9" s="233">
        <v>5669.669921875</v>
      </c>
      <c r="W9" s="233">
        <v>5767.3701171875</v>
      </c>
      <c r="X9" s="233">
        <v>5767.3701171875</v>
      </c>
      <c r="Y9" s="233">
        <v>6044.169921875</v>
      </c>
      <c r="Z9" s="233">
        <v>6044.169921875</v>
      </c>
      <c r="AA9" s="231">
        <v>6128.18017578125</v>
      </c>
      <c r="AB9" s="203">
        <v>6128.18017578125</v>
      </c>
      <c r="AC9" s="203">
        <v>6128.18017578125</v>
      </c>
      <c r="AD9" s="203">
        <v>6128.18017578125</v>
      </c>
      <c r="AE9" s="203">
        <v>6128.18017578125</v>
      </c>
      <c r="AF9" s="203">
        <v>6215.080078125</v>
      </c>
      <c r="AG9" s="203">
        <v>6427.02001953125</v>
      </c>
      <c r="AH9" s="203">
        <v>6508.22998046875</v>
      </c>
      <c r="AI9" s="203">
        <v>6699.52001953125</v>
      </c>
      <c r="AJ9" s="203">
        <v>6920.33984375</v>
      </c>
      <c r="AK9" s="203">
        <v>6920.33984375</v>
      </c>
      <c r="AL9" s="203">
        <v>6945.77001953125</v>
      </c>
      <c r="AM9" s="203">
        <v>7002.27978515625</v>
      </c>
      <c r="AN9" s="203">
        <v>7002.27978515625</v>
      </c>
      <c r="AO9" s="203">
        <v>7002.27978515625</v>
      </c>
      <c r="AP9" s="203">
        <v>7219.830078125</v>
      </c>
      <c r="AQ9" s="203">
        <v>7599.3798828125</v>
      </c>
      <c r="AR9" s="203">
        <v>7599.3798828125</v>
      </c>
      <c r="AS9" s="203">
        <v>7599.3798828125</v>
      </c>
      <c r="AT9" s="203">
        <v>7599.3798828125</v>
      </c>
      <c r="AU9" s="203">
        <v>7599.3798828125</v>
      </c>
      <c r="AV9" s="196" t="s">
        <v>83</v>
      </c>
      <c r="AW9" s="184"/>
      <c r="AX9" s="184"/>
      <c r="AY9" s="184"/>
      <c r="AZ9" s="155"/>
      <c r="BA9" s="155"/>
      <c r="BB9" s="156"/>
      <c r="BC9" s="173">
        <v>45748</v>
      </c>
      <c r="BD9" s="174" t="e">
        <f>#REF!</f>
        <v>#REF!</v>
      </c>
      <c r="BE9" s="156">
        <v>3</v>
      </c>
      <c r="BF9" s="156" t="e" cm="1">
        <f t="array" ref="BF9">_xlfn.XLOOKUP(MIN(ABS($BJ$7:$BJ$29 - MEDIAN(MIN($BJ$7:$BJ$29), MAX($BJ$7:$BJ$29), BD9))), ABS($BJ$7:$BJ$29 - MEDIAN(MIN($BJ$7:$BJ$29), MAX($BJ$7:$BJ$29), BD9)), $BK$7:$BK$29, "Error", 0)</f>
        <v>#REF!</v>
      </c>
      <c r="BG9" s="183"/>
      <c r="BH9" s="156"/>
      <c r="BI9" s="156" cm="1">
        <f t="array" ref="BI9">_xlfn.XLOOKUP(MIN(ABS($BJ$7:$BJ$29 - MEDIAN(MIN($BJ$7:$BJ$29), MAX($BJ$7:$BJ$29), BG9))), ABS($BJ$7:$BJ$29 - MEDIAN(MIN($BJ$7:$BJ$29), MAX($BJ$7:$BJ$29), BG9)), $BK$7:$BK$29, "Error", 0)</f>
        <v>0</v>
      </c>
      <c r="BJ9" s="176">
        <v>0.18</v>
      </c>
      <c r="BK9" s="177">
        <v>5</v>
      </c>
      <c r="BL9" s="178">
        <v>18</v>
      </c>
      <c r="BO9" s="254" t="s">
        <v>92</v>
      </c>
    </row>
    <row r="10" spans="1:75" ht="44">
      <c r="A10" s="281"/>
      <c r="B10" s="196" t="s">
        <v>84</v>
      </c>
      <c r="C10" s="233">
        <v>4076.60009765625</v>
      </c>
      <c r="D10" s="233">
        <v>3970.14990234375</v>
      </c>
      <c r="E10" s="233">
        <v>4109.31005859375</v>
      </c>
      <c r="F10" s="233">
        <v>4169.47998046875</v>
      </c>
      <c r="G10" s="233">
        <v>4179.830078125</v>
      </c>
      <c r="H10" s="233">
        <v>4450.3798828125</v>
      </c>
      <c r="I10" s="233">
        <v>4588.9599609375</v>
      </c>
      <c r="J10" s="233">
        <v>4507.66015625</v>
      </c>
      <c r="K10" s="233">
        <v>4288.0498046875</v>
      </c>
      <c r="L10" s="233">
        <v>4193.7998046875</v>
      </c>
      <c r="M10" s="233">
        <v>4567.7998046875</v>
      </c>
      <c r="N10" s="233">
        <v>4769.830078125</v>
      </c>
      <c r="O10" s="233">
        <v>4931.08984375</v>
      </c>
      <c r="P10" s="233">
        <v>5111.06005859375</v>
      </c>
      <c r="Q10" s="233">
        <v>5264.85009765625</v>
      </c>
      <c r="R10" s="233">
        <v>5035.68994140625</v>
      </c>
      <c r="S10" s="233">
        <v>5341.8798828125</v>
      </c>
      <c r="T10" s="233">
        <v>5523.64013671875</v>
      </c>
      <c r="U10" s="233">
        <v>5669.669921875</v>
      </c>
      <c r="V10" s="233">
        <v>5648.39990234375</v>
      </c>
      <c r="W10" s="233">
        <v>5767.3701171875</v>
      </c>
      <c r="X10" s="233">
        <v>5705.4501953125</v>
      </c>
      <c r="Y10" s="233">
        <v>6044.169921875</v>
      </c>
      <c r="Z10" s="233">
        <v>5881.6298828125</v>
      </c>
      <c r="AA10" s="231">
        <v>6128.18017578125</v>
      </c>
      <c r="AB10" s="203">
        <v>5954.5</v>
      </c>
      <c r="AC10" s="203">
        <v>5611.85009765625</v>
      </c>
      <c r="AD10" s="203">
        <v>5569.06005859375</v>
      </c>
      <c r="AE10" s="203">
        <v>5911.68994140625</v>
      </c>
      <c r="AF10" s="203">
        <v>6215.080078125</v>
      </c>
      <c r="AG10" s="203">
        <v>6427.02001953125</v>
      </c>
      <c r="AH10" s="203">
        <v>6508.22998046875</v>
      </c>
      <c r="AI10" s="203">
        <v>6699.52001953125</v>
      </c>
      <c r="AJ10" s="203">
        <v>6920.33984375</v>
      </c>
      <c r="AK10" s="203">
        <v>6849.08984375</v>
      </c>
      <c r="AL10" s="203">
        <v>6945.77001953125</v>
      </c>
      <c r="AM10" s="203">
        <v>7002.27978515625</v>
      </c>
      <c r="AN10" s="203">
        <v>6878.8798828125</v>
      </c>
      <c r="AO10" s="203">
        <v>6528.52001953125</v>
      </c>
      <c r="AP10" s="203">
        <v>7219.830078125</v>
      </c>
      <c r="AQ10" s="203">
        <v>7599.3798828125</v>
      </c>
      <c r="AR10" s="203">
        <v>7499</v>
      </c>
      <c r="AS10" s="203">
        <v>7572</v>
      </c>
      <c r="AT10" s="203">
        <v>7572</v>
      </c>
      <c r="AU10" s="203">
        <v>7572</v>
      </c>
      <c r="AV10" s="196" t="s">
        <v>84</v>
      </c>
      <c r="AW10" s="184"/>
      <c r="AX10" s="184"/>
      <c r="AY10" s="184"/>
      <c r="AZ10" s="155"/>
      <c r="BA10" s="155"/>
      <c r="BB10" s="156"/>
      <c r="BC10" s="173">
        <v>45778</v>
      </c>
      <c r="BD10" s="174" t="e">
        <f>#REF!</f>
        <v>#REF!</v>
      </c>
      <c r="BE10" s="156">
        <v>3</v>
      </c>
      <c r="BF10" s="156" t="e" cm="1">
        <f t="array" ref="BF10">_xlfn.XLOOKUP(MIN(ABS($BJ$7:$BJ$29 - MEDIAN(MIN($BJ$7:$BJ$29), MAX($BJ$7:$BJ$29), BD10))), ABS($BJ$7:$BJ$29 - MEDIAN(MIN($BJ$7:$BJ$29), MAX($BJ$7:$BJ$29), BD10)), $BK$7:$BK$29, "Error", 0)</f>
        <v>#REF!</v>
      </c>
      <c r="BG10" s="183"/>
      <c r="BH10" s="156"/>
      <c r="BI10" s="156" cm="1">
        <f t="array" ref="BI10">_xlfn.XLOOKUP(MIN(ABS($BJ$7:$BJ$29 - MEDIAN(MIN($BJ$7:$BJ$29), MAX($BJ$7:$BJ$29), BG10))), ABS($BJ$7:$BJ$29 - MEDIAN(MIN($BJ$7:$BJ$29), MAX($BJ$7:$BJ$29), BG10)), $BK$7:$BK$29, "Error", 0)</f>
        <v>0</v>
      </c>
      <c r="BJ10" s="176">
        <v>0.16</v>
      </c>
      <c r="BK10" s="177">
        <v>7</v>
      </c>
      <c r="BL10" s="178">
        <v>16</v>
      </c>
      <c r="BO10" s="254" t="s">
        <v>89</v>
      </c>
    </row>
    <row r="11" spans="1:75" ht="44">
      <c r="A11" s="281"/>
      <c r="B11" s="196" t="s">
        <v>79</v>
      </c>
      <c r="C11" s="230">
        <f t="shared" ref="C11:Y11" si="2">+(C10-C9)/C9</f>
        <v>-0.15228544631676358</v>
      </c>
      <c r="D11" s="230">
        <f t="shared" si="2"/>
        <v>-0.17442138745573141</v>
      </c>
      <c r="E11" s="230">
        <f t="shared" si="2"/>
        <v>-0.14548352577688259</v>
      </c>
      <c r="F11" s="230">
        <f t="shared" si="2"/>
        <v>-0.13297140360508897</v>
      </c>
      <c r="G11" s="230">
        <f t="shared" si="2"/>
        <v>-0.13081913745068</v>
      </c>
      <c r="H11" s="230">
        <f t="shared" si="2"/>
        <v>-7.455926367458654E-2</v>
      </c>
      <c r="I11" s="230">
        <f t="shared" si="2"/>
        <v>-4.5742027187577958E-2</v>
      </c>
      <c r="J11" s="230">
        <f t="shared" si="2"/>
        <v>-6.2648033662145289E-2</v>
      </c>
      <c r="K11" s="230">
        <f t="shared" si="2"/>
        <v>-0.10831522855478531</v>
      </c>
      <c r="L11" s="230">
        <f t="shared" si="2"/>
        <v>-0.12791418228355064</v>
      </c>
      <c r="M11" s="230">
        <f t="shared" si="2"/>
        <v>-5.0142206744471271E-2</v>
      </c>
      <c r="N11" s="230">
        <f t="shared" si="2"/>
        <v>-8.1307268409023786E-3</v>
      </c>
      <c r="O11" s="230">
        <f t="shared" si="2"/>
        <v>0</v>
      </c>
      <c r="P11" s="230">
        <f t="shared" si="2"/>
        <v>0</v>
      </c>
      <c r="Q11" s="230">
        <f t="shared" si="2"/>
        <v>0</v>
      </c>
      <c r="R11" s="230">
        <f t="shared" si="2"/>
        <v>-4.3526435130985988E-2</v>
      </c>
      <c r="S11" s="230">
        <f t="shared" si="2"/>
        <v>0</v>
      </c>
      <c r="T11" s="230">
        <f t="shared" si="2"/>
        <v>0</v>
      </c>
      <c r="U11" s="230">
        <f t="shared" si="2"/>
        <v>0</v>
      </c>
      <c r="V11" s="230">
        <f t="shared" si="2"/>
        <v>-3.7515445915440268E-3</v>
      </c>
      <c r="W11" s="230">
        <f t="shared" si="2"/>
        <v>0</v>
      </c>
      <c r="X11" s="230">
        <f t="shared" si="2"/>
        <v>-1.0736249038443141E-2</v>
      </c>
      <c r="Y11" s="230">
        <f t="shared" si="2"/>
        <v>0</v>
      </c>
      <c r="Z11" s="230">
        <f>+(Z10-Z9)/Z9</f>
        <v>-2.6892036650762695E-2</v>
      </c>
      <c r="AA11" s="230">
        <f>+(AA10-AA9)/AA9</f>
        <v>0</v>
      </c>
      <c r="AB11" s="205">
        <f t="shared" ref="AB11:AP11" si="3">+(AB10-AB9)/AB9</f>
        <v>-2.8341231948048658E-2</v>
      </c>
      <c r="AC11" s="205">
        <f t="shared" si="3"/>
        <v>-8.4255042005055888E-2</v>
      </c>
      <c r="AD11" s="205">
        <f t="shared" si="3"/>
        <v>-9.1237545429417907E-2</v>
      </c>
      <c r="AE11" s="205">
        <f t="shared" si="3"/>
        <v>-3.5327002171146309E-2</v>
      </c>
      <c r="AF11" s="205">
        <f t="shared" si="3"/>
        <v>0</v>
      </c>
      <c r="AG11" s="205">
        <f t="shared" si="3"/>
        <v>0</v>
      </c>
      <c r="AH11" s="205">
        <f t="shared" si="3"/>
        <v>0</v>
      </c>
      <c r="AI11" s="205">
        <f t="shared" si="3"/>
        <v>0</v>
      </c>
      <c r="AJ11" s="205">
        <f t="shared" si="3"/>
        <v>0</v>
      </c>
      <c r="AK11" s="205">
        <f t="shared" si="3"/>
        <v>-1.0295737147121229E-2</v>
      </c>
      <c r="AL11" s="205">
        <f t="shared" si="3"/>
        <v>0</v>
      </c>
      <c r="AM11" s="205">
        <f t="shared" si="3"/>
        <v>0</v>
      </c>
      <c r="AN11" s="205">
        <f t="shared" si="3"/>
        <v>-1.7622818014975453E-2</v>
      </c>
      <c r="AO11" s="205">
        <f t="shared" si="3"/>
        <v>-6.7657931439600208E-2</v>
      </c>
      <c r="AP11" s="205">
        <f t="shared" si="3"/>
        <v>0</v>
      </c>
      <c r="AQ11" s="205">
        <f>+(AQ10-AQ9)/AQ9</f>
        <v>0</v>
      </c>
      <c r="AR11" s="205">
        <f>+(AR10-AR9)/AR9</f>
        <v>-1.3208957093924065E-2</v>
      </c>
      <c r="AS11" s="205">
        <f>+(AS10-AS9)/AS9</f>
        <v>-3.6029101367106306E-3</v>
      </c>
      <c r="AT11" s="205">
        <f>+(AT10-AT9)/AT9</f>
        <v>-3.6029101367106306E-3</v>
      </c>
      <c r="AU11" s="205">
        <f>+(AU10-AU9)/AU9</f>
        <v>-3.6029101367106306E-3</v>
      </c>
      <c r="AV11" s="196" t="s">
        <v>79</v>
      </c>
      <c r="AW11" s="184"/>
      <c r="AX11" s="184"/>
      <c r="AY11" s="184"/>
      <c r="AZ11" s="155"/>
      <c r="BA11" s="155"/>
      <c r="BB11" s="156"/>
      <c r="BC11" s="173">
        <v>45809</v>
      </c>
      <c r="BD11" s="174" t="e">
        <f>#REF!</f>
        <v>#REF!</v>
      </c>
      <c r="BE11" s="156">
        <v>3</v>
      </c>
      <c r="BF11" s="156" t="e" cm="1">
        <f t="array" ref="BF11">_xlfn.XLOOKUP(MIN(ABS($BJ$7:$BJ$29 - MEDIAN(MIN($BJ$7:$BJ$29), MAX($BJ$7:$BJ$29), BD11))), ABS($BJ$7:$BJ$29 - MEDIAN(MIN($BJ$7:$BJ$29), MAX($BJ$7:$BJ$29), BD11)), $BK$7:$BK$29, "Error", 0)</f>
        <v>#REF!</v>
      </c>
      <c r="BG11" s="183"/>
      <c r="BH11" s="156"/>
      <c r="BI11" s="156" cm="1">
        <f t="array" ref="BI11">_xlfn.XLOOKUP(MIN(ABS($BJ$7:$BJ$29 - MEDIAN(MIN($BJ$7:$BJ$29), MAX($BJ$7:$BJ$29), BG11))), ABS($BJ$7:$BJ$29 - MEDIAN(MIN($BJ$7:$BJ$29), MAX($BJ$7:$BJ$29), BG11)), $BK$7:$BK$29, "Error", 0)</f>
        <v>0</v>
      </c>
      <c r="BJ11" s="176">
        <v>0.14000000000000001</v>
      </c>
      <c r="BK11" s="177">
        <v>9</v>
      </c>
      <c r="BL11" s="178">
        <v>14</v>
      </c>
      <c r="BO11" s="254" t="s">
        <v>90</v>
      </c>
    </row>
    <row r="12" spans="1:75" ht="22">
      <c r="A12" s="281"/>
      <c r="B12" s="196" t="s">
        <v>80</v>
      </c>
      <c r="C12" s="230">
        <f t="shared" ref="C12:Z12" si="4">+C8-C11</f>
        <v>3.6657083526334927E-2</v>
      </c>
      <c r="D12" s="230">
        <f t="shared" si="4"/>
        <v>7.4235896437926427E-2</v>
      </c>
      <c r="E12" s="230">
        <f t="shared" si="4"/>
        <v>5.5548651638482091E-2</v>
      </c>
      <c r="F12" s="230">
        <f t="shared" si="4"/>
        <v>7.7983910732529776E-2</v>
      </c>
      <c r="G12" s="230">
        <f t="shared" si="4"/>
        <v>0.10230622153239702</v>
      </c>
      <c r="H12" s="230">
        <f t="shared" si="4"/>
        <v>7.455926367458654E-2</v>
      </c>
      <c r="I12" s="230">
        <f t="shared" si="4"/>
        <v>4.5742027187577958E-2</v>
      </c>
      <c r="J12" s="230">
        <f t="shared" si="4"/>
        <v>6.2648033662145289E-2</v>
      </c>
      <c r="K12" s="230">
        <f t="shared" si="4"/>
        <v>5.6487812367393156E-2</v>
      </c>
      <c r="L12" s="230">
        <f t="shared" si="4"/>
        <v>5.3638264400696994E-2</v>
      </c>
      <c r="M12" s="230">
        <f t="shared" si="4"/>
        <v>5.0142206744471271E-2</v>
      </c>
      <c r="N12" s="230">
        <f t="shared" si="4"/>
        <v>-2.6645661970426011E-2</v>
      </c>
      <c r="O12" s="230">
        <f t="shared" si="4"/>
        <v>0</v>
      </c>
      <c r="P12" s="230">
        <f t="shared" si="4"/>
        <v>0</v>
      </c>
      <c r="Q12" s="230">
        <f t="shared" si="4"/>
        <v>0</v>
      </c>
      <c r="R12" s="230">
        <f t="shared" si="4"/>
        <v>2.7508719011481025E-2</v>
      </c>
      <c r="S12" s="230">
        <f t="shared" si="4"/>
        <v>0</v>
      </c>
      <c r="T12" s="230">
        <f t="shared" si="4"/>
        <v>0</v>
      </c>
      <c r="U12" s="230">
        <f t="shared" si="4"/>
        <v>-5.3386205974344181E-2</v>
      </c>
      <c r="V12" s="230">
        <f t="shared" si="4"/>
        <v>-6.9368722502607075E-2</v>
      </c>
      <c r="W12" s="230">
        <f t="shared" si="4"/>
        <v>-7.6184819788861824E-2</v>
      </c>
      <c r="X12" s="230">
        <f t="shared" si="4"/>
        <v>1.0736249038443141E-2</v>
      </c>
      <c r="Y12" s="230">
        <f t="shared" si="4"/>
        <v>0</v>
      </c>
      <c r="Z12" s="230">
        <f t="shared" si="4"/>
        <v>2.6892036650762695E-2</v>
      </c>
      <c r="AA12" s="230">
        <f>+AA8-AA11</f>
        <v>-3.4664410606658806E-2</v>
      </c>
      <c r="AB12" s="205">
        <f t="shared" ref="AB12:AP12" si="5">+AB8-AB11</f>
        <v>-4.5297507112745203E-2</v>
      </c>
      <c r="AC12" s="205">
        <f t="shared" si="5"/>
        <v>-4.4989670429830861E-2</v>
      </c>
      <c r="AD12" s="205">
        <f t="shared" si="5"/>
        <v>-8.6911922267113487E-2</v>
      </c>
      <c r="AE12" s="205">
        <f t="shared" si="5"/>
        <v>-8.158528138288762E-2</v>
      </c>
      <c r="AF12" s="205">
        <f t="shared" si="5"/>
        <v>-7.0035573874643195E-2</v>
      </c>
      <c r="AG12" s="205">
        <f t="shared" si="5"/>
        <v>0</v>
      </c>
      <c r="AH12" s="205">
        <f t="shared" si="5"/>
        <v>0</v>
      </c>
      <c r="AI12" s="205">
        <f t="shared" si="5"/>
        <v>0</v>
      </c>
      <c r="AJ12" s="205">
        <f t="shared" si="5"/>
        <v>0</v>
      </c>
      <c r="AK12" s="205">
        <f t="shared" si="5"/>
        <v>1.0295737147121229E-2</v>
      </c>
      <c r="AL12" s="205">
        <f t="shared" si="5"/>
        <v>0</v>
      </c>
      <c r="AM12" s="205">
        <f t="shared" si="5"/>
        <v>-2.0051354886399701E-2</v>
      </c>
      <c r="AN12" s="205">
        <f t="shared" si="5"/>
        <v>1.7622818014975453E-2</v>
      </c>
      <c r="AO12" s="205">
        <f t="shared" si="5"/>
        <v>1.6084194283230734E-2</v>
      </c>
      <c r="AP12" s="205">
        <f t="shared" si="5"/>
        <v>-1.4197620002076567E-2</v>
      </c>
      <c r="AQ12" s="205">
        <f>+AQ8-AQ11</f>
        <v>0</v>
      </c>
      <c r="AR12" s="205">
        <f>+AR8-AR11</f>
        <v>1.3208957093924065E-2</v>
      </c>
      <c r="AS12" s="205">
        <f>+AS8-AS11</f>
        <v>-5.595619002183771E-3</v>
      </c>
      <c r="AT12" s="205">
        <f>+AT8-AT11</f>
        <v>-5.595619002183771E-3</v>
      </c>
      <c r="AU12" s="205">
        <f>+AU8-AU11</f>
        <v>-5.595619002183771E-3</v>
      </c>
      <c r="AV12" s="196" t="s">
        <v>80</v>
      </c>
      <c r="AW12" s="184"/>
      <c r="AX12" s="184"/>
      <c r="AY12" s="184"/>
      <c r="AZ12" s="155"/>
      <c r="BA12" s="155"/>
      <c r="BB12" s="156"/>
      <c r="BC12" s="173">
        <v>45839</v>
      </c>
      <c r="BD12" s="174" t="e">
        <f>#REF!</f>
        <v>#REF!</v>
      </c>
      <c r="BE12" s="156">
        <v>3</v>
      </c>
      <c r="BF12" s="156" t="e" cm="1">
        <f t="array" ref="BF12">_xlfn.XLOOKUP(MIN(ABS($BJ$7:$BJ$29 - MEDIAN(MIN($BJ$7:$BJ$29), MAX($BJ$7:$BJ$29), BD12))), ABS($BJ$7:$BJ$29 - MEDIAN(MIN($BJ$7:$BJ$29), MAX($BJ$7:$BJ$29), BD12)), $BK$7:$BK$29, "Error", 0)</f>
        <v>#REF!</v>
      </c>
      <c r="BG12" s="183"/>
      <c r="BH12" s="156"/>
      <c r="BI12" s="156" cm="1">
        <f t="array" ref="BI12">_xlfn.XLOOKUP(MIN(ABS($BJ$7:$BJ$29 - MEDIAN(MIN($BJ$7:$BJ$29), MAX($BJ$7:$BJ$29), BG12))), ABS($BJ$7:$BJ$29 - MEDIAN(MIN($BJ$7:$BJ$29), MAX($BJ$7:$BJ$29), BG12)), $BK$7:$BK$29, "Error", 0)</f>
        <v>0</v>
      </c>
      <c r="BJ12" s="176">
        <v>0.12</v>
      </c>
      <c r="BK12" s="177">
        <v>10</v>
      </c>
      <c r="BL12" s="178">
        <v>12</v>
      </c>
      <c r="BO12" s="254" t="s">
        <v>85</v>
      </c>
    </row>
    <row r="13" spans="1:75" ht="22">
      <c r="A13" s="282"/>
      <c r="B13" s="207" t="s">
        <v>25</v>
      </c>
      <c r="C13" s="232" cm="1">
        <f t="array" ref="C13">_xlfn.XLOOKUP(MIN(ABS($BJ$7:$BJ$29 - MEDIAN(MIN($BJ$7:$BJ$29), MAX($BJ$7:$BJ$29), C12))), ABS($BJ$7:$BJ$29 - MEDIAN(MIN($BJ$7:$BJ$29), MAX($BJ$7:$BJ$29), C12)), $BK$7:$BK$29, "Error", 0)</f>
        <v>3</v>
      </c>
      <c r="D13" s="232" cm="1">
        <f t="array" ref="D13">_xlfn.XLOOKUP(MIN(ABS($BJ$7:$BJ$29 - MEDIAN(MIN($BJ$7:$BJ$29), MAX($BJ$7:$BJ$29), D12))), ABS($BJ$7:$BJ$29 - MEDIAN(MIN($BJ$7:$BJ$29), MAX($BJ$7:$BJ$29), D12)), $BK$7:$BK$29, "Error", 0)</f>
        <v>7</v>
      </c>
      <c r="E13" s="232" cm="1">
        <f t="array" ref="E13">_xlfn.XLOOKUP(MIN(ABS($BJ$7:$BJ$29 - MEDIAN(MIN($BJ$7:$BJ$29), MAX($BJ$7:$BJ$29), E12))), ABS($BJ$7:$BJ$29 - MEDIAN(MIN($BJ$7:$BJ$29), MAX($BJ$7:$BJ$29), E12)), $BK$7:$BK$29, "Error", 0)</f>
        <v>5</v>
      </c>
      <c r="F13" s="232" cm="1">
        <f t="array" ref="F13">_xlfn.XLOOKUP(MIN(ABS($BJ$7:$BJ$29 - MEDIAN(MIN($BJ$7:$BJ$29), MAX($BJ$7:$BJ$29), F12))), ABS($BJ$7:$BJ$29 - MEDIAN(MIN($BJ$7:$BJ$29), MAX($BJ$7:$BJ$29), F12)), $BK$7:$BK$29, "Error", 0)</f>
        <v>7</v>
      </c>
      <c r="G13" s="232" cm="1">
        <f t="array" ref="G13">_xlfn.XLOOKUP(MIN(ABS($BJ$7:$BJ$29 - MEDIAN(MIN($BJ$7:$BJ$29), MAX($BJ$7:$BJ$29), G12))), ABS($BJ$7:$BJ$29 - MEDIAN(MIN($BJ$7:$BJ$29), MAX($BJ$7:$BJ$29), G12)), $BK$7:$BK$29, "Error", 0)</f>
        <v>9</v>
      </c>
      <c r="H13" s="232" cm="1">
        <f t="array" ref="H13">_xlfn.XLOOKUP(MIN(ABS($BJ$7:$BJ$29 - MEDIAN(MIN($BJ$7:$BJ$29), MAX($BJ$7:$BJ$29), H12))), ABS($BJ$7:$BJ$29 - MEDIAN(MIN($BJ$7:$BJ$29), MAX($BJ$7:$BJ$29), H12)), $BK$7:$BK$29, "Error", 0)</f>
        <v>7</v>
      </c>
      <c r="I13" s="232" cm="1">
        <f t="array" ref="I13">_xlfn.XLOOKUP(MIN(ABS($BJ$7:$BJ$29 - MEDIAN(MIN($BJ$7:$BJ$29), MAX($BJ$7:$BJ$29), I12))), ABS($BJ$7:$BJ$29 - MEDIAN(MIN($BJ$7:$BJ$29), MAX($BJ$7:$BJ$29), I12)), $BK$7:$BK$29, "Error", 0)</f>
        <v>3</v>
      </c>
      <c r="J13" s="232" cm="1">
        <f t="array" ref="J13">_xlfn.XLOOKUP(MIN(ABS($BJ$7:$BJ$29 - MEDIAN(MIN($BJ$7:$BJ$29), MAX($BJ$7:$BJ$29), J12))), ABS($BJ$7:$BJ$29 - MEDIAN(MIN($BJ$7:$BJ$29), MAX($BJ$7:$BJ$29), J12)), $BK$7:$BK$29, "Error", 0)</f>
        <v>5</v>
      </c>
      <c r="K13" s="232" cm="1">
        <f t="array" ref="K13">_xlfn.XLOOKUP(MIN(ABS($BJ$7:$BJ$29 - MEDIAN(MIN($BJ$7:$BJ$29), MAX($BJ$7:$BJ$29), K12))), ABS($BJ$7:$BJ$29 - MEDIAN(MIN($BJ$7:$BJ$29), MAX($BJ$7:$BJ$29), K12)), $BK$7:$BK$29, "Error", 0)</f>
        <v>5</v>
      </c>
      <c r="L13" s="232" cm="1">
        <f t="array" ref="L13">_xlfn.XLOOKUP(MIN(ABS($BJ$7:$BJ$29 - MEDIAN(MIN($BJ$7:$BJ$29), MAX($BJ$7:$BJ$29), L12))), ABS($BJ$7:$BJ$29 - MEDIAN(MIN($BJ$7:$BJ$29), MAX($BJ$7:$BJ$29), L12)), $BK$7:$BK$29, "Error", 0)</f>
        <v>5</v>
      </c>
      <c r="M13" s="232" cm="1">
        <f t="array" ref="M13">_xlfn.XLOOKUP(MIN(ABS($BJ$7:$BJ$29 - MEDIAN(MIN($BJ$7:$BJ$29), MAX($BJ$7:$BJ$29), M12))), ABS($BJ$7:$BJ$29 - MEDIAN(MIN($BJ$7:$BJ$29), MAX($BJ$7:$BJ$29), M12)), $BK$7:$BK$29, "Error", 0)</f>
        <v>5</v>
      </c>
      <c r="N13" s="232" cm="1">
        <f t="array" ref="N13">_xlfn.XLOOKUP(MIN(ABS($BJ$7:$BJ$29 - MEDIAN(MIN($BJ$7:$BJ$29), MAX($BJ$7:$BJ$29), N12))), ABS($BJ$7:$BJ$29 - MEDIAN(MIN($BJ$7:$BJ$29), MAX($BJ$7:$BJ$29), N12)), $BK$7:$BK$29, "Error", 0)</f>
        <v>-2</v>
      </c>
      <c r="O13" s="232" cm="1">
        <f t="array" ref="O13">_xlfn.XLOOKUP(MIN(ABS($BJ$7:$BJ$29 - MEDIAN(MIN($BJ$7:$BJ$29), MAX($BJ$7:$BJ$29), O12))), ABS($BJ$7:$BJ$29 - MEDIAN(MIN($BJ$7:$BJ$29), MAX($BJ$7:$BJ$29), O12)), $BK$7:$BK$29, "Error", 0)</f>
        <v>0</v>
      </c>
      <c r="P13" s="232" cm="1">
        <f t="array" ref="P13">_xlfn.XLOOKUP(MIN(ABS($BJ$7:$BJ$29 - MEDIAN(MIN($BJ$7:$BJ$29), MAX($BJ$7:$BJ$29), P12))), ABS($BJ$7:$BJ$29 - MEDIAN(MIN($BJ$7:$BJ$29), MAX($BJ$7:$BJ$29), P12)), $BK$7:$BK$29, "Error", 0)</f>
        <v>0</v>
      </c>
      <c r="Q13" s="232" cm="1">
        <f t="array" ref="Q13">_xlfn.XLOOKUP(MIN(ABS($BJ$7:$BJ$29 - MEDIAN(MIN($BJ$7:$BJ$29), MAX($BJ$7:$BJ$29), Q12))), ABS($BJ$7:$BJ$29 - MEDIAN(MIN($BJ$7:$BJ$29), MAX($BJ$7:$BJ$29), Q12)), $BK$7:$BK$29, "Error", 0)</f>
        <v>0</v>
      </c>
      <c r="R13" s="232" cm="1">
        <f t="array" ref="R13">_xlfn.XLOOKUP(MIN(ABS($BJ$7:$BJ$29 - MEDIAN(MIN($BJ$7:$BJ$29), MAX($BJ$7:$BJ$29), R12))), ABS($BJ$7:$BJ$29 - MEDIAN(MIN($BJ$7:$BJ$29), MAX($BJ$7:$BJ$29), R12)), $BK$7:$BK$29, "Error", 0)</f>
        <v>2</v>
      </c>
      <c r="S13" s="232" cm="1">
        <f t="array" ref="S13">_xlfn.XLOOKUP(MIN(ABS($BJ$7:$BJ$29 - MEDIAN(MIN($BJ$7:$BJ$29), MAX($BJ$7:$BJ$29), S12))), ABS($BJ$7:$BJ$29 - MEDIAN(MIN($BJ$7:$BJ$29), MAX($BJ$7:$BJ$29), S12)), $BK$7:$BK$29, "Error", 0)</f>
        <v>0</v>
      </c>
      <c r="T13" s="232" cm="1">
        <f t="array" ref="T13">_xlfn.XLOOKUP(MIN(ABS($BJ$7:$BJ$29 - MEDIAN(MIN($BJ$7:$BJ$29), MAX($BJ$7:$BJ$29), T12))), ABS($BJ$7:$BJ$29 - MEDIAN(MIN($BJ$7:$BJ$29), MAX($BJ$7:$BJ$29), T12)), $BK$7:$BK$29, "Error", 0)</f>
        <v>0</v>
      </c>
      <c r="U13" s="232" cm="1">
        <f t="array" ref="U13">_xlfn.XLOOKUP(MIN(ABS($BJ$7:$BJ$29 - MEDIAN(MIN($BJ$7:$BJ$29), MAX($BJ$7:$BJ$29), U12))), ABS($BJ$7:$BJ$29 - MEDIAN(MIN($BJ$7:$BJ$29), MAX($BJ$7:$BJ$29), U12)), $BK$7:$BK$29, "Error", 0)</f>
        <v>-5</v>
      </c>
      <c r="V13" s="232" cm="1">
        <f t="array" ref="V13">_xlfn.XLOOKUP(MIN(ABS($BJ$7:$BJ$29 - MEDIAN(MIN($BJ$7:$BJ$29), MAX($BJ$7:$BJ$29), V12))), ABS($BJ$7:$BJ$29 - MEDIAN(MIN($BJ$7:$BJ$29), MAX($BJ$7:$BJ$29), V12)), $BK$7:$BK$29, "Error", 0)</f>
        <v>-5</v>
      </c>
      <c r="W13" s="232" cm="1">
        <f t="array" ref="W13">_xlfn.XLOOKUP(MIN(ABS($BJ$7:$BJ$29 - MEDIAN(MIN($BJ$7:$BJ$29), MAX($BJ$7:$BJ$29), W12))), ABS($BJ$7:$BJ$29 - MEDIAN(MIN($BJ$7:$BJ$29), MAX($BJ$7:$BJ$29), W12)), $BK$7:$BK$29, "Error", 0)</f>
        <v>-7</v>
      </c>
      <c r="X13" s="232" cm="1">
        <f t="array" ref="X13">_xlfn.XLOOKUP(MIN(ABS($BJ$7:$BJ$29 - MEDIAN(MIN($BJ$7:$BJ$29), MAX($BJ$7:$BJ$29), X12))), ABS($BJ$7:$BJ$29 - MEDIAN(MIN($BJ$7:$BJ$29), MAX($BJ$7:$BJ$29), X12)), $BK$7:$BK$29, "Error", 0)</f>
        <v>2</v>
      </c>
      <c r="Y13" s="232" cm="1">
        <f t="array" ref="Y13">_xlfn.XLOOKUP(MIN(ABS($BJ$7:$BJ$29 - MEDIAN(MIN($BJ$7:$BJ$29), MAX($BJ$7:$BJ$29), Y12))), ABS($BJ$7:$BJ$29 - MEDIAN(MIN($BJ$7:$BJ$29), MAX($BJ$7:$BJ$29), Y12)), $BK$7:$BK$29, "Error", 0)</f>
        <v>0</v>
      </c>
      <c r="Z13" s="232" cm="1">
        <f t="array" ref="Z13">_xlfn.XLOOKUP(MIN(ABS($BJ$7:$BJ$29 - MEDIAN(MIN($BJ$7:$BJ$29), MAX($BJ$7:$BJ$29), Z12))), ABS($BJ$7:$BJ$29 - MEDIAN(MIN($BJ$7:$BJ$29), MAX($BJ$7:$BJ$29), Z12)), $BK$7:$BK$29, "Error", 0)</f>
        <v>2</v>
      </c>
      <c r="AA13" s="232" cm="1">
        <f t="array" ref="AA13">_xlfn.XLOOKUP(MIN(ABS($BJ$7:$BJ$29 - MEDIAN(MIN($BJ$7:$BJ$29), MAX($BJ$7:$BJ$29), AA12))), ABS($BJ$7:$BJ$29 - MEDIAN(MIN($BJ$7:$BJ$29), MAX($BJ$7:$BJ$29), AA12)), $BK$7:$BK$29, "Error", 0)</f>
        <v>-3</v>
      </c>
      <c r="AB13" s="171" cm="1">
        <f t="array" ref="AB13">_xlfn.XLOOKUP(MIN(ABS($BJ$7:$BJ$29 - MEDIAN(MIN($BJ$7:$BJ$29), MAX($BJ$7:$BJ$29), AB12))), ABS($BJ$7:$BJ$29 - MEDIAN(MIN($BJ$7:$BJ$29), MAX($BJ$7:$BJ$29), AB12)), $BK$7:$BK$29, "Error", 0)</f>
        <v>-3</v>
      </c>
      <c r="AC13" s="171" cm="1">
        <f t="array" ref="AC13">_xlfn.XLOOKUP(MIN(ABS($BJ$7:$BJ$29 - MEDIAN(MIN($BJ$7:$BJ$29), MAX($BJ$7:$BJ$29), AC12))), ABS($BJ$7:$BJ$29 - MEDIAN(MIN($BJ$7:$BJ$29), MAX($BJ$7:$BJ$29), AC12)), $BK$7:$BK$29, "Error", 0)</f>
        <v>-3</v>
      </c>
      <c r="AD13" s="171" cm="1">
        <f t="array" ref="AD13">_xlfn.XLOOKUP(MIN(ABS($BJ$7:$BJ$29 - MEDIAN(MIN($BJ$7:$BJ$29), MAX($BJ$7:$BJ$29), AD12))), ABS($BJ$7:$BJ$29 - MEDIAN(MIN($BJ$7:$BJ$29), MAX($BJ$7:$BJ$29), AD12)), $BK$7:$BK$29, "Error", 0)</f>
        <v>-7</v>
      </c>
      <c r="AE13" s="171" cm="1">
        <f t="array" ref="AE13">_xlfn.XLOOKUP(MIN(ABS($BJ$7:$BJ$29 - MEDIAN(MIN($BJ$7:$BJ$29), MAX($BJ$7:$BJ$29), AE12))), ABS($BJ$7:$BJ$29 - MEDIAN(MIN($BJ$7:$BJ$29), MAX($BJ$7:$BJ$29), AE12)), $BK$7:$BK$29, "Error", 0)</f>
        <v>-7</v>
      </c>
      <c r="AF13" s="171" cm="1">
        <f t="array" ref="AF13">_xlfn.XLOOKUP(MIN(ABS($BJ$7:$BJ$29 - MEDIAN(MIN($BJ$7:$BJ$29), MAX($BJ$7:$BJ$29), AF12))), ABS($BJ$7:$BJ$29 - MEDIAN(MIN($BJ$7:$BJ$29), MAX($BJ$7:$BJ$29), AF12)), $BK$7:$BK$29, "Error", 0)</f>
        <v>-7</v>
      </c>
      <c r="AG13" s="171" cm="1">
        <f t="array" ref="AG13">_xlfn.XLOOKUP(MIN(ABS($BJ$7:$BJ$29 - MEDIAN(MIN($BJ$7:$BJ$29), MAX($BJ$7:$BJ$29), AG12))), ABS($BJ$7:$BJ$29 - MEDIAN(MIN($BJ$7:$BJ$29), MAX($BJ$7:$BJ$29), AG12)), $BK$7:$BK$29, "Error", 0)</f>
        <v>0</v>
      </c>
      <c r="AH13" s="171" cm="1">
        <f t="array" ref="AH13">_xlfn.XLOOKUP(MIN(ABS($BJ$7:$BJ$29 - MEDIAN(MIN($BJ$7:$BJ$29), MAX($BJ$7:$BJ$29), AH12))), ABS($BJ$7:$BJ$29 - MEDIAN(MIN($BJ$7:$BJ$29), MAX($BJ$7:$BJ$29), AH12)), $BK$7:$BK$29, "Error", 0)</f>
        <v>0</v>
      </c>
      <c r="AI13" s="171" cm="1">
        <f t="array" ref="AI13">_xlfn.XLOOKUP(MIN(ABS($BJ$7:$BJ$29 - MEDIAN(MIN($BJ$7:$BJ$29), MAX($BJ$7:$BJ$29), AI12))), ABS($BJ$7:$BJ$29 - MEDIAN(MIN($BJ$7:$BJ$29), MAX($BJ$7:$BJ$29), AI12)), $BK$7:$BK$29, "Error", 0)</f>
        <v>0</v>
      </c>
      <c r="AJ13" s="171" cm="1">
        <f t="array" ref="AJ13">_xlfn.XLOOKUP(MIN(ABS($BJ$7:$BJ$29 - MEDIAN(MIN($BJ$7:$BJ$29), MAX($BJ$7:$BJ$29), AJ12))), ABS($BJ$7:$BJ$29 - MEDIAN(MIN($BJ$7:$BJ$29), MAX($BJ$7:$BJ$29), AJ12)), $BK$7:$BK$29, "Error", 0)</f>
        <v>0</v>
      </c>
      <c r="AK13" s="171" cm="1">
        <f t="array" ref="AK13">_xlfn.XLOOKUP(MIN(ABS($BJ$7:$BJ$29 - MEDIAN(MIN($BJ$7:$BJ$29), MAX($BJ$7:$BJ$29), AK12))), ABS($BJ$7:$BJ$29 - MEDIAN(MIN($BJ$7:$BJ$29), MAX($BJ$7:$BJ$29), AK12)), $BK$7:$BK$29, "Error", 0)</f>
        <v>2</v>
      </c>
      <c r="AL13" s="171" cm="1">
        <f t="array" ref="AL13">_xlfn.XLOOKUP(MIN(ABS($BJ$7:$BJ$29 - MEDIAN(MIN($BJ$7:$BJ$29), MAX($BJ$7:$BJ$29), AL12))), ABS($BJ$7:$BJ$29 - MEDIAN(MIN($BJ$7:$BJ$29), MAX($BJ$7:$BJ$29), AL12)), $BK$7:$BK$29, "Error", 0)</f>
        <v>0</v>
      </c>
      <c r="AM13" s="171" cm="1">
        <f t="array" ref="AM13">_xlfn.XLOOKUP(MIN(ABS($BJ$7:$BJ$29 - MEDIAN(MIN($BJ$7:$BJ$29), MAX($BJ$7:$BJ$29), AM12))), ABS($BJ$7:$BJ$29 - MEDIAN(MIN($BJ$7:$BJ$29), MAX($BJ$7:$BJ$29), AM12)), $BK$7:$BK$29, "Error", 0)</f>
        <v>-2</v>
      </c>
      <c r="AN13" s="171" cm="1">
        <f t="array" ref="AN13">_xlfn.XLOOKUP(MIN(ABS($BJ$7:$BJ$29 - MEDIAN(MIN($BJ$7:$BJ$29), MAX($BJ$7:$BJ$29), AN12))), ABS($BJ$7:$BJ$29 - MEDIAN(MIN($BJ$7:$BJ$29), MAX($BJ$7:$BJ$29), AN12)), $BK$7:$BK$29, "Error", 0)</f>
        <v>2</v>
      </c>
      <c r="AO13" s="171" cm="1">
        <f t="array" ref="AO13">_xlfn.XLOOKUP(MIN(ABS($BJ$7:$BJ$29 - MEDIAN(MIN($BJ$7:$BJ$29), MAX($BJ$7:$BJ$29), AO12))), ABS($BJ$7:$BJ$29 - MEDIAN(MIN($BJ$7:$BJ$29), MAX($BJ$7:$BJ$29), AO12)), $BK$7:$BK$29, "Error", 0)</f>
        <v>2</v>
      </c>
      <c r="AP13" s="171" cm="1">
        <f t="array" ref="AP13">_xlfn.XLOOKUP(MIN(ABS($BJ$7:$BJ$29 - MEDIAN(MIN($BJ$7:$BJ$29), MAX($BJ$7:$BJ$29), AP12))), ABS($BJ$7:$BJ$29 - MEDIAN(MIN($BJ$7:$BJ$29), MAX($BJ$7:$BJ$29), AP12)), $BK$7:$BK$29, "Error", 0)</f>
        <v>-2</v>
      </c>
      <c r="AQ13" s="171" cm="1">
        <f t="array" ref="AQ13">_xlfn.XLOOKUP(MIN(ABS($BJ$7:$BJ$29 - MEDIAN(MIN($BJ$7:$BJ$29), MAX($BJ$7:$BJ$29), AQ12))), ABS($BJ$7:$BJ$29 - MEDIAN(MIN($BJ$7:$BJ$29), MAX($BJ$7:$BJ$29), AQ12)), $BK$7:$BK$29, "Error", 0)</f>
        <v>0</v>
      </c>
      <c r="AR13" s="171" cm="1">
        <f t="array" ref="AR13">_xlfn.XLOOKUP(MIN(ABS($BJ$7:$BJ$29 - MEDIAN(MIN($BJ$7:$BJ$29), MAX($BJ$7:$BJ$29), AR12))), ABS($BJ$7:$BJ$29 - MEDIAN(MIN($BJ$7:$BJ$29), MAX($BJ$7:$BJ$29), AR12)), $BK$7:$BK$29, "Error", 0)</f>
        <v>2</v>
      </c>
      <c r="AS13" s="171" cm="1">
        <f t="array" ref="AS13">_xlfn.XLOOKUP(MIN(ABS($BJ$7:$BJ$29 - MEDIAN(MIN($BJ$7:$BJ$29), MAX($BJ$7:$BJ$29), AS12))), ABS($BJ$7:$BJ$29 - MEDIAN(MIN($BJ$7:$BJ$29), MAX($BJ$7:$BJ$29), AS12)), $BK$7:$BK$29, "Error", 0)</f>
        <v>0</v>
      </c>
      <c r="AT13" s="171" cm="1">
        <f t="array" ref="AT13">_xlfn.XLOOKUP(MIN(ABS($BJ$7:$BJ$29 - MEDIAN(MIN($BJ$7:$BJ$29), MAX($BJ$7:$BJ$29), AT12))), ABS($BJ$7:$BJ$29 - MEDIAN(MIN($BJ$7:$BJ$29), MAX($BJ$7:$BJ$29), AT12)), $BK$7:$BK$29, "Error", 0)</f>
        <v>0</v>
      </c>
      <c r="AU13" s="171" cm="1">
        <f t="array" ref="AU13">_xlfn.XLOOKUP(MIN(ABS($BJ$7:$BJ$29 - MEDIAN(MIN($BJ$7:$BJ$29), MAX($BJ$7:$BJ$29), AU12))), ABS($BJ$7:$BJ$29 - MEDIAN(MIN($BJ$7:$BJ$29), MAX($BJ$7:$BJ$29), AU12)), $BK$7:$BK$29, "Error", 0)</f>
        <v>0</v>
      </c>
      <c r="AV13" s="207" t="s">
        <v>25</v>
      </c>
      <c r="AW13" s="184"/>
      <c r="AX13" s="184"/>
      <c r="AY13" s="184"/>
      <c r="AZ13" s="155"/>
      <c r="BA13" s="155"/>
      <c r="BB13" s="156"/>
      <c r="BC13" s="173">
        <v>45870</v>
      </c>
      <c r="BD13" s="174" t="e">
        <f>#REF!</f>
        <v>#REF!</v>
      </c>
      <c r="BE13" s="156">
        <v>5</v>
      </c>
      <c r="BF13" s="156" t="e" cm="1">
        <f t="array" ref="BF13">_xlfn.XLOOKUP(MIN(ABS($BJ$7:$BJ$29 - MEDIAN(MIN($BJ$7:$BJ$29), MAX($BJ$7:$BJ$29), BD13))), ABS($BJ$7:$BJ$29 - MEDIAN(MIN($BJ$7:$BJ$29), MAX($BJ$7:$BJ$29), BD13)), $BK$7:$BK$29, "Error", 0)</f>
        <v>#REF!</v>
      </c>
      <c r="BG13" s="183"/>
      <c r="BH13" s="156"/>
      <c r="BI13" s="156" cm="1">
        <f t="array" ref="BI13">_xlfn.XLOOKUP(MIN(ABS($BJ$7:$BJ$29 - MEDIAN(MIN($BJ$7:$BJ$29), MAX($BJ$7:$BJ$29), BG13))), ABS($BJ$7:$BJ$29 - MEDIAN(MIN($BJ$7:$BJ$29), MAX($BJ$7:$BJ$29), BG13)), $BK$7:$BK$29, "Error", 0)</f>
        <v>0</v>
      </c>
      <c r="BJ13" s="176">
        <v>0.1</v>
      </c>
      <c r="BK13" s="177">
        <v>9</v>
      </c>
      <c r="BL13" s="178">
        <v>10</v>
      </c>
      <c r="BO13" s="254" t="s">
        <v>86</v>
      </c>
    </row>
    <row r="14" spans="1:75" ht="44">
      <c r="A14" s="280" t="s">
        <v>46</v>
      </c>
      <c r="B14" s="200" t="s">
        <v>76</v>
      </c>
      <c r="C14" s="233">
        <v>4459.22481568277</v>
      </c>
      <c r="D14" s="233">
        <v>4459.22481568277</v>
      </c>
      <c r="E14" s="233">
        <v>4459.22481568277</v>
      </c>
      <c r="F14" s="233">
        <v>4459.22481568277</v>
      </c>
      <c r="G14" s="233">
        <v>4459.22481568277</v>
      </c>
      <c r="H14" s="233">
        <v>4459.22481568277</v>
      </c>
      <c r="I14" s="233">
        <v>4459.22481568277</v>
      </c>
      <c r="J14" s="233">
        <v>4459.22481568277</v>
      </c>
      <c r="K14" s="233">
        <v>4459.22481568277</v>
      </c>
      <c r="L14" s="233">
        <v>4459.22481568277</v>
      </c>
      <c r="M14" s="233">
        <v>4459.22481568277</v>
      </c>
      <c r="N14" s="233">
        <v>4459.22481568277</v>
      </c>
      <c r="O14" s="233">
        <v>4459.22481568277</v>
      </c>
      <c r="P14" s="233">
        <v>4541.0746799511498</v>
      </c>
      <c r="Q14" s="233">
        <v>4775.8507647529505</v>
      </c>
      <c r="R14" s="233">
        <v>4775.8507647529505</v>
      </c>
      <c r="S14" s="233">
        <v>4926.5485767330401</v>
      </c>
      <c r="T14" s="233">
        <v>4999.7449079254902</v>
      </c>
      <c r="U14" s="233">
        <v>4999.7449079254902</v>
      </c>
      <c r="V14" s="233">
        <v>4999.7449079254902</v>
      </c>
      <c r="W14" s="233">
        <v>4999.7449079254902</v>
      </c>
      <c r="X14" s="233">
        <v>5113.9662222748702</v>
      </c>
      <c r="Y14" s="233">
        <v>5412.51780465711</v>
      </c>
      <c r="Z14" s="233">
        <v>5412.51780465711</v>
      </c>
      <c r="AA14" s="204">
        <v>5637.5580391152798</v>
      </c>
      <c r="AB14" s="204">
        <v>5637.5580391152798</v>
      </c>
      <c r="AC14" s="204">
        <v>5637.5580391152798</v>
      </c>
      <c r="AD14" s="204">
        <v>5637.5580391152798</v>
      </c>
      <c r="AE14" s="204">
        <v>5637.5580391152798</v>
      </c>
      <c r="AF14" s="204">
        <v>5637.5580391152798</v>
      </c>
      <c r="AG14" s="204">
        <v>5637.5580391152798</v>
      </c>
      <c r="AH14" s="204">
        <v>5637.5580391152798</v>
      </c>
      <c r="AI14" s="204">
        <v>5637.5580391152798</v>
      </c>
      <c r="AJ14" s="204">
        <v>5637.5580391152798</v>
      </c>
      <c r="AK14" s="204">
        <v>5637.5580391152798</v>
      </c>
      <c r="AL14" s="204">
        <v>5637.5580391152798</v>
      </c>
      <c r="AM14" s="204">
        <v>5637.5580391152798</v>
      </c>
      <c r="AN14" s="204">
        <v>5637.5580391152798</v>
      </c>
      <c r="AO14" s="204">
        <v>5637.5580391152798</v>
      </c>
      <c r="AP14" s="204">
        <v>5637.5580391152798</v>
      </c>
      <c r="AQ14" s="204">
        <v>6008.29758716573</v>
      </c>
      <c r="AR14" s="204">
        <v>6202</v>
      </c>
      <c r="AS14" s="204">
        <v>6202</v>
      </c>
      <c r="AT14" s="204">
        <v>6202</v>
      </c>
      <c r="AU14" s="204">
        <v>6202</v>
      </c>
      <c r="AV14" s="200" t="s">
        <v>76</v>
      </c>
      <c r="AW14" s="184"/>
      <c r="AX14" s="184"/>
      <c r="AY14" s="184"/>
      <c r="AZ14" s="155"/>
      <c r="BA14" s="155"/>
      <c r="BB14" s="156"/>
      <c r="BC14" s="173">
        <v>45901</v>
      </c>
      <c r="BD14" s="174" t="e">
        <f>#REF!</f>
        <v>#REF!</v>
      </c>
      <c r="BE14" s="156">
        <v>2</v>
      </c>
      <c r="BF14" s="156" t="e" cm="1">
        <f t="array" ref="BF14">_xlfn.XLOOKUP(MIN(ABS($BJ$7:$BJ$29 - MEDIAN(MIN($BJ$7:$BJ$29), MAX($BJ$7:$BJ$29), BD14))), ABS($BJ$7:$BJ$29 - MEDIAN(MIN($BJ$7:$BJ$29), MAX($BJ$7:$BJ$29), BD14)), $BK$7:$BK$29, "Error", 0)</f>
        <v>#REF!</v>
      </c>
      <c r="BG14" s="183"/>
      <c r="BH14" s="156"/>
      <c r="BI14" s="156" cm="1">
        <f t="array" ref="BI14">_xlfn.XLOOKUP(MIN(ABS($BJ$7:$BJ$29 - MEDIAN(MIN($BJ$7:$BJ$29), MAX($BJ$7:$BJ$29), BG14))), ABS($BJ$7:$BJ$29 - MEDIAN(MIN($BJ$7:$BJ$29), MAX($BJ$7:$BJ$29), BG14)), $BK$7:$BK$29, "Error", 0)</f>
        <v>0</v>
      </c>
      <c r="BJ14" s="176">
        <v>0.08</v>
      </c>
      <c r="BK14" s="177">
        <v>7</v>
      </c>
      <c r="BL14" s="178">
        <v>8</v>
      </c>
      <c r="BO14" s="254" t="s">
        <v>93</v>
      </c>
    </row>
    <row r="15" spans="1:75" ht="22">
      <c r="A15" s="281"/>
      <c r="B15" s="201" t="s">
        <v>77</v>
      </c>
      <c r="C15" s="233">
        <v>3771.9964361893399</v>
      </c>
      <c r="D15" s="233">
        <v>3714.4721801020501</v>
      </c>
      <c r="E15" s="233">
        <v>3753.36173151905</v>
      </c>
      <c r="F15" s="233">
        <v>3728.3115844888398</v>
      </c>
      <c r="G15" s="233">
        <v>3786.0900217837202</v>
      </c>
      <c r="H15" s="233">
        <v>4001.5145693599502</v>
      </c>
      <c r="I15" s="233">
        <v>3991.5691474458399</v>
      </c>
      <c r="J15" s="233">
        <v>3958.2214217169699</v>
      </c>
      <c r="K15" s="233">
        <v>3924.4231599851</v>
      </c>
      <c r="L15" s="233">
        <v>3783.0589355903799</v>
      </c>
      <c r="M15" s="233">
        <v>3989.1508499804199</v>
      </c>
      <c r="N15" s="233">
        <v>4009.80069016269</v>
      </c>
      <c r="O15" s="233">
        <v>4176.2717145728202</v>
      </c>
      <c r="P15" s="233">
        <v>4541.0746799511498</v>
      </c>
      <c r="Q15" s="233">
        <v>4775.8507647529505</v>
      </c>
      <c r="R15" s="233">
        <v>4586.1034967580899</v>
      </c>
      <c r="S15" s="233">
        <v>4926.5485767330401</v>
      </c>
      <c r="T15" s="233">
        <v>4999.7449079254902</v>
      </c>
      <c r="U15" s="233">
        <v>4870.8341531851302</v>
      </c>
      <c r="V15" s="233">
        <v>4798.77325544634</v>
      </c>
      <c r="W15" s="233">
        <v>4843.3644070973996</v>
      </c>
      <c r="X15" s="233">
        <v>5113.9662222748702</v>
      </c>
      <c r="Y15" s="233">
        <v>5412.51780465711</v>
      </c>
      <c r="Z15" s="233">
        <v>5312.52352264809</v>
      </c>
      <c r="AA15" s="204">
        <v>5637.5580391152798</v>
      </c>
      <c r="AB15" s="204">
        <v>5358.5735609531403</v>
      </c>
      <c r="AC15" s="204">
        <v>4943.1982543191098</v>
      </c>
      <c r="AD15" s="204">
        <v>4585.6753674837801</v>
      </c>
      <c r="AE15" s="204">
        <v>4860.3610253425104</v>
      </c>
      <c r="AF15" s="204">
        <v>4953.1016147169903</v>
      </c>
      <c r="AG15" s="204">
        <v>5155.2555198257296</v>
      </c>
      <c r="AH15" s="204">
        <v>5256.3322916444204</v>
      </c>
      <c r="AI15" s="204">
        <v>5332.0404422382699</v>
      </c>
      <c r="AJ15" s="204">
        <v>5483.0362484723501</v>
      </c>
      <c r="AK15" s="204">
        <v>5496.7437080473201</v>
      </c>
      <c r="AL15" s="204">
        <v>5419.5823878645897</v>
      </c>
      <c r="AM15" s="204">
        <v>5359.9702177961299</v>
      </c>
      <c r="AN15" s="204">
        <v>5318.9564034419</v>
      </c>
      <c r="AO15" s="204">
        <v>5222.0327745261602</v>
      </c>
      <c r="AP15" s="204">
        <v>5391.2739764092003</v>
      </c>
      <c r="AQ15" s="204">
        <v>6008.29758716573</v>
      </c>
      <c r="AR15" s="204">
        <v>6202</v>
      </c>
      <c r="AS15" s="204">
        <v>6126</v>
      </c>
      <c r="AT15" s="204">
        <v>6126</v>
      </c>
      <c r="AU15" s="204">
        <v>6126</v>
      </c>
      <c r="AV15" s="201" t="s">
        <v>77</v>
      </c>
      <c r="AW15" s="184"/>
      <c r="AX15" s="184"/>
      <c r="AY15" s="184"/>
      <c r="AZ15" s="155"/>
      <c r="BA15" s="155"/>
      <c r="BB15" s="156"/>
      <c r="BC15" s="173">
        <v>45931</v>
      </c>
      <c r="BD15" s="174" t="e">
        <f>#REF!</f>
        <v>#REF!</v>
      </c>
      <c r="BE15" s="156">
        <v>3</v>
      </c>
      <c r="BF15" s="156" t="e" cm="1">
        <f t="array" ref="BF15">_xlfn.XLOOKUP(MIN(ABS($BJ$7:$BJ$29 - MEDIAN(MIN($BJ$7:$BJ$29), MAX($BJ$7:$BJ$29), BD15))), ABS($BJ$7:$BJ$29 - MEDIAN(MIN($BJ$7:$BJ$29), MAX($BJ$7:$BJ$29), BD15)), $BK$7:$BK$29, "Error", 0)</f>
        <v>#REF!</v>
      </c>
      <c r="BG15" s="183"/>
      <c r="BH15" s="156"/>
      <c r="BI15" s="156" cm="1">
        <f t="array" ref="BI15">_xlfn.XLOOKUP(MIN(ABS($BJ$7:$BJ$29 - MEDIAN(MIN($BJ$7:$BJ$29), MAX($BJ$7:$BJ$29), BG15))), ABS($BJ$7:$BJ$29 - MEDIAN(MIN($BJ$7:$BJ$29), MAX($BJ$7:$BJ$29), BG15)), $BK$7:$BK$29, "Error", 0)</f>
        <v>0</v>
      </c>
      <c r="BJ15" s="176">
        <v>0.06</v>
      </c>
      <c r="BK15" s="177">
        <v>5</v>
      </c>
      <c r="BL15" s="178">
        <v>6</v>
      </c>
      <c r="BO15" s="254" t="s">
        <v>94</v>
      </c>
    </row>
    <row r="16" spans="1:75" ht="22">
      <c r="A16" s="281"/>
      <c r="B16" s="201" t="s">
        <v>78</v>
      </c>
      <c r="C16" s="230">
        <f t="shared" ref="C16:Z16" si="6">+(C15-C14)/C14</f>
        <v>-0.15411386684889664</v>
      </c>
      <c r="D16" s="230">
        <f t="shared" si="6"/>
        <v>-0.16701392425012504</v>
      </c>
      <c r="E16" s="230">
        <f t="shared" si="6"/>
        <v>-0.15829277808134964</v>
      </c>
      <c r="F16" s="230">
        <f t="shared" si="6"/>
        <v>-0.16391037936086142</v>
      </c>
      <c r="G16" s="230">
        <f t="shared" si="6"/>
        <v>-0.15095332075020831</v>
      </c>
      <c r="H16" s="230">
        <f t="shared" si="6"/>
        <v>-0.10264345603592043</v>
      </c>
      <c r="I16" s="230">
        <f t="shared" si="6"/>
        <v>-0.10487375890809969</v>
      </c>
      <c r="J16" s="230">
        <f t="shared" si="6"/>
        <v>-0.11235212725848841</v>
      </c>
      <c r="K16" s="230">
        <f t="shared" si="6"/>
        <v>-0.11993153021054496</v>
      </c>
      <c r="L16" s="230">
        <f t="shared" si="6"/>
        <v>-0.15163305463190907</v>
      </c>
      <c r="M16" s="230">
        <f t="shared" si="6"/>
        <v>-0.10541607232923848</v>
      </c>
      <c r="N16" s="230">
        <f t="shared" si="6"/>
        <v>-0.10078525844659995</v>
      </c>
      <c r="O16" s="230">
        <f t="shared" si="6"/>
        <v>-6.3453428074499468E-2</v>
      </c>
      <c r="P16" s="230">
        <f t="shared" si="6"/>
        <v>0</v>
      </c>
      <c r="Q16" s="230">
        <f t="shared" si="6"/>
        <v>0</v>
      </c>
      <c r="R16" s="230">
        <f t="shared" si="6"/>
        <v>-3.9730568927162854E-2</v>
      </c>
      <c r="S16" s="230">
        <f t="shared" si="6"/>
        <v>0</v>
      </c>
      <c r="T16" s="230">
        <f t="shared" si="6"/>
        <v>0</v>
      </c>
      <c r="U16" s="230">
        <f t="shared" si="6"/>
        <v>-2.578346637965738E-2</v>
      </c>
      <c r="V16" s="230">
        <f t="shared" si="6"/>
        <v>-4.0196381251486279E-2</v>
      </c>
      <c r="W16" s="230">
        <f t="shared" si="6"/>
        <v>-3.1277695904084933E-2</v>
      </c>
      <c r="X16" s="230">
        <f t="shared" si="6"/>
        <v>0</v>
      </c>
      <c r="Y16" s="230">
        <f t="shared" si="6"/>
        <v>0</v>
      </c>
      <c r="Z16" s="230">
        <f t="shared" si="6"/>
        <v>-1.8474633362495663E-2</v>
      </c>
      <c r="AA16" s="230">
        <f t="shared" ref="AA16:AR16" si="7">+(AA15-AA14)/AA14</f>
        <v>0</v>
      </c>
      <c r="AB16" s="205">
        <f t="shared" si="7"/>
        <v>-4.9486759378165358E-2</v>
      </c>
      <c r="AC16" s="205">
        <f t="shared" si="7"/>
        <v>-0.12316676475496439</v>
      </c>
      <c r="AD16" s="205">
        <f t="shared" si="7"/>
        <v>-0.18658480574979147</v>
      </c>
      <c r="AE16" s="205">
        <f t="shared" si="7"/>
        <v>-0.13786057870807081</v>
      </c>
      <c r="AF16" s="205">
        <f t="shared" si="7"/>
        <v>-0.12141008919984503</v>
      </c>
      <c r="AG16" s="205">
        <f t="shared" si="7"/>
        <v>-8.555167254033974E-2</v>
      </c>
      <c r="AH16" s="205">
        <f t="shared" si="7"/>
        <v>-6.7622496269800964E-2</v>
      </c>
      <c r="AI16" s="205">
        <f t="shared" si="7"/>
        <v>-5.4193250829033743E-2</v>
      </c>
      <c r="AJ16" s="205">
        <f t="shared" si="7"/>
        <v>-2.740934808489872E-2</v>
      </c>
      <c r="AK16" s="205">
        <f t="shared" si="7"/>
        <v>-2.4977894700319254E-2</v>
      </c>
      <c r="AL16" s="205">
        <f t="shared" si="7"/>
        <v>-3.8664905928826189E-2</v>
      </c>
      <c r="AM16" s="205">
        <f t="shared" si="7"/>
        <v>-4.9239017921084267E-2</v>
      </c>
      <c r="AN16" s="205">
        <f t="shared" si="7"/>
        <v>-5.6514120735044186E-2</v>
      </c>
      <c r="AO16" s="205">
        <f t="shared" si="7"/>
        <v>-7.3706605183674404E-2</v>
      </c>
      <c r="AP16" s="205">
        <f t="shared" si="7"/>
        <v>-4.3686301940889592E-2</v>
      </c>
      <c r="AQ16" s="205">
        <f t="shared" si="7"/>
        <v>0</v>
      </c>
      <c r="AR16" s="205">
        <f t="shared" si="7"/>
        <v>0</v>
      </c>
      <c r="AS16" s="205">
        <f t="shared" ref="AS16:AT16" si="8">+(AS15-AS14)/AS14</f>
        <v>-1.2254111576910674E-2</v>
      </c>
      <c r="AT16" s="205">
        <f t="shared" si="8"/>
        <v>-1.2254111576910674E-2</v>
      </c>
      <c r="AU16" s="205">
        <f t="shared" ref="AU16" si="9">+(AU15-AU14)/AU14</f>
        <v>-1.2254111576910674E-2</v>
      </c>
      <c r="AV16" s="201" t="s">
        <v>78</v>
      </c>
      <c r="AW16" s="184"/>
      <c r="AX16" s="184"/>
      <c r="AY16" s="184"/>
      <c r="AZ16" s="155"/>
      <c r="BA16" s="155"/>
      <c r="BB16" s="156"/>
      <c r="BC16" s="173">
        <v>45962</v>
      </c>
      <c r="BD16" s="174" t="e">
        <f>#REF!</f>
        <v>#REF!</v>
      </c>
      <c r="BE16" s="156">
        <v>3</v>
      </c>
      <c r="BF16" s="156" t="e" cm="1">
        <f t="array" ref="BF16">_xlfn.XLOOKUP(MIN(ABS($BJ$7:$BJ$29 - MEDIAN(MIN($BJ$7:$BJ$29), MAX($BJ$7:$BJ$29), BD16))), ABS($BJ$7:$BJ$29 - MEDIAN(MIN($BJ$7:$BJ$29), MAX($BJ$7:$BJ$29), BD16)), $BK$7:$BK$29, "Error", 0)</f>
        <v>#REF!</v>
      </c>
      <c r="BG16" s="183" t="e">
        <f>#REF!</f>
        <v>#REF!</v>
      </c>
      <c r="BH16" s="156"/>
      <c r="BI16" s="156" t="e" cm="1">
        <f t="array" ref="BI16">_xlfn.XLOOKUP(MIN(ABS($BJ$7:$BJ$29 - MEDIAN(MIN($BJ$7:$BJ$29), MAX($BJ$7:$BJ$29), BG16))), ABS($BJ$7:$BJ$29 - MEDIAN(MIN($BJ$7:$BJ$29), MAX($BJ$7:$BJ$29), BG16)), $BK$7:$BK$29, "Error", 0)</f>
        <v>#REF!</v>
      </c>
      <c r="BJ16" s="176">
        <v>0.04</v>
      </c>
      <c r="BK16" s="177">
        <v>3</v>
      </c>
      <c r="BL16" s="178">
        <v>4</v>
      </c>
      <c r="BO16" s="254" t="s">
        <v>87</v>
      </c>
    </row>
    <row r="17" spans="1:67" ht="44">
      <c r="A17" s="281"/>
      <c r="B17" s="201" t="s">
        <v>83</v>
      </c>
      <c r="C17" s="233">
        <v>4808.93017578125</v>
      </c>
      <c r="D17" s="233">
        <v>4808.93017578125</v>
      </c>
      <c r="E17" s="233">
        <v>4808.93017578125</v>
      </c>
      <c r="F17" s="233">
        <v>4808.93017578125</v>
      </c>
      <c r="G17" s="233">
        <v>4808.93017578125</v>
      </c>
      <c r="H17" s="233">
        <v>4808.93017578125</v>
      </c>
      <c r="I17" s="233">
        <v>4808.93017578125</v>
      </c>
      <c r="J17" s="233">
        <v>4808.93017578125</v>
      </c>
      <c r="K17" s="233">
        <v>4808.93017578125</v>
      </c>
      <c r="L17" s="233">
        <v>4808.93017578125</v>
      </c>
      <c r="M17" s="233">
        <v>4808.93017578125</v>
      </c>
      <c r="N17" s="233">
        <v>4808.93017578125</v>
      </c>
      <c r="O17" s="233">
        <v>4931.08984375</v>
      </c>
      <c r="P17" s="233">
        <v>5111.06005859375</v>
      </c>
      <c r="Q17" s="233">
        <v>5264.85009765625</v>
      </c>
      <c r="R17" s="233">
        <v>5264.85009765625</v>
      </c>
      <c r="S17" s="233">
        <v>5341.8798828125</v>
      </c>
      <c r="T17" s="233">
        <v>5523.64013671875</v>
      </c>
      <c r="U17" s="233">
        <v>5669.669921875</v>
      </c>
      <c r="V17" s="233">
        <v>5669.669921875</v>
      </c>
      <c r="W17" s="233">
        <v>5767.3701171875</v>
      </c>
      <c r="X17" s="233">
        <v>5767.3701171875</v>
      </c>
      <c r="Y17" s="233">
        <v>6044.169921875</v>
      </c>
      <c r="Z17" s="233">
        <v>6044.169921875</v>
      </c>
      <c r="AA17" s="231">
        <v>6128.18017578125</v>
      </c>
      <c r="AB17" s="203">
        <v>6128.18017578125</v>
      </c>
      <c r="AC17" s="203">
        <v>6128.18017578125</v>
      </c>
      <c r="AD17" s="203">
        <v>6128.18017578125</v>
      </c>
      <c r="AE17" s="203">
        <v>6128.18017578125</v>
      </c>
      <c r="AF17" s="203">
        <v>6215.080078125</v>
      </c>
      <c r="AG17" s="203">
        <v>6427.02001953125</v>
      </c>
      <c r="AH17" s="203">
        <v>6508.22998046875</v>
      </c>
      <c r="AI17" s="203">
        <v>6699.52001953125</v>
      </c>
      <c r="AJ17" s="203">
        <v>6920.33984375</v>
      </c>
      <c r="AK17" s="203">
        <v>6920.33984375</v>
      </c>
      <c r="AL17" s="203">
        <v>6945.77001953125</v>
      </c>
      <c r="AM17" s="203">
        <v>7002.27978515625</v>
      </c>
      <c r="AN17" s="203">
        <v>7002.27978515625</v>
      </c>
      <c r="AO17" s="203">
        <v>7002.27978515625</v>
      </c>
      <c r="AP17" s="203">
        <v>7219.830078125</v>
      </c>
      <c r="AQ17" s="203">
        <v>7599.3798828125</v>
      </c>
      <c r="AR17" s="203">
        <v>7599.3798828125</v>
      </c>
      <c r="AS17" s="203">
        <v>7599.3798828125</v>
      </c>
      <c r="AT17" s="203">
        <v>7599.3798828125</v>
      </c>
      <c r="AU17" s="203">
        <v>7599.3798828125</v>
      </c>
      <c r="AV17" s="201" t="s">
        <v>83</v>
      </c>
      <c r="AW17" s="184"/>
      <c r="AX17" s="184"/>
      <c r="AY17" s="184"/>
      <c r="AZ17" s="155"/>
      <c r="BA17" s="155"/>
      <c r="BB17" s="156"/>
      <c r="BC17" s="173">
        <v>45992</v>
      </c>
      <c r="BD17" s="174" t="e">
        <f>#REF!</f>
        <v>#REF!</v>
      </c>
      <c r="BE17" s="156">
        <v>3</v>
      </c>
      <c r="BF17" s="156" t="e" cm="1">
        <f t="array" ref="BF17">_xlfn.XLOOKUP(MIN(ABS($BJ$7:$BJ$29 - MEDIAN(MIN($BJ$7:$BJ$29), MAX($BJ$7:$BJ$29), BD17))), ABS($BJ$7:$BJ$29 - MEDIAN(MIN($BJ$7:$BJ$29), MAX($BJ$7:$BJ$29), BD17)), $BK$7:$BK$29, "Error", 0)</f>
        <v>#REF!</v>
      </c>
      <c r="BG17" s="183" t="e">
        <f>#REF!</f>
        <v>#REF!</v>
      </c>
      <c r="BH17" s="156"/>
      <c r="BI17" s="156" t="e" cm="1">
        <f t="array" ref="BI17">_xlfn.XLOOKUP(MIN(ABS($BJ$7:$BJ$29 - MEDIAN(MIN($BJ$7:$BJ$29), MAX($BJ$7:$BJ$29), BG17))), ABS($BJ$7:$BJ$29 - MEDIAN(MIN($BJ$7:$BJ$29), MAX($BJ$7:$BJ$29), BG17)), $BK$7:$BK$29, "Error", 0)</f>
        <v>#REF!</v>
      </c>
      <c r="BJ17" s="176">
        <v>0.02</v>
      </c>
      <c r="BK17" s="177">
        <v>2</v>
      </c>
      <c r="BL17" s="178">
        <v>2</v>
      </c>
      <c r="BO17" s="254" t="s">
        <v>88</v>
      </c>
    </row>
    <row r="18" spans="1:67" ht="44">
      <c r="A18" s="281"/>
      <c r="B18" s="201" t="s">
        <v>84</v>
      </c>
      <c r="C18" s="233">
        <v>4076.60009765625</v>
      </c>
      <c r="D18" s="233">
        <v>3970.14990234375</v>
      </c>
      <c r="E18" s="233">
        <v>4109.31005859375</v>
      </c>
      <c r="F18" s="233">
        <v>4169.47998046875</v>
      </c>
      <c r="G18" s="233">
        <v>4179.830078125</v>
      </c>
      <c r="H18" s="233">
        <v>4450.3798828125</v>
      </c>
      <c r="I18" s="233">
        <v>4588.9599609375</v>
      </c>
      <c r="J18" s="233">
        <v>4507.66015625</v>
      </c>
      <c r="K18" s="233">
        <v>4288.0498046875</v>
      </c>
      <c r="L18" s="233">
        <v>4193.7998046875</v>
      </c>
      <c r="M18" s="233">
        <v>4567.7998046875</v>
      </c>
      <c r="N18" s="233">
        <v>4769.830078125</v>
      </c>
      <c r="O18" s="233">
        <v>4931.08984375</v>
      </c>
      <c r="P18" s="233">
        <v>5111.06005859375</v>
      </c>
      <c r="Q18" s="233">
        <v>5264.85009765625</v>
      </c>
      <c r="R18" s="233">
        <v>5035.68994140625</v>
      </c>
      <c r="S18" s="233">
        <v>5341.8798828125</v>
      </c>
      <c r="T18" s="233">
        <v>5523.64013671875</v>
      </c>
      <c r="U18" s="233">
        <v>5669.669921875</v>
      </c>
      <c r="V18" s="233">
        <v>5648.39990234375</v>
      </c>
      <c r="W18" s="233">
        <v>5767.3701171875</v>
      </c>
      <c r="X18" s="233">
        <v>5705.4501953125</v>
      </c>
      <c r="Y18" s="233">
        <v>6044.169921875</v>
      </c>
      <c r="Z18" s="233">
        <v>5881.6298828125</v>
      </c>
      <c r="AA18" s="231">
        <v>6128.18017578125</v>
      </c>
      <c r="AB18" s="203">
        <v>5954.5</v>
      </c>
      <c r="AC18" s="203">
        <v>5611.85009765625</v>
      </c>
      <c r="AD18" s="203">
        <v>5569.06005859375</v>
      </c>
      <c r="AE18" s="203">
        <v>5911.68994140625</v>
      </c>
      <c r="AF18" s="203">
        <v>6215.080078125</v>
      </c>
      <c r="AG18" s="203">
        <v>6427.02001953125</v>
      </c>
      <c r="AH18" s="203">
        <v>6508.22998046875</v>
      </c>
      <c r="AI18" s="203">
        <v>6699.52001953125</v>
      </c>
      <c r="AJ18" s="203">
        <v>6920.33984375</v>
      </c>
      <c r="AK18" s="203">
        <v>6849.08984375</v>
      </c>
      <c r="AL18" s="203">
        <v>6945.77001953125</v>
      </c>
      <c r="AM18" s="203">
        <v>7002.27978515625</v>
      </c>
      <c r="AN18" s="203">
        <v>6878.8798828125</v>
      </c>
      <c r="AO18" s="203">
        <v>6528.52001953125</v>
      </c>
      <c r="AP18" s="203">
        <v>7219.830078125</v>
      </c>
      <c r="AQ18" s="203">
        <v>7599.3798828125</v>
      </c>
      <c r="AR18" s="203">
        <v>7499</v>
      </c>
      <c r="AS18" s="203">
        <v>7572</v>
      </c>
      <c r="AT18" s="203">
        <v>7572</v>
      </c>
      <c r="AU18" s="203">
        <v>7572</v>
      </c>
      <c r="AV18" s="201" t="s">
        <v>84</v>
      </c>
      <c r="AW18" s="184"/>
      <c r="AX18" s="184"/>
      <c r="AY18" s="184"/>
      <c r="AZ18" s="155"/>
      <c r="BA18" s="155"/>
      <c r="BB18" s="156"/>
      <c r="BC18" s="173">
        <v>46023</v>
      </c>
      <c r="BD18" s="174" t="e">
        <f>#REF!</f>
        <v>#REF!</v>
      </c>
      <c r="BE18" s="156">
        <v>5</v>
      </c>
      <c r="BF18" s="156" t="e" cm="1">
        <f t="array" ref="BF18">_xlfn.XLOOKUP(MIN(ABS($BJ$7:$BJ$29 - MEDIAN(MIN($BJ$7:$BJ$29), MAX($BJ$7:$BJ$29), BD18))), ABS($BJ$7:$BJ$29 - MEDIAN(MIN($BJ$7:$BJ$29), MAX($BJ$7:$BJ$29), BD18)), $BK$7:$BK$29, "Error", 0)</f>
        <v>#REF!</v>
      </c>
      <c r="BG18" s="183" t="e">
        <f>#REF!</f>
        <v>#REF!</v>
      </c>
      <c r="BH18" s="156"/>
      <c r="BI18" s="156" t="e" cm="1">
        <f t="array" ref="BI18">_xlfn.XLOOKUP(MIN(ABS($BJ$7:$BJ$29 - MEDIAN(MIN($BJ$7:$BJ$29), MAX($BJ$7:$BJ$29), BG18))), ABS($BJ$7:$BJ$29 - MEDIAN(MIN($BJ$7:$BJ$29), MAX($BJ$7:$BJ$29), BG18)), $BK$7:$BK$29, "Error", 0)</f>
        <v>#REF!</v>
      </c>
      <c r="BJ18" s="179">
        <v>0</v>
      </c>
      <c r="BK18" s="180">
        <v>0</v>
      </c>
      <c r="BL18" s="181">
        <v>0</v>
      </c>
      <c r="BO18" s="254"/>
    </row>
    <row r="19" spans="1:67" ht="44">
      <c r="A19" s="281"/>
      <c r="B19" s="201" t="s">
        <v>79</v>
      </c>
      <c r="C19" s="230">
        <f t="shared" ref="C19:Z19" si="10">+(C18-C17)/C17</f>
        <v>-0.15228544631676358</v>
      </c>
      <c r="D19" s="230">
        <f t="shared" si="10"/>
        <v>-0.17442138745573141</v>
      </c>
      <c r="E19" s="230">
        <f t="shared" si="10"/>
        <v>-0.14548352577688259</v>
      </c>
      <c r="F19" s="230">
        <f t="shared" si="10"/>
        <v>-0.13297140360508897</v>
      </c>
      <c r="G19" s="230">
        <f t="shared" si="10"/>
        <v>-0.13081913745068</v>
      </c>
      <c r="H19" s="230">
        <f t="shared" si="10"/>
        <v>-7.455926367458654E-2</v>
      </c>
      <c r="I19" s="230">
        <f t="shared" si="10"/>
        <v>-4.5742027187577958E-2</v>
      </c>
      <c r="J19" s="230">
        <f t="shared" si="10"/>
        <v>-6.2648033662145289E-2</v>
      </c>
      <c r="K19" s="230">
        <f t="shared" si="10"/>
        <v>-0.10831522855478531</v>
      </c>
      <c r="L19" s="230">
        <f t="shared" si="10"/>
        <v>-0.12791418228355064</v>
      </c>
      <c r="M19" s="230">
        <f t="shared" si="10"/>
        <v>-5.0142206744471271E-2</v>
      </c>
      <c r="N19" s="230">
        <f t="shared" si="10"/>
        <v>-8.1307268409023786E-3</v>
      </c>
      <c r="O19" s="230">
        <f t="shared" si="10"/>
        <v>0</v>
      </c>
      <c r="P19" s="230">
        <f t="shared" si="10"/>
        <v>0</v>
      </c>
      <c r="Q19" s="230">
        <f t="shared" si="10"/>
        <v>0</v>
      </c>
      <c r="R19" s="230">
        <f t="shared" si="10"/>
        <v>-4.3526435130985988E-2</v>
      </c>
      <c r="S19" s="230">
        <f t="shared" si="10"/>
        <v>0</v>
      </c>
      <c r="T19" s="230">
        <f t="shared" si="10"/>
        <v>0</v>
      </c>
      <c r="U19" s="230">
        <f t="shared" si="10"/>
        <v>0</v>
      </c>
      <c r="V19" s="230">
        <f t="shared" si="10"/>
        <v>-3.7515445915440268E-3</v>
      </c>
      <c r="W19" s="230">
        <f t="shared" si="10"/>
        <v>0</v>
      </c>
      <c r="X19" s="230">
        <f t="shared" si="10"/>
        <v>-1.0736249038443141E-2</v>
      </c>
      <c r="Y19" s="230">
        <f t="shared" si="10"/>
        <v>0</v>
      </c>
      <c r="Z19" s="230">
        <f t="shared" si="10"/>
        <v>-2.6892036650762695E-2</v>
      </c>
      <c r="AA19" s="230">
        <f>+(AA18-AA17)/AA17</f>
        <v>0</v>
      </c>
      <c r="AB19" s="205">
        <f t="shared" ref="AB19:AP19" si="11">+(AB18-AB17)/AB17</f>
        <v>-2.8341231948048658E-2</v>
      </c>
      <c r="AC19" s="205">
        <f t="shared" si="11"/>
        <v>-8.4255042005055888E-2</v>
      </c>
      <c r="AD19" s="205">
        <f t="shared" si="11"/>
        <v>-9.1237545429417907E-2</v>
      </c>
      <c r="AE19" s="205">
        <f t="shared" si="11"/>
        <v>-3.5327002171146309E-2</v>
      </c>
      <c r="AF19" s="205">
        <f t="shared" si="11"/>
        <v>0</v>
      </c>
      <c r="AG19" s="205">
        <f t="shared" si="11"/>
        <v>0</v>
      </c>
      <c r="AH19" s="205">
        <f t="shared" si="11"/>
        <v>0</v>
      </c>
      <c r="AI19" s="205">
        <f t="shared" si="11"/>
        <v>0</v>
      </c>
      <c r="AJ19" s="205">
        <f t="shared" si="11"/>
        <v>0</v>
      </c>
      <c r="AK19" s="205">
        <f t="shared" si="11"/>
        <v>-1.0295737147121229E-2</v>
      </c>
      <c r="AL19" s="205">
        <f t="shared" si="11"/>
        <v>0</v>
      </c>
      <c r="AM19" s="205">
        <f t="shared" si="11"/>
        <v>0</v>
      </c>
      <c r="AN19" s="205">
        <f t="shared" si="11"/>
        <v>-1.7622818014975453E-2</v>
      </c>
      <c r="AO19" s="205">
        <f t="shared" si="11"/>
        <v>-6.7657931439600208E-2</v>
      </c>
      <c r="AP19" s="205">
        <f t="shared" si="11"/>
        <v>0</v>
      </c>
      <c r="AQ19" s="205">
        <f>+(AQ18-AQ17)/AQ17</f>
        <v>0</v>
      </c>
      <c r="AR19" s="205">
        <f>+(AR18-AR17)/AR17</f>
        <v>-1.3208957093924065E-2</v>
      </c>
      <c r="AS19" s="205">
        <f>+(AS18-AS17)/AS17</f>
        <v>-3.6029101367106306E-3</v>
      </c>
      <c r="AT19" s="205">
        <f>+(AT18-AT17)/AT17</f>
        <v>-3.6029101367106306E-3</v>
      </c>
      <c r="AU19" s="205">
        <f>+(AU18-AU17)/AU17</f>
        <v>-3.6029101367106306E-3</v>
      </c>
      <c r="AV19" s="201" t="s">
        <v>79</v>
      </c>
      <c r="AW19" s="184"/>
      <c r="AX19" s="184"/>
      <c r="AY19" s="184"/>
      <c r="AZ19" s="155"/>
      <c r="BA19" s="155"/>
      <c r="BB19" s="156"/>
      <c r="BC19" s="173">
        <v>46054</v>
      </c>
      <c r="BD19" s="174" t="e">
        <f>#REF!</f>
        <v>#REF!</v>
      </c>
      <c r="BE19" s="156">
        <v>3</v>
      </c>
      <c r="BF19" s="156" t="e" cm="1">
        <f t="array" ref="BF19">_xlfn.XLOOKUP(MIN(ABS($BJ$7:$BJ$29 - MEDIAN(MIN($BJ$7:$BJ$29), MAX($BJ$7:$BJ$29), BD19))), ABS($BJ$7:$BJ$29 - MEDIAN(MIN($BJ$7:$BJ$29), MAX($BJ$7:$BJ$29), BD19)), $BK$7:$BK$29, "Error", 0)</f>
        <v>#REF!</v>
      </c>
      <c r="BG19" s="183" t="e">
        <f>#REF!</f>
        <v>#REF!</v>
      </c>
      <c r="BH19" s="156"/>
      <c r="BI19" s="156" t="e" cm="1">
        <f t="array" ref="BI19">_xlfn.XLOOKUP(MIN(ABS($BJ$7:$BJ$29 - MEDIAN(MIN($BJ$7:$BJ$29), MAX($BJ$7:$BJ$29), BG19))), ABS($BJ$7:$BJ$29 - MEDIAN(MIN($BJ$7:$BJ$29), MAX($BJ$7:$BJ$29), BG19)), $BK$7:$BK$29, "Error", 0)</f>
        <v>#REF!</v>
      </c>
      <c r="BJ19" s="176">
        <v>-0.02</v>
      </c>
      <c r="BK19" s="182">
        <v>-2</v>
      </c>
      <c r="BL19" s="178">
        <v>-2</v>
      </c>
    </row>
    <row r="20" spans="1:67" ht="22">
      <c r="A20" s="281"/>
      <c r="B20" s="201" t="s">
        <v>80</v>
      </c>
      <c r="C20" s="230">
        <f t="shared" ref="C20:Z20" si="12">+C16-C19</f>
        <v>-1.8284205321330571E-3</v>
      </c>
      <c r="D20" s="230">
        <f t="shared" si="12"/>
        <v>7.4074632056063683E-3</v>
      </c>
      <c r="E20" s="230">
        <f t="shared" si="12"/>
        <v>-1.2809252304467056E-2</v>
      </c>
      <c r="F20" s="230">
        <f t="shared" si="12"/>
        <v>-3.0938975755772452E-2</v>
      </c>
      <c r="G20" s="230">
        <f t="shared" si="12"/>
        <v>-2.0134183299528319E-2</v>
      </c>
      <c r="H20" s="230">
        <f t="shared" si="12"/>
        <v>-2.8084192361333887E-2</v>
      </c>
      <c r="I20" s="230">
        <f t="shared" si="12"/>
        <v>-5.9131731720521732E-2</v>
      </c>
      <c r="J20" s="230">
        <f t="shared" si="12"/>
        <v>-4.9704093596343119E-2</v>
      </c>
      <c r="K20" s="230">
        <f t="shared" si="12"/>
        <v>-1.161630165575965E-2</v>
      </c>
      <c r="L20" s="230">
        <f t="shared" si="12"/>
        <v>-2.3718872348358427E-2</v>
      </c>
      <c r="M20" s="230">
        <f t="shared" si="12"/>
        <v>-5.5273865584767212E-2</v>
      </c>
      <c r="N20" s="230">
        <f t="shared" si="12"/>
        <v>-9.2654531605697574E-2</v>
      </c>
      <c r="O20" s="230">
        <f t="shared" si="12"/>
        <v>-6.3453428074499468E-2</v>
      </c>
      <c r="P20" s="230">
        <f t="shared" si="12"/>
        <v>0</v>
      </c>
      <c r="Q20" s="230">
        <f t="shared" si="12"/>
        <v>0</v>
      </c>
      <c r="R20" s="230">
        <f t="shared" si="12"/>
        <v>3.7958662038231339E-3</v>
      </c>
      <c r="S20" s="230">
        <f t="shared" si="12"/>
        <v>0</v>
      </c>
      <c r="T20" s="230">
        <f t="shared" si="12"/>
        <v>0</v>
      </c>
      <c r="U20" s="230">
        <f t="shared" si="12"/>
        <v>-2.578346637965738E-2</v>
      </c>
      <c r="V20" s="230">
        <f t="shared" si="12"/>
        <v>-3.6444836659942255E-2</v>
      </c>
      <c r="W20" s="230">
        <f t="shared" si="12"/>
        <v>-3.1277695904084933E-2</v>
      </c>
      <c r="X20" s="230">
        <f t="shared" si="12"/>
        <v>1.0736249038443141E-2</v>
      </c>
      <c r="Y20" s="230">
        <f t="shared" si="12"/>
        <v>0</v>
      </c>
      <c r="Z20" s="230">
        <f t="shared" si="12"/>
        <v>8.4174032882670322E-3</v>
      </c>
      <c r="AA20" s="230">
        <f t="shared" ref="AA20:AR20" si="13">+AA16-AA19</f>
        <v>0</v>
      </c>
      <c r="AB20" s="205">
        <f t="shared" si="13"/>
        <v>-2.11455274301167E-2</v>
      </c>
      <c r="AC20" s="205">
        <f t="shared" si="13"/>
        <v>-3.8911722749908506E-2</v>
      </c>
      <c r="AD20" s="205">
        <f t="shared" si="13"/>
        <v>-9.5347260320373564E-2</v>
      </c>
      <c r="AE20" s="205">
        <f t="shared" si="13"/>
        <v>-0.10253357653692449</v>
      </c>
      <c r="AF20" s="205">
        <f t="shared" si="13"/>
        <v>-0.12141008919984503</v>
      </c>
      <c r="AG20" s="205">
        <f t="shared" si="13"/>
        <v>-8.555167254033974E-2</v>
      </c>
      <c r="AH20" s="205">
        <f t="shared" si="13"/>
        <v>-6.7622496269800964E-2</v>
      </c>
      <c r="AI20" s="205">
        <f t="shared" si="13"/>
        <v>-5.4193250829033743E-2</v>
      </c>
      <c r="AJ20" s="205">
        <f t="shared" si="13"/>
        <v>-2.740934808489872E-2</v>
      </c>
      <c r="AK20" s="205">
        <f t="shared" si="13"/>
        <v>-1.4682157553198025E-2</v>
      </c>
      <c r="AL20" s="205">
        <f t="shared" si="13"/>
        <v>-3.8664905928826189E-2</v>
      </c>
      <c r="AM20" s="205">
        <f t="shared" si="13"/>
        <v>-4.9239017921084267E-2</v>
      </c>
      <c r="AN20" s="205">
        <f t="shared" si="13"/>
        <v>-3.8891302720068729E-2</v>
      </c>
      <c r="AO20" s="205">
        <f t="shared" si="13"/>
        <v>-6.0486737440741956E-3</v>
      </c>
      <c r="AP20" s="205">
        <f t="shared" si="13"/>
        <v>-4.3686301940889592E-2</v>
      </c>
      <c r="AQ20" s="205">
        <f t="shared" si="13"/>
        <v>0</v>
      </c>
      <c r="AR20" s="205">
        <f t="shared" si="13"/>
        <v>1.3208957093924065E-2</v>
      </c>
      <c r="AS20" s="205">
        <f t="shared" ref="AS20:AT20" si="14">+AS16-AS19</f>
        <v>-8.6512014402000438E-3</v>
      </c>
      <c r="AT20" s="205">
        <f t="shared" si="14"/>
        <v>-8.6512014402000438E-3</v>
      </c>
      <c r="AU20" s="205">
        <f t="shared" ref="AU20" si="15">+AU16-AU19</f>
        <v>-8.6512014402000438E-3</v>
      </c>
      <c r="AV20" s="201" t="s">
        <v>80</v>
      </c>
      <c r="AW20" s="184"/>
      <c r="AX20" s="184"/>
      <c r="AY20" s="184"/>
      <c r="AZ20" s="155"/>
      <c r="BA20" s="155"/>
      <c r="BB20" s="156"/>
      <c r="BC20" s="173">
        <v>46082</v>
      </c>
      <c r="BD20" s="174" t="e">
        <f>#REF!</f>
        <v>#REF!</v>
      </c>
      <c r="BE20" s="156">
        <v>0</v>
      </c>
      <c r="BF20" s="156" t="e" cm="1">
        <f t="array" ref="BF20">_xlfn.XLOOKUP(MIN(ABS($BJ$7:$BJ$29 - MEDIAN(MIN($BJ$7:$BJ$29), MAX($BJ$7:$BJ$29), BD20))), ABS($BJ$7:$BJ$29 - MEDIAN(MIN($BJ$7:$BJ$29), MAX($BJ$7:$BJ$29), BD20)), $BK$7:$BK$29, "Error", 0)</f>
        <v>#REF!</v>
      </c>
      <c r="BG20" s="183" t="e">
        <f>#REF!</f>
        <v>#REF!</v>
      </c>
      <c r="BH20" s="156"/>
      <c r="BI20" s="156" t="e" cm="1">
        <f t="array" ref="BI20">_xlfn.XLOOKUP(MIN(ABS($BJ$7:$BJ$29 - MEDIAN(MIN($BJ$7:$BJ$29), MAX($BJ$7:$BJ$29), BG20))), ABS($BJ$7:$BJ$29 - MEDIAN(MIN($BJ$7:$BJ$29), MAX($BJ$7:$BJ$29), BG20)), $BK$7:$BK$29, "Error", 0)</f>
        <v>#REF!</v>
      </c>
      <c r="BJ20" s="176">
        <v>-0.04</v>
      </c>
      <c r="BK20" s="182">
        <v>-3</v>
      </c>
      <c r="BL20" s="178">
        <v>-4</v>
      </c>
    </row>
    <row r="21" spans="1:67" ht="22">
      <c r="A21" s="282"/>
      <c r="B21" s="206" t="s">
        <v>25</v>
      </c>
      <c r="C21" s="232" cm="1">
        <f t="array" ref="C21">_xlfn.XLOOKUP(MIN(ABS($BJ$7:$BJ$29 - MEDIAN(MIN($BJ$7:$BJ$29), MAX($BJ$7:$BJ$29), C20))), ABS($BJ$7:$BJ$29 - MEDIAN(MIN($BJ$7:$BJ$29), MAX($BJ$7:$BJ$29), C20)), $BK$7:$BK$29, "Error", 0)</f>
        <v>0</v>
      </c>
      <c r="D21" s="232" cm="1">
        <f t="array" ref="D21">_xlfn.XLOOKUP(MIN(ABS($BJ$7:$BJ$29 - MEDIAN(MIN($BJ$7:$BJ$29), MAX($BJ$7:$BJ$29), D20))), ABS($BJ$7:$BJ$29 - MEDIAN(MIN($BJ$7:$BJ$29), MAX($BJ$7:$BJ$29), D20)), $BK$7:$BK$29, "Error", 0)</f>
        <v>0</v>
      </c>
      <c r="E21" s="232" cm="1">
        <f t="array" ref="E21">_xlfn.XLOOKUP(MIN(ABS($BJ$7:$BJ$29 - MEDIAN(MIN($BJ$7:$BJ$29), MAX($BJ$7:$BJ$29), E20))), ABS($BJ$7:$BJ$29 - MEDIAN(MIN($BJ$7:$BJ$29), MAX($BJ$7:$BJ$29), E20)), $BK$7:$BK$29, "Error", 0)</f>
        <v>-2</v>
      </c>
      <c r="F21" s="232" cm="1">
        <f t="array" ref="F21">_xlfn.XLOOKUP(MIN(ABS($BJ$7:$BJ$29 - MEDIAN(MIN($BJ$7:$BJ$29), MAX($BJ$7:$BJ$29), F20))), ABS($BJ$7:$BJ$29 - MEDIAN(MIN($BJ$7:$BJ$29), MAX($BJ$7:$BJ$29), F20)), $BK$7:$BK$29, "Error", 0)</f>
        <v>-3</v>
      </c>
      <c r="G21" s="232" cm="1">
        <f t="array" ref="G21">_xlfn.XLOOKUP(MIN(ABS($BJ$7:$BJ$29 - MEDIAN(MIN($BJ$7:$BJ$29), MAX($BJ$7:$BJ$29), G20))), ABS($BJ$7:$BJ$29 - MEDIAN(MIN($BJ$7:$BJ$29), MAX($BJ$7:$BJ$29), G20)), $BK$7:$BK$29, "Error", 0)</f>
        <v>-2</v>
      </c>
      <c r="H21" s="232" cm="1">
        <f t="array" ref="H21">_xlfn.XLOOKUP(MIN(ABS($BJ$7:$BJ$29 - MEDIAN(MIN($BJ$7:$BJ$29), MAX($BJ$7:$BJ$29), H20))), ABS($BJ$7:$BJ$29 - MEDIAN(MIN($BJ$7:$BJ$29), MAX($BJ$7:$BJ$29), H20)), $BK$7:$BK$29, "Error", 0)</f>
        <v>-2</v>
      </c>
      <c r="I21" s="232" cm="1">
        <f t="array" ref="I21">_xlfn.XLOOKUP(MIN(ABS($BJ$7:$BJ$29 - MEDIAN(MIN($BJ$7:$BJ$29), MAX($BJ$7:$BJ$29), I20))), ABS($BJ$7:$BJ$29 - MEDIAN(MIN($BJ$7:$BJ$29), MAX($BJ$7:$BJ$29), I20)), $BK$7:$BK$29, "Error", 0)</f>
        <v>-5</v>
      </c>
      <c r="J21" s="232" cm="1">
        <f t="array" ref="J21">_xlfn.XLOOKUP(MIN(ABS($BJ$7:$BJ$29 - MEDIAN(MIN($BJ$7:$BJ$29), MAX($BJ$7:$BJ$29), J20))), ABS($BJ$7:$BJ$29 - MEDIAN(MIN($BJ$7:$BJ$29), MAX($BJ$7:$BJ$29), J20)), $BK$7:$BK$29, "Error", 0)</f>
        <v>-3</v>
      </c>
      <c r="K21" s="232" cm="1">
        <f t="array" ref="K21">_xlfn.XLOOKUP(MIN(ABS($BJ$7:$BJ$29 - MEDIAN(MIN($BJ$7:$BJ$29), MAX($BJ$7:$BJ$29), K20))), ABS($BJ$7:$BJ$29 - MEDIAN(MIN($BJ$7:$BJ$29), MAX($BJ$7:$BJ$29), K20)), $BK$7:$BK$29, "Error", 0)</f>
        <v>-2</v>
      </c>
      <c r="L21" s="232" cm="1">
        <f t="array" ref="L21">_xlfn.XLOOKUP(MIN(ABS($BJ$7:$BJ$29 - MEDIAN(MIN($BJ$7:$BJ$29), MAX($BJ$7:$BJ$29), L20))), ABS($BJ$7:$BJ$29 - MEDIAN(MIN($BJ$7:$BJ$29), MAX($BJ$7:$BJ$29), L20)), $BK$7:$BK$29, "Error", 0)</f>
        <v>-2</v>
      </c>
      <c r="M21" s="232" cm="1">
        <f t="array" ref="M21">_xlfn.XLOOKUP(MIN(ABS($BJ$7:$BJ$29 - MEDIAN(MIN($BJ$7:$BJ$29), MAX($BJ$7:$BJ$29), M20))), ABS($BJ$7:$BJ$29 - MEDIAN(MIN($BJ$7:$BJ$29), MAX($BJ$7:$BJ$29), M20)), $BK$7:$BK$29, "Error", 0)</f>
        <v>-5</v>
      </c>
      <c r="N21" s="232" cm="1">
        <f t="array" ref="N21">_xlfn.XLOOKUP(MIN(ABS($BJ$7:$BJ$29 - MEDIAN(MIN($BJ$7:$BJ$29), MAX($BJ$7:$BJ$29), N20))), ABS($BJ$7:$BJ$29 - MEDIAN(MIN($BJ$7:$BJ$29), MAX($BJ$7:$BJ$29), N20)), $BK$7:$BK$29, "Error", 0)</f>
        <v>-9</v>
      </c>
      <c r="O21" s="232" cm="1">
        <f t="array" ref="O21">_xlfn.XLOOKUP(MIN(ABS($BJ$7:$BJ$29 - MEDIAN(MIN($BJ$7:$BJ$29), MAX($BJ$7:$BJ$29), O20))), ABS($BJ$7:$BJ$29 - MEDIAN(MIN($BJ$7:$BJ$29), MAX($BJ$7:$BJ$29), O20)), $BK$7:$BK$29, "Error", 0)</f>
        <v>-5</v>
      </c>
      <c r="P21" s="232" cm="1">
        <f t="array" ref="P21">_xlfn.XLOOKUP(MIN(ABS($BJ$7:$BJ$29 - MEDIAN(MIN($BJ$7:$BJ$29), MAX($BJ$7:$BJ$29), P20))), ABS($BJ$7:$BJ$29 - MEDIAN(MIN($BJ$7:$BJ$29), MAX($BJ$7:$BJ$29), P20)), $BK$7:$BK$29, "Error", 0)</f>
        <v>0</v>
      </c>
      <c r="Q21" s="232" cm="1">
        <f t="array" ref="Q21">_xlfn.XLOOKUP(MIN(ABS($BJ$7:$BJ$29 - MEDIAN(MIN($BJ$7:$BJ$29), MAX($BJ$7:$BJ$29), Q20))), ABS($BJ$7:$BJ$29 - MEDIAN(MIN($BJ$7:$BJ$29), MAX($BJ$7:$BJ$29), Q20)), $BK$7:$BK$29, "Error", 0)</f>
        <v>0</v>
      </c>
      <c r="R21" s="232" cm="1">
        <f t="array" ref="R21">_xlfn.XLOOKUP(MIN(ABS($BJ$7:$BJ$29 - MEDIAN(MIN($BJ$7:$BJ$29), MAX($BJ$7:$BJ$29), R20))), ABS($BJ$7:$BJ$29 - MEDIAN(MIN($BJ$7:$BJ$29), MAX($BJ$7:$BJ$29), R20)), $BK$7:$BK$29, "Error", 0)</f>
        <v>0</v>
      </c>
      <c r="S21" s="232" cm="1">
        <f t="array" ref="S21">_xlfn.XLOOKUP(MIN(ABS($BJ$7:$BJ$29 - MEDIAN(MIN($BJ$7:$BJ$29), MAX($BJ$7:$BJ$29), S20))), ABS($BJ$7:$BJ$29 - MEDIAN(MIN($BJ$7:$BJ$29), MAX($BJ$7:$BJ$29), S20)), $BK$7:$BK$29, "Error", 0)</f>
        <v>0</v>
      </c>
      <c r="T21" s="232" cm="1">
        <f t="array" ref="T21">_xlfn.XLOOKUP(MIN(ABS($BJ$7:$BJ$29 - MEDIAN(MIN($BJ$7:$BJ$29), MAX($BJ$7:$BJ$29), T20))), ABS($BJ$7:$BJ$29 - MEDIAN(MIN($BJ$7:$BJ$29), MAX($BJ$7:$BJ$29), T20)), $BK$7:$BK$29, "Error", 0)</f>
        <v>0</v>
      </c>
      <c r="U21" s="232" cm="1">
        <f t="array" ref="U21">_xlfn.XLOOKUP(MIN(ABS($BJ$7:$BJ$29 - MEDIAN(MIN($BJ$7:$BJ$29), MAX($BJ$7:$BJ$29), U20))), ABS($BJ$7:$BJ$29 - MEDIAN(MIN($BJ$7:$BJ$29), MAX($BJ$7:$BJ$29), U20)), $BK$7:$BK$29, "Error", 0)</f>
        <v>-2</v>
      </c>
      <c r="V21" s="232" cm="1">
        <f t="array" ref="V21">_xlfn.XLOOKUP(MIN(ABS($BJ$7:$BJ$29 - MEDIAN(MIN($BJ$7:$BJ$29), MAX($BJ$7:$BJ$29), V20))), ABS($BJ$7:$BJ$29 - MEDIAN(MIN($BJ$7:$BJ$29), MAX($BJ$7:$BJ$29), V20)), $BK$7:$BK$29, "Error", 0)</f>
        <v>-3</v>
      </c>
      <c r="W21" s="232" cm="1">
        <f t="array" ref="W21">_xlfn.XLOOKUP(MIN(ABS($BJ$7:$BJ$29 - MEDIAN(MIN($BJ$7:$BJ$29), MAX($BJ$7:$BJ$29), W20))), ABS($BJ$7:$BJ$29 - MEDIAN(MIN($BJ$7:$BJ$29), MAX($BJ$7:$BJ$29), W20)), $BK$7:$BK$29, "Error", 0)</f>
        <v>-3</v>
      </c>
      <c r="X21" s="232" cm="1">
        <f t="array" ref="X21">_xlfn.XLOOKUP(MIN(ABS($BJ$7:$BJ$29 - MEDIAN(MIN($BJ$7:$BJ$29), MAX($BJ$7:$BJ$29), X20))), ABS($BJ$7:$BJ$29 - MEDIAN(MIN($BJ$7:$BJ$29), MAX($BJ$7:$BJ$29), X20)), $BK$7:$BK$29, "Error", 0)</f>
        <v>2</v>
      </c>
      <c r="Y21" s="232" cm="1">
        <f t="array" ref="Y21">_xlfn.XLOOKUP(MIN(ABS($BJ$7:$BJ$29 - MEDIAN(MIN($BJ$7:$BJ$29), MAX($BJ$7:$BJ$29), Y20))), ABS($BJ$7:$BJ$29 - MEDIAN(MIN($BJ$7:$BJ$29), MAX($BJ$7:$BJ$29), Y20)), $BK$7:$BK$29, "Error", 0)</f>
        <v>0</v>
      </c>
      <c r="Z21" s="232" cm="1">
        <f t="array" ref="Z21">_xlfn.XLOOKUP(MIN(ABS($BJ$7:$BJ$29 - MEDIAN(MIN($BJ$7:$BJ$29), MAX($BJ$7:$BJ$29), Z20))), ABS($BJ$7:$BJ$29 - MEDIAN(MIN($BJ$7:$BJ$29), MAX($BJ$7:$BJ$29), Z20)), $BK$7:$BK$29, "Error", 0)</f>
        <v>0</v>
      </c>
      <c r="AA21" s="232" cm="1">
        <f t="array" ref="AA21">_xlfn.XLOOKUP(MIN(ABS($BJ$7:$BJ$29 - MEDIAN(MIN($BJ$7:$BJ$29), MAX($BJ$7:$BJ$29), AA20))), ABS($BJ$7:$BJ$29 - MEDIAN(MIN($BJ$7:$BJ$29), MAX($BJ$7:$BJ$29), AA20)), $BK$7:$BK$29, "Error", 0)</f>
        <v>0</v>
      </c>
      <c r="AB21" s="171" cm="1">
        <f t="array" ref="AB21">_xlfn.XLOOKUP(MIN(ABS($BJ$7:$BJ$29 - MEDIAN(MIN($BJ$7:$BJ$29), MAX($BJ$7:$BJ$29), AB20))), ABS($BJ$7:$BJ$29 - MEDIAN(MIN($BJ$7:$BJ$29), MAX($BJ$7:$BJ$29), AB20)), $BK$7:$BK$29, "Error", 0)</f>
        <v>-2</v>
      </c>
      <c r="AC21" s="171" cm="1">
        <f t="array" ref="AC21">_xlfn.XLOOKUP(MIN(ABS($BJ$7:$BJ$29 - MEDIAN(MIN($BJ$7:$BJ$29), MAX($BJ$7:$BJ$29), AC20))), ABS($BJ$7:$BJ$29 - MEDIAN(MIN($BJ$7:$BJ$29), MAX($BJ$7:$BJ$29), AC20)), $BK$7:$BK$29, "Error", 0)</f>
        <v>-3</v>
      </c>
      <c r="AD21" s="171" cm="1">
        <f t="array" ref="AD21">_xlfn.XLOOKUP(MIN(ABS($BJ$7:$BJ$29 - MEDIAN(MIN($BJ$7:$BJ$29), MAX($BJ$7:$BJ$29), AD20))), ABS($BJ$7:$BJ$29 - MEDIAN(MIN($BJ$7:$BJ$29), MAX($BJ$7:$BJ$29), AD20)), $BK$7:$BK$29, "Error", 0)</f>
        <v>-9</v>
      </c>
      <c r="AE21" s="171" cm="1">
        <f t="array" ref="AE21">_xlfn.XLOOKUP(MIN(ABS($BJ$7:$BJ$29 - MEDIAN(MIN($BJ$7:$BJ$29), MAX($BJ$7:$BJ$29), AE20))), ABS($BJ$7:$BJ$29 - MEDIAN(MIN($BJ$7:$BJ$29), MAX($BJ$7:$BJ$29), AE20)), $BK$7:$BK$29, "Error", 0)</f>
        <v>-9</v>
      </c>
      <c r="AF21" s="171" cm="1">
        <f t="array" ref="AF21">_xlfn.XLOOKUP(MIN(ABS($BJ$7:$BJ$29 - MEDIAN(MIN($BJ$7:$BJ$29), MAX($BJ$7:$BJ$29), AF20))), ABS($BJ$7:$BJ$29 - MEDIAN(MIN($BJ$7:$BJ$29), MAX($BJ$7:$BJ$29), AF20)), $BK$7:$BK$29, "Error", 0)</f>
        <v>-10</v>
      </c>
      <c r="AG21" s="171" cm="1">
        <f t="array" ref="AG21">_xlfn.XLOOKUP(MIN(ABS($BJ$7:$BJ$29 - MEDIAN(MIN($BJ$7:$BJ$29), MAX($BJ$7:$BJ$29), AG20))), ABS($BJ$7:$BJ$29 - MEDIAN(MIN($BJ$7:$BJ$29), MAX($BJ$7:$BJ$29), AG20)), $BK$7:$BK$29, "Error", 0)</f>
        <v>-7</v>
      </c>
      <c r="AH21" s="171" cm="1">
        <f t="array" ref="AH21">_xlfn.XLOOKUP(MIN(ABS($BJ$7:$BJ$29 - MEDIAN(MIN($BJ$7:$BJ$29), MAX($BJ$7:$BJ$29), AH20))), ABS($BJ$7:$BJ$29 - MEDIAN(MIN($BJ$7:$BJ$29), MAX($BJ$7:$BJ$29), AH20)), $BK$7:$BK$29, "Error", 0)</f>
        <v>-5</v>
      </c>
      <c r="AI21" s="171" cm="1">
        <f t="array" ref="AI21">_xlfn.XLOOKUP(MIN(ABS($BJ$7:$BJ$29 - MEDIAN(MIN($BJ$7:$BJ$29), MAX($BJ$7:$BJ$29), AI20))), ABS($BJ$7:$BJ$29 - MEDIAN(MIN($BJ$7:$BJ$29), MAX($BJ$7:$BJ$29), AI20)), $BK$7:$BK$29, "Error", 0)</f>
        <v>-5</v>
      </c>
      <c r="AJ21" s="171" cm="1">
        <f t="array" ref="AJ21">_xlfn.XLOOKUP(MIN(ABS($BJ$7:$BJ$29 - MEDIAN(MIN($BJ$7:$BJ$29), MAX($BJ$7:$BJ$29), AJ20))), ABS($BJ$7:$BJ$29 - MEDIAN(MIN($BJ$7:$BJ$29), MAX($BJ$7:$BJ$29), AJ20)), $BK$7:$BK$29, "Error", 0)</f>
        <v>-2</v>
      </c>
      <c r="AK21" s="171" cm="1">
        <f t="array" ref="AK21">_xlfn.XLOOKUP(MIN(ABS($BJ$7:$BJ$29 - MEDIAN(MIN($BJ$7:$BJ$29), MAX($BJ$7:$BJ$29), AK20))), ABS($BJ$7:$BJ$29 - MEDIAN(MIN($BJ$7:$BJ$29), MAX($BJ$7:$BJ$29), AK20)), $BK$7:$BK$29, "Error", 0)</f>
        <v>-2</v>
      </c>
      <c r="AL21" s="171" cm="1">
        <f t="array" ref="AL21">_xlfn.XLOOKUP(MIN(ABS($BJ$7:$BJ$29 - MEDIAN(MIN($BJ$7:$BJ$29), MAX($BJ$7:$BJ$29), AL20))), ABS($BJ$7:$BJ$29 - MEDIAN(MIN($BJ$7:$BJ$29), MAX($BJ$7:$BJ$29), AL20)), $BK$7:$BK$29, "Error", 0)</f>
        <v>-3</v>
      </c>
      <c r="AM21" s="171" cm="1">
        <f t="array" ref="AM21">_xlfn.XLOOKUP(MIN(ABS($BJ$7:$BJ$29 - MEDIAN(MIN($BJ$7:$BJ$29), MAX($BJ$7:$BJ$29), AM20))), ABS($BJ$7:$BJ$29 - MEDIAN(MIN($BJ$7:$BJ$29), MAX($BJ$7:$BJ$29), AM20)), $BK$7:$BK$29, "Error", 0)</f>
        <v>-3</v>
      </c>
      <c r="AN21" s="171" cm="1">
        <f t="array" ref="AN21">_xlfn.XLOOKUP(MIN(ABS($BJ$7:$BJ$29 - MEDIAN(MIN($BJ$7:$BJ$29), MAX($BJ$7:$BJ$29), AN20))), ABS($BJ$7:$BJ$29 - MEDIAN(MIN($BJ$7:$BJ$29), MAX($BJ$7:$BJ$29), AN20)), $BK$7:$BK$29, "Error", 0)</f>
        <v>-3</v>
      </c>
      <c r="AO21" s="171" cm="1">
        <f t="array" ref="AO21">_xlfn.XLOOKUP(MIN(ABS($BJ$7:$BJ$29 - MEDIAN(MIN($BJ$7:$BJ$29), MAX($BJ$7:$BJ$29), AO20))), ABS($BJ$7:$BJ$29 - MEDIAN(MIN($BJ$7:$BJ$29), MAX($BJ$7:$BJ$29), AO20)), $BK$7:$BK$29, "Error", 0)</f>
        <v>0</v>
      </c>
      <c r="AP21" s="171" cm="1">
        <f t="array" ref="AP21">_xlfn.XLOOKUP(MIN(ABS($BJ$7:$BJ$29 - MEDIAN(MIN($BJ$7:$BJ$29), MAX($BJ$7:$BJ$29), AP20))), ABS($BJ$7:$BJ$29 - MEDIAN(MIN($BJ$7:$BJ$29), MAX($BJ$7:$BJ$29), AP20)), $BK$7:$BK$29, "Error", 0)</f>
        <v>-3</v>
      </c>
      <c r="AQ21" s="171" cm="1">
        <f t="array" ref="AQ21">_xlfn.XLOOKUP(MIN(ABS($BJ$7:$BJ$29 - MEDIAN(MIN($BJ$7:$BJ$29), MAX($BJ$7:$BJ$29), AQ20))), ABS($BJ$7:$BJ$29 - MEDIAN(MIN($BJ$7:$BJ$29), MAX($BJ$7:$BJ$29), AQ20)), $BK$7:$BK$29, "Error", 0)</f>
        <v>0</v>
      </c>
      <c r="AR21" s="171" cm="1">
        <f t="array" ref="AR21">_xlfn.XLOOKUP(MIN(ABS($BJ$7:$BJ$29 - MEDIAN(MIN($BJ$7:$BJ$29), MAX($BJ$7:$BJ$29), AR20))), ABS($BJ$7:$BJ$29 - MEDIAN(MIN($BJ$7:$BJ$29), MAX($BJ$7:$BJ$29), AR20)), $BK$7:$BK$29, "Error", 0)</f>
        <v>2</v>
      </c>
      <c r="AS21" s="171" cm="1">
        <f t="array" ref="AS21">_xlfn.XLOOKUP(MIN(ABS($BJ$7:$BJ$29 - MEDIAN(MIN($BJ$7:$BJ$29), MAX($BJ$7:$BJ$29), AS20))), ABS($BJ$7:$BJ$29 - MEDIAN(MIN($BJ$7:$BJ$29), MAX($BJ$7:$BJ$29), AS20)), $BK$7:$BK$29, "Error", 0)</f>
        <v>0</v>
      </c>
      <c r="AT21" s="171" cm="1">
        <f t="array" ref="AT21">_xlfn.XLOOKUP(MIN(ABS($BJ$7:$BJ$29 - MEDIAN(MIN($BJ$7:$BJ$29), MAX($BJ$7:$BJ$29), AT20))), ABS($BJ$7:$BJ$29 - MEDIAN(MIN($BJ$7:$BJ$29), MAX($BJ$7:$BJ$29), AT20)), $BK$7:$BK$29, "Error", 0)</f>
        <v>0</v>
      </c>
      <c r="AU21" s="171" cm="1">
        <f t="array" ref="AU21">_xlfn.XLOOKUP(MIN(ABS($BJ$7:$BJ$29 - MEDIAN(MIN($BJ$7:$BJ$29), MAX($BJ$7:$BJ$29), AU20))), ABS($BJ$7:$BJ$29 - MEDIAN(MIN($BJ$7:$BJ$29), MAX($BJ$7:$BJ$29), AU20)), $BK$7:$BK$29, "Error", 0)</f>
        <v>0</v>
      </c>
      <c r="AV21" s="206" t="s">
        <v>25</v>
      </c>
      <c r="AW21" s="184"/>
      <c r="AX21" s="184"/>
      <c r="AY21" s="184"/>
      <c r="AZ21" s="155"/>
      <c r="BA21" s="155"/>
      <c r="BB21" s="156"/>
      <c r="BC21" s="156"/>
      <c r="BD21" s="174"/>
      <c r="BE21" s="156"/>
      <c r="BF21" s="156" cm="1">
        <f t="array" ref="BF21">_xlfn.XLOOKUP(MIN(ABS($BJ$7:$BJ$29 - MEDIAN(MIN($BJ$7:$BJ$29), MAX($BJ$7:$BJ$29), BD21))), ABS($BJ$7:$BJ$29 - MEDIAN(MIN($BJ$7:$BJ$29), MAX($BJ$7:$BJ$29), BD21)), $BK$7:$BK$29, "Error", 0)</f>
        <v>0</v>
      </c>
      <c r="BG21" s="156"/>
      <c r="BH21" s="156"/>
      <c r="BI21" s="156"/>
      <c r="BJ21" s="176">
        <v>-0.06</v>
      </c>
      <c r="BK21" s="182">
        <v>-5</v>
      </c>
      <c r="BL21" s="178">
        <v>-6</v>
      </c>
    </row>
    <row r="22" spans="1:67" ht="44">
      <c r="A22" s="280" t="s">
        <v>17</v>
      </c>
      <c r="B22" s="200" t="s">
        <v>76</v>
      </c>
      <c r="C22" s="233">
        <v>6233.9121805550503</v>
      </c>
      <c r="D22" s="233">
        <v>6233.9121805550503</v>
      </c>
      <c r="E22" s="233">
        <v>6233.9121805550503</v>
      </c>
      <c r="F22" s="233">
        <v>6233.9121805550503</v>
      </c>
      <c r="G22" s="233">
        <v>6233.9121805550503</v>
      </c>
      <c r="H22" s="233">
        <v>6233.9121805550503</v>
      </c>
      <c r="I22" s="233">
        <v>6233.9121805550503</v>
      </c>
      <c r="J22" s="233">
        <v>6253.0549481615899</v>
      </c>
      <c r="K22" s="233">
        <v>6253.0549481615899</v>
      </c>
      <c r="L22" s="233">
        <v>6253.0549481615899</v>
      </c>
      <c r="M22" s="233">
        <v>6372.92040355067</v>
      </c>
      <c r="N22" s="233">
        <v>6527.3720372171401</v>
      </c>
      <c r="O22" s="233">
        <v>6676.8930235174503</v>
      </c>
      <c r="P22" s="233">
        <v>6953.3418068418996</v>
      </c>
      <c r="Q22" s="233">
        <v>7167.1458337537497</v>
      </c>
      <c r="R22" s="233">
        <v>7167.1458337537497</v>
      </c>
      <c r="S22" s="233">
        <v>7362.2854897397301</v>
      </c>
      <c r="T22" s="233">
        <v>7616.9894997173096</v>
      </c>
      <c r="U22" s="233">
        <v>7860.5438384027202</v>
      </c>
      <c r="V22" s="233">
        <v>7860.5438384027202</v>
      </c>
      <c r="W22" s="233">
        <v>7870.7297668176498</v>
      </c>
      <c r="X22" s="233">
        <v>8197.1600306188902</v>
      </c>
      <c r="Y22" s="233">
        <v>8568.4568714327197</v>
      </c>
      <c r="Z22" s="233">
        <v>8568.4568714327197</v>
      </c>
      <c r="AA22" s="204">
        <v>8911.3543315274892</v>
      </c>
      <c r="AB22" s="204">
        <v>8911.3543315274892</v>
      </c>
      <c r="AC22" s="204">
        <v>8911.3543315274892</v>
      </c>
      <c r="AD22" s="204">
        <v>8911.3543315274892</v>
      </c>
      <c r="AE22" s="204">
        <v>8911.3543315274892</v>
      </c>
      <c r="AF22" s="204">
        <v>8911.3543315274892</v>
      </c>
      <c r="AG22" s="204">
        <v>8911.3543315274892</v>
      </c>
      <c r="AH22" s="204">
        <v>9062.2543323200098</v>
      </c>
      <c r="AI22" s="204">
        <v>9350.9887476590793</v>
      </c>
      <c r="AJ22" s="204">
        <v>9743.0770010030792</v>
      </c>
      <c r="AK22" s="204">
        <v>9743.0770010030792</v>
      </c>
      <c r="AL22" s="204">
        <v>9743.0770010030792</v>
      </c>
      <c r="AM22" s="204">
        <v>9749.7642034882501</v>
      </c>
      <c r="AN22" s="204">
        <v>9749.7642034882501</v>
      </c>
      <c r="AO22" s="204">
        <v>9749.7642034882501</v>
      </c>
      <c r="AP22" s="204">
        <v>9749.7642034882501</v>
      </c>
      <c r="AQ22" s="204">
        <v>10539.807856220301</v>
      </c>
      <c r="AR22" s="204">
        <v>10858</v>
      </c>
      <c r="AS22" s="204">
        <v>10858</v>
      </c>
      <c r="AT22" s="204">
        <v>10858</v>
      </c>
      <c r="AU22" s="204">
        <v>10858</v>
      </c>
      <c r="AV22" s="200" t="s">
        <v>76</v>
      </c>
      <c r="AW22" s="184"/>
      <c r="AX22" s="184"/>
      <c r="AY22" s="184"/>
      <c r="AZ22" s="155"/>
      <c r="BA22" s="155"/>
      <c r="BB22" s="156"/>
      <c r="BC22" s="175">
        <v>-7.3055773762765119E-2</v>
      </c>
      <c r="BD22" s="175">
        <v>-7.3055773762765119E-2</v>
      </c>
      <c r="BE22" s="156"/>
      <c r="BF22" s="156" cm="1">
        <f t="array" ref="BF22">_xlfn.XLOOKUP(MIN(ABS($BJ$7:$BJ$29 - MEDIAN(MIN($BJ$7:$BJ$29), MAX($BJ$7:$BJ$29), BD22))), ABS($BJ$7:$BJ$29 - MEDIAN(MIN($BJ$7:$BJ$29), MAX($BJ$7:$BJ$29), BD22)), $BK$7:$BK$29, "Error", 0)</f>
        <v>-7</v>
      </c>
      <c r="BG22" s="156"/>
      <c r="BH22" s="156"/>
      <c r="BI22" s="156"/>
      <c r="BJ22" s="176">
        <v>-0.08</v>
      </c>
      <c r="BK22" s="182">
        <v>-7</v>
      </c>
      <c r="BL22" s="178">
        <v>-8</v>
      </c>
    </row>
    <row r="23" spans="1:67" ht="22">
      <c r="A23" s="281"/>
      <c r="B23" s="201" t="s">
        <v>77</v>
      </c>
      <c r="C23" s="233">
        <v>5456.0399536372297</v>
      </c>
      <c r="D23" s="233">
        <v>5389.0812411806601</v>
      </c>
      <c r="E23" s="233">
        <v>5556.5680408654698</v>
      </c>
      <c r="F23" s="233">
        <v>5691.3402131030998</v>
      </c>
      <c r="G23" s="233">
        <v>5684.4434008502903</v>
      </c>
      <c r="H23" s="233">
        <v>5896.7535569372103</v>
      </c>
      <c r="I23" s="233">
        <v>6080.83059215918</v>
      </c>
      <c r="J23" s="233">
        <v>6253.0549481615899</v>
      </c>
      <c r="K23" s="233">
        <v>5826.6023044338199</v>
      </c>
      <c r="L23" s="233">
        <v>5799.4377684977399</v>
      </c>
      <c r="M23" s="233">
        <v>6372.92040355067</v>
      </c>
      <c r="N23" s="233">
        <v>6527.3720372171401</v>
      </c>
      <c r="O23" s="233">
        <v>6676.8930235174503</v>
      </c>
      <c r="P23" s="233">
        <v>6953.3418068418996</v>
      </c>
      <c r="Q23" s="233">
        <v>7167.1458337537497</v>
      </c>
      <c r="R23" s="233">
        <v>6882.1264350371803</v>
      </c>
      <c r="S23" s="233">
        <v>7362.2854897397301</v>
      </c>
      <c r="T23" s="233">
        <v>7616.9894997173096</v>
      </c>
      <c r="U23" s="233">
        <v>7860.5438384027202</v>
      </c>
      <c r="V23" s="233">
        <v>7620.8212064189102</v>
      </c>
      <c r="W23" s="233">
        <v>7870.7297668176498</v>
      </c>
      <c r="X23" s="233">
        <v>8197.1600306188902</v>
      </c>
      <c r="Y23" s="233">
        <v>8568.4568714327197</v>
      </c>
      <c r="Z23" s="233">
        <v>8440.0214540847792</v>
      </c>
      <c r="AA23" s="204">
        <v>8911.3543315274892</v>
      </c>
      <c r="AB23" s="204">
        <v>8600.38209998608</v>
      </c>
      <c r="AC23" s="204">
        <v>8030.0523742141104</v>
      </c>
      <c r="AD23" s="204">
        <v>7700.2282874911898</v>
      </c>
      <c r="AE23" s="204">
        <v>8122.0711408747002</v>
      </c>
      <c r="AF23" s="204">
        <v>8489.2404499126096</v>
      </c>
      <c r="AG23" s="204">
        <v>8764.3334007983794</v>
      </c>
      <c r="AH23" s="204">
        <v>9062.2543323200098</v>
      </c>
      <c r="AI23" s="204">
        <v>9350.9887476590793</v>
      </c>
      <c r="AJ23" s="204">
        <v>9743.0770010030792</v>
      </c>
      <c r="AK23" s="204">
        <v>9576.3976599015296</v>
      </c>
      <c r="AL23" s="204">
        <v>9374.7068868279493</v>
      </c>
      <c r="AM23" s="204">
        <v>9749.7642034882501</v>
      </c>
      <c r="AN23" s="204">
        <v>9407.4189366643604</v>
      </c>
      <c r="AO23" s="204">
        <v>9093.1186316968506</v>
      </c>
      <c r="AP23" s="204">
        <v>9422.7825828776095</v>
      </c>
      <c r="AQ23" s="204">
        <v>10539.807856220301</v>
      </c>
      <c r="AR23" s="204">
        <v>10858</v>
      </c>
      <c r="AS23" s="204">
        <v>10640</v>
      </c>
      <c r="AT23" s="204">
        <v>10640</v>
      </c>
      <c r="AU23" s="204">
        <v>10640</v>
      </c>
      <c r="AV23" s="201" t="s">
        <v>77</v>
      </c>
      <c r="AW23" s="184"/>
      <c r="AX23" s="184"/>
      <c r="AY23" s="184"/>
      <c r="AZ23" s="155"/>
      <c r="BA23" s="155"/>
      <c r="BB23" s="156"/>
      <c r="BC23" s="175">
        <v>-3.4900684547188865E-2</v>
      </c>
      <c r="BD23" s="175">
        <v>-3.4900684547188865E-2</v>
      </c>
      <c r="BE23" s="156"/>
      <c r="BF23" s="156" cm="1">
        <f t="array" ref="BF23">_xlfn.XLOOKUP(MIN(ABS($BJ$7:$BJ$29 - MEDIAN(MIN($BJ$7:$BJ$29), MAX($BJ$7:$BJ$29), BD23))), ABS($BJ$7:$BJ$29 - MEDIAN(MIN($BJ$7:$BJ$29), MAX($BJ$7:$BJ$29), BD23)), $BK$7:$BK$29, "Error", 0)</f>
        <v>-3</v>
      </c>
      <c r="BG23" s="156"/>
      <c r="BH23" s="156"/>
      <c r="BI23" s="156"/>
      <c r="BJ23" s="176">
        <v>-0.1</v>
      </c>
      <c r="BK23" s="182">
        <v>-9</v>
      </c>
      <c r="BL23" s="178">
        <v>-10</v>
      </c>
    </row>
    <row r="24" spans="1:67" ht="22">
      <c r="A24" s="281"/>
      <c r="B24" s="201" t="s">
        <v>78</v>
      </c>
      <c r="C24" s="230">
        <f t="shared" ref="C24:Z24" si="16">+(C23-C22)/C22</f>
        <v>-0.12478074833074743</v>
      </c>
      <c r="D24" s="230">
        <f t="shared" si="16"/>
        <v>-0.13552179031485312</v>
      </c>
      <c r="E24" s="230">
        <f t="shared" si="16"/>
        <v>-0.10865474521799755</v>
      </c>
      <c r="F24" s="230">
        <f t="shared" si="16"/>
        <v>-8.7035548743267896E-2</v>
      </c>
      <c r="G24" s="230">
        <f t="shared" si="16"/>
        <v>-8.8141886473581468E-2</v>
      </c>
      <c r="H24" s="230">
        <f t="shared" si="16"/>
        <v>-5.4084596294043455E-2</v>
      </c>
      <c r="I24" s="230">
        <f t="shared" si="16"/>
        <v>-2.4556263219967327E-2</v>
      </c>
      <c r="J24" s="230">
        <f t="shared" si="16"/>
        <v>0</v>
      </c>
      <c r="K24" s="230">
        <f t="shared" si="16"/>
        <v>-6.819908784795628E-2</v>
      </c>
      <c r="L24" s="230">
        <f t="shared" si="16"/>
        <v>-7.2543290187656886E-2</v>
      </c>
      <c r="M24" s="230">
        <f t="shared" si="16"/>
        <v>0</v>
      </c>
      <c r="N24" s="230">
        <f t="shared" si="16"/>
        <v>0</v>
      </c>
      <c r="O24" s="230">
        <f t="shared" si="16"/>
        <v>0</v>
      </c>
      <c r="P24" s="230">
        <f t="shared" si="16"/>
        <v>0</v>
      </c>
      <c r="Q24" s="230">
        <f t="shared" si="16"/>
        <v>0</v>
      </c>
      <c r="R24" s="230">
        <f t="shared" si="16"/>
        <v>-3.9767489782929703E-2</v>
      </c>
      <c r="S24" s="230">
        <f t="shared" si="16"/>
        <v>0</v>
      </c>
      <c r="T24" s="230">
        <f t="shared" si="16"/>
        <v>0</v>
      </c>
      <c r="U24" s="230">
        <f t="shared" si="16"/>
        <v>0</v>
      </c>
      <c r="V24" s="230">
        <f t="shared" si="16"/>
        <v>-3.0496952489806637E-2</v>
      </c>
      <c r="W24" s="230">
        <f t="shared" si="16"/>
        <v>0</v>
      </c>
      <c r="X24" s="230">
        <f t="shared" si="16"/>
        <v>0</v>
      </c>
      <c r="Y24" s="230">
        <f t="shared" si="16"/>
        <v>0</v>
      </c>
      <c r="Z24" s="230">
        <f t="shared" si="16"/>
        <v>-1.498932879923162E-2</v>
      </c>
      <c r="AA24" s="230">
        <f t="shared" ref="AA24:AR24" si="17">+(AA23-AA22)/AA22</f>
        <v>0</v>
      </c>
      <c r="AB24" s="205">
        <f t="shared" si="17"/>
        <v>-3.4896180756859844E-2</v>
      </c>
      <c r="AC24" s="205">
        <f t="shared" si="17"/>
        <v>-9.8896522854603569E-2</v>
      </c>
      <c r="AD24" s="205">
        <f t="shared" si="17"/>
        <v>-0.13590819071703336</v>
      </c>
      <c r="AE24" s="205">
        <f t="shared" si="17"/>
        <v>-8.8570509182917714E-2</v>
      </c>
      <c r="AF24" s="205">
        <f t="shared" si="17"/>
        <v>-4.7368095343429728E-2</v>
      </c>
      <c r="AG24" s="205">
        <f t="shared" si="17"/>
        <v>-1.6498157884819398E-2</v>
      </c>
      <c r="AH24" s="205">
        <f t="shared" si="17"/>
        <v>0</v>
      </c>
      <c r="AI24" s="205">
        <f t="shared" si="17"/>
        <v>0</v>
      </c>
      <c r="AJ24" s="205">
        <f t="shared" si="17"/>
        <v>0</v>
      </c>
      <c r="AK24" s="205">
        <f t="shared" si="17"/>
        <v>-1.7107464211192164E-2</v>
      </c>
      <c r="AL24" s="205">
        <f t="shared" si="17"/>
        <v>-3.7808396068018862E-2</v>
      </c>
      <c r="AM24" s="205">
        <f t="shared" si="17"/>
        <v>0</v>
      </c>
      <c r="AN24" s="205">
        <f t="shared" si="17"/>
        <v>-3.5113184245153958E-2</v>
      </c>
      <c r="AO24" s="205">
        <f t="shared" si="17"/>
        <v>-6.7349892580629414E-2</v>
      </c>
      <c r="AP24" s="205">
        <f t="shared" si="17"/>
        <v>-3.353738754970647E-2</v>
      </c>
      <c r="AQ24" s="205">
        <f t="shared" si="17"/>
        <v>0</v>
      </c>
      <c r="AR24" s="205">
        <f t="shared" si="17"/>
        <v>0</v>
      </c>
      <c r="AS24" s="205">
        <f t="shared" ref="AS24:AT24" si="18">+(AS23-AS22)/AS22</f>
        <v>-2.0077362313501566E-2</v>
      </c>
      <c r="AT24" s="205">
        <f t="shared" si="18"/>
        <v>-2.0077362313501566E-2</v>
      </c>
      <c r="AU24" s="205">
        <f t="shared" ref="AU24" si="19">+(AU23-AU22)/AU22</f>
        <v>-2.0077362313501566E-2</v>
      </c>
      <c r="AV24" s="201" t="s">
        <v>78</v>
      </c>
      <c r="AW24" s="184"/>
      <c r="AX24" s="184"/>
      <c r="AY24" s="184"/>
      <c r="AZ24" s="155"/>
      <c r="BA24" s="155"/>
      <c r="BB24" s="156"/>
      <c r="BC24" s="175">
        <v>-3.5583638177585634E-2</v>
      </c>
      <c r="BD24" s="175">
        <v>-3.5583638177585634E-2</v>
      </c>
      <c r="BE24" s="156"/>
      <c r="BF24" s="156" cm="1">
        <f t="array" ref="BF24">_xlfn.XLOOKUP(MIN(ABS($BJ$7:$BJ$29 - MEDIAN(MIN($BJ$7:$BJ$29), MAX($BJ$7:$BJ$29), BD24))), ABS($BJ$7:$BJ$29 - MEDIAN(MIN($BJ$7:$BJ$29), MAX($BJ$7:$BJ$29), BD24)), $BK$7:$BK$29, "Error", 0)</f>
        <v>-3</v>
      </c>
      <c r="BG24" s="156"/>
      <c r="BH24" s="156"/>
      <c r="BI24" s="156"/>
      <c r="BJ24" s="176">
        <v>-0.12</v>
      </c>
      <c r="BK24" s="182">
        <v>-10</v>
      </c>
      <c r="BL24" s="178">
        <v>-12</v>
      </c>
    </row>
    <row r="25" spans="1:67" ht="44">
      <c r="A25" s="281"/>
      <c r="B25" s="201" t="s">
        <v>83</v>
      </c>
      <c r="C25" s="233">
        <v>4808.93017578125</v>
      </c>
      <c r="D25" s="233">
        <v>4808.93017578125</v>
      </c>
      <c r="E25" s="233">
        <v>4808.93017578125</v>
      </c>
      <c r="F25" s="233">
        <v>4808.93017578125</v>
      </c>
      <c r="G25" s="233">
        <v>4808.93017578125</v>
      </c>
      <c r="H25" s="233">
        <v>4808.93017578125</v>
      </c>
      <c r="I25" s="233">
        <v>4808.93017578125</v>
      </c>
      <c r="J25" s="233">
        <v>4808.93017578125</v>
      </c>
      <c r="K25" s="233">
        <v>4808.93017578125</v>
      </c>
      <c r="L25" s="233">
        <v>4808.93017578125</v>
      </c>
      <c r="M25" s="233">
        <v>4808.93017578125</v>
      </c>
      <c r="N25" s="233">
        <v>4808.93017578125</v>
      </c>
      <c r="O25" s="233">
        <v>4931.08984375</v>
      </c>
      <c r="P25" s="233">
        <v>5111.06005859375</v>
      </c>
      <c r="Q25" s="233">
        <v>5264.85009765625</v>
      </c>
      <c r="R25" s="233">
        <v>5264.85009765625</v>
      </c>
      <c r="S25" s="233">
        <v>5341.8798828125</v>
      </c>
      <c r="T25" s="233">
        <v>5523.64013671875</v>
      </c>
      <c r="U25" s="233">
        <v>5669.669921875</v>
      </c>
      <c r="V25" s="233">
        <v>5669.669921875</v>
      </c>
      <c r="W25" s="233">
        <v>5767.3701171875</v>
      </c>
      <c r="X25" s="233">
        <v>5767.3701171875</v>
      </c>
      <c r="Y25" s="233">
        <v>6044.169921875</v>
      </c>
      <c r="Z25" s="233">
        <v>6044.169921875</v>
      </c>
      <c r="AA25" s="231">
        <v>6128.18017578125</v>
      </c>
      <c r="AB25" s="203">
        <v>6128.18017578125</v>
      </c>
      <c r="AC25" s="203">
        <v>6128.18017578125</v>
      </c>
      <c r="AD25" s="203">
        <v>6128.18017578125</v>
      </c>
      <c r="AE25" s="203">
        <v>6128.18017578125</v>
      </c>
      <c r="AF25" s="203">
        <v>6215.080078125</v>
      </c>
      <c r="AG25" s="203">
        <v>6427.02001953125</v>
      </c>
      <c r="AH25" s="203">
        <v>6508.22998046875</v>
      </c>
      <c r="AI25" s="203">
        <v>6699.52001953125</v>
      </c>
      <c r="AJ25" s="203">
        <v>6920.33984375</v>
      </c>
      <c r="AK25" s="203">
        <v>6920.33984375</v>
      </c>
      <c r="AL25" s="203">
        <v>6945.77001953125</v>
      </c>
      <c r="AM25" s="203">
        <v>7002.27978515625</v>
      </c>
      <c r="AN25" s="203">
        <v>7002.27978515625</v>
      </c>
      <c r="AO25" s="203">
        <v>7002.27978515625</v>
      </c>
      <c r="AP25" s="203">
        <v>7219.830078125</v>
      </c>
      <c r="AQ25" s="203">
        <v>7599.3798828125</v>
      </c>
      <c r="AR25" s="203">
        <v>7599.3798828125</v>
      </c>
      <c r="AS25" s="203">
        <v>7599.3798828125</v>
      </c>
      <c r="AT25" s="203">
        <v>7599.3798828125</v>
      </c>
      <c r="AU25" s="203">
        <v>7599.3798828125</v>
      </c>
      <c r="AV25" s="201" t="s">
        <v>83</v>
      </c>
      <c r="AW25" s="184"/>
      <c r="AX25" s="184"/>
      <c r="AY25" s="184"/>
      <c r="AZ25" s="155"/>
      <c r="BA25" s="155"/>
      <c r="BB25" s="156"/>
      <c r="BC25" s="175">
        <v>-2.4024024024024024E-2</v>
      </c>
      <c r="BD25" s="175">
        <v>-2.4024024024024024E-2</v>
      </c>
      <c r="BE25" s="156"/>
      <c r="BF25" s="156" cm="1">
        <f t="array" ref="BF25">_xlfn.XLOOKUP(MIN(ABS($BJ$7:$BJ$29 - MEDIAN(MIN($BJ$7:$BJ$29), MAX($BJ$7:$BJ$29), BD25))), ABS($BJ$7:$BJ$29 - MEDIAN(MIN($BJ$7:$BJ$29), MAX($BJ$7:$BJ$29), BD25)), $BK$7:$BK$29, "Error", 0)</f>
        <v>-2</v>
      </c>
      <c r="BG25" s="156"/>
      <c r="BH25" s="156"/>
      <c r="BI25" s="156"/>
      <c r="BJ25" s="176">
        <v>-0.14000000000000001</v>
      </c>
      <c r="BK25" s="182">
        <v>-9</v>
      </c>
      <c r="BL25" s="178">
        <v>-14</v>
      </c>
    </row>
    <row r="26" spans="1:67" ht="44">
      <c r="A26" s="281"/>
      <c r="B26" s="201" t="s">
        <v>84</v>
      </c>
      <c r="C26" s="233">
        <v>4076.60009765625</v>
      </c>
      <c r="D26" s="233">
        <v>3970.14990234375</v>
      </c>
      <c r="E26" s="233">
        <v>4109.31005859375</v>
      </c>
      <c r="F26" s="233">
        <v>4169.47998046875</v>
      </c>
      <c r="G26" s="233">
        <v>4179.830078125</v>
      </c>
      <c r="H26" s="233">
        <v>4450.3798828125</v>
      </c>
      <c r="I26" s="233">
        <v>4588.9599609375</v>
      </c>
      <c r="J26" s="233">
        <v>4507.66015625</v>
      </c>
      <c r="K26" s="233">
        <v>4288.0498046875</v>
      </c>
      <c r="L26" s="233">
        <v>4193.7998046875</v>
      </c>
      <c r="M26" s="233">
        <v>4567.7998046875</v>
      </c>
      <c r="N26" s="233">
        <v>4769.830078125</v>
      </c>
      <c r="O26" s="233">
        <v>4931.08984375</v>
      </c>
      <c r="P26" s="233">
        <v>5111.06005859375</v>
      </c>
      <c r="Q26" s="233">
        <v>5264.85009765625</v>
      </c>
      <c r="R26" s="233">
        <v>5035.68994140625</v>
      </c>
      <c r="S26" s="233">
        <v>5341.8798828125</v>
      </c>
      <c r="T26" s="233">
        <v>5523.64013671875</v>
      </c>
      <c r="U26" s="233">
        <v>5669.669921875</v>
      </c>
      <c r="V26" s="233">
        <v>5648.39990234375</v>
      </c>
      <c r="W26" s="233">
        <v>5767.3701171875</v>
      </c>
      <c r="X26" s="233">
        <v>5705.4501953125</v>
      </c>
      <c r="Y26" s="233">
        <v>6044.169921875</v>
      </c>
      <c r="Z26" s="233">
        <v>5881.6298828125</v>
      </c>
      <c r="AA26" s="231">
        <v>6128.18017578125</v>
      </c>
      <c r="AB26" s="203">
        <v>5954.5</v>
      </c>
      <c r="AC26" s="203">
        <v>5611.85009765625</v>
      </c>
      <c r="AD26" s="203">
        <v>5569.06005859375</v>
      </c>
      <c r="AE26" s="203">
        <v>5911.68994140625</v>
      </c>
      <c r="AF26" s="203">
        <v>6215.080078125</v>
      </c>
      <c r="AG26" s="203">
        <v>6427.02001953125</v>
      </c>
      <c r="AH26" s="203">
        <v>6508.22998046875</v>
      </c>
      <c r="AI26" s="203">
        <v>6699.52001953125</v>
      </c>
      <c r="AJ26" s="203">
        <v>6920.33984375</v>
      </c>
      <c r="AK26" s="203">
        <v>6849.08984375</v>
      </c>
      <c r="AL26" s="203">
        <v>6945.77001953125</v>
      </c>
      <c r="AM26" s="203">
        <v>7002.27978515625</v>
      </c>
      <c r="AN26" s="203">
        <v>6878.8798828125</v>
      </c>
      <c r="AO26" s="203">
        <v>6528.52001953125</v>
      </c>
      <c r="AP26" s="203">
        <v>7219.830078125</v>
      </c>
      <c r="AQ26" s="203">
        <v>7599.3798828125</v>
      </c>
      <c r="AR26" s="203">
        <v>7499</v>
      </c>
      <c r="AS26" s="203">
        <v>7572</v>
      </c>
      <c r="AT26" s="203">
        <v>7572</v>
      </c>
      <c r="AU26" s="203">
        <v>7572</v>
      </c>
      <c r="AV26" s="201" t="s">
        <v>84</v>
      </c>
      <c r="AW26" s="184"/>
      <c r="AX26" s="184"/>
      <c r="AY26" s="184"/>
      <c r="AZ26" s="155"/>
      <c r="BA26" s="155"/>
      <c r="BB26" s="156"/>
      <c r="BC26" s="175">
        <v>-2.882529186899473E-2</v>
      </c>
      <c r="BD26" s="175">
        <v>-2.882529186899473E-2</v>
      </c>
      <c r="BE26" s="156"/>
      <c r="BF26" s="156" cm="1">
        <f t="array" ref="BF26">_xlfn.XLOOKUP(MIN(ABS($BJ$7:$BJ$29 - MEDIAN(MIN($BJ$7:$BJ$29), MAX($BJ$7:$BJ$29), BD26))), ABS($BJ$7:$BJ$29 - MEDIAN(MIN($BJ$7:$BJ$29), MAX($BJ$7:$BJ$29), BD26)), $BK$7:$BK$29, "Error", 0)</f>
        <v>-2</v>
      </c>
      <c r="BG26" s="156"/>
      <c r="BH26" s="156"/>
      <c r="BI26" s="156"/>
      <c r="BJ26" s="176">
        <v>-0.16</v>
      </c>
      <c r="BK26" s="182">
        <v>-7</v>
      </c>
      <c r="BL26" s="178">
        <v>-16</v>
      </c>
    </row>
    <row r="27" spans="1:67" ht="44">
      <c r="A27" s="281"/>
      <c r="B27" s="201" t="s">
        <v>79</v>
      </c>
      <c r="C27" s="230">
        <f t="shared" ref="C27:Z27" si="20">+(C26-C25)/C25</f>
        <v>-0.15228544631676358</v>
      </c>
      <c r="D27" s="230">
        <f t="shared" si="20"/>
        <v>-0.17442138745573141</v>
      </c>
      <c r="E27" s="230">
        <f t="shared" si="20"/>
        <v>-0.14548352577688259</v>
      </c>
      <c r="F27" s="230">
        <f t="shared" si="20"/>
        <v>-0.13297140360508897</v>
      </c>
      <c r="G27" s="230">
        <f t="shared" si="20"/>
        <v>-0.13081913745068</v>
      </c>
      <c r="H27" s="230">
        <f t="shared" si="20"/>
        <v>-7.455926367458654E-2</v>
      </c>
      <c r="I27" s="230">
        <f t="shared" si="20"/>
        <v>-4.5742027187577958E-2</v>
      </c>
      <c r="J27" s="230">
        <f t="shared" si="20"/>
        <v>-6.2648033662145289E-2</v>
      </c>
      <c r="K27" s="230">
        <f t="shared" si="20"/>
        <v>-0.10831522855478531</v>
      </c>
      <c r="L27" s="230">
        <f t="shared" si="20"/>
        <v>-0.12791418228355064</v>
      </c>
      <c r="M27" s="230">
        <f t="shared" si="20"/>
        <v>-5.0142206744471271E-2</v>
      </c>
      <c r="N27" s="230">
        <f t="shared" si="20"/>
        <v>-8.1307268409023786E-3</v>
      </c>
      <c r="O27" s="230">
        <f t="shared" si="20"/>
        <v>0</v>
      </c>
      <c r="P27" s="230">
        <f t="shared" si="20"/>
        <v>0</v>
      </c>
      <c r="Q27" s="230">
        <f t="shared" si="20"/>
        <v>0</v>
      </c>
      <c r="R27" s="230">
        <f t="shared" si="20"/>
        <v>-4.3526435130985988E-2</v>
      </c>
      <c r="S27" s="230">
        <f t="shared" si="20"/>
        <v>0</v>
      </c>
      <c r="T27" s="230">
        <f t="shared" si="20"/>
        <v>0</v>
      </c>
      <c r="U27" s="230">
        <f t="shared" si="20"/>
        <v>0</v>
      </c>
      <c r="V27" s="230">
        <f t="shared" si="20"/>
        <v>-3.7515445915440268E-3</v>
      </c>
      <c r="W27" s="230">
        <f t="shared" si="20"/>
        <v>0</v>
      </c>
      <c r="X27" s="230">
        <f t="shared" si="20"/>
        <v>-1.0736249038443141E-2</v>
      </c>
      <c r="Y27" s="230">
        <f t="shared" si="20"/>
        <v>0</v>
      </c>
      <c r="Z27" s="230">
        <f t="shared" si="20"/>
        <v>-2.6892036650762695E-2</v>
      </c>
      <c r="AA27" s="230">
        <f>+(AA26-AA25)/AA25</f>
        <v>0</v>
      </c>
      <c r="AB27" s="205">
        <f t="shared" ref="AB27:AP27" si="21">+(AB26-AB25)/AB25</f>
        <v>-2.8341231948048658E-2</v>
      </c>
      <c r="AC27" s="205">
        <f t="shared" si="21"/>
        <v>-8.4255042005055888E-2</v>
      </c>
      <c r="AD27" s="205">
        <f t="shared" si="21"/>
        <v>-9.1237545429417907E-2</v>
      </c>
      <c r="AE27" s="205">
        <f t="shared" si="21"/>
        <v>-3.5327002171146309E-2</v>
      </c>
      <c r="AF27" s="205">
        <f t="shared" si="21"/>
        <v>0</v>
      </c>
      <c r="AG27" s="205">
        <f t="shared" si="21"/>
        <v>0</v>
      </c>
      <c r="AH27" s="205">
        <f t="shared" si="21"/>
        <v>0</v>
      </c>
      <c r="AI27" s="205">
        <f t="shared" si="21"/>
        <v>0</v>
      </c>
      <c r="AJ27" s="205">
        <f t="shared" si="21"/>
        <v>0</v>
      </c>
      <c r="AK27" s="205">
        <f t="shared" si="21"/>
        <v>-1.0295737147121229E-2</v>
      </c>
      <c r="AL27" s="205">
        <f t="shared" si="21"/>
        <v>0</v>
      </c>
      <c r="AM27" s="205">
        <f t="shared" si="21"/>
        <v>0</v>
      </c>
      <c r="AN27" s="205">
        <f t="shared" si="21"/>
        <v>-1.7622818014975453E-2</v>
      </c>
      <c r="AO27" s="205">
        <f t="shared" si="21"/>
        <v>-6.7657931439600208E-2</v>
      </c>
      <c r="AP27" s="205">
        <f t="shared" si="21"/>
        <v>0</v>
      </c>
      <c r="AQ27" s="205">
        <f>+(AQ26-AQ25)/AQ25</f>
        <v>0</v>
      </c>
      <c r="AR27" s="205">
        <f>+(AR26-AR25)/AR25</f>
        <v>-1.3208957093924065E-2</v>
      </c>
      <c r="AS27" s="205">
        <f>+(AS26-AS25)/AS25</f>
        <v>-3.6029101367106306E-3</v>
      </c>
      <c r="AT27" s="205">
        <f>+(AT26-AT25)/AT25</f>
        <v>-3.6029101367106306E-3</v>
      </c>
      <c r="AU27" s="205">
        <f>+(AU26-AU25)/AU25</f>
        <v>-3.6029101367106306E-3</v>
      </c>
      <c r="AV27" s="201" t="s">
        <v>79</v>
      </c>
      <c r="AW27" s="184"/>
      <c r="AX27" s="184"/>
      <c r="AY27" s="184"/>
      <c r="AZ27" s="155"/>
      <c r="BA27" s="155"/>
      <c r="BB27" s="156"/>
      <c r="BC27" s="175">
        <v>-1.2614939559871894E-3</v>
      </c>
      <c r="BD27" s="175">
        <v>-1.2614939559871894E-3</v>
      </c>
      <c r="BE27" s="156"/>
      <c r="BF27" s="156" cm="1">
        <f t="array" ref="BF27">_xlfn.XLOOKUP(MIN(ABS($BJ$7:$BJ$29 - MEDIAN(MIN($BJ$7:$BJ$29), MAX($BJ$7:$BJ$29), BD27))), ABS($BJ$7:$BJ$29 - MEDIAN(MIN($BJ$7:$BJ$29), MAX($BJ$7:$BJ$29), BD27)), $BK$7:$BK$29, "Error", 0)</f>
        <v>0</v>
      </c>
      <c r="BG27" s="156"/>
      <c r="BH27" s="156"/>
      <c r="BI27" s="156"/>
      <c r="BJ27" s="176">
        <v>-0.18</v>
      </c>
      <c r="BK27" s="182">
        <v>-5</v>
      </c>
      <c r="BL27" s="178">
        <v>-18</v>
      </c>
    </row>
    <row r="28" spans="1:67" ht="22">
      <c r="A28" s="281"/>
      <c r="B28" s="201" t="s">
        <v>80</v>
      </c>
      <c r="C28" s="230">
        <f t="shared" ref="C28:Z28" si="22">+C24-C27</f>
        <v>2.7504697986016152E-2</v>
      </c>
      <c r="D28" s="230">
        <f t="shared" si="22"/>
        <v>3.8899597140878289E-2</v>
      </c>
      <c r="E28" s="230">
        <f t="shared" si="22"/>
        <v>3.6828780558885041E-2</v>
      </c>
      <c r="F28" s="230">
        <f t="shared" si="22"/>
        <v>4.5935854861821071E-2</v>
      </c>
      <c r="G28" s="230">
        <f t="shared" si="22"/>
        <v>4.2677250977098527E-2</v>
      </c>
      <c r="H28" s="230">
        <f t="shared" si="22"/>
        <v>2.0474667380543085E-2</v>
      </c>
      <c r="I28" s="230">
        <f t="shared" si="22"/>
        <v>2.118576396761063E-2</v>
      </c>
      <c r="J28" s="230">
        <f t="shared" si="22"/>
        <v>6.2648033662145289E-2</v>
      </c>
      <c r="K28" s="230">
        <f t="shared" si="22"/>
        <v>4.0116140706829034E-2</v>
      </c>
      <c r="L28" s="230">
        <f t="shared" si="22"/>
        <v>5.5370892095893756E-2</v>
      </c>
      <c r="M28" s="230">
        <f t="shared" si="22"/>
        <v>5.0142206744471271E-2</v>
      </c>
      <c r="N28" s="230">
        <f t="shared" si="22"/>
        <v>8.1307268409023786E-3</v>
      </c>
      <c r="O28" s="230">
        <f t="shared" si="22"/>
        <v>0</v>
      </c>
      <c r="P28" s="230">
        <f t="shared" si="22"/>
        <v>0</v>
      </c>
      <c r="Q28" s="230">
        <f t="shared" si="22"/>
        <v>0</v>
      </c>
      <c r="R28" s="230">
        <f t="shared" si="22"/>
        <v>3.7589453480562848E-3</v>
      </c>
      <c r="S28" s="230">
        <f t="shared" si="22"/>
        <v>0</v>
      </c>
      <c r="T28" s="230">
        <f t="shared" si="22"/>
        <v>0</v>
      </c>
      <c r="U28" s="230">
        <f t="shared" si="22"/>
        <v>0</v>
      </c>
      <c r="V28" s="230">
        <f t="shared" si="22"/>
        <v>-2.6745407898262609E-2</v>
      </c>
      <c r="W28" s="230">
        <f t="shared" si="22"/>
        <v>0</v>
      </c>
      <c r="X28" s="230">
        <f t="shared" si="22"/>
        <v>1.0736249038443141E-2</v>
      </c>
      <c r="Y28" s="230">
        <f t="shared" si="22"/>
        <v>0</v>
      </c>
      <c r="Z28" s="230">
        <f t="shared" si="22"/>
        <v>1.1902707851531075E-2</v>
      </c>
      <c r="AA28" s="230">
        <f t="shared" ref="AA28:AR28" si="23">+AA24-AA27</f>
        <v>0</v>
      </c>
      <c r="AB28" s="205">
        <f t="shared" si="23"/>
        <v>-6.5549488088111861E-3</v>
      </c>
      <c r="AC28" s="205">
        <f t="shared" si="23"/>
        <v>-1.4641480849547681E-2</v>
      </c>
      <c r="AD28" s="205">
        <f t="shared" si="23"/>
        <v>-4.4670645287615454E-2</v>
      </c>
      <c r="AE28" s="205">
        <f t="shared" si="23"/>
        <v>-5.3243507011771406E-2</v>
      </c>
      <c r="AF28" s="205">
        <f t="shared" si="23"/>
        <v>-4.7368095343429728E-2</v>
      </c>
      <c r="AG28" s="205">
        <f t="shared" si="23"/>
        <v>-1.6498157884819398E-2</v>
      </c>
      <c r="AH28" s="205">
        <f t="shared" si="23"/>
        <v>0</v>
      </c>
      <c r="AI28" s="205">
        <f t="shared" si="23"/>
        <v>0</v>
      </c>
      <c r="AJ28" s="205">
        <f t="shared" si="23"/>
        <v>0</v>
      </c>
      <c r="AK28" s="205">
        <f t="shared" si="23"/>
        <v>-6.8117270640709344E-3</v>
      </c>
      <c r="AL28" s="205">
        <f t="shared" si="23"/>
        <v>-3.7808396068018862E-2</v>
      </c>
      <c r="AM28" s="205">
        <f t="shared" si="23"/>
        <v>0</v>
      </c>
      <c r="AN28" s="205">
        <f t="shared" si="23"/>
        <v>-1.7490366230178505E-2</v>
      </c>
      <c r="AO28" s="205">
        <f t="shared" si="23"/>
        <v>3.0803885897079386E-4</v>
      </c>
      <c r="AP28" s="205">
        <f t="shared" si="23"/>
        <v>-3.353738754970647E-2</v>
      </c>
      <c r="AQ28" s="205">
        <f t="shared" si="23"/>
        <v>0</v>
      </c>
      <c r="AR28" s="205">
        <f t="shared" si="23"/>
        <v>1.3208957093924065E-2</v>
      </c>
      <c r="AS28" s="205">
        <f t="shared" ref="AS28:AT28" si="24">+AS24-AS27</f>
        <v>-1.6474452176790937E-2</v>
      </c>
      <c r="AT28" s="205">
        <f t="shared" si="24"/>
        <v>-1.6474452176790937E-2</v>
      </c>
      <c r="AU28" s="205">
        <f t="shared" ref="AU28" si="25">+AU24-AU27</f>
        <v>-1.6474452176790937E-2</v>
      </c>
      <c r="AV28" s="201" t="s">
        <v>80</v>
      </c>
      <c r="AW28" s="184"/>
      <c r="AX28" s="184"/>
      <c r="AY28" s="184"/>
      <c r="AZ28" s="155"/>
      <c r="BA28" s="155"/>
      <c r="BB28" s="156"/>
      <c r="BC28" s="175">
        <v>-1.4692633536522367E-2</v>
      </c>
      <c r="BD28" s="175">
        <v>-1.4692633536522367E-2</v>
      </c>
      <c r="BE28" s="156"/>
      <c r="BF28" s="156" cm="1">
        <f t="array" ref="BF28">_xlfn.XLOOKUP(MIN(ABS($BJ$7:$BJ$29 - MEDIAN(MIN($BJ$7:$BJ$29), MAX($BJ$7:$BJ$29), BD28))), ABS($BJ$7:$BJ$29 - MEDIAN(MIN($BJ$7:$BJ$29), MAX($BJ$7:$BJ$29), BD28)), $BK$7:$BK$29, "Error", 0)</f>
        <v>-2</v>
      </c>
      <c r="BG28" s="156"/>
      <c r="BH28" s="156"/>
      <c r="BI28" s="156"/>
      <c r="BJ28" s="176">
        <v>-0.2</v>
      </c>
      <c r="BK28" s="182">
        <v>-3</v>
      </c>
      <c r="BL28" s="178">
        <v>-20</v>
      </c>
    </row>
    <row r="29" spans="1:67" ht="22">
      <c r="A29" s="282"/>
      <c r="B29" s="206" t="s">
        <v>25</v>
      </c>
      <c r="C29" s="232" cm="1">
        <f t="array" ref="C29">_xlfn.XLOOKUP(MIN(ABS($BJ$7:$BJ$29 - MEDIAN(MIN($BJ$7:$BJ$29), MAX($BJ$7:$BJ$29), C28))), ABS($BJ$7:$BJ$29 - MEDIAN(MIN($BJ$7:$BJ$29), MAX($BJ$7:$BJ$29), C28)), $BK$7:$BK$29, "Error", 0)</f>
        <v>2</v>
      </c>
      <c r="D29" s="232" cm="1">
        <f t="array" ref="D29">_xlfn.XLOOKUP(MIN(ABS($BJ$7:$BJ$29 - MEDIAN(MIN($BJ$7:$BJ$29), MAX($BJ$7:$BJ$29), D28))), ABS($BJ$7:$BJ$29 - MEDIAN(MIN($BJ$7:$BJ$29), MAX($BJ$7:$BJ$29), D28)), $BK$7:$BK$29, "Error", 0)</f>
        <v>3</v>
      </c>
      <c r="E29" s="232" cm="1">
        <f t="array" ref="E29">_xlfn.XLOOKUP(MIN(ABS($BJ$7:$BJ$29 - MEDIAN(MIN($BJ$7:$BJ$29), MAX($BJ$7:$BJ$29), E28))), ABS($BJ$7:$BJ$29 - MEDIAN(MIN($BJ$7:$BJ$29), MAX($BJ$7:$BJ$29), E28)), $BK$7:$BK$29, "Error", 0)</f>
        <v>3</v>
      </c>
      <c r="F29" s="232" cm="1">
        <f t="array" ref="F29">_xlfn.XLOOKUP(MIN(ABS($BJ$7:$BJ$29 - MEDIAN(MIN($BJ$7:$BJ$29), MAX($BJ$7:$BJ$29), F28))), ABS($BJ$7:$BJ$29 - MEDIAN(MIN($BJ$7:$BJ$29), MAX($BJ$7:$BJ$29), F28)), $BK$7:$BK$29, "Error", 0)</f>
        <v>3</v>
      </c>
      <c r="G29" s="232" cm="1">
        <f t="array" ref="G29">_xlfn.XLOOKUP(MIN(ABS($BJ$7:$BJ$29 - MEDIAN(MIN($BJ$7:$BJ$29), MAX($BJ$7:$BJ$29), G28))), ABS($BJ$7:$BJ$29 - MEDIAN(MIN($BJ$7:$BJ$29), MAX($BJ$7:$BJ$29), G28)), $BK$7:$BK$29, "Error", 0)</f>
        <v>3</v>
      </c>
      <c r="H29" s="232" cm="1">
        <f t="array" ref="H29">_xlfn.XLOOKUP(MIN(ABS($BJ$7:$BJ$29 - MEDIAN(MIN($BJ$7:$BJ$29), MAX($BJ$7:$BJ$29), H28))), ABS($BJ$7:$BJ$29 - MEDIAN(MIN($BJ$7:$BJ$29), MAX($BJ$7:$BJ$29), H28)), $BK$7:$BK$29, "Error", 0)</f>
        <v>2</v>
      </c>
      <c r="I29" s="232" cm="1">
        <f t="array" ref="I29">_xlfn.XLOOKUP(MIN(ABS($BJ$7:$BJ$29 - MEDIAN(MIN($BJ$7:$BJ$29), MAX($BJ$7:$BJ$29), I28))), ABS($BJ$7:$BJ$29 - MEDIAN(MIN($BJ$7:$BJ$29), MAX($BJ$7:$BJ$29), I28)), $BK$7:$BK$29, "Error", 0)</f>
        <v>2</v>
      </c>
      <c r="J29" s="232" cm="1">
        <f t="array" ref="J29">_xlfn.XLOOKUP(MIN(ABS($BJ$7:$BJ$29 - MEDIAN(MIN($BJ$7:$BJ$29), MAX($BJ$7:$BJ$29), J28))), ABS($BJ$7:$BJ$29 - MEDIAN(MIN($BJ$7:$BJ$29), MAX($BJ$7:$BJ$29), J28)), $BK$7:$BK$29, "Error", 0)</f>
        <v>5</v>
      </c>
      <c r="K29" s="232" cm="1">
        <f t="array" ref="K29">_xlfn.XLOOKUP(MIN(ABS($BJ$7:$BJ$29 - MEDIAN(MIN($BJ$7:$BJ$29), MAX($BJ$7:$BJ$29), K28))), ABS($BJ$7:$BJ$29 - MEDIAN(MIN($BJ$7:$BJ$29), MAX($BJ$7:$BJ$29), K28)), $BK$7:$BK$29, "Error", 0)</f>
        <v>3</v>
      </c>
      <c r="L29" s="232" cm="1">
        <f t="array" ref="L29">_xlfn.XLOOKUP(MIN(ABS($BJ$7:$BJ$29 - MEDIAN(MIN($BJ$7:$BJ$29), MAX($BJ$7:$BJ$29), L28))), ABS($BJ$7:$BJ$29 - MEDIAN(MIN($BJ$7:$BJ$29), MAX($BJ$7:$BJ$29), L28)), $BK$7:$BK$29, "Error", 0)</f>
        <v>5</v>
      </c>
      <c r="M29" s="232" cm="1">
        <f t="array" ref="M29">_xlfn.XLOOKUP(MIN(ABS($BJ$7:$BJ$29 - MEDIAN(MIN($BJ$7:$BJ$29), MAX($BJ$7:$BJ$29), M28))), ABS($BJ$7:$BJ$29 - MEDIAN(MIN($BJ$7:$BJ$29), MAX($BJ$7:$BJ$29), M28)), $BK$7:$BK$29, "Error", 0)</f>
        <v>5</v>
      </c>
      <c r="N29" s="232" cm="1">
        <f t="array" ref="N29">_xlfn.XLOOKUP(MIN(ABS($BJ$7:$BJ$29 - MEDIAN(MIN($BJ$7:$BJ$29), MAX($BJ$7:$BJ$29), N28))), ABS($BJ$7:$BJ$29 - MEDIAN(MIN($BJ$7:$BJ$29), MAX($BJ$7:$BJ$29), N28)), $BK$7:$BK$29, "Error", 0)</f>
        <v>0</v>
      </c>
      <c r="O29" s="232" cm="1">
        <f t="array" ref="O29">_xlfn.XLOOKUP(MIN(ABS($BJ$7:$BJ$29 - MEDIAN(MIN($BJ$7:$BJ$29), MAX($BJ$7:$BJ$29), O28))), ABS($BJ$7:$BJ$29 - MEDIAN(MIN($BJ$7:$BJ$29), MAX($BJ$7:$BJ$29), O28)), $BK$7:$BK$29, "Error", 0)</f>
        <v>0</v>
      </c>
      <c r="P29" s="232" cm="1">
        <f t="array" ref="P29">_xlfn.XLOOKUP(MIN(ABS($BJ$7:$BJ$29 - MEDIAN(MIN($BJ$7:$BJ$29), MAX($BJ$7:$BJ$29), P28))), ABS($BJ$7:$BJ$29 - MEDIAN(MIN($BJ$7:$BJ$29), MAX($BJ$7:$BJ$29), P28)), $BK$7:$BK$29, "Error", 0)</f>
        <v>0</v>
      </c>
      <c r="Q29" s="232" cm="1">
        <f t="array" ref="Q29">_xlfn.XLOOKUP(MIN(ABS($BJ$7:$BJ$29 - MEDIAN(MIN($BJ$7:$BJ$29), MAX($BJ$7:$BJ$29), Q28))), ABS($BJ$7:$BJ$29 - MEDIAN(MIN($BJ$7:$BJ$29), MAX($BJ$7:$BJ$29), Q28)), $BK$7:$BK$29, "Error", 0)</f>
        <v>0</v>
      </c>
      <c r="R29" s="232" cm="1">
        <f t="array" ref="R29">_xlfn.XLOOKUP(MIN(ABS($BJ$7:$BJ$29 - MEDIAN(MIN($BJ$7:$BJ$29), MAX($BJ$7:$BJ$29), R28))), ABS($BJ$7:$BJ$29 - MEDIAN(MIN($BJ$7:$BJ$29), MAX($BJ$7:$BJ$29), R28)), $BK$7:$BK$29, "Error", 0)</f>
        <v>0</v>
      </c>
      <c r="S29" s="232" cm="1">
        <f t="array" ref="S29">_xlfn.XLOOKUP(MIN(ABS($BJ$7:$BJ$29 - MEDIAN(MIN($BJ$7:$BJ$29), MAX($BJ$7:$BJ$29), S28))), ABS($BJ$7:$BJ$29 - MEDIAN(MIN($BJ$7:$BJ$29), MAX($BJ$7:$BJ$29), S28)), $BK$7:$BK$29, "Error", 0)</f>
        <v>0</v>
      </c>
      <c r="T29" s="232" cm="1">
        <f t="array" ref="T29">_xlfn.XLOOKUP(MIN(ABS($BJ$7:$BJ$29 - MEDIAN(MIN($BJ$7:$BJ$29), MAX($BJ$7:$BJ$29), T28))), ABS($BJ$7:$BJ$29 - MEDIAN(MIN($BJ$7:$BJ$29), MAX($BJ$7:$BJ$29), T28)), $BK$7:$BK$29, "Error", 0)</f>
        <v>0</v>
      </c>
      <c r="U29" s="232" cm="1">
        <f t="array" ref="U29">_xlfn.XLOOKUP(MIN(ABS($BJ$7:$BJ$29 - MEDIAN(MIN($BJ$7:$BJ$29), MAX($BJ$7:$BJ$29), U28))), ABS($BJ$7:$BJ$29 - MEDIAN(MIN($BJ$7:$BJ$29), MAX($BJ$7:$BJ$29), U28)), $BK$7:$BK$29, "Error", 0)</f>
        <v>0</v>
      </c>
      <c r="V29" s="232" cm="1">
        <f t="array" ref="V29">_xlfn.XLOOKUP(MIN(ABS($BJ$7:$BJ$29 - MEDIAN(MIN($BJ$7:$BJ$29), MAX($BJ$7:$BJ$29), V28))), ABS($BJ$7:$BJ$29 - MEDIAN(MIN($BJ$7:$BJ$29), MAX($BJ$7:$BJ$29), V28)), $BK$7:$BK$29, "Error", 0)</f>
        <v>-2</v>
      </c>
      <c r="W29" s="232" cm="1">
        <f t="array" ref="W29">_xlfn.XLOOKUP(MIN(ABS($BJ$7:$BJ$29 - MEDIAN(MIN($BJ$7:$BJ$29), MAX($BJ$7:$BJ$29), W28))), ABS($BJ$7:$BJ$29 - MEDIAN(MIN($BJ$7:$BJ$29), MAX($BJ$7:$BJ$29), W28)), $BK$7:$BK$29, "Error", 0)</f>
        <v>0</v>
      </c>
      <c r="X29" s="232" cm="1">
        <f t="array" ref="X29">_xlfn.XLOOKUP(MIN(ABS($BJ$7:$BJ$29 - MEDIAN(MIN($BJ$7:$BJ$29), MAX($BJ$7:$BJ$29), X28))), ABS($BJ$7:$BJ$29 - MEDIAN(MIN($BJ$7:$BJ$29), MAX($BJ$7:$BJ$29), X28)), $BK$7:$BK$29, "Error", 0)</f>
        <v>2</v>
      </c>
      <c r="Y29" s="232" cm="1">
        <f t="array" ref="Y29">_xlfn.XLOOKUP(MIN(ABS($BJ$7:$BJ$29 - MEDIAN(MIN($BJ$7:$BJ$29), MAX($BJ$7:$BJ$29), Y28))), ABS($BJ$7:$BJ$29 - MEDIAN(MIN($BJ$7:$BJ$29), MAX($BJ$7:$BJ$29), Y28)), $BK$7:$BK$29, "Error", 0)</f>
        <v>0</v>
      </c>
      <c r="Z29" s="232" cm="1">
        <f t="array" ref="Z29">_xlfn.XLOOKUP(MIN(ABS($BJ$7:$BJ$29 - MEDIAN(MIN($BJ$7:$BJ$29), MAX($BJ$7:$BJ$29), Z28))), ABS($BJ$7:$BJ$29 - MEDIAN(MIN($BJ$7:$BJ$29), MAX($BJ$7:$BJ$29), Z28)), $BK$7:$BK$29, "Error", 0)</f>
        <v>2</v>
      </c>
      <c r="AA29" s="232" cm="1">
        <f t="array" ref="AA29">_xlfn.XLOOKUP(MIN(ABS($BJ$7:$BJ$29 - MEDIAN(MIN($BJ$7:$BJ$29), MAX($BJ$7:$BJ$29), AA28))), ABS($BJ$7:$BJ$29 - MEDIAN(MIN($BJ$7:$BJ$29), MAX($BJ$7:$BJ$29), AA28)), $BK$7:$BK$29, "Error", 0)</f>
        <v>0</v>
      </c>
      <c r="AB29" s="171" cm="1">
        <f t="array" ref="AB29">_xlfn.XLOOKUP(MIN(ABS($BJ$7:$BJ$29 - MEDIAN(MIN($BJ$7:$BJ$29), MAX($BJ$7:$BJ$29), AB28))), ABS($BJ$7:$BJ$29 - MEDIAN(MIN($BJ$7:$BJ$29), MAX($BJ$7:$BJ$29), AB28)), $BK$7:$BK$29, "Error", 0)</f>
        <v>0</v>
      </c>
      <c r="AC29" s="171" cm="1">
        <f t="array" ref="AC29">_xlfn.XLOOKUP(MIN(ABS($BJ$7:$BJ$29 - MEDIAN(MIN($BJ$7:$BJ$29), MAX($BJ$7:$BJ$29), AC28))), ABS($BJ$7:$BJ$29 - MEDIAN(MIN($BJ$7:$BJ$29), MAX($BJ$7:$BJ$29), AC28)), $BK$7:$BK$29, "Error", 0)</f>
        <v>-2</v>
      </c>
      <c r="AD29" s="171" cm="1">
        <f t="array" ref="AD29">_xlfn.XLOOKUP(MIN(ABS($BJ$7:$BJ$29 - MEDIAN(MIN($BJ$7:$BJ$29), MAX($BJ$7:$BJ$29), AD28))), ABS($BJ$7:$BJ$29 - MEDIAN(MIN($BJ$7:$BJ$29), MAX($BJ$7:$BJ$29), AD28)), $BK$7:$BK$29, "Error", 0)</f>
        <v>-3</v>
      </c>
      <c r="AE29" s="171" cm="1">
        <f t="array" ref="AE29">_xlfn.XLOOKUP(MIN(ABS($BJ$7:$BJ$29 - MEDIAN(MIN($BJ$7:$BJ$29), MAX($BJ$7:$BJ$29), AE28))), ABS($BJ$7:$BJ$29 - MEDIAN(MIN($BJ$7:$BJ$29), MAX($BJ$7:$BJ$29), AE28)), $BK$7:$BK$29, "Error", 0)</f>
        <v>-5</v>
      </c>
      <c r="AF29" s="171" cm="1">
        <f t="array" ref="AF29">_xlfn.XLOOKUP(MIN(ABS($BJ$7:$BJ$29 - MEDIAN(MIN($BJ$7:$BJ$29), MAX($BJ$7:$BJ$29), AF28))), ABS($BJ$7:$BJ$29 - MEDIAN(MIN($BJ$7:$BJ$29), MAX($BJ$7:$BJ$29), AF28)), $BK$7:$BK$29, "Error", 0)</f>
        <v>-3</v>
      </c>
      <c r="AG29" s="171" cm="1">
        <f t="array" ref="AG29">_xlfn.XLOOKUP(MIN(ABS($BJ$7:$BJ$29 - MEDIAN(MIN($BJ$7:$BJ$29), MAX($BJ$7:$BJ$29), AG28))), ABS($BJ$7:$BJ$29 - MEDIAN(MIN($BJ$7:$BJ$29), MAX($BJ$7:$BJ$29), AG28)), $BK$7:$BK$29, "Error", 0)</f>
        <v>-2</v>
      </c>
      <c r="AH29" s="171" cm="1">
        <f t="array" ref="AH29">_xlfn.XLOOKUP(MIN(ABS($BJ$7:$BJ$29 - MEDIAN(MIN($BJ$7:$BJ$29), MAX($BJ$7:$BJ$29), AH28))), ABS($BJ$7:$BJ$29 - MEDIAN(MIN($BJ$7:$BJ$29), MAX($BJ$7:$BJ$29), AH28)), $BK$7:$BK$29, "Error", 0)</f>
        <v>0</v>
      </c>
      <c r="AI29" s="171" cm="1">
        <f t="array" ref="AI29">_xlfn.XLOOKUP(MIN(ABS($BJ$7:$BJ$29 - MEDIAN(MIN($BJ$7:$BJ$29), MAX($BJ$7:$BJ$29), AI28))), ABS($BJ$7:$BJ$29 - MEDIAN(MIN($BJ$7:$BJ$29), MAX($BJ$7:$BJ$29), AI28)), $BK$7:$BK$29, "Error", 0)</f>
        <v>0</v>
      </c>
      <c r="AJ29" s="171" cm="1">
        <f t="array" ref="AJ29">_xlfn.XLOOKUP(MIN(ABS($BJ$7:$BJ$29 - MEDIAN(MIN($BJ$7:$BJ$29), MAX($BJ$7:$BJ$29), AJ28))), ABS($BJ$7:$BJ$29 - MEDIAN(MIN($BJ$7:$BJ$29), MAX($BJ$7:$BJ$29), AJ28)), $BK$7:$BK$29, "Error", 0)</f>
        <v>0</v>
      </c>
      <c r="AK29" s="171" cm="1">
        <f t="array" ref="AK29">_xlfn.XLOOKUP(MIN(ABS($BJ$7:$BJ$29 - MEDIAN(MIN($BJ$7:$BJ$29), MAX($BJ$7:$BJ$29), AK28))), ABS($BJ$7:$BJ$29 - MEDIAN(MIN($BJ$7:$BJ$29), MAX($BJ$7:$BJ$29), AK28)), $BK$7:$BK$29, "Error", 0)</f>
        <v>0</v>
      </c>
      <c r="AL29" s="171" cm="1">
        <f t="array" ref="AL29">_xlfn.XLOOKUP(MIN(ABS($BJ$7:$BJ$29 - MEDIAN(MIN($BJ$7:$BJ$29), MAX($BJ$7:$BJ$29), AL28))), ABS($BJ$7:$BJ$29 - MEDIAN(MIN($BJ$7:$BJ$29), MAX($BJ$7:$BJ$29), AL28)), $BK$7:$BK$29, "Error", 0)</f>
        <v>-3</v>
      </c>
      <c r="AM29" s="171" cm="1">
        <f t="array" ref="AM29">_xlfn.XLOOKUP(MIN(ABS($BJ$7:$BJ$29 - MEDIAN(MIN($BJ$7:$BJ$29), MAX($BJ$7:$BJ$29), AM28))), ABS($BJ$7:$BJ$29 - MEDIAN(MIN($BJ$7:$BJ$29), MAX($BJ$7:$BJ$29), AM28)), $BK$7:$BK$29, "Error", 0)</f>
        <v>0</v>
      </c>
      <c r="AN29" s="171" cm="1">
        <f t="array" ref="AN29">_xlfn.XLOOKUP(MIN(ABS($BJ$7:$BJ$29 - MEDIAN(MIN($BJ$7:$BJ$29), MAX($BJ$7:$BJ$29), AN28))), ABS($BJ$7:$BJ$29 - MEDIAN(MIN($BJ$7:$BJ$29), MAX($BJ$7:$BJ$29), AN28)), $BK$7:$BK$29, "Error", 0)</f>
        <v>-2</v>
      </c>
      <c r="AO29" s="171" cm="1">
        <f t="array" ref="AO29">_xlfn.XLOOKUP(MIN(ABS($BJ$7:$BJ$29 - MEDIAN(MIN($BJ$7:$BJ$29), MAX($BJ$7:$BJ$29), AO28))), ABS($BJ$7:$BJ$29 - MEDIAN(MIN($BJ$7:$BJ$29), MAX($BJ$7:$BJ$29), AO28)), $BK$7:$BK$29, "Error", 0)</f>
        <v>0</v>
      </c>
      <c r="AP29" s="171" cm="1">
        <f t="array" ref="AP29">_xlfn.XLOOKUP(MIN(ABS($BJ$7:$BJ$29 - MEDIAN(MIN($BJ$7:$BJ$29), MAX($BJ$7:$BJ$29), AP28))), ABS($BJ$7:$BJ$29 - MEDIAN(MIN($BJ$7:$BJ$29), MAX($BJ$7:$BJ$29), AP28)), $BK$7:$BK$29, "Error", 0)</f>
        <v>-3</v>
      </c>
      <c r="AQ29" s="171" cm="1">
        <f t="array" ref="AQ29">_xlfn.XLOOKUP(MIN(ABS($BJ$7:$BJ$29 - MEDIAN(MIN($BJ$7:$BJ$29), MAX($BJ$7:$BJ$29), AQ28))), ABS($BJ$7:$BJ$29 - MEDIAN(MIN($BJ$7:$BJ$29), MAX($BJ$7:$BJ$29), AQ28)), $BK$7:$BK$29, "Error", 0)</f>
        <v>0</v>
      </c>
      <c r="AR29" s="171" cm="1">
        <f t="array" ref="AR29">_xlfn.XLOOKUP(MIN(ABS($BJ$7:$BJ$29 - MEDIAN(MIN($BJ$7:$BJ$29), MAX($BJ$7:$BJ$29), AR28))), ABS($BJ$7:$BJ$29 - MEDIAN(MIN($BJ$7:$BJ$29), MAX($BJ$7:$BJ$29), AR28)), $BK$7:$BK$29, "Error", 0)</f>
        <v>2</v>
      </c>
      <c r="AS29" s="171" cm="1">
        <f t="array" ref="AS29">_xlfn.XLOOKUP(MIN(ABS($BJ$7:$BJ$29 - MEDIAN(MIN($BJ$7:$BJ$29), MAX($BJ$7:$BJ$29), AS28))), ABS($BJ$7:$BJ$29 - MEDIAN(MIN($BJ$7:$BJ$29), MAX($BJ$7:$BJ$29), AS28)), $BK$7:$BK$29, "Error", 0)</f>
        <v>-2</v>
      </c>
      <c r="AT29" s="171" cm="1">
        <f t="array" ref="AT29">_xlfn.XLOOKUP(MIN(ABS($BJ$7:$BJ$29 - MEDIAN(MIN($BJ$7:$BJ$29), MAX($BJ$7:$BJ$29), AT28))), ABS($BJ$7:$BJ$29 - MEDIAN(MIN($BJ$7:$BJ$29), MAX($BJ$7:$BJ$29), AT28)), $BK$7:$BK$29, "Error", 0)</f>
        <v>-2</v>
      </c>
      <c r="AU29" s="171" cm="1">
        <f t="array" ref="AU29">_xlfn.XLOOKUP(MIN(ABS($BJ$7:$BJ$29 - MEDIAN(MIN($BJ$7:$BJ$29), MAX($BJ$7:$BJ$29), AU28))), ABS($BJ$7:$BJ$29 - MEDIAN(MIN($BJ$7:$BJ$29), MAX($BJ$7:$BJ$29), AU28)), $BK$7:$BK$29, "Error", 0)</f>
        <v>-2</v>
      </c>
      <c r="AV29" s="206" t="s">
        <v>25</v>
      </c>
      <c r="AW29" s="184"/>
      <c r="AX29" s="184"/>
      <c r="AY29" s="184"/>
      <c r="AZ29" s="155"/>
      <c r="BA29" s="155"/>
      <c r="BB29" s="156"/>
      <c r="BC29" s="175">
        <v>-3.2494953582935041E-3</v>
      </c>
      <c r="BD29" s="175">
        <v>-3.2494953582935041E-3</v>
      </c>
      <c r="BE29" s="156"/>
      <c r="BF29" s="156" cm="1">
        <f t="array" ref="BF29">_xlfn.XLOOKUP(MIN(ABS($BJ$7:$BJ$29 - MEDIAN(MIN($BJ$7:$BJ$29), MAX($BJ$7:$BJ$29), BD29))), ABS($BJ$7:$BJ$29 - MEDIAN(MIN($BJ$7:$BJ$29), MAX($BJ$7:$BJ$29), BD29)), $BK$7:$BK$29, "Error", 0)</f>
        <v>0</v>
      </c>
      <c r="BG29" s="156"/>
      <c r="BH29" s="156"/>
      <c r="BI29" s="156"/>
      <c r="BJ29" s="176">
        <v>-0.25</v>
      </c>
      <c r="BK29" s="182">
        <v>-2</v>
      </c>
      <c r="BL29" s="178">
        <v>-25</v>
      </c>
    </row>
    <row r="30" spans="1:67" ht="44">
      <c r="A30" s="283" t="s">
        <v>47</v>
      </c>
      <c r="B30" s="200" t="s">
        <v>76</v>
      </c>
      <c r="C30" s="233">
        <v>5049.13694514893</v>
      </c>
      <c r="D30" s="233">
        <v>5049.13694514893</v>
      </c>
      <c r="E30" s="233">
        <v>5049.13694514893</v>
      </c>
      <c r="F30" s="233">
        <v>5049.13694514893</v>
      </c>
      <c r="G30" s="233">
        <v>5049.13694514893</v>
      </c>
      <c r="H30" s="233">
        <v>5049.13694514893</v>
      </c>
      <c r="I30" s="233">
        <v>5064.50841329573</v>
      </c>
      <c r="J30" s="233">
        <v>5064.50841329573</v>
      </c>
      <c r="K30" s="233">
        <v>5064.50841329573</v>
      </c>
      <c r="L30" s="233">
        <v>5064.50841329573</v>
      </c>
      <c r="M30" s="233">
        <v>5064.50841329573</v>
      </c>
      <c r="N30" s="233">
        <v>5116.4739904592298</v>
      </c>
      <c r="O30" s="233">
        <v>5167.1718164854701</v>
      </c>
      <c r="P30" s="233">
        <v>5338.24141892034</v>
      </c>
      <c r="Q30" s="233">
        <v>5602.3750800241296</v>
      </c>
      <c r="R30" s="233">
        <v>5602.3750800241296</v>
      </c>
      <c r="S30" s="233">
        <v>5602.3750800241296</v>
      </c>
      <c r="T30" s="233">
        <v>5602.3750800241296</v>
      </c>
      <c r="U30" s="233">
        <v>5602.3750800241296</v>
      </c>
      <c r="V30" s="233">
        <v>5602.3750800241296</v>
      </c>
      <c r="W30" s="233">
        <v>5686.2662103213397</v>
      </c>
      <c r="X30" s="233">
        <v>5686.2662103213397</v>
      </c>
      <c r="Y30" s="233">
        <v>5686.2662103213397</v>
      </c>
      <c r="Z30" s="233">
        <v>5686.2662103213397</v>
      </c>
      <c r="AA30" s="204">
        <v>5686.2662103213397</v>
      </c>
      <c r="AB30" s="204">
        <v>5837.2062190685001</v>
      </c>
      <c r="AC30" s="204">
        <v>6099.6526735635098</v>
      </c>
      <c r="AD30" s="204">
        <v>6153.0494720409597</v>
      </c>
      <c r="AE30" s="204">
        <v>6243.0402026698002</v>
      </c>
      <c r="AF30" s="204">
        <v>6398.3752479928098</v>
      </c>
      <c r="AG30" s="204">
        <v>6398.3752479928098</v>
      </c>
      <c r="AH30" s="204">
        <v>6464.3801246948997</v>
      </c>
      <c r="AI30" s="204">
        <v>6565.6988645251804</v>
      </c>
      <c r="AJ30" s="204">
        <v>6754.31631101732</v>
      </c>
      <c r="AK30" s="204">
        <v>6780.1769091020697</v>
      </c>
      <c r="AL30" s="204">
        <v>6852.8458108110399</v>
      </c>
      <c r="AM30" s="204">
        <v>7278.6821739181196</v>
      </c>
      <c r="AN30" s="204">
        <v>7395.3932353451401</v>
      </c>
      <c r="AO30" s="204">
        <v>7395.3932353451401</v>
      </c>
      <c r="AP30" s="204">
        <v>7395.3932353451401</v>
      </c>
      <c r="AQ30" s="204">
        <v>7395.3932353451401</v>
      </c>
      <c r="AR30" s="204">
        <v>7395.3932353451401</v>
      </c>
      <c r="AS30" s="204">
        <v>7395.3932353451401</v>
      </c>
      <c r="AT30" s="204">
        <v>7395.3932353451401</v>
      </c>
      <c r="AU30" s="204">
        <v>7395.3932353451401</v>
      </c>
      <c r="AV30" s="200" t="s">
        <v>76</v>
      </c>
      <c r="AW30" s="184"/>
      <c r="AX30" s="184"/>
      <c r="AY30" s="184"/>
      <c r="AZ30" s="155"/>
      <c r="BA30" s="155"/>
      <c r="BB30" s="156"/>
      <c r="BC30" s="175">
        <v>-1.5306411325616279E-2</v>
      </c>
      <c r="BD30" s="175">
        <v>-1.5306411325616279E-2</v>
      </c>
      <c r="BE30" s="156"/>
      <c r="BF30" s="156" cm="1">
        <f t="array" ref="BF30">_xlfn.XLOOKUP(MIN(ABS($BJ$7:$BJ$29 - MEDIAN(MIN($BJ$7:$BJ$29), MAX($BJ$7:$BJ$29), BD30))), ABS($BJ$7:$BJ$29 - MEDIAN(MIN($BJ$7:$BJ$29), MAX($BJ$7:$BJ$29), BD30)), $BK$7:$BK$29, "Error", 0)</f>
        <v>-2</v>
      </c>
      <c r="BG30" s="156"/>
      <c r="BH30" s="156"/>
      <c r="BI30" s="156"/>
      <c r="BJ30" s="156"/>
      <c r="BK30" s="156"/>
    </row>
    <row r="31" spans="1:67" ht="22">
      <c r="A31" s="284"/>
      <c r="B31" s="201" t="s">
        <v>77</v>
      </c>
      <c r="C31" s="233">
        <v>4517.63248010608</v>
      </c>
      <c r="D31" s="233">
        <v>4497.4318232531696</v>
      </c>
      <c r="E31" s="233">
        <v>4705.4105678239102</v>
      </c>
      <c r="F31" s="233">
        <v>4851.2242056196001</v>
      </c>
      <c r="G31" s="233">
        <v>4527.2515549351201</v>
      </c>
      <c r="H31" s="233">
        <v>4780.9438610393599</v>
      </c>
      <c r="I31" s="233">
        <v>5064.50841329573</v>
      </c>
      <c r="J31" s="233">
        <v>4697.83549171902</v>
      </c>
      <c r="K31" s="233">
        <v>4419.9683596515097</v>
      </c>
      <c r="L31" s="233">
        <v>4310.8933383155399</v>
      </c>
      <c r="M31" s="233">
        <v>4809.1893748203902</v>
      </c>
      <c r="N31" s="233">
        <v>5116.4739904592298</v>
      </c>
      <c r="O31" s="233">
        <v>5167.1718164854701</v>
      </c>
      <c r="P31" s="233">
        <v>5338.24141892034</v>
      </c>
      <c r="Q31" s="233">
        <v>5602.3750800241296</v>
      </c>
      <c r="R31" s="233">
        <v>5273.4327231963398</v>
      </c>
      <c r="S31" s="233">
        <v>5400.01086849696</v>
      </c>
      <c r="T31" s="233">
        <v>5247.1532787802298</v>
      </c>
      <c r="U31" s="233">
        <v>5270.6070357118197</v>
      </c>
      <c r="V31" s="233">
        <v>5484.4913485146799</v>
      </c>
      <c r="W31" s="233">
        <v>5686.2662103213397</v>
      </c>
      <c r="X31" s="233">
        <v>5242.4093686424903</v>
      </c>
      <c r="Y31" s="233">
        <v>5083.4833468453098</v>
      </c>
      <c r="Z31" s="233">
        <v>5094.8311914498299</v>
      </c>
      <c r="AA31" s="204">
        <v>5496.90650331904</v>
      </c>
      <c r="AB31" s="204">
        <v>5837.2062190685001</v>
      </c>
      <c r="AC31" s="204">
        <v>6099.6526735635098</v>
      </c>
      <c r="AD31" s="204">
        <v>6153.0494720409597</v>
      </c>
      <c r="AE31" s="204">
        <v>6243.0402026698002</v>
      </c>
      <c r="AF31" s="204">
        <v>6398.3752479928098</v>
      </c>
      <c r="AG31" s="204">
        <v>6080.3254127414002</v>
      </c>
      <c r="AH31" s="204">
        <v>6464.3801246948997</v>
      </c>
      <c r="AI31" s="204">
        <v>6565.6988645251804</v>
      </c>
      <c r="AJ31" s="204">
        <v>6754.31631101732</v>
      </c>
      <c r="AK31" s="204">
        <v>6780.1769091020697</v>
      </c>
      <c r="AL31" s="204">
        <v>6852.8458108110399</v>
      </c>
      <c r="AM31" s="204">
        <v>7278.6821739181196</v>
      </c>
      <c r="AN31" s="204">
        <v>7395.3932353451401</v>
      </c>
      <c r="AO31" s="204">
        <v>6382.9127035473903</v>
      </c>
      <c r="AP31" s="204">
        <v>6928.3672008780404</v>
      </c>
      <c r="AQ31" s="204">
        <v>7055.2009389769501</v>
      </c>
      <c r="AR31" s="204">
        <v>7227</v>
      </c>
      <c r="AS31" s="204">
        <v>7158</v>
      </c>
      <c r="AT31" s="204">
        <v>7158</v>
      </c>
      <c r="AU31" s="204">
        <v>7158</v>
      </c>
      <c r="AV31" s="201" t="s">
        <v>77</v>
      </c>
      <c r="AW31" s="184"/>
      <c r="AX31" s="184"/>
      <c r="AY31" s="184"/>
      <c r="AZ31" s="155"/>
      <c r="BA31" s="155"/>
      <c r="BB31" s="156"/>
      <c r="BC31" s="175">
        <v>6.1813449684786984E-3</v>
      </c>
      <c r="BD31" s="175">
        <v>6.1813449684786984E-3</v>
      </c>
      <c r="BE31" s="156"/>
      <c r="BF31" s="156" cm="1">
        <f t="array" ref="BF31">_xlfn.XLOOKUP(MIN(ABS($BJ$7:$BJ$29 - MEDIAN(MIN($BJ$7:$BJ$29), MAX($BJ$7:$BJ$29), BD31))), ABS($BJ$7:$BJ$29 - MEDIAN(MIN($BJ$7:$BJ$29), MAX($BJ$7:$BJ$29), BD31)), $BK$7:$BK$29, "Error", 0)</f>
        <v>0</v>
      </c>
      <c r="BG31" s="156"/>
      <c r="BH31" s="156"/>
      <c r="BI31" s="156"/>
      <c r="BJ31" s="156"/>
      <c r="BK31" s="156"/>
    </row>
    <row r="32" spans="1:67" ht="22">
      <c r="A32" s="284"/>
      <c r="B32" s="201" t="s">
        <v>78</v>
      </c>
      <c r="C32" s="230">
        <f t="shared" ref="C32:Z32" si="26">+(C31-C30)/C30</f>
        <v>-0.10526639915233525</v>
      </c>
      <c r="D32" s="230">
        <f t="shared" si="26"/>
        <v>-0.10926721296910422</v>
      </c>
      <c r="E32" s="230">
        <f t="shared" si="26"/>
        <v>-6.8076263539506965E-2</v>
      </c>
      <c r="F32" s="230">
        <f t="shared" si="26"/>
        <v>-3.9197340392892084E-2</v>
      </c>
      <c r="G32" s="230">
        <f t="shared" si="26"/>
        <v>-0.10336130627536708</v>
      </c>
      <c r="H32" s="230">
        <f t="shared" si="26"/>
        <v>-5.3116619141661915E-2</v>
      </c>
      <c r="I32" s="230">
        <f t="shared" si="26"/>
        <v>0</v>
      </c>
      <c r="J32" s="230">
        <f t="shared" si="26"/>
        <v>-7.2400496090418681E-2</v>
      </c>
      <c r="K32" s="230">
        <f t="shared" si="26"/>
        <v>-0.12726606435327958</v>
      </c>
      <c r="L32" s="230">
        <f t="shared" si="26"/>
        <v>-0.14880320328854479</v>
      </c>
      <c r="M32" s="230">
        <f t="shared" si="26"/>
        <v>-5.0413390133790072E-2</v>
      </c>
      <c r="N32" s="230">
        <f t="shared" si="26"/>
        <v>0</v>
      </c>
      <c r="O32" s="230">
        <f t="shared" si="26"/>
        <v>0</v>
      </c>
      <c r="P32" s="230">
        <f t="shared" si="26"/>
        <v>0</v>
      </c>
      <c r="Q32" s="230">
        <f t="shared" si="26"/>
        <v>0</v>
      </c>
      <c r="R32" s="230">
        <f t="shared" si="26"/>
        <v>-5.8714804369430586E-2</v>
      </c>
      <c r="S32" s="230">
        <f t="shared" si="26"/>
        <v>-3.6121146591687678E-2</v>
      </c>
      <c r="T32" s="230">
        <f t="shared" si="26"/>
        <v>-6.3405572845431454E-2</v>
      </c>
      <c r="U32" s="230">
        <f t="shared" si="26"/>
        <v>-5.9219177504780882E-2</v>
      </c>
      <c r="V32" s="230">
        <f t="shared" si="26"/>
        <v>-2.1041742087168858E-2</v>
      </c>
      <c r="W32" s="230">
        <f t="shared" si="26"/>
        <v>0</v>
      </c>
      <c r="X32" s="230">
        <f t="shared" si="26"/>
        <v>-7.8057696432360019E-2</v>
      </c>
      <c r="Y32" s="230">
        <f t="shared" si="26"/>
        <v>-0.10600679623157595</v>
      </c>
      <c r="Z32" s="230">
        <f t="shared" si="26"/>
        <v>-0.10401113788833444</v>
      </c>
      <c r="AA32" s="230">
        <f t="shared" ref="AA32:AR32" si="27">+(AA31-AA30)/AA30</f>
        <v>-3.3301238457423311E-2</v>
      </c>
      <c r="AB32" s="205">
        <f t="shared" si="27"/>
        <v>0</v>
      </c>
      <c r="AC32" s="205">
        <f t="shared" si="27"/>
        <v>0</v>
      </c>
      <c r="AD32" s="205">
        <f t="shared" si="27"/>
        <v>0</v>
      </c>
      <c r="AE32" s="205">
        <f t="shared" si="27"/>
        <v>0</v>
      </c>
      <c r="AF32" s="205">
        <f t="shared" si="27"/>
        <v>0</v>
      </c>
      <c r="AG32" s="205">
        <f t="shared" si="27"/>
        <v>-4.9707905979909948E-2</v>
      </c>
      <c r="AH32" s="205">
        <f t="shared" si="27"/>
        <v>0</v>
      </c>
      <c r="AI32" s="205">
        <f t="shared" si="27"/>
        <v>0</v>
      </c>
      <c r="AJ32" s="205">
        <f t="shared" si="27"/>
        <v>0</v>
      </c>
      <c r="AK32" s="205">
        <f t="shared" si="27"/>
        <v>0</v>
      </c>
      <c r="AL32" s="205">
        <f t="shared" si="27"/>
        <v>0</v>
      </c>
      <c r="AM32" s="205">
        <f t="shared" si="27"/>
        <v>0</v>
      </c>
      <c r="AN32" s="205">
        <f t="shared" si="27"/>
        <v>0</v>
      </c>
      <c r="AO32" s="205">
        <f t="shared" si="27"/>
        <v>-0.13690692294207635</v>
      </c>
      <c r="AP32" s="205">
        <f t="shared" si="27"/>
        <v>-6.3150939998027525E-2</v>
      </c>
      <c r="AQ32" s="205">
        <f t="shared" si="27"/>
        <v>-4.600056894098524E-2</v>
      </c>
      <c r="AR32" s="205">
        <f t="shared" si="27"/>
        <v>-2.2770017764617383E-2</v>
      </c>
      <c r="AS32" s="205">
        <f t="shared" ref="AS32:AT32" si="28">+(AS31-AS30)/AS30</f>
        <v>-3.2100150430210493E-2</v>
      </c>
      <c r="AT32" s="205">
        <f t="shared" si="28"/>
        <v>-3.2100150430210493E-2</v>
      </c>
      <c r="AU32" s="205">
        <f t="shared" ref="AU32" si="29">+(AU31-AU30)/AU30</f>
        <v>-3.2100150430210493E-2</v>
      </c>
      <c r="AV32" s="201" t="s">
        <v>78</v>
      </c>
      <c r="AW32" s="184"/>
      <c r="AX32" s="184"/>
      <c r="AY32" s="184"/>
      <c r="AZ32" s="155"/>
      <c r="BA32" s="155"/>
      <c r="BB32" s="156"/>
      <c r="BC32" s="175">
        <v>1.6082147233995522E-3</v>
      </c>
      <c r="BD32" s="175">
        <v>1.6082147233995522E-3</v>
      </c>
      <c r="BE32" s="156"/>
      <c r="BF32" s="156" cm="1">
        <f t="array" ref="BF32">_xlfn.XLOOKUP(MIN(ABS($BJ$7:$BJ$29 - MEDIAN(MIN($BJ$7:$BJ$29), MAX($BJ$7:$BJ$29), BD32))), ABS($BJ$7:$BJ$29 - MEDIAN(MIN($BJ$7:$BJ$29), MAX($BJ$7:$BJ$29), BD32)), $BK$7:$BK$29, "Error", 0)</f>
        <v>0</v>
      </c>
      <c r="BG32" s="156"/>
      <c r="BH32" s="156"/>
      <c r="BI32" s="156"/>
      <c r="BJ32" s="156"/>
      <c r="BK32" s="156"/>
    </row>
    <row r="33" spans="1:63" ht="44">
      <c r="A33" s="284"/>
      <c r="B33" s="201" t="s">
        <v>91</v>
      </c>
      <c r="C33" s="233">
        <v>4522.240234375</v>
      </c>
      <c r="D33" s="233">
        <v>4522.240234375</v>
      </c>
      <c r="E33" s="233">
        <v>4522.240234375</v>
      </c>
      <c r="F33" s="233">
        <v>4522.240234375</v>
      </c>
      <c r="G33" s="233">
        <v>4522.240234375</v>
      </c>
      <c r="H33" s="233">
        <v>4522.240234375</v>
      </c>
      <c r="I33" s="233">
        <v>4522.240234375</v>
      </c>
      <c r="J33" s="233">
        <v>4522.240234375</v>
      </c>
      <c r="K33" s="233">
        <v>4522.240234375</v>
      </c>
      <c r="L33" s="233">
        <v>4522.240234375</v>
      </c>
      <c r="M33" s="233">
        <v>4522.240234375</v>
      </c>
      <c r="N33" s="233">
        <v>4593.10986328125</v>
      </c>
      <c r="O33" s="233">
        <v>4674.740234375</v>
      </c>
      <c r="P33" s="233">
        <v>4898.3701171875</v>
      </c>
      <c r="Q33" s="233">
        <v>5103.259765625</v>
      </c>
      <c r="R33" s="233">
        <v>5103.259765625</v>
      </c>
      <c r="S33" s="233">
        <v>5103.259765625</v>
      </c>
      <c r="T33" s="233">
        <v>5103.259765625</v>
      </c>
      <c r="U33" s="233">
        <v>5103.259765625</v>
      </c>
      <c r="V33" s="233">
        <v>5103.259765625</v>
      </c>
      <c r="W33" s="233">
        <v>5103.259765625</v>
      </c>
      <c r="X33" s="233">
        <v>5103.259765625</v>
      </c>
      <c r="Y33" s="233">
        <v>5103.259765625</v>
      </c>
      <c r="Z33" s="233">
        <v>5103.259765625</v>
      </c>
      <c r="AA33" s="231">
        <v>5314.2900390625</v>
      </c>
      <c r="AB33" s="203">
        <v>5544.1201171875</v>
      </c>
      <c r="AC33" s="203">
        <v>5544.1201171875</v>
      </c>
      <c r="AD33" s="203">
        <v>5544.1201171875</v>
      </c>
      <c r="AE33" s="203">
        <v>5544.1201171875</v>
      </c>
      <c r="AF33" s="203">
        <v>5544.1201171875</v>
      </c>
      <c r="AG33" s="203">
        <v>5544.1201171875</v>
      </c>
      <c r="AH33" s="203">
        <v>5544.1201171875</v>
      </c>
      <c r="AI33" s="203">
        <v>5544.1201171875</v>
      </c>
      <c r="AJ33" s="203">
        <v>5734.27978515625</v>
      </c>
      <c r="AK33" s="203">
        <v>5818.06982421875</v>
      </c>
      <c r="AL33" s="203">
        <v>5818.06982421875</v>
      </c>
      <c r="AM33" s="203">
        <v>6053.68017578125</v>
      </c>
      <c r="AN33" s="203">
        <v>6199.77978515625</v>
      </c>
      <c r="AO33" s="203">
        <v>6199.77978515625</v>
      </c>
      <c r="AP33" s="203">
        <v>6199.77978515625</v>
      </c>
      <c r="AQ33" s="203">
        <v>6199.77978515625</v>
      </c>
      <c r="AR33" s="203">
        <v>6337</v>
      </c>
      <c r="AS33" s="203">
        <v>6337</v>
      </c>
      <c r="AT33" s="203">
        <v>6337</v>
      </c>
      <c r="AU33" s="203">
        <v>6337</v>
      </c>
      <c r="AV33" s="201" t="s">
        <v>91</v>
      </c>
      <c r="AW33" s="184"/>
      <c r="AX33" s="184"/>
      <c r="AY33" s="184"/>
      <c r="AZ33" s="155"/>
      <c r="BA33" s="155"/>
      <c r="BB33" s="156"/>
      <c r="BC33" s="156"/>
      <c r="BD33" s="183"/>
      <c r="BE33" s="156"/>
      <c r="BF33" s="156"/>
      <c r="BG33" s="156"/>
      <c r="BH33" s="156"/>
      <c r="BI33" s="156"/>
      <c r="BJ33" s="156"/>
      <c r="BK33" s="156"/>
    </row>
    <row r="34" spans="1:63" ht="44">
      <c r="A34" s="284"/>
      <c r="B34" s="201" t="s">
        <v>92</v>
      </c>
      <c r="C34" s="233">
        <v>4163.4501953125</v>
      </c>
      <c r="D34" s="233">
        <v>4238.3798828125</v>
      </c>
      <c r="E34" s="233">
        <v>4315.0498046875</v>
      </c>
      <c r="F34" s="233">
        <v>4359.31005859375</v>
      </c>
      <c r="G34" s="233">
        <v>4218.0400390625</v>
      </c>
      <c r="H34" s="233">
        <v>4399.08984375</v>
      </c>
      <c r="I34" s="233">
        <v>4471.31005859375</v>
      </c>
      <c r="J34" s="233">
        <v>4297.10986328125</v>
      </c>
      <c r="K34" s="233">
        <v>4174.66015625</v>
      </c>
      <c r="L34" s="233">
        <v>4061.1201171875</v>
      </c>
      <c r="M34" s="233">
        <v>4382.47021484375</v>
      </c>
      <c r="N34" s="233">
        <v>4593.10986328125</v>
      </c>
      <c r="O34" s="233">
        <v>4674.740234375</v>
      </c>
      <c r="P34" s="233">
        <v>4898.3701171875</v>
      </c>
      <c r="Q34" s="233">
        <v>5103.259765625</v>
      </c>
      <c r="R34" s="233">
        <v>4921.22021484375</v>
      </c>
      <c r="S34" s="233">
        <v>4983.669921875</v>
      </c>
      <c r="T34" s="233">
        <v>4894.02001953125</v>
      </c>
      <c r="U34" s="233">
        <v>4872.93994140625</v>
      </c>
      <c r="V34" s="233">
        <v>4957.97998046875</v>
      </c>
      <c r="W34" s="233">
        <v>5000.4501953125</v>
      </c>
      <c r="X34" s="233">
        <v>4827.6298828125</v>
      </c>
      <c r="Y34" s="233">
        <v>4804.39990234375</v>
      </c>
      <c r="Z34" s="233">
        <v>4895.97998046875</v>
      </c>
      <c r="AA34" s="231">
        <v>5314.2900390625</v>
      </c>
      <c r="AB34" s="203">
        <v>5544.1201171875</v>
      </c>
      <c r="AC34" s="203">
        <v>5248.39013671875</v>
      </c>
      <c r="AD34" s="203">
        <v>5160.22021484375</v>
      </c>
      <c r="AE34" s="203">
        <v>5366.58984375</v>
      </c>
      <c r="AF34" s="203">
        <v>5303.240234375</v>
      </c>
      <c r="AG34" s="203">
        <v>5319.919921875</v>
      </c>
      <c r="AH34" s="203">
        <v>5351.72998046875</v>
      </c>
      <c r="AI34" s="203">
        <v>5529.9599609375</v>
      </c>
      <c r="AJ34" s="203">
        <v>5734.27978515625</v>
      </c>
      <c r="AK34" s="203">
        <v>5818.06982421875</v>
      </c>
      <c r="AL34" s="203">
        <v>5791.41015625</v>
      </c>
      <c r="AM34" s="203">
        <v>6053.68017578125</v>
      </c>
      <c r="AN34" s="203">
        <v>6199.77978515625</v>
      </c>
      <c r="AO34" s="203">
        <v>5569.72998046875</v>
      </c>
      <c r="AP34" s="203">
        <v>5881.509765625</v>
      </c>
      <c r="AQ34" s="203">
        <v>6050.5400390625</v>
      </c>
      <c r="AR34" s="203">
        <v>6447</v>
      </c>
      <c r="AS34" s="203">
        <v>6265</v>
      </c>
      <c r="AT34" s="203">
        <v>6265</v>
      </c>
      <c r="AU34" s="203">
        <v>6265</v>
      </c>
      <c r="AV34" s="201" t="s">
        <v>92</v>
      </c>
      <c r="AW34" s="184"/>
      <c r="AX34" s="184"/>
      <c r="AY34" s="184"/>
      <c r="AZ34" s="155"/>
      <c r="BA34" s="155"/>
      <c r="BB34" s="156"/>
      <c r="BC34" s="156"/>
      <c r="BD34" s="183"/>
      <c r="BE34" s="156"/>
      <c r="BF34" s="156"/>
      <c r="BG34" s="156"/>
      <c r="BH34" s="156"/>
      <c r="BI34" s="156"/>
      <c r="BJ34" s="156"/>
      <c r="BK34" s="156"/>
    </row>
    <row r="35" spans="1:63" ht="44">
      <c r="A35" s="284"/>
      <c r="B35" s="201" t="s">
        <v>79</v>
      </c>
      <c r="C35" s="230">
        <f t="shared" ref="C35:Z35" si="30">+(C34-C33)/C33</f>
        <v>-7.9339004667470278E-2</v>
      </c>
      <c r="D35" s="230">
        <f t="shared" si="30"/>
        <v>-6.2769852296829867E-2</v>
      </c>
      <c r="E35" s="230">
        <f t="shared" si="30"/>
        <v>-4.5815883046764969E-2</v>
      </c>
      <c r="F35" s="230">
        <f t="shared" si="30"/>
        <v>-3.6028642296082686E-2</v>
      </c>
      <c r="G35" s="230">
        <f t="shared" si="30"/>
        <v>-6.726758852839719E-2</v>
      </c>
      <c r="H35" s="230">
        <f t="shared" si="30"/>
        <v>-2.7232164644614486E-2</v>
      </c>
      <c r="I35" s="230">
        <f t="shared" si="30"/>
        <v>-1.1262156175187993E-2</v>
      </c>
      <c r="J35" s="230">
        <f t="shared" si="30"/>
        <v>-4.9782930456118132E-2</v>
      </c>
      <c r="K35" s="230">
        <f t="shared" si="30"/>
        <v>-7.6860153399842007E-2</v>
      </c>
      <c r="L35" s="230">
        <f t="shared" si="30"/>
        <v>-0.10196718734276386</v>
      </c>
      <c r="M35" s="230">
        <f t="shared" si="30"/>
        <v>-3.0907252221766816E-2</v>
      </c>
      <c r="N35" s="230">
        <f t="shared" si="30"/>
        <v>0</v>
      </c>
      <c r="O35" s="230">
        <f t="shared" si="30"/>
        <v>0</v>
      </c>
      <c r="P35" s="230">
        <f t="shared" si="30"/>
        <v>0</v>
      </c>
      <c r="Q35" s="230">
        <f t="shared" si="30"/>
        <v>0</v>
      </c>
      <c r="R35" s="230">
        <f t="shared" si="30"/>
        <v>-3.5671229594748145E-2</v>
      </c>
      <c r="S35" s="230">
        <f t="shared" si="30"/>
        <v>-2.3434010660312476E-2</v>
      </c>
      <c r="T35" s="230">
        <f t="shared" si="30"/>
        <v>-4.1001194472436241E-2</v>
      </c>
      <c r="U35" s="230">
        <f t="shared" si="30"/>
        <v>-4.5131902900604662E-2</v>
      </c>
      <c r="V35" s="230">
        <f t="shared" si="30"/>
        <v>-2.8468036476379029E-2</v>
      </c>
      <c r="W35" s="230">
        <f t="shared" si="30"/>
        <v>-2.0145862651361396E-2</v>
      </c>
      <c r="X35" s="230">
        <f t="shared" si="30"/>
        <v>-5.401055315057892E-2</v>
      </c>
      <c r="Y35" s="230">
        <f t="shared" si="30"/>
        <v>-5.8562541788356015E-2</v>
      </c>
      <c r="Z35" s="230">
        <f t="shared" si="30"/>
        <v>-4.0617133886161151E-2</v>
      </c>
      <c r="AA35" s="230">
        <f>+(AA34-AA33)/AA33</f>
        <v>0</v>
      </c>
      <c r="AB35" s="205">
        <f t="shared" ref="AB35:AK35" si="31">+(AB34-AB33)/AB33</f>
        <v>0</v>
      </c>
      <c r="AC35" s="205">
        <f t="shared" si="31"/>
        <v>-5.3341192870614083E-2</v>
      </c>
      <c r="AD35" s="205">
        <f t="shared" si="31"/>
        <v>-6.9244513868595647E-2</v>
      </c>
      <c r="AE35" s="205">
        <f t="shared" si="31"/>
        <v>-3.202136131342697E-2</v>
      </c>
      <c r="AF35" s="205">
        <f t="shared" si="31"/>
        <v>-4.3447810963860752E-2</v>
      </c>
      <c r="AG35" s="205">
        <f t="shared" si="31"/>
        <v>-4.0439274505876949E-2</v>
      </c>
      <c r="AH35" s="205">
        <f t="shared" si="31"/>
        <v>-3.4701653761489641E-2</v>
      </c>
      <c r="AI35" s="205">
        <f t="shared" si="31"/>
        <v>-2.5540854005131775E-3</v>
      </c>
      <c r="AJ35" s="205">
        <f t="shared" si="31"/>
        <v>0</v>
      </c>
      <c r="AK35" s="205">
        <f t="shared" si="31"/>
        <v>0</v>
      </c>
      <c r="AL35" s="205">
        <f t="shared" ref="AL35:AR35" si="32">+(AL34-AL33)/AL33</f>
        <v>-4.5822186350831327E-3</v>
      </c>
      <c r="AM35" s="205">
        <f t="shared" si="32"/>
        <v>0</v>
      </c>
      <c r="AN35" s="205">
        <f t="shared" si="32"/>
        <v>0</v>
      </c>
      <c r="AO35" s="205">
        <f t="shared" si="32"/>
        <v>-0.10162454579370535</v>
      </c>
      <c r="AP35" s="205">
        <f t="shared" si="32"/>
        <v>-5.1335697486104954E-2</v>
      </c>
      <c r="AQ35" s="205">
        <f t="shared" si="32"/>
        <v>-2.4071781783453906E-2</v>
      </c>
      <c r="AR35" s="205">
        <f t="shared" si="32"/>
        <v>1.7358371469149439E-2</v>
      </c>
      <c r="AS35" s="205">
        <f t="shared" ref="AS35:AT35" si="33">+(AS34-AS33)/AS33</f>
        <v>-1.1361843143443269E-2</v>
      </c>
      <c r="AT35" s="205">
        <f t="shared" si="33"/>
        <v>-1.1361843143443269E-2</v>
      </c>
      <c r="AU35" s="205">
        <f t="shared" ref="AU35" si="34">+(AU34-AU33)/AU33</f>
        <v>-1.1361843143443269E-2</v>
      </c>
      <c r="AV35" s="201" t="s">
        <v>79</v>
      </c>
      <c r="AW35" s="184"/>
      <c r="AX35" s="184"/>
      <c r="AY35" s="184"/>
    </row>
    <row r="36" spans="1:63" ht="22">
      <c r="A36" s="284"/>
      <c r="B36" s="201" t="s">
        <v>80</v>
      </c>
      <c r="C36" s="230">
        <f t="shared" ref="C36:Z36" si="35">+C32-C35</f>
        <v>-2.5927394484864974E-2</v>
      </c>
      <c r="D36" s="230">
        <f t="shared" si="35"/>
        <v>-4.6497360672274349E-2</v>
      </c>
      <c r="E36" s="230">
        <f t="shared" si="35"/>
        <v>-2.2260380492741996E-2</v>
      </c>
      <c r="F36" s="230">
        <f t="shared" si="35"/>
        <v>-3.1686980968093983E-3</v>
      </c>
      <c r="G36" s="230">
        <f t="shared" si="35"/>
        <v>-3.6093717746969886E-2</v>
      </c>
      <c r="H36" s="230">
        <f t="shared" si="35"/>
        <v>-2.5884454497047429E-2</v>
      </c>
      <c r="I36" s="230">
        <f t="shared" si="35"/>
        <v>1.1262156175187993E-2</v>
      </c>
      <c r="J36" s="230">
        <f t="shared" si="35"/>
        <v>-2.2617565634300549E-2</v>
      </c>
      <c r="K36" s="230">
        <f t="shared" si="35"/>
        <v>-5.0405910953437577E-2</v>
      </c>
      <c r="L36" s="230">
        <f t="shared" si="35"/>
        <v>-4.6836015945780934E-2</v>
      </c>
      <c r="M36" s="230">
        <f t="shared" si="35"/>
        <v>-1.9506137912023255E-2</v>
      </c>
      <c r="N36" s="230">
        <f t="shared" si="35"/>
        <v>0</v>
      </c>
      <c r="O36" s="230">
        <f t="shared" si="35"/>
        <v>0</v>
      </c>
      <c r="P36" s="230">
        <f t="shared" si="35"/>
        <v>0</v>
      </c>
      <c r="Q36" s="230">
        <f t="shared" si="35"/>
        <v>0</v>
      </c>
      <c r="R36" s="230">
        <f t="shared" si="35"/>
        <v>-2.304357477468244E-2</v>
      </c>
      <c r="S36" s="230">
        <f t="shared" si="35"/>
        <v>-1.2687135931375201E-2</v>
      </c>
      <c r="T36" s="230">
        <f t="shared" si="35"/>
        <v>-2.2404378372995214E-2</v>
      </c>
      <c r="U36" s="230">
        <f t="shared" si="35"/>
        <v>-1.408727460417622E-2</v>
      </c>
      <c r="V36" s="230">
        <f t="shared" si="35"/>
        <v>7.426294389210171E-3</v>
      </c>
      <c r="W36" s="230">
        <f t="shared" si="35"/>
        <v>2.0145862651361396E-2</v>
      </c>
      <c r="X36" s="230">
        <f t="shared" si="35"/>
        <v>-2.4047143281781098E-2</v>
      </c>
      <c r="Y36" s="230">
        <f t="shared" si="35"/>
        <v>-4.7444254443219938E-2</v>
      </c>
      <c r="Z36" s="230">
        <f t="shared" si="35"/>
        <v>-6.3394004002173293E-2</v>
      </c>
      <c r="AA36" s="230">
        <f t="shared" ref="AA36:AR36" si="36">+AA32-AA35</f>
        <v>-3.3301238457423311E-2</v>
      </c>
      <c r="AB36" s="205">
        <f t="shared" si="36"/>
        <v>0</v>
      </c>
      <c r="AC36" s="205">
        <f t="shared" si="36"/>
        <v>5.3341192870614083E-2</v>
      </c>
      <c r="AD36" s="205">
        <f t="shared" si="36"/>
        <v>6.9244513868595647E-2</v>
      </c>
      <c r="AE36" s="205">
        <f t="shared" si="36"/>
        <v>3.202136131342697E-2</v>
      </c>
      <c r="AF36" s="205">
        <f t="shared" si="36"/>
        <v>4.3447810963860752E-2</v>
      </c>
      <c r="AG36" s="205">
        <f t="shared" si="36"/>
        <v>-9.2686314740329998E-3</v>
      </c>
      <c r="AH36" s="205">
        <f t="shared" si="36"/>
        <v>3.4701653761489641E-2</v>
      </c>
      <c r="AI36" s="205">
        <f t="shared" si="36"/>
        <v>2.5540854005131775E-3</v>
      </c>
      <c r="AJ36" s="205">
        <f t="shared" si="36"/>
        <v>0</v>
      </c>
      <c r="AK36" s="205">
        <f t="shared" si="36"/>
        <v>0</v>
      </c>
      <c r="AL36" s="205">
        <f t="shared" si="36"/>
        <v>4.5822186350831327E-3</v>
      </c>
      <c r="AM36" s="205">
        <f t="shared" si="36"/>
        <v>0</v>
      </c>
      <c r="AN36" s="205">
        <f t="shared" si="36"/>
        <v>0</v>
      </c>
      <c r="AO36" s="205">
        <f t="shared" si="36"/>
        <v>-3.5282377148371E-2</v>
      </c>
      <c r="AP36" s="205">
        <f t="shared" si="36"/>
        <v>-1.181524251192257E-2</v>
      </c>
      <c r="AQ36" s="205">
        <f t="shared" si="36"/>
        <v>-2.1928787157531333E-2</v>
      </c>
      <c r="AR36" s="205">
        <f t="shared" si="36"/>
        <v>-4.0128389233766826E-2</v>
      </c>
      <c r="AS36" s="205">
        <f t="shared" ref="AS36:AT36" si="37">+AS32-AS35</f>
        <v>-2.0738307286767226E-2</v>
      </c>
      <c r="AT36" s="205">
        <f t="shared" si="37"/>
        <v>-2.0738307286767226E-2</v>
      </c>
      <c r="AU36" s="205">
        <f t="shared" ref="AU36" si="38">+AU32-AU35</f>
        <v>-2.0738307286767226E-2</v>
      </c>
      <c r="AV36" s="201" t="s">
        <v>80</v>
      </c>
      <c r="AW36" s="184"/>
      <c r="AX36" s="184"/>
      <c r="AY36" s="184"/>
    </row>
    <row r="37" spans="1:63" ht="22">
      <c r="A37" s="285"/>
      <c r="B37" s="206" t="s">
        <v>25</v>
      </c>
      <c r="C37" s="232" cm="1">
        <f t="array" ref="C37">_xlfn.XLOOKUP(MIN(ABS($BJ$7:$BJ$29 - MEDIAN(MIN($BJ$7:$BJ$29), MAX($BJ$7:$BJ$29), C36))), ABS($BJ$7:$BJ$29 - MEDIAN(MIN($BJ$7:$BJ$29), MAX($BJ$7:$BJ$29), C36)), $BK$7:$BK$29, "Error", 0)</f>
        <v>-2</v>
      </c>
      <c r="D37" s="232" cm="1">
        <f t="array" ref="D37">_xlfn.XLOOKUP(MIN(ABS($BJ$7:$BJ$29 - MEDIAN(MIN($BJ$7:$BJ$29), MAX($BJ$7:$BJ$29), D36))), ABS($BJ$7:$BJ$29 - MEDIAN(MIN($BJ$7:$BJ$29), MAX($BJ$7:$BJ$29), D36)), $BK$7:$BK$29, "Error", 0)</f>
        <v>-3</v>
      </c>
      <c r="E37" s="232" cm="1">
        <f t="array" ref="E37">_xlfn.XLOOKUP(MIN(ABS($BJ$7:$BJ$29 - MEDIAN(MIN($BJ$7:$BJ$29), MAX($BJ$7:$BJ$29), E36))), ABS($BJ$7:$BJ$29 - MEDIAN(MIN($BJ$7:$BJ$29), MAX($BJ$7:$BJ$29), E36)), $BK$7:$BK$29, "Error", 0)</f>
        <v>-2</v>
      </c>
      <c r="F37" s="232" cm="1">
        <f t="array" ref="F37">_xlfn.XLOOKUP(MIN(ABS($BJ$7:$BJ$29 - MEDIAN(MIN($BJ$7:$BJ$29), MAX($BJ$7:$BJ$29), F36))), ABS($BJ$7:$BJ$29 - MEDIAN(MIN($BJ$7:$BJ$29), MAX($BJ$7:$BJ$29), F36)), $BK$7:$BK$29, "Error", 0)</f>
        <v>0</v>
      </c>
      <c r="G37" s="232" cm="1">
        <f t="array" ref="G37">_xlfn.XLOOKUP(MIN(ABS($BJ$7:$BJ$29 - MEDIAN(MIN($BJ$7:$BJ$29), MAX($BJ$7:$BJ$29), G36))), ABS($BJ$7:$BJ$29 - MEDIAN(MIN($BJ$7:$BJ$29), MAX($BJ$7:$BJ$29), G36)), $BK$7:$BK$29, "Error", 0)</f>
        <v>-3</v>
      </c>
      <c r="H37" s="232" cm="1">
        <f t="array" ref="H37">_xlfn.XLOOKUP(MIN(ABS($BJ$7:$BJ$29 - MEDIAN(MIN($BJ$7:$BJ$29), MAX($BJ$7:$BJ$29), H36))), ABS($BJ$7:$BJ$29 - MEDIAN(MIN($BJ$7:$BJ$29), MAX($BJ$7:$BJ$29), H36)), $BK$7:$BK$29, "Error", 0)</f>
        <v>-2</v>
      </c>
      <c r="I37" s="232" cm="1">
        <f t="array" ref="I37">_xlfn.XLOOKUP(MIN(ABS($BJ$7:$BJ$29 - MEDIAN(MIN($BJ$7:$BJ$29), MAX($BJ$7:$BJ$29), I36))), ABS($BJ$7:$BJ$29 - MEDIAN(MIN($BJ$7:$BJ$29), MAX($BJ$7:$BJ$29), I36)), $BK$7:$BK$29, "Error", 0)</f>
        <v>2</v>
      </c>
      <c r="J37" s="232" cm="1">
        <f t="array" ref="J37">_xlfn.XLOOKUP(MIN(ABS($BJ$7:$BJ$29 - MEDIAN(MIN($BJ$7:$BJ$29), MAX($BJ$7:$BJ$29), J36))), ABS($BJ$7:$BJ$29 - MEDIAN(MIN($BJ$7:$BJ$29), MAX($BJ$7:$BJ$29), J36)), $BK$7:$BK$29, "Error", 0)</f>
        <v>-2</v>
      </c>
      <c r="K37" s="232" cm="1">
        <f t="array" ref="K37">_xlfn.XLOOKUP(MIN(ABS($BJ$7:$BJ$29 - MEDIAN(MIN($BJ$7:$BJ$29), MAX($BJ$7:$BJ$29), K36))), ABS($BJ$7:$BJ$29 - MEDIAN(MIN($BJ$7:$BJ$29), MAX($BJ$7:$BJ$29), K36)), $BK$7:$BK$29, "Error", 0)</f>
        <v>-5</v>
      </c>
      <c r="L37" s="232" cm="1">
        <f t="array" ref="L37">_xlfn.XLOOKUP(MIN(ABS($BJ$7:$BJ$29 - MEDIAN(MIN($BJ$7:$BJ$29), MAX($BJ$7:$BJ$29), L36))), ABS($BJ$7:$BJ$29 - MEDIAN(MIN($BJ$7:$BJ$29), MAX($BJ$7:$BJ$29), L36)), $BK$7:$BK$29, "Error", 0)</f>
        <v>-3</v>
      </c>
      <c r="M37" s="232" cm="1">
        <f t="array" ref="M37">_xlfn.XLOOKUP(MIN(ABS($BJ$7:$BJ$29 - MEDIAN(MIN($BJ$7:$BJ$29), MAX($BJ$7:$BJ$29), M36))), ABS($BJ$7:$BJ$29 - MEDIAN(MIN($BJ$7:$BJ$29), MAX($BJ$7:$BJ$29), M36)), $BK$7:$BK$29, "Error", 0)</f>
        <v>-2</v>
      </c>
      <c r="N37" s="232" cm="1">
        <f t="array" ref="N37">_xlfn.XLOOKUP(MIN(ABS($BJ$7:$BJ$29 - MEDIAN(MIN($BJ$7:$BJ$29), MAX($BJ$7:$BJ$29), N36))), ABS($BJ$7:$BJ$29 - MEDIAN(MIN($BJ$7:$BJ$29), MAX($BJ$7:$BJ$29), N36)), $BK$7:$BK$29, "Error", 0)</f>
        <v>0</v>
      </c>
      <c r="O37" s="232" cm="1">
        <f t="array" ref="O37">_xlfn.XLOOKUP(MIN(ABS($BJ$7:$BJ$29 - MEDIAN(MIN($BJ$7:$BJ$29), MAX($BJ$7:$BJ$29), O36))), ABS($BJ$7:$BJ$29 - MEDIAN(MIN($BJ$7:$BJ$29), MAX($BJ$7:$BJ$29), O36)), $BK$7:$BK$29, "Error", 0)</f>
        <v>0</v>
      </c>
      <c r="P37" s="232" cm="1">
        <f t="array" ref="P37">_xlfn.XLOOKUP(MIN(ABS($BJ$7:$BJ$29 - MEDIAN(MIN($BJ$7:$BJ$29), MAX($BJ$7:$BJ$29), P36))), ABS($BJ$7:$BJ$29 - MEDIAN(MIN($BJ$7:$BJ$29), MAX($BJ$7:$BJ$29), P36)), $BK$7:$BK$29, "Error", 0)</f>
        <v>0</v>
      </c>
      <c r="Q37" s="232" cm="1">
        <f t="array" ref="Q37">_xlfn.XLOOKUP(MIN(ABS($BJ$7:$BJ$29 - MEDIAN(MIN($BJ$7:$BJ$29), MAX($BJ$7:$BJ$29), Q36))), ABS($BJ$7:$BJ$29 - MEDIAN(MIN($BJ$7:$BJ$29), MAX($BJ$7:$BJ$29), Q36)), $BK$7:$BK$29, "Error", 0)</f>
        <v>0</v>
      </c>
      <c r="R37" s="232" cm="1">
        <f t="array" ref="R37">_xlfn.XLOOKUP(MIN(ABS($BJ$7:$BJ$29 - MEDIAN(MIN($BJ$7:$BJ$29), MAX($BJ$7:$BJ$29), R36))), ABS($BJ$7:$BJ$29 - MEDIAN(MIN($BJ$7:$BJ$29), MAX($BJ$7:$BJ$29), R36)), $BK$7:$BK$29, "Error", 0)</f>
        <v>-2</v>
      </c>
      <c r="S37" s="232" cm="1">
        <f t="array" ref="S37">_xlfn.XLOOKUP(MIN(ABS($BJ$7:$BJ$29 - MEDIAN(MIN($BJ$7:$BJ$29), MAX($BJ$7:$BJ$29), S36))), ABS($BJ$7:$BJ$29 - MEDIAN(MIN($BJ$7:$BJ$29), MAX($BJ$7:$BJ$29), S36)), $BK$7:$BK$29, "Error", 0)</f>
        <v>-2</v>
      </c>
      <c r="T37" s="232" cm="1">
        <f t="array" ref="T37">_xlfn.XLOOKUP(MIN(ABS($BJ$7:$BJ$29 - MEDIAN(MIN($BJ$7:$BJ$29), MAX($BJ$7:$BJ$29), T36))), ABS($BJ$7:$BJ$29 - MEDIAN(MIN($BJ$7:$BJ$29), MAX($BJ$7:$BJ$29), T36)), $BK$7:$BK$29, "Error", 0)</f>
        <v>-2</v>
      </c>
      <c r="U37" s="232" cm="1">
        <f t="array" ref="U37">_xlfn.XLOOKUP(MIN(ABS($BJ$7:$BJ$29 - MEDIAN(MIN($BJ$7:$BJ$29), MAX($BJ$7:$BJ$29), U36))), ABS($BJ$7:$BJ$29 - MEDIAN(MIN($BJ$7:$BJ$29), MAX($BJ$7:$BJ$29), U36)), $BK$7:$BK$29, "Error", 0)</f>
        <v>-2</v>
      </c>
      <c r="V37" s="232" cm="1">
        <f t="array" ref="V37">_xlfn.XLOOKUP(MIN(ABS($BJ$7:$BJ$29 - MEDIAN(MIN($BJ$7:$BJ$29), MAX($BJ$7:$BJ$29), V36))), ABS($BJ$7:$BJ$29 - MEDIAN(MIN($BJ$7:$BJ$29), MAX($BJ$7:$BJ$29), V36)), $BK$7:$BK$29, "Error", 0)</f>
        <v>0</v>
      </c>
      <c r="W37" s="232" cm="1">
        <f t="array" ref="W37">_xlfn.XLOOKUP(MIN(ABS($BJ$7:$BJ$29 - MEDIAN(MIN($BJ$7:$BJ$29), MAX($BJ$7:$BJ$29), W36))), ABS($BJ$7:$BJ$29 - MEDIAN(MIN($BJ$7:$BJ$29), MAX($BJ$7:$BJ$29), W36)), $BK$7:$BK$29, "Error", 0)</f>
        <v>2</v>
      </c>
      <c r="X37" s="232" cm="1">
        <f t="array" ref="X37">_xlfn.XLOOKUP(MIN(ABS($BJ$7:$BJ$29 - MEDIAN(MIN($BJ$7:$BJ$29), MAX($BJ$7:$BJ$29), X36))), ABS($BJ$7:$BJ$29 - MEDIAN(MIN($BJ$7:$BJ$29), MAX($BJ$7:$BJ$29), X36)), $BK$7:$BK$29, "Error", 0)</f>
        <v>-2</v>
      </c>
      <c r="Y37" s="232" cm="1">
        <f t="array" ref="Y37">_xlfn.XLOOKUP(MIN(ABS($BJ$7:$BJ$29 - MEDIAN(MIN($BJ$7:$BJ$29), MAX($BJ$7:$BJ$29), Y36))), ABS($BJ$7:$BJ$29 - MEDIAN(MIN($BJ$7:$BJ$29), MAX($BJ$7:$BJ$29), Y36)), $BK$7:$BK$29, "Error", 0)</f>
        <v>-3</v>
      </c>
      <c r="Z37" s="232" cm="1">
        <f t="array" ref="Z37">_xlfn.XLOOKUP(MIN(ABS($BJ$7:$BJ$29 - MEDIAN(MIN($BJ$7:$BJ$29), MAX($BJ$7:$BJ$29), Z36))), ABS($BJ$7:$BJ$29 - MEDIAN(MIN($BJ$7:$BJ$29), MAX($BJ$7:$BJ$29), Z36)), $BK$7:$BK$29, "Error", 0)</f>
        <v>-5</v>
      </c>
      <c r="AA37" s="232" cm="1">
        <f t="array" ref="AA37">_xlfn.XLOOKUP(MIN(ABS($BJ$7:$BJ$29 - MEDIAN(MIN($BJ$7:$BJ$29), MAX($BJ$7:$BJ$29), AA36))), ABS($BJ$7:$BJ$29 - MEDIAN(MIN($BJ$7:$BJ$29), MAX($BJ$7:$BJ$29), AA36)), $BK$7:$BK$29, "Error", 0)</f>
        <v>-3</v>
      </c>
      <c r="AB37" s="171" cm="1">
        <f t="array" ref="AB37">_xlfn.XLOOKUP(MIN(ABS($BJ$7:$BJ$29 - MEDIAN(MIN($BJ$7:$BJ$29), MAX($BJ$7:$BJ$29), AB36))), ABS($BJ$7:$BJ$29 - MEDIAN(MIN($BJ$7:$BJ$29), MAX($BJ$7:$BJ$29), AB36)), $BK$7:$BK$29, "Error", 0)</f>
        <v>0</v>
      </c>
      <c r="AC37" s="171" cm="1">
        <f t="array" ref="AC37">_xlfn.XLOOKUP(MIN(ABS($BJ$7:$BJ$29 - MEDIAN(MIN($BJ$7:$BJ$29), MAX($BJ$7:$BJ$29), AC36))), ABS($BJ$7:$BJ$29 - MEDIAN(MIN($BJ$7:$BJ$29), MAX($BJ$7:$BJ$29), AC36)), $BK$7:$BK$29, "Error", 0)</f>
        <v>5</v>
      </c>
      <c r="AD37" s="171" cm="1">
        <f t="array" ref="AD37">_xlfn.XLOOKUP(MIN(ABS($BJ$7:$BJ$29 - MEDIAN(MIN($BJ$7:$BJ$29), MAX($BJ$7:$BJ$29), AD36))), ABS($BJ$7:$BJ$29 - MEDIAN(MIN($BJ$7:$BJ$29), MAX($BJ$7:$BJ$29), AD36)), $BK$7:$BK$29, "Error", 0)</f>
        <v>5</v>
      </c>
      <c r="AE37" s="171" cm="1">
        <f t="array" ref="AE37">_xlfn.XLOOKUP(MIN(ABS($BJ$7:$BJ$29 - MEDIAN(MIN($BJ$7:$BJ$29), MAX($BJ$7:$BJ$29), AE36))), ABS($BJ$7:$BJ$29 - MEDIAN(MIN($BJ$7:$BJ$29), MAX($BJ$7:$BJ$29), AE36)), $BK$7:$BK$29, "Error", 0)</f>
        <v>3</v>
      </c>
      <c r="AF37" s="171" cm="1">
        <f t="array" ref="AF37">_xlfn.XLOOKUP(MIN(ABS($BJ$7:$BJ$29 - MEDIAN(MIN($BJ$7:$BJ$29), MAX($BJ$7:$BJ$29), AF36))), ABS($BJ$7:$BJ$29 - MEDIAN(MIN($BJ$7:$BJ$29), MAX($BJ$7:$BJ$29), AF36)), $BK$7:$BK$29, "Error", 0)</f>
        <v>3</v>
      </c>
      <c r="AG37" s="171" cm="1">
        <f t="array" ref="AG37">_xlfn.XLOOKUP(MIN(ABS($BJ$7:$BJ$29 - MEDIAN(MIN($BJ$7:$BJ$29), MAX($BJ$7:$BJ$29), AG36))), ABS($BJ$7:$BJ$29 - MEDIAN(MIN($BJ$7:$BJ$29), MAX($BJ$7:$BJ$29), AG36)), $BK$7:$BK$29, "Error", 0)</f>
        <v>0</v>
      </c>
      <c r="AH37" s="171" cm="1">
        <f t="array" ref="AH37">_xlfn.XLOOKUP(MIN(ABS($BJ$7:$BJ$29 - MEDIAN(MIN($BJ$7:$BJ$29), MAX($BJ$7:$BJ$29), AH36))), ABS($BJ$7:$BJ$29 - MEDIAN(MIN($BJ$7:$BJ$29), MAX($BJ$7:$BJ$29), AH36)), $BK$7:$BK$29, "Error", 0)</f>
        <v>3</v>
      </c>
      <c r="AI37" s="171" cm="1">
        <f t="array" ref="AI37">_xlfn.XLOOKUP(MIN(ABS($BJ$7:$BJ$29 - MEDIAN(MIN($BJ$7:$BJ$29), MAX($BJ$7:$BJ$29), AI36))), ABS($BJ$7:$BJ$29 - MEDIAN(MIN($BJ$7:$BJ$29), MAX($BJ$7:$BJ$29), AI36)), $BK$7:$BK$29, "Error", 0)</f>
        <v>0</v>
      </c>
      <c r="AJ37" s="171" cm="1">
        <f t="array" ref="AJ37">_xlfn.XLOOKUP(MIN(ABS($BJ$7:$BJ$29 - MEDIAN(MIN($BJ$7:$BJ$29), MAX($BJ$7:$BJ$29), AJ36))), ABS($BJ$7:$BJ$29 - MEDIAN(MIN($BJ$7:$BJ$29), MAX($BJ$7:$BJ$29), AJ36)), $BK$7:$BK$29, "Error", 0)</f>
        <v>0</v>
      </c>
      <c r="AK37" s="171" cm="1">
        <f t="array" ref="AK37">_xlfn.XLOOKUP(MIN(ABS($BJ$7:$BJ$29 - MEDIAN(MIN($BJ$7:$BJ$29), MAX($BJ$7:$BJ$29), AK36))), ABS($BJ$7:$BJ$29 - MEDIAN(MIN($BJ$7:$BJ$29), MAX($BJ$7:$BJ$29), AK36)), $BK$7:$BK$29, "Error", 0)</f>
        <v>0</v>
      </c>
      <c r="AL37" s="171" cm="1">
        <f t="array" ref="AL37">_xlfn.XLOOKUP(MIN(ABS($BJ$7:$BJ$29 - MEDIAN(MIN($BJ$7:$BJ$29), MAX($BJ$7:$BJ$29), AL36))), ABS($BJ$7:$BJ$29 - MEDIAN(MIN($BJ$7:$BJ$29), MAX($BJ$7:$BJ$29), AL36)), $BK$7:$BK$29, "Error", 0)</f>
        <v>0</v>
      </c>
      <c r="AM37" s="171" cm="1">
        <f t="array" ref="AM37">_xlfn.XLOOKUP(MIN(ABS($BJ$7:$BJ$29 - MEDIAN(MIN($BJ$7:$BJ$29), MAX($BJ$7:$BJ$29), AM36))), ABS($BJ$7:$BJ$29 - MEDIAN(MIN($BJ$7:$BJ$29), MAX($BJ$7:$BJ$29), AM36)), $BK$7:$BK$29, "Error", 0)</f>
        <v>0</v>
      </c>
      <c r="AN37" s="171" cm="1">
        <f t="array" ref="AN37">_xlfn.XLOOKUP(MIN(ABS($BJ$7:$BJ$29 - MEDIAN(MIN($BJ$7:$BJ$29), MAX($BJ$7:$BJ$29), AN36))), ABS($BJ$7:$BJ$29 - MEDIAN(MIN($BJ$7:$BJ$29), MAX($BJ$7:$BJ$29), AN36)), $BK$7:$BK$29, "Error", 0)</f>
        <v>0</v>
      </c>
      <c r="AO37" s="171" cm="1">
        <f t="array" ref="AO37">_xlfn.XLOOKUP(MIN(ABS($BJ$7:$BJ$29 - MEDIAN(MIN($BJ$7:$BJ$29), MAX($BJ$7:$BJ$29), AO36))), ABS($BJ$7:$BJ$29 - MEDIAN(MIN($BJ$7:$BJ$29), MAX($BJ$7:$BJ$29), AO36)), $BK$7:$BK$29, "Error", 0)</f>
        <v>-3</v>
      </c>
      <c r="AP37" s="171" cm="1">
        <f t="array" ref="AP37">_xlfn.XLOOKUP(MIN(ABS($BJ$7:$BJ$29 - MEDIAN(MIN($BJ$7:$BJ$29), MAX($BJ$7:$BJ$29), AP36))), ABS($BJ$7:$BJ$29 - MEDIAN(MIN($BJ$7:$BJ$29), MAX($BJ$7:$BJ$29), AP36)), $BK$7:$BK$29, "Error", 0)</f>
        <v>-2</v>
      </c>
      <c r="AQ37" s="171" cm="1">
        <f t="array" ref="AQ37">_xlfn.XLOOKUP(MIN(ABS($BJ$7:$BJ$29 - MEDIAN(MIN($BJ$7:$BJ$29), MAX($BJ$7:$BJ$29), AQ36))), ABS($BJ$7:$BJ$29 - MEDIAN(MIN($BJ$7:$BJ$29), MAX($BJ$7:$BJ$29), AQ36)), $BK$7:$BK$29, "Error", 0)</f>
        <v>-2</v>
      </c>
      <c r="AR37" s="171" cm="1">
        <f t="array" ref="AR37">_xlfn.XLOOKUP(MIN(ABS($BJ$7:$BJ$29 - MEDIAN(MIN($BJ$7:$BJ$29), MAX($BJ$7:$BJ$29), AR36))), ABS($BJ$7:$BJ$29 - MEDIAN(MIN($BJ$7:$BJ$29), MAX($BJ$7:$BJ$29), AR36)), $BK$7:$BK$29, "Error", 0)</f>
        <v>-3</v>
      </c>
      <c r="AS37" s="171" cm="1">
        <f t="array" ref="AS37">_xlfn.XLOOKUP(MIN(ABS($BJ$7:$BJ$29 - MEDIAN(MIN($BJ$7:$BJ$29), MAX($BJ$7:$BJ$29), AS36))), ABS($BJ$7:$BJ$29 - MEDIAN(MIN($BJ$7:$BJ$29), MAX($BJ$7:$BJ$29), AS36)), $BK$7:$BK$29, "Error", 0)</f>
        <v>-2</v>
      </c>
      <c r="AT37" s="171" cm="1">
        <f t="array" ref="AT37">_xlfn.XLOOKUP(MIN(ABS($BJ$7:$BJ$29 - MEDIAN(MIN($BJ$7:$BJ$29), MAX($BJ$7:$BJ$29), AT36))), ABS($BJ$7:$BJ$29 - MEDIAN(MIN($BJ$7:$BJ$29), MAX($BJ$7:$BJ$29), AT36)), $BK$7:$BK$29, "Error", 0)</f>
        <v>-2</v>
      </c>
      <c r="AU37" s="171" cm="1">
        <f t="array" ref="AU37">_xlfn.XLOOKUP(MIN(ABS($BJ$7:$BJ$29 - MEDIAN(MIN($BJ$7:$BJ$29), MAX($BJ$7:$BJ$29), AU36))), ABS($BJ$7:$BJ$29 - MEDIAN(MIN($BJ$7:$BJ$29), MAX($BJ$7:$BJ$29), AU36)), $BK$7:$BK$29, "Error", 0)</f>
        <v>-2</v>
      </c>
      <c r="AV37" s="206" t="s">
        <v>25</v>
      </c>
      <c r="AW37" s="184"/>
      <c r="AX37" s="184"/>
      <c r="AY37" s="184"/>
    </row>
    <row r="38" spans="1:63" ht="44">
      <c r="A38" s="283" t="s">
        <v>14</v>
      </c>
      <c r="B38" s="200" t="s">
        <v>76</v>
      </c>
      <c r="C38" s="233">
        <v>599575.02044563706</v>
      </c>
      <c r="D38" s="233">
        <v>627748.04484423995</v>
      </c>
      <c r="E38" s="233">
        <v>629894.90660154796</v>
      </c>
      <c r="F38" s="233">
        <v>669257.92047679401</v>
      </c>
      <c r="G38" s="233">
        <v>669257.92047679401</v>
      </c>
      <c r="H38" s="233">
        <v>696780.74276901805</v>
      </c>
      <c r="I38" s="233">
        <v>709793.28277891898</v>
      </c>
      <c r="J38" s="233">
        <v>709793.28277891898</v>
      </c>
      <c r="K38" s="233">
        <v>709793.28277891898</v>
      </c>
      <c r="L38" s="233">
        <v>709793.28277891898</v>
      </c>
      <c r="M38" s="233">
        <v>721650.83106346405</v>
      </c>
      <c r="N38" s="233">
        <v>721650.83106346405</v>
      </c>
      <c r="O38" s="233">
        <v>756555.30590495502</v>
      </c>
      <c r="P38" s="233">
        <v>801784.84236516105</v>
      </c>
      <c r="Q38" s="233">
        <v>843604.59696173703</v>
      </c>
      <c r="R38" s="233">
        <v>843604.59696173703</v>
      </c>
      <c r="S38" s="233">
        <v>871406.48982279003</v>
      </c>
      <c r="T38" s="233">
        <v>871406.48982279003</v>
      </c>
      <c r="U38" s="233">
        <v>871406.48982279003</v>
      </c>
      <c r="V38" s="233">
        <v>871406.48982279003</v>
      </c>
      <c r="W38" s="233">
        <v>871406.48982279003</v>
      </c>
      <c r="X38" s="233">
        <v>871406.48982279003</v>
      </c>
      <c r="Y38" s="233">
        <v>871406.48982279003</v>
      </c>
      <c r="Z38" s="233">
        <v>871406.48982279003</v>
      </c>
      <c r="AA38" s="204">
        <v>874397.35378028499</v>
      </c>
      <c r="AB38" s="204">
        <v>893579.07558336901</v>
      </c>
      <c r="AC38" s="204">
        <v>893579.07558336901</v>
      </c>
      <c r="AD38" s="204">
        <v>893579.07558336901</v>
      </c>
      <c r="AE38" s="204">
        <v>903200.10981155199</v>
      </c>
      <c r="AF38" s="204">
        <v>930220.74787750805</v>
      </c>
      <c r="AG38" s="204">
        <v>951226.163328283</v>
      </c>
      <c r="AH38" s="204">
        <v>953484.99131584901</v>
      </c>
      <c r="AI38" s="204">
        <v>968515.49657352304</v>
      </c>
      <c r="AJ38" s="204">
        <v>1025277.78082587</v>
      </c>
      <c r="AK38" s="204">
        <v>1058766.5512683401</v>
      </c>
      <c r="AL38" s="204">
        <v>1072990.3025982699</v>
      </c>
      <c r="AM38" s="204">
        <v>1131166.4799222001</v>
      </c>
      <c r="AN38" s="204">
        <v>1153010.2324584599</v>
      </c>
      <c r="AO38" s="204">
        <v>1153010.2324584599</v>
      </c>
      <c r="AP38" s="204">
        <v>1153010.2324584599</v>
      </c>
      <c r="AQ38" s="204">
        <v>1153010.2324584599</v>
      </c>
      <c r="AR38" s="204">
        <v>1180655</v>
      </c>
      <c r="AS38" s="204">
        <v>1180655</v>
      </c>
      <c r="AT38" s="204">
        <v>1180655</v>
      </c>
      <c r="AU38" s="204">
        <v>1180655</v>
      </c>
      <c r="AV38" s="200" t="s">
        <v>76</v>
      </c>
      <c r="AW38" s="184"/>
      <c r="AX38" s="184"/>
      <c r="AY38" s="184"/>
    </row>
    <row r="39" spans="1:63" ht="22">
      <c r="A39" s="284"/>
      <c r="B39" s="201" t="s">
        <v>77</v>
      </c>
      <c r="C39" s="233">
        <v>599575.02044563706</v>
      </c>
      <c r="D39" s="233">
        <v>627748.04484423995</v>
      </c>
      <c r="E39" s="233">
        <v>629894.90660154796</v>
      </c>
      <c r="F39" s="233">
        <v>669257.92047679401</v>
      </c>
      <c r="G39" s="233">
        <v>632756.59453538095</v>
      </c>
      <c r="H39" s="233">
        <v>696780.74276901805</v>
      </c>
      <c r="I39" s="233">
        <v>709793.28277891898</v>
      </c>
      <c r="J39" s="233">
        <v>686110.93450309301</v>
      </c>
      <c r="K39" s="233">
        <v>659846.77410483395</v>
      </c>
      <c r="L39" s="233">
        <v>642720.96521624899</v>
      </c>
      <c r="M39" s="233">
        <v>721650.83106346405</v>
      </c>
      <c r="N39" s="233">
        <v>704967.48605240101</v>
      </c>
      <c r="O39" s="233">
        <v>756555.30590495502</v>
      </c>
      <c r="P39" s="233">
        <v>801784.84236516105</v>
      </c>
      <c r="Q39" s="233">
        <v>843604.59696173703</v>
      </c>
      <c r="R39" s="233">
        <v>823792.55986046803</v>
      </c>
      <c r="S39" s="233">
        <v>871406.48982279003</v>
      </c>
      <c r="T39" s="233">
        <v>844123.98719292099</v>
      </c>
      <c r="U39" s="233">
        <v>804580.85722610401</v>
      </c>
      <c r="V39" s="233">
        <v>801823.44168630196</v>
      </c>
      <c r="W39" s="233">
        <v>797471.77578420902</v>
      </c>
      <c r="X39" s="233">
        <v>803187.27179695701</v>
      </c>
      <c r="Y39" s="233">
        <v>761372.46543222701</v>
      </c>
      <c r="Z39" s="233">
        <v>799934.59285836702</v>
      </c>
      <c r="AA39" s="204">
        <v>874397.35378028499</v>
      </c>
      <c r="AB39" s="204">
        <v>893579.07558336901</v>
      </c>
      <c r="AC39" s="204">
        <v>849913.82053946704</v>
      </c>
      <c r="AD39" s="204">
        <v>836249.84263187705</v>
      </c>
      <c r="AE39" s="204">
        <v>903200.10981155199</v>
      </c>
      <c r="AF39" s="204">
        <v>930220.74787750805</v>
      </c>
      <c r="AG39" s="204">
        <v>951226.163328283</v>
      </c>
      <c r="AH39" s="204">
        <v>953484.99131584901</v>
      </c>
      <c r="AI39" s="204">
        <v>968515.49657352304</v>
      </c>
      <c r="AJ39" s="204">
        <v>1025277.78082587</v>
      </c>
      <c r="AK39" s="204">
        <v>1058766.5512683401</v>
      </c>
      <c r="AL39" s="204">
        <v>1072990.3025982699</v>
      </c>
      <c r="AM39" s="204">
        <v>1131166.4799222001</v>
      </c>
      <c r="AN39" s="204">
        <v>1153010.2324584599</v>
      </c>
      <c r="AO39" s="204">
        <v>1019945.66933247</v>
      </c>
      <c r="AP39" s="204">
        <v>1102197.2060247699</v>
      </c>
      <c r="AQ39" s="204">
        <v>1124589.01238398</v>
      </c>
      <c r="AR39" s="204">
        <v>1180655</v>
      </c>
      <c r="AS39" s="204">
        <v>1160949</v>
      </c>
      <c r="AT39" s="204">
        <v>1160949</v>
      </c>
      <c r="AU39" s="204">
        <v>1160949</v>
      </c>
      <c r="AV39" s="201" t="s">
        <v>77</v>
      </c>
      <c r="AW39" s="184"/>
      <c r="AX39" s="184"/>
      <c r="AY39" s="184"/>
    </row>
    <row r="40" spans="1:63" ht="22">
      <c r="A40" s="284"/>
      <c r="B40" s="201" t="s">
        <v>78</v>
      </c>
      <c r="C40" s="230">
        <f t="shared" ref="C40:Z40" si="39">+(C39-C38)/C38</f>
        <v>0</v>
      </c>
      <c r="D40" s="230">
        <f t="shared" si="39"/>
        <v>0</v>
      </c>
      <c r="E40" s="230">
        <f t="shared" si="39"/>
        <v>0</v>
      </c>
      <c r="F40" s="230">
        <f t="shared" si="39"/>
        <v>0</v>
      </c>
      <c r="G40" s="230">
        <f t="shared" si="39"/>
        <v>-5.4539998443961207E-2</v>
      </c>
      <c r="H40" s="230">
        <f t="shared" si="39"/>
        <v>0</v>
      </c>
      <c r="I40" s="230">
        <f t="shared" si="39"/>
        <v>0</v>
      </c>
      <c r="J40" s="230">
        <f t="shared" si="39"/>
        <v>-3.3365134399563429E-2</v>
      </c>
      <c r="K40" s="230">
        <f t="shared" si="39"/>
        <v>-7.0367682937966011E-2</v>
      </c>
      <c r="L40" s="230">
        <f t="shared" si="39"/>
        <v>-9.4495565385001201E-2</v>
      </c>
      <c r="M40" s="230">
        <f t="shared" si="39"/>
        <v>0</v>
      </c>
      <c r="N40" s="230">
        <f t="shared" si="39"/>
        <v>-2.3118306378830812E-2</v>
      </c>
      <c r="O40" s="230">
        <f t="shared" si="39"/>
        <v>0</v>
      </c>
      <c r="P40" s="230">
        <f t="shared" si="39"/>
        <v>0</v>
      </c>
      <c r="Q40" s="230">
        <f t="shared" si="39"/>
        <v>0</v>
      </c>
      <c r="R40" s="230">
        <f t="shared" si="39"/>
        <v>-2.3484980016257078E-2</v>
      </c>
      <c r="S40" s="230">
        <f t="shared" si="39"/>
        <v>0</v>
      </c>
      <c r="T40" s="230">
        <f t="shared" si="39"/>
        <v>-3.1308583248464479E-2</v>
      </c>
      <c r="U40" s="230">
        <f t="shared" si="39"/>
        <v>-7.6687095376436476E-2</v>
      </c>
      <c r="V40" s="230">
        <f t="shared" si="39"/>
        <v>-7.985142289982089E-2</v>
      </c>
      <c r="W40" s="230">
        <f t="shared" si="39"/>
        <v>-8.4845264411120502E-2</v>
      </c>
      <c r="X40" s="230">
        <f t="shared" si="39"/>
        <v>-7.8286332294479621E-2</v>
      </c>
      <c r="Y40" s="230">
        <f t="shared" si="39"/>
        <v>-0.12627175224841353</v>
      </c>
      <c r="Z40" s="230">
        <f t="shared" si="39"/>
        <v>-8.2019009267371421E-2</v>
      </c>
      <c r="AA40" s="230">
        <f t="shared" ref="AA40:AS40" si="40">+(AA39-AA38)/AA38</f>
        <v>0</v>
      </c>
      <c r="AB40" s="205">
        <f t="shared" si="40"/>
        <v>0</v>
      </c>
      <c r="AC40" s="205">
        <f t="shared" si="40"/>
        <v>-4.8865574672723067E-2</v>
      </c>
      <c r="AD40" s="205">
        <f t="shared" si="40"/>
        <v>-6.4156865931607479E-2</v>
      </c>
      <c r="AE40" s="205">
        <f t="shared" si="40"/>
        <v>0</v>
      </c>
      <c r="AF40" s="205">
        <f t="shared" si="40"/>
        <v>0</v>
      </c>
      <c r="AG40" s="205">
        <f t="shared" si="40"/>
        <v>0</v>
      </c>
      <c r="AH40" s="205">
        <f t="shared" si="40"/>
        <v>0</v>
      </c>
      <c r="AI40" s="205">
        <f t="shared" si="40"/>
        <v>0</v>
      </c>
      <c r="AJ40" s="205">
        <f t="shared" si="40"/>
        <v>0</v>
      </c>
      <c r="AK40" s="205">
        <f t="shared" si="40"/>
        <v>0</v>
      </c>
      <c r="AL40" s="205">
        <f t="shared" si="40"/>
        <v>0</v>
      </c>
      <c r="AM40" s="205">
        <f t="shared" si="40"/>
        <v>0</v>
      </c>
      <c r="AN40" s="205">
        <f t="shared" si="40"/>
        <v>0</v>
      </c>
      <c r="AO40" s="205">
        <f t="shared" si="40"/>
        <v>-0.11540622917306491</v>
      </c>
      <c r="AP40" s="205">
        <f t="shared" si="40"/>
        <v>-4.4069883339496428E-2</v>
      </c>
      <c r="AQ40" s="205">
        <f t="shared" si="40"/>
        <v>-2.4649581828844594E-2</v>
      </c>
      <c r="AR40" s="205">
        <f t="shared" si="40"/>
        <v>0</v>
      </c>
      <c r="AS40" s="205">
        <f t="shared" si="40"/>
        <v>-1.6690735227479662E-2</v>
      </c>
      <c r="AT40" s="205">
        <f t="shared" ref="AT40:AU40" si="41">+(AT39-AT38)/AT38</f>
        <v>-1.6690735227479662E-2</v>
      </c>
      <c r="AU40" s="205">
        <f t="shared" si="41"/>
        <v>-1.6690735227479662E-2</v>
      </c>
      <c r="AV40" s="201" t="s">
        <v>78</v>
      </c>
      <c r="AW40" s="184"/>
      <c r="AX40" s="184"/>
      <c r="AY40" s="184"/>
    </row>
    <row r="41" spans="1:63" ht="44">
      <c r="A41" s="284"/>
      <c r="B41" s="201" t="s">
        <v>91</v>
      </c>
      <c r="C41" s="233">
        <v>4522.240234375</v>
      </c>
      <c r="D41" s="233">
        <v>4522.240234375</v>
      </c>
      <c r="E41" s="233">
        <v>4522.240234375</v>
      </c>
      <c r="F41" s="233">
        <v>4522.240234375</v>
      </c>
      <c r="G41" s="233">
        <v>4522.240234375</v>
      </c>
      <c r="H41" s="233">
        <v>4522.240234375</v>
      </c>
      <c r="I41" s="233">
        <v>4522.240234375</v>
      </c>
      <c r="J41" s="233">
        <v>4522.240234375</v>
      </c>
      <c r="K41" s="233">
        <v>4522.240234375</v>
      </c>
      <c r="L41" s="233">
        <v>4522.240234375</v>
      </c>
      <c r="M41" s="233">
        <v>4522.240234375</v>
      </c>
      <c r="N41" s="233">
        <v>4593.10986328125</v>
      </c>
      <c r="O41" s="233">
        <v>4674.740234375</v>
      </c>
      <c r="P41" s="233">
        <v>4898.3701171875</v>
      </c>
      <c r="Q41" s="233">
        <v>5103.259765625</v>
      </c>
      <c r="R41" s="233">
        <v>5103.259765625</v>
      </c>
      <c r="S41" s="233">
        <v>5103.259765625</v>
      </c>
      <c r="T41" s="233">
        <v>5103.259765625</v>
      </c>
      <c r="U41" s="233">
        <v>5103.259765625</v>
      </c>
      <c r="V41" s="233">
        <v>5103.259765625</v>
      </c>
      <c r="W41" s="233">
        <v>5103.259765625</v>
      </c>
      <c r="X41" s="233">
        <v>5103.259765625</v>
      </c>
      <c r="Y41" s="233">
        <v>5103.259765625</v>
      </c>
      <c r="Z41" s="233">
        <v>5103.259765625</v>
      </c>
      <c r="AA41" s="231">
        <v>5314.2900390625</v>
      </c>
      <c r="AB41" s="203">
        <v>5544.1201171875</v>
      </c>
      <c r="AC41" s="203">
        <v>5544.1201171875</v>
      </c>
      <c r="AD41" s="203">
        <v>5544.1201171875</v>
      </c>
      <c r="AE41" s="203">
        <v>5544.1201171875</v>
      </c>
      <c r="AF41" s="203">
        <v>5544.1201171875</v>
      </c>
      <c r="AG41" s="203">
        <v>5544.1201171875</v>
      </c>
      <c r="AH41" s="203">
        <v>5544.1201171875</v>
      </c>
      <c r="AI41" s="203">
        <v>5544.1201171875</v>
      </c>
      <c r="AJ41" s="203">
        <v>5734.27978515625</v>
      </c>
      <c r="AK41" s="203">
        <v>5818.06982421875</v>
      </c>
      <c r="AL41" s="203">
        <v>5818.06982421875</v>
      </c>
      <c r="AM41" s="203">
        <v>6053.68017578125</v>
      </c>
      <c r="AN41" s="203">
        <v>6199.77978515625</v>
      </c>
      <c r="AO41" s="203">
        <v>6199.77978515625</v>
      </c>
      <c r="AP41" s="203">
        <v>6199.77978515625</v>
      </c>
      <c r="AQ41" s="203">
        <v>6199.77978515625</v>
      </c>
      <c r="AR41" s="203">
        <v>6337</v>
      </c>
      <c r="AS41" s="203">
        <v>6337</v>
      </c>
      <c r="AT41" s="203">
        <v>6337</v>
      </c>
      <c r="AU41" s="203">
        <v>6337</v>
      </c>
      <c r="AV41" s="201" t="s">
        <v>91</v>
      </c>
      <c r="AW41" s="184"/>
      <c r="AX41" s="184"/>
      <c r="AY41" s="184"/>
    </row>
    <row r="42" spans="1:63" ht="44">
      <c r="A42" s="284"/>
      <c r="B42" s="201" t="s">
        <v>92</v>
      </c>
      <c r="C42" s="233">
        <v>4163.4501953125</v>
      </c>
      <c r="D42" s="233">
        <v>4238.3798828125</v>
      </c>
      <c r="E42" s="233">
        <v>4315.0498046875</v>
      </c>
      <c r="F42" s="233">
        <v>4359.31005859375</v>
      </c>
      <c r="G42" s="233">
        <v>4218.0400390625</v>
      </c>
      <c r="H42" s="233">
        <v>4399.08984375</v>
      </c>
      <c r="I42" s="233">
        <v>4471.31005859375</v>
      </c>
      <c r="J42" s="233">
        <v>4297.10986328125</v>
      </c>
      <c r="K42" s="233">
        <v>4174.66015625</v>
      </c>
      <c r="L42" s="233">
        <v>4061.1201171875</v>
      </c>
      <c r="M42" s="233">
        <v>4382.47021484375</v>
      </c>
      <c r="N42" s="233">
        <v>4593.10986328125</v>
      </c>
      <c r="O42" s="233">
        <v>4674.740234375</v>
      </c>
      <c r="P42" s="233">
        <v>4898.3701171875</v>
      </c>
      <c r="Q42" s="233">
        <v>5103.259765625</v>
      </c>
      <c r="R42" s="233">
        <v>4921.22021484375</v>
      </c>
      <c r="S42" s="233">
        <v>4983.669921875</v>
      </c>
      <c r="T42" s="233">
        <v>4894.02001953125</v>
      </c>
      <c r="U42" s="233">
        <v>4872.93994140625</v>
      </c>
      <c r="V42" s="233">
        <v>4957.97998046875</v>
      </c>
      <c r="W42" s="233">
        <v>5000.4501953125</v>
      </c>
      <c r="X42" s="233">
        <v>4827.6298828125</v>
      </c>
      <c r="Y42" s="233">
        <v>4804.39990234375</v>
      </c>
      <c r="Z42" s="233">
        <v>4895.97998046875</v>
      </c>
      <c r="AA42" s="231">
        <v>5314.2900390625</v>
      </c>
      <c r="AB42" s="203">
        <v>5544.1201171875</v>
      </c>
      <c r="AC42" s="203">
        <v>5248.39013671875</v>
      </c>
      <c r="AD42" s="203">
        <v>5160.22021484375</v>
      </c>
      <c r="AE42" s="203">
        <v>5366.58984375</v>
      </c>
      <c r="AF42" s="203">
        <v>5303.240234375</v>
      </c>
      <c r="AG42" s="203">
        <v>5319.919921875</v>
      </c>
      <c r="AH42" s="203">
        <v>5351.72998046875</v>
      </c>
      <c r="AI42" s="203">
        <v>5529.9599609375</v>
      </c>
      <c r="AJ42" s="203">
        <v>5734.27978515625</v>
      </c>
      <c r="AK42" s="203">
        <v>5818.06982421875</v>
      </c>
      <c r="AL42" s="203">
        <v>5791.41015625</v>
      </c>
      <c r="AM42" s="203">
        <v>6053.68017578125</v>
      </c>
      <c r="AN42" s="203">
        <v>6199.77978515625</v>
      </c>
      <c r="AO42" s="203">
        <v>5569.72998046875</v>
      </c>
      <c r="AP42" s="203">
        <v>5881.509765625</v>
      </c>
      <c r="AQ42" s="203">
        <v>6050.5400390625</v>
      </c>
      <c r="AR42" s="203">
        <v>6447</v>
      </c>
      <c r="AS42" s="203">
        <v>6265</v>
      </c>
      <c r="AT42" s="203">
        <v>6265</v>
      </c>
      <c r="AU42" s="203">
        <v>6265</v>
      </c>
      <c r="AV42" s="201" t="s">
        <v>92</v>
      </c>
      <c r="AW42" s="184"/>
      <c r="AX42" s="184"/>
      <c r="AY42" s="184"/>
    </row>
    <row r="43" spans="1:63" ht="44">
      <c r="A43" s="284"/>
      <c r="B43" s="201" t="s">
        <v>79</v>
      </c>
      <c r="C43" s="230">
        <f t="shared" ref="C43:Z43" si="42">+(C42-C41)/C41</f>
        <v>-7.9339004667470278E-2</v>
      </c>
      <c r="D43" s="230">
        <f t="shared" si="42"/>
        <v>-6.2769852296829867E-2</v>
      </c>
      <c r="E43" s="230">
        <f t="shared" si="42"/>
        <v>-4.5815883046764969E-2</v>
      </c>
      <c r="F43" s="230">
        <f t="shared" si="42"/>
        <v>-3.6028642296082686E-2</v>
      </c>
      <c r="G43" s="230">
        <f t="shared" si="42"/>
        <v>-6.726758852839719E-2</v>
      </c>
      <c r="H43" s="230">
        <f t="shared" si="42"/>
        <v>-2.7232164644614486E-2</v>
      </c>
      <c r="I43" s="230">
        <f t="shared" si="42"/>
        <v>-1.1262156175187993E-2</v>
      </c>
      <c r="J43" s="230">
        <f t="shared" si="42"/>
        <v>-4.9782930456118132E-2</v>
      </c>
      <c r="K43" s="230">
        <f t="shared" si="42"/>
        <v>-7.6860153399842007E-2</v>
      </c>
      <c r="L43" s="230">
        <f t="shared" si="42"/>
        <v>-0.10196718734276386</v>
      </c>
      <c r="M43" s="230">
        <f t="shared" si="42"/>
        <v>-3.0907252221766816E-2</v>
      </c>
      <c r="N43" s="230">
        <f t="shared" si="42"/>
        <v>0</v>
      </c>
      <c r="O43" s="230">
        <f t="shared" si="42"/>
        <v>0</v>
      </c>
      <c r="P43" s="230">
        <f t="shared" si="42"/>
        <v>0</v>
      </c>
      <c r="Q43" s="230">
        <f t="shared" si="42"/>
        <v>0</v>
      </c>
      <c r="R43" s="230">
        <f t="shared" si="42"/>
        <v>-3.5671229594748145E-2</v>
      </c>
      <c r="S43" s="230">
        <f t="shared" si="42"/>
        <v>-2.3434010660312476E-2</v>
      </c>
      <c r="T43" s="230">
        <f t="shared" si="42"/>
        <v>-4.1001194472436241E-2</v>
      </c>
      <c r="U43" s="230">
        <f t="shared" si="42"/>
        <v>-4.5131902900604662E-2</v>
      </c>
      <c r="V43" s="230">
        <f t="shared" si="42"/>
        <v>-2.8468036476379029E-2</v>
      </c>
      <c r="W43" s="230">
        <f t="shared" si="42"/>
        <v>-2.0145862651361396E-2</v>
      </c>
      <c r="X43" s="230">
        <f t="shared" si="42"/>
        <v>-5.401055315057892E-2</v>
      </c>
      <c r="Y43" s="230">
        <f t="shared" si="42"/>
        <v>-5.8562541788356015E-2</v>
      </c>
      <c r="Z43" s="230">
        <f t="shared" si="42"/>
        <v>-4.0617133886161151E-2</v>
      </c>
      <c r="AA43" s="230">
        <f>+(AA42-AA41)/AA41</f>
        <v>0</v>
      </c>
      <c r="AB43" s="205">
        <f t="shared" ref="AB43:AP43" si="43">+(AB42-AB41)/AB41</f>
        <v>0</v>
      </c>
      <c r="AC43" s="205">
        <f t="shared" si="43"/>
        <v>-5.3341192870614083E-2</v>
      </c>
      <c r="AD43" s="205">
        <f t="shared" si="43"/>
        <v>-6.9244513868595647E-2</v>
      </c>
      <c r="AE43" s="205">
        <f t="shared" si="43"/>
        <v>-3.202136131342697E-2</v>
      </c>
      <c r="AF43" s="205">
        <f t="shared" si="43"/>
        <v>-4.3447810963860752E-2</v>
      </c>
      <c r="AG43" s="205">
        <f t="shared" si="43"/>
        <v>-4.0439274505876949E-2</v>
      </c>
      <c r="AH43" s="205">
        <f t="shared" si="43"/>
        <v>-3.4701653761489641E-2</v>
      </c>
      <c r="AI43" s="205">
        <f t="shared" si="43"/>
        <v>-2.5540854005131775E-3</v>
      </c>
      <c r="AJ43" s="205">
        <f t="shared" si="43"/>
        <v>0</v>
      </c>
      <c r="AK43" s="205">
        <f t="shared" si="43"/>
        <v>0</v>
      </c>
      <c r="AL43" s="205">
        <f t="shared" si="43"/>
        <v>-4.5822186350831327E-3</v>
      </c>
      <c r="AM43" s="205">
        <f t="shared" si="43"/>
        <v>0</v>
      </c>
      <c r="AN43" s="205">
        <f t="shared" si="43"/>
        <v>0</v>
      </c>
      <c r="AO43" s="205">
        <f t="shared" si="43"/>
        <v>-0.10162454579370535</v>
      </c>
      <c r="AP43" s="205">
        <f t="shared" si="43"/>
        <v>-5.1335697486104954E-2</v>
      </c>
      <c r="AQ43" s="205">
        <f>+(AQ42-AQ41)/AQ41</f>
        <v>-2.4071781783453906E-2</v>
      </c>
      <c r="AR43" s="205">
        <f>+(AR42-AR41)/AR41</f>
        <v>1.7358371469149439E-2</v>
      </c>
      <c r="AS43" s="205">
        <f>+(AS42-AS41)/AS41</f>
        <v>-1.1361843143443269E-2</v>
      </c>
      <c r="AT43" s="205">
        <f>+(AT42-AT41)/AT41</f>
        <v>-1.1361843143443269E-2</v>
      </c>
      <c r="AU43" s="205">
        <f>+(AU42-AU41)/AU41</f>
        <v>-1.1361843143443269E-2</v>
      </c>
      <c r="AV43" s="201" t="s">
        <v>79</v>
      </c>
      <c r="AW43" s="184"/>
      <c r="AX43" s="184"/>
      <c r="AY43" s="184"/>
    </row>
    <row r="44" spans="1:63" ht="22">
      <c r="A44" s="284"/>
      <c r="B44" s="201" t="s">
        <v>80</v>
      </c>
      <c r="C44" s="230">
        <f t="shared" ref="C44:Z44" si="44">+C40-C43</f>
        <v>7.9339004667470278E-2</v>
      </c>
      <c r="D44" s="230">
        <f t="shared" si="44"/>
        <v>6.2769852296829867E-2</v>
      </c>
      <c r="E44" s="230">
        <f t="shared" si="44"/>
        <v>4.5815883046764969E-2</v>
      </c>
      <c r="F44" s="230">
        <f t="shared" si="44"/>
        <v>3.6028642296082686E-2</v>
      </c>
      <c r="G44" s="230">
        <f t="shared" si="44"/>
        <v>1.2727590084435983E-2</v>
      </c>
      <c r="H44" s="230">
        <f t="shared" si="44"/>
        <v>2.7232164644614486E-2</v>
      </c>
      <c r="I44" s="230">
        <f t="shared" si="44"/>
        <v>1.1262156175187993E-2</v>
      </c>
      <c r="J44" s="230">
        <f t="shared" si="44"/>
        <v>1.6417796056554704E-2</v>
      </c>
      <c r="K44" s="230">
        <f t="shared" si="44"/>
        <v>6.492470461875996E-3</v>
      </c>
      <c r="L44" s="230">
        <f t="shared" si="44"/>
        <v>7.4716219577626586E-3</v>
      </c>
      <c r="M44" s="230">
        <f t="shared" si="44"/>
        <v>3.0907252221766816E-2</v>
      </c>
      <c r="N44" s="230">
        <f t="shared" si="44"/>
        <v>-2.3118306378830812E-2</v>
      </c>
      <c r="O44" s="230">
        <f t="shared" si="44"/>
        <v>0</v>
      </c>
      <c r="P44" s="230">
        <f t="shared" si="44"/>
        <v>0</v>
      </c>
      <c r="Q44" s="230">
        <f t="shared" si="44"/>
        <v>0</v>
      </c>
      <c r="R44" s="230">
        <f t="shared" si="44"/>
        <v>1.2186249578491067E-2</v>
      </c>
      <c r="S44" s="230">
        <f t="shared" si="44"/>
        <v>2.3434010660312476E-2</v>
      </c>
      <c r="T44" s="230">
        <f t="shared" si="44"/>
        <v>9.6926112239717616E-3</v>
      </c>
      <c r="U44" s="230">
        <f t="shared" si="44"/>
        <v>-3.1555192475831814E-2</v>
      </c>
      <c r="V44" s="230">
        <f t="shared" si="44"/>
        <v>-5.1383386423441861E-2</v>
      </c>
      <c r="W44" s="230">
        <f t="shared" si="44"/>
        <v>-6.4699401759759106E-2</v>
      </c>
      <c r="X44" s="230">
        <f t="shared" si="44"/>
        <v>-2.4275779143900701E-2</v>
      </c>
      <c r="Y44" s="230">
        <f t="shared" si="44"/>
        <v>-6.7709210460057512E-2</v>
      </c>
      <c r="Z44" s="230">
        <f t="shared" si="44"/>
        <v>-4.1401875381210269E-2</v>
      </c>
      <c r="AA44" s="230">
        <f t="shared" ref="AA44:AR44" si="45">+AA40-AA43</f>
        <v>0</v>
      </c>
      <c r="AB44" s="205">
        <f t="shared" si="45"/>
        <v>0</v>
      </c>
      <c r="AC44" s="205">
        <f t="shared" si="45"/>
        <v>4.4756181978910167E-3</v>
      </c>
      <c r="AD44" s="205">
        <f t="shared" si="45"/>
        <v>5.0876479369881683E-3</v>
      </c>
      <c r="AE44" s="205">
        <f t="shared" si="45"/>
        <v>3.202136131342697E-2</v>
      </c>
      <c r="AF44" s="205">
        <f t="shared" si="45"/>
        <v>4.3447810963860752E-2</v>
      </c>
      <c r="AG44" s="205">
        <f t="shared" si="45"/>
        <v>4.0439274505876949E-2</v>
      </c>
      <c r="AH44" s="205">
        <f t="shared" si="45"/>
        <v>3.4701653761489641E-2</v>
      </c>
      <c r="AI44" s="205">
        <f t="shared" si="45"/>
        <v>2.5540854005131775E-3</v>
      </c>
      <c r="AJ44" s="205">
        <f t="shared" si="45"/>
        <v>0</v>
      </c>
      <c r="AK44" s="205">
        <f t="shared" si="45"/>
        <v>0</v>
      </c>
      <c r="AL44" s="205">
        <f t="shared" si="45"/>
        <v>4.5822186350831327E-3</v>
      </c>
      <c r="AM44" s="205">
        <f t="shared" si="45"/>
        <v>0</v>
      </c>
      <c r="AN44" s="205">
        <f t="shared" si="45"/>
        <v>0</v>
      </c>
      <c r="AO44" s="205">
        <f t="shared" si="45"/>
        <v>-1.3781683379359561E-2</v>
      </c>
      <c r="AP44" s="205">
        <f t="shared" si="45"/>
        <v>7.2658141466085263E-3</v>
      </c>
      <c r="AQ44" s="205">
        <f t="shared" si="45"/>
        <v>-5.7780004539068758E-4</v>
      </c>
      <c r="AR44" s="205">
        <f t="shared" si="45"/>
        <v>-1.7358371469149439E-2</v>
      </c>
      <c r="AS44" s="205">
        <f t="shared" ref="AS44:AT44" si="46">+AS40-AS43</f>
        <v>-5.3288920840363924E-3</v>
      </c>
      <c r="AT44" s="205">
        <f t="shared" si="46"/>
        <v>-5.3288920840363924E-3</v>
      </c>
      <c r="AU44" s="205">
        <f t="shared" ref="AU44" si="47">+AU40-AU43</f>
        <v>-5.3288920840363924E-3</v>
      </c>
      <c r="AV44" s="201" t="s">
        <v>80</v>
      </c>
      <c r="AW44" s="184"/>
      <c r="AX44" s="184"/>
      <c r="AY44" s="184"/>
    </row>
    <row r="45" spans="1:63" ht="22">
      <c r="A45" s="285"/>
      <c r="B45" s="206" t="s">
        <v>25</v>
      </c>
      <c r="C45" s="232" cm="1">
        <f t="array" ref="C45">_xlfn.XLOOKUP(MIN(ABS($BJ$7:$BJ$29 - MEDIAN(MIN($BJ$7:$BJ$29), MAX($BJ$7:$BJ$29), C44))), ABS($BJ$7:$BJ$29 - MEDIAN(MIN($BJ$7:$BJ$29), MAX($BJ$7:$BJ$29), C44)), $BK$7:$BK$29, "Error", 0)</f>
        <v>7</v>
      </c>
      <c r="D45" s="232" cm="1">
        <f t="array" ref="D45">_xlfn.XLOOKUP(MIN(ABS($BJ$7:$BJ$29 - MEDIAN(MIN($BJ$7:$BJ$29), MAX($BJ$7:$BJ$29), D44))), ABS($BJ$7:$BJ$29 - MEDIAN(MIN($BJ$7:$BJ$29), MAX($BJ$7:$BJ$29), D44)), $BK$7:$BK$29, "Error", 0)</f>
        <v>5</v>
      </c>
      <c r="E45" s="232" cm="1">
        <f t="array" ref="E45">_xlfn.XLOOKUP(MIN(ABS($BJ$7:$BJ$29 - MEDIAN(MIN($BJ$7:$BJ$29), MAX($BJ$7:$BJ$29), E44))), ABS($BJ$7:$BJ$29 - MEDIAN(MIN($BJ$7:$BJ$29), MAX($BJ$7:$BJ$29), E44)), $BK$7:$BK$29, "Error", 0)</f>
        <v>3</v>
      </c>
      <c r="F45" s="232" cm="1">
        <f t="array" ref="F45">_xlfn.XLOOKUP(MIN(ABS($BJ$7:$BJ$29 - MEDIAN(MIN($BJ$7:$BJ$29), MAX($BJ$7:$BJ$29), F44))), ABS($BJ$7:$BJ$29 - MEDIAN(MIN($BJ$7:$BJ$29), MAX($BJ$7:$BJ$29), F44)), $BK$7:$BK$29, "Error", 0)</f>
        <v>3</v>
      </c>
      <c r="G45" s="232" cm="1">
        <f t="array" ref="G45">_xlfn.XLOOKUP(MIN(ABS($BJ$7:$BJ$29 - MEDIAN(MIN($BJ$7:$BJ$29), MAX($BJ$7:$BJ$29), G44))), ABS($BJ$7:$BJ$29 - MEDIAN(MIN($BJ$7:$BJ$29), MAX($BJ$7:$BJ$29), G44)), $BK$7:$BK$29, "Error", 0)</f>
        <v>2</v>
      </c>
      <c r="H45" s="232" cm="1">
        <f t="array" ref="H45">_xlfn.XLOOKUP(MIN(ABS($BJ$7:$BJ$29 - MEDIAN(MIN($BJ$7:$BJ$29), MAX($BJ$7:$BJ$29), H44))), ABS($BJ$7:$BJ$29 - MEDIAN(MIN($BJ$7:$BJ$29), MAX($BJ$7:$BJ$29), H44)), $BK$7:$BK$29, "Error", 0)</f>
        <v>2</v>
      </c>
      <c r="I45" s="232" cm="1">
        <f t="array" ref="I45">_xlfn.XLOOKUP(MIN(ABS($BJ$7:$BJ$29 - MEDIAN(MIN($BJ$7:$BJ$29), MAX($BJ$7:$BJ$29), I44))), ABS($BJ$7:$BJ$29 - MEDIAN(MIN($BJ$7:$BJ$29), MAX($BJ$7:$BJ$29), I44)), $BK$7:$BK$29, "Error", 0)</f>
        <v>2</v>
      </c>
      <c r="J45" s="232" cm="1">
        <f t="array" ref="J45">_xlfn.XLOOKUP(MIN(ABS($BJ$7:$BJ$29 - MEDIAN(MIN($BJ$7:$BJ$29), MAX($BJ$7:$BJ$29), J44))), ABS($BJ$7:$BJ$29 - MEDIAN(MIN($BJ$7:$BJ$29), MAX($BJ$7:$BJ$29), J44)), $BK$7:$BK$29, "Error", 0)</f>
        <v>2</v>
      </c>
      <c r="K45" s="232" cm="1">
        <f t="array" ref="K45">_xlfn.XLOOKUP(MIN(ABS($BJ$7:$BJ$29 - MEDIAN(MIN($BJ$7:$BJ$29), MAX($BJ$7:$BJ$29), K44))), ABS($BJ$7:$BJ$29 - MEDIAN(MIN($BJ$7:$BJ$29), MAX($BJ$7:$BJ$29), K44)), $BK$7:$BK$29, "Error", 0)</f>
        <v>0</v>
      </c>
      <c r="L45" s="232" cm="1">
        <f t="array" ref="L45">_xlfn.XLOOKUP(MIN(ABS($BJ$7:$BJ$29 - MEDIAN(MIN($BJ$7:$BJ$29), MAX($BJ$7:$BJ$29), L44))), ABS($BJ$7:$BJ$29 - MEDIAN(MIN($BJ$7:$BJ$29), MAX($BJ$7:$BJ$29), L44)), $BK$7:$BK$29, "Error", 0)</f>
        <v>0</v>
      </c>
      <c r="M45" s="232" cm="1">
        <f t="array" ref="M45">_xlfn.XLOOKUP(MIN(ABS($BJ$7:$BJ$29 - MEDIAN(MIN($BJ$7:$BJ$29), MAX($BJ$7:$BJ$29), M44))), ABS($BJ$7:$BJ$29 - MEDIAN(MIN($BJ$7:$BJ$29), MAX($BJ$7:$BJ$29), M44)), $BK$7:$BK$29, "Error", 0)</f>
        <v>3</v>
      </c>
      <c r="N45" s="232" cm="1">
        <f t="array" ref="N45">_xlfn.XLOOKUP(MIN(ABS($BJ$7:$BJ$29 - MEDIAN(MIN($BJ$7:$BJ$29), MAX($BJ$7:$BJ$29), N44))), ABS($BJ$7:$BJ$29 - MEDIAN(MIN($BJ$7:$BJ$29), MAX($BJ$7:$BJ$29), N44)), $BK$7:$BK$29, "Error", 0)</f>
        <v>-2</v>
      </c>
      <c r="O45" s="232" cm="1">
        <f t="array" ref="O45">_xlfn.XLOOKUP(MIN(ABS($BJ$7:$BJ$29 - MEDIAN(MIN($BJ$7:$BJ$29), MAX($BJ$7:$BJ$29), O44))), ABS($BJ$7:$BJ$29 - MEDIAN(MIN($BJ$7:$BJ$29), MAX($BJ$7:$BJ$29), O44)), $BK$7:$BK$29, "Error", 0)</f>
        <v>0</v>
      </c>
      <c r="P45" s="232" cm="1">
        <f t="array" ref="P45">_xlfn.XLOOKUP(MIN(ABS($BJ$7:$BJ$29 - MEDIAN(MIN($BJ$7:$BJ$29), MAX($BJ$7:$BJ$29), P44))), ABS($BJ$7:$BJ$29 - MEDIAN(MIN($BJ$7:$BJ$29), MAX($BJ$7:$BJ$29), P44)), $BK$7:$BK$29, "Error", 0)</f>
        <v>0</v>
      </c>
      <c r="Q45" s="232" cm="1">
        <f t="array" ref="Q45">_xlfn.XLOOKUP(MIN(ABS($BJ$7:$BJ$29 - MEDIAN(MIN($BJ$7:$BJ$29), MAX($BJ$7:$BJ$29), Q44))), ABS($BJ$7:$BJ$29 - MEDIAN(MIN($BJ$7:$BJ$29), MAX($BJ$7:$BJ$29), Q44)), $BK$7:$BK$29, "Error", 0)</f>
        <v>0</v>
      </c>
      <c r="R45" s="232" cm="1">
        <f t="array" ref="R45">_xlfn.XLOOKUP(MIN(ABS($BJ$7:$BJ$29 - MEDIAN(MIN($BJ$7:$BJ$29), MAX($BJ$7:$BJ$29), R44))), ABS($BJ$7:$BJ$29 - MEDIAN(MIN($BJ$7:$BJ$29), MAX($BJ$7:$BJ$29), R44)), $BK$7:$BK$29, "Error", 0)</f>
        <v>2</v>
      </c>
      <c r="S45" s="232" cm="1">
        <f t="array" ref="S45">_xlfn.XLOOKUP(MIN(ABS($BJ$7:$BJ$29 - MEDIAN(MIN($BJ$7:$BJ$29), MAX($BJ$7:$BJ$29), S44))), ABS($BJ$7:$BJ$29 - MEDIAN(MIN($BJ$7:$BJ$29), MAX($BJ$7:$BJ$29), S44)), $BK$7:$BK$29, "Error", 0)</f>
        <v>2</v>
      </c>
      <c r="T45" s="232" cm="1">
        <f t="array" ref="T45">_xlfn.XLOOKUP(MIN(ABS($BJ$7:$BJ$29 - MEDIAN(MIN($BJ$7:$BJ$29), MAX($BJ$7:$BJ$29), T44))), ABS($BJ$7:$BJ$29 - MEDIAN(MIN($BJ$7:$BJ$29), MAX($BJ$7:$BJ$29), T44)), $BK$7:$BK$29, "Error", 0)</f>
        <v>0</v>
      </c>
      <c r="U45" s="232" cm="1">
        <f t="array" ref="U45">_xlfn.XLOOKUP(MIN(ABS($BJ$7:$BJ$29 - MEDIAN(MIN($BJ$7:$BJ$29), MAX($BJ$7:$BJ$29), U44))), ABS($BJ$7:$BJ$29 - MEDIAN(MIN($BJ$7:$BJ$29), MAX($BJ$7:$BJ$29), U44)), $BK$7:$BK$29, "Error", 0)</f>
        <v>-3</v>
      </c>
      <c r="V45" s="232" cm="1">
        <f t="array" ref="V45">_xlfn.XLOOKUP(MIN(ABS($BJ$7:$BJ$29 - MEDIAN(MIN($BJ$7:$BJ$29), MAX($BJ$7:$BJ$29), V44))), ABS($BJ$7:$BJ$29 - MEDIAN(MIN($BJ$7:$BJ$29), MAX($BJ$7:$BJ$29), V44)), $BK$7:$BK$29, "Error", 0)</f>
        <v>-5</v>
      </c>
      <c r="W45" s="232" cm="1">
        <f t="array" ref="W45">_xlfn.XLOOKUP(MIN(ABS($BJ$7:$BJ$29 - MEDIAN(MIN($BJ$7:$BJ$29), MAX($BJ$7:$BJ$29), W44))), ABS($BJ$7:$BJ$29 - MEDIAN(MIN($BJ$7:$BJ$29), MAX($BJ$7:$BJ$29), W44)), $BK$7:$BK$29, "Error", 0)</f>
        <v>-5</v>
      </c>
      <c r="X45" s="232" cm="1">
        <f t="array" ref="X45">_xlfn.XLOOKUP(MIN(ABS($BJ$7:$BJ$29 - MEDIAN(MIN($BJ$7:$BJ$29), MAX($BJ$7:$BJ$29), X44))), ABS($BJ$7:$BJ$29 - MEDIAN(MIN($BJ$7:$BJ$29), MAX($BJ$7:$BJ$29), X44)), $BK$7:$BK$29, "Error", 0)</f>
        <v>-2</v>
      </c>
      <c r="Y45" s="232" cm="1">
        <f t="array" ref="Y45">_xlfn.XLOOKUP(MIN(ABS($BJ$7:$BJ$29 - MEDIAN(MIN($BJ$7:$BJ$29), MAX($BJ$7:$BJ$29), Y44))), ABS($BJ$7:$BJ$29 - MEDIAN(MIN($BJ$7:$BJ$29), MAX($BJ$7:$BJ$29), Y44)), $BK$7:$BK$29, "Error", 0)</f>
        <v>-5</v>
      </c>
      <c r="Z45" s="232" cm="1">
        <f t="array" ref="Z45">_xlfn.XLOOKUP(MIN(ABS($BJ$7:$BJ$29 - MEDIAN(MIN($BJ$7:$BJ$29), MAX($BJ$7:$BJ$29), Z44))), ABS($BJ$7:$BJ$29 - MEDIAN(MIN($BJ$7:$BJ$29), MAX($BJ$7:$BJ$29), Z44)), $BK$7:$BK$29, "Error", 0)</f>
        <v>-3</v>
      </c>
      <c r="AA45" s="232" cm="1">
        <f t="array" ref="AA45">_xlfn.XLOOKUP(MIN(ABS($BJ$7:$BJ$29 - MEDIAN(MIN($BJ$7:$BJ$29), MAX($BJ$7:$BJ$29), AA44))), ABS($BJ$7:$BJ$29 - MEDIAN(MIN($BJ$7:$BJ$29), MAX($BJ$7:$BJ$29), AA44)), $BK$7:$BK$29, "Error", 0)</f>
        <v>0</v>
      </c>
      <c r="AB45" s="171" cm="1">
        <f t="array" ref="AB45">_xlfn.XLOOKUP(MIN(ABS($BJ$7:$BJ$29 - MEDIAN(MIN($BJ$7:$BJ$29), MAX($BJ$7:$BJ$29), AB44))), ABS($BJ$7:$BJ$29 - MEDIAN(MIN($BJ$7:$BJ$29), MAX($BJ$7:$BJ$29), AB44)), $BK$7:$BK$29, "Error", 0)</f>
        <v>0</v>
      </c>
      <c r="AC45" s="171" cm="1">
        <f t="array" ref="AC45">_xlfn.XLOOKUP(MIN(ABS($BJ$7:$BJ$29 - MEDIAN(MIN($BJ$7:$BJ$29), MAX($BJ$7:$BJ$29), AC44))), ABS($BJ$7:$BJ$29 - MEDIAN(MIN($BJ$7:$BJ$29), MAX($BJ$7:$BJ$29), AC44)), $BK$7:$BK$29, "Error", 0)</f>
        <v>0</v>
      </c>
      <c r="AD45" s="171" cm="1">
        <f t="array" ref="AD45">_xlfn.XLOOKUP(MIN(ABS($BJ$7:$BJ$29 - MEDIAN(MIN($BJ$7:$BJ$29), MAX($BJ$7:$BJ$29), AD44))), ABS($BJ$7:$BJ$29 - MEDIAN(MIN($BJ$7:$BJ$29), MAX($BJ$7:$BJ$29), AD44)), $BK$7:$BK$29, "Error", 0)</f>
        <v>0</v>
      </c>
      <c r="AE45" s="171" cm="1">
        <f t="array" ref="AE45">_xlfn.XLOOKUP(MIN(ABS($BJ$7:$BJ$29 - MEDIAN(MIN($BJ$7:$BJ$29), MAX($BJ$7:$BJ$29), AE44))), ABS($BJ$7:$BJ$29 - MEDIAN(MIN($BJ$7:$BJ$29), MAX($BJ$7:$BJ$29), AE44)), $BK$7:$BK$29, "Error", 0)</f>
        <v>3</v>
      </c>
      <c r="AF45" s="171" cm="1">
        <f t="array" ref="AF45">_xlfn.XLOOKUP(MIN(ABS($BJ$7:$BJ$29 - MEDIAN(MIN($BJ$7:$BJ$29), MAX($BJ$7:$BJ$29), AF44))), ABS($BJ$7:$BJ$29 - MEDIAN(MIN($BJ$7:$BJ$29), MAX($BJ$7:$BJ$29), AF44)), $BK$7:$BK$29, "Error", 0)</f>
        <v>3</v>
      </c>
      <c r="AG45" s="171" cm="1">
        <f t="array" ref="AG45">_xlfn.XLOOKUP(MIN(ABS($BJ$7:$BJ$29 - MEDIAN(MIN($BJ$7:$BJ$29), MAX($BJ$7:$BJ$29), AG44))), ABS($BJ$7:$BJ$29 - MEDIAN(MIN($BJ$7:$BJ$29), MAX($BJ$7:$BJ$29), AG44)), $BK$7:$BK$29, "Error", 0)</f>
        <v>3</v>
      </c>
      <c r="AH45" s="171" cm="1">
        <f t="array" ref="AH45">_xlfn.XLOOKUP(MIN(ABS($BJ$7:$BJ$29 - MEDIAN(MIN($BJ$7:$BJ$29), MAX($BJ$7:$BJ$29), AH44))), ABS($BJ$7:$BJ$29 - MEDIAN(MIN($BJ$7:$BJ$29), MAX($BJ$7:$BJ$29), AH44)), $BK$7:$BK$29, "Error", 0)</f>
        <v>3</v>
      </c>
      <c r="AI45" s="171" cm="1">
        <f t="array" ref="AI45">_xlfn.XLOOKUP(MIN(ABS($BJ$7:$BJ$29 - MEDIAN(MIN($BJ$7:$BJ$29), MAX($BJ$7:$BJ$29), AI44))), ABS($BJ$7:$BJ$29 - MEDIAN(MIN($BJ$7:$BJ$29), MAX($BJ$7:$BJ$29), AI44)), $BK$7:$BK$29, "Error", 0)</f>
        <v>0</v>
      </c>
      <c r="AJ45" s="171" cm="1">
        <f t="array" ref="AJ45">_xlfn.XLOOKUP(MIN(ABS($BJ$7:$BJ$29 - MEDIAN(MIN($BJ$7:$BJ$29), MAX($BJ$7:$BJ$29), AJ44))), ABS($BJ$7:$BJ$29 - MEDIAN(MIN($BJ$7:$BJ$29), MAX($BJ$7:$BJ$29), AJ44)), $BK$7:$BK$29, "Error", 0)</f>
        <v>0</v>
      </c>
      <c r="AK45" s="171" cm="1">
        <f t="array" ref="AK45">_xlfn.XLOOKUP(MIN(ABS($BJ$7:$BJ$29 - MEDIAN(MIN($BJ$7:$BJ$29), MAX($BJ$7:$BJ$29), AK44))), ABS($BJ$7:$BJ$29 - MEDIAN(MIN($BJ$7:$BJ$29), MAX($BJ$7:$BJ$29), AK44)), $BK$7:$BK$29, "Error", 0)</f>
        <v>0</v>
      </c>
      <c r="AL45" s="171" cm="1">
        <f t="array" ref="AL45">_xlfn.XLOOKUP(MIN(ABS($BJ$7:$BJ$29 - MEDIAN(MIN($BJ$7:$BJ$29), MAX($BJ$7:$BJ$29), AL44))), ABS($BJ$7:$BJ$29 - MEDIAN(MIN($BJ$7:$BJ$29), MAX($BJ$7:$BJ$29), AL44)), $BK$7:$BK$29, "Error", 0)</f>
        <v>0</v>
      </c>
      <c r="AM45" s="171" cm="1">
        <f t="array" ref="AM45">_xlfn.XLOOKUP(MIN(ABS($BJ$7:$BJ$29 - MEDIAN(MIN($BJ$7:$BJ$29), MAX($BJ$7:$BJ$29), AM44))), ABS($BJ$7:$BJ$29 - MEDIAN(MIN($BJ$7:$BJ$29), MAX($BJ$7:$BJ$29), AM44)), $BK$7:$BK$29, "Error", 0)</f>
        <v>0</v>
      </c>
      <c r="AN45" s="171" cm="1">
        <f t="array" ref="AN45">_xlfn.XLOOKUP(MIN(ABS($BJ$7:$BJ$29 - MEDIAN(MIN($BJ$7:$BJ$29), MAX($BJ$7:$BJ$29), AN44))), ABS($BJ$7:$BJ$29 - MEDIAN(MIN($BJ$7:$BJ$29), MAX($BJ$7:$BJ$29), AN44)), $BK$7:$BK$29, "Error", 0)</f>
        <v>0</v>
      </c>
      <c r="AO45" s="171" cm="1">
        <f t="array" ref="AO45">_xlfn.XLOOKUP(MIN(ABS($BJ$7:$BJ$29 - MEDIAN(MIN($BJ$7:$BJ$29), MAX($BJ$7:$BJ$29), AO44))), ABS($BJ$7:$BJ$29 - MEDIAN(MIN($BJ$7:$BJ$29), MAX($BJ$7:$BJ$29), AO44)), $BK$7:$BK$29, "Error", 0)</f>
        <v>-2</v>
      </c>
      <c r="AP45" s="171" cm="1">
        <f t="array" ref="AP45">_xlfn.XLOOKUP(MIN(ABS($BJ$7:$BJ$29 - MEDIAN(MIN($BJ$7:$BJ$29), MAX($BJ$7:$BJ$29), AP44))), ABS($BJ$7:$BJ$29 - MEDIAN(MIN($BJ$7:$BJ$29), MAX($BJ$7:$BJ$29), AP44)), $BK$7:$BK$29, "Error", 0)</f>
        <v>0</v>
      </c>
      <c r="AQ45" s="171" cm="1">
        <f t="array" ref="AQ45">_xlfn.XLOOKUP(MIN(ABS($BJ$7:$BJ$29 - MEDIAN(MIN($BJ$7:$BJ$29), MAX($BJ$7:$BJ$29), AQ44))), ABS($BJ$7:$BJ$29 - MEDIAN(MIN($BJ$7:$BJ$29), MAX($BJ$7:$BJ$29), AQ44)), $BK$7:$BK$29, "Error", 0)</f>
        <v>0</v>
      </c>
      <c r="AR45" s="171" cm="1">
        <f t="array" ref="AR45">_xlfn.XLOOKUP(MIN(ABS($BJ$7:$BJ$29 - MEDIAN(MIN($BJ$7:$BJ$29), MAX($BJ$7:$BJ$29), AR44))), ABS($BJ$7:$BJ$29 - MEDIAN(MIN($BJ$7:$BJ$29), MAX($BJ$7:$BJ$29), AR44)), $BK$7:$BK$29, "Error", 0)</f>
        <v>-2</v>
      </c>
      <c r="AS45" s="171" cm="1">
        <f t="array" ref="AS45">_xlfn.XLOOKUP(MIN(ABS($BJ$7:$BJ$29 - MEDIAN(MIN($BJ$7:$BJ$29), MAX($BJ$7:$BJ$29), AS44))), ABS($BJ$7:$BJ$29 - MEDIAN(MIN($BJ$7:$BJ$29), MAX($BJ$7:$BJ$29), AS44)), $BK$7:$BK$29, "Error", 0)</f>
        <v>0</v>
      </c>
      <c r="AT45" s="171" cm="1">
        <f t="array" ref="AT45">_xlfn.XLOOKUP(MIN(ABS($BJ$7:$BJ$29 - MEDIAN(MIN($BJ$7:$BJ$29), MAX($BJ$7:$BJ$29), AT44))), ABS($BJ$7:$BJ$29 - MEDIAN(MIN($BJ$7:$BJ$29), MAX($BJ$7:$BJ$29), AT44)), $BK$7:$BK$29, "Error", 0)</f>
        <v>0</v>
      </c>
      <c r="AU45" s="171" cm="1">
        <f t="array" ref="AU45">_xlfn.XLOOKUP(MIN(ABS($BJ$7:$BJ$29 - MEDIAN(MIN($BJ$7:$BJ$29), MAX($BJ$7:$BJ$29), AU44))), ABS($BJ$7:$BJ$29 - MEDIAN(MIN($BJ$7:$BJ$29), MAX($BJ$7:$BJ$29), AU44)), $BK$7:$BK$29, "Error", 0)</f>
        <v>0</v>
      </c>
      <c r="AV45" s="206" t="s">
        <v>25</v>
      </c>
      <c r="AW45" s="184"/>
      <c r="AX45" s="184"/>
      <c r="AY45" s="184"/>
    </row>
    <row r="46" spans="1:63" ht="44">
      <c r="A46" s="283" t="s">
        <v>48</v>
      </c>
      <c r="B46" s="200" t="s">
        <v>76</v>
      </c>
      <c r="C46" s="233">
        <v>7715.5475683929399</v>
      </c>
      <c r="D46" s="233">
        <v>7715.5475683929399</v>
      </c>
      <c r="E46" s="233">
        <v>7715.5475683929399</v>
      </c>
      <c r="F46" s="233">
        <v>7715.5475683929399</v>
      </c>
      <c r="G46" s="233">
        <v>7715.5475683929399</v>
      </c>
      <c r="H46" s="233">
        <v>7715.5475683929399</v>
      </c>
      <c r="I46" s="233">
        <v>7715.5475683929399</v>
      </c>
      <c r="J46" s="233">
        <v>7715.5475683929399</v>
      </c>
      <c r="K46" s="233">
        <v>7715.5475683929399</v>
      </c>
      <c r="L46" s="233">
        <v>7715.5475683929399</v>
      </c>
      <c r="M46" s="233">
        <v>7715.5475683929399</v>
      </c>
      <c r="N46" s="233">
        <v>7715.5475683929399</v>
      </c>
      <c r="O46" s="233">
        <v>7715.5475683929399</v>
      </c>
      <c r="P46" s="233">
        <v>7715.5475683929399</v>
      </c>
      <c r="Q46" s="233">
        <v>7715.5475683929399</v>
      </c>
      <c r="R46" s="233">
        <v>7715.5475683929399</v>
      </c>
      <c r="S46" s="233">
        <v>7715.5475683929399</v>
      </c>
      <c r="T46" s="233">
        <v>7715.5475683929399</v>
      </c>
      <c r="U46" s="233">
        <v>7715.5475683929399</v>
      </c>
      <c r="V46" s="233">
        <v>7715.5475683929399</v>
      </c>
      <c r="W46" s="233">
        <v>7715.5475683929399</v>
      </c>
      <c r="X46" s="233">
        <v>7715.5475683929399</v>
      </c>
      <c r="Y46" s="233">
        <v>7715.5475683929399</v>
      </c>
      <c r="Z46" s="233">
        <v>7715.5475683929399</v>
      </c>
      <c r="AA46" s="204">
        <v>7715.5475683929399</v>
      </c>
      <c r="AB46" s="204">
        <v>7715.5475683929399</v>
      </c>
      <c r="AC46" s="204">
        <v>7715.5475683929399</v>
      </c>
      <c r="AD46" s="204">
        <v>7715.5475683929399</v>
      </c>
      <c r="AE46" s="204">
        <v>7715.5475683929399</v>
      </c>
      <c r="AF46" s="204">
        <v>7715.5475683929399</v>
      </c>
      <c r="AG46" s="204">
        <v>7715.5475683929399</v>
      </c>
      <c r="AH46" s="204">
        <v>7715.5475683929399</v>
      </c>
      <c r="AI46" s="204">
        <v>7715.5475683929399</v>
      </c>
      <c r="AJ46" s="204">
        <v>7715.5475683929399</v>
      </c>
      <c r="AK46" s="204">
        <v>7715.5475683929399</v>
      </c>
      <c r="AL46" s="204">
        <v>7715.5475683929399</v>
      </c>
      <c r="AM46" s="204">
        <v>7715.5475683929399</v>
      </c>
      <c r="AN46" s="204">
        <v>7715.5475683929399</v>
      </c>
      <c r="AO46" s="204">
        <v>7715.5475683929399</v>
      </c>
      <c r="AP46" s="204">
        <v>7715.5475683929399</v>
      </c>
      <c r="AQ46" s="204">
        <v>7715.5475683929399</v>
      </c>
      <c r="AR46" s="204">
        <v>7715.5475683929399</v>
      </c>
      <c r="AS46" s="204">
        <v>7715.5475683929399</v>
      </c>
      <c r="AT46" s="204">
        <v>7715.5475683929399</v>
      </c>
      <c r="AU46" s="204">
        <v>7715.5475683929399</v>
      </c>
      <c r="AV46" s="200" t="s">
        <v>76</v>
      </c>
      <c r="AW46" s="184"/>
      <c r="AX46" s="184"/>
      <c r="AY46" s="184"/>
    </row>
    <row r="47" spans="1:63" ht="22">
      <c r="A47" s="284"/>
      <c r="B47" s="201" t="s">
        <v>77</v>
      </c>
      <c r="C47" s="233">
        <v>4179.9792048757699</v>
      </c>
      <c r="D47" s="233">
        <v>4207.1854851287799</v>
      </c>
      <c r="E47" s="233">
        <v>4297.7895704899602</v>
      </c>
      <c r="F47" s="233">
        <v>4354.5148013155904</v>
      </c>
      <c r="G47" s="233">
        <v>4100.7784266174403</v>
      </c>
      <c r="H47" s="233">
        <v>4298.6145303603298</v>
      </c>
      <c r="I47" s="233">
        <v>4287.4050476549601</v>
      </c>
      <c r="J47" s="233">
        <v>4123.8504830130596</v>
      </c>
      <c r="K47" s="233">
        <v>4041.9060799323502</v>
      </c>
      <c r="L47" s="233">
        <v>3888.5631010998</v>
      </c>
      <c r="M47" s="233">
        <v>4199.9403425159098</v>
      </c>
      <c r="N47" s="233">
        <v>4201.5170603662</v>
      </c>
      <c r="O47" s="233">
        <v>4343.9296112129196</v>
      </c>
      <c r="P47" s="233">
        <v>4645.1492926193996</v>
      </c>
      <c r="Q47" s="233">
        <v>4951.7593139021201</v>
      </c>
      <c r="R47" s="233">
        <v>4803.1109836597798</v>
      </c>
      <c r="S47" s="233">
        <v>4876.4212525717503</v>
      </c>
      <c r="T47" s="233">
        <v>4714.4094344076002</v>
      </c>
      <c r="U47" s="233">
        <v>4648.7358899372603</v>
      </c>
      <c r="V47" s="233">
        <v>4656.0391339418702</v>
      </c>
      <c r="W47" s="233">
        <v>4698.2730385561599</v>
      </c>
      <c r="X47" s="233">
        <v>4541.8825894762404</v>
      </c>
      <c r="Y47" s="233">
        <v>4481.5442046225398</v>
      </c>
      <c r="Z47" s="233">
        <v>4601.7314907260898</v>
      </c>
      <c r="AA47" s="204">
        <v>4999.3171816322101</v>
      </c>
      <c r="AB47" s="204">
        <v>5110.7044961009497</v>
      </c>
      <c r="AC47" s="204">
        <v>5003.8152394348899</v>
      </c>
      <c r="AD47" s="204">
        <v>4839.0480852471101</v>
      </c>
      <c r="AE47" s="204">
        <v>5010.2483236750104</v>
      </c>
      <c r="AF47" s="204">
        <v>4964.4163201888996</v>
      </c>
      <c r="AG47" s="204">
        <v>4944.2804465097097</v>
      </c>
      <c r="AH47" s="204">
        <v>5006.0082727270201</v>
      </c>
      <c r="AI47" s="204">
        <v>5172.5588036057898</v>
      </c>
      <c r="AJ47" s="204">
        <v>5251.8816990164296</v>
      </c>
      <c r="AK47" s="204">
        <v>5285.0015681269597</v>
      </c>
      <c r="AL47" s="204">
        <v>5386.3590980456202</v>
      </c>
      <c r="AM47" s="204">
        <v>5452.9523933154996</v>
      </c>
      <c r="AN47" s="204">
        <v>5601.7289544157702</v>
      </c>
      <c r="AO47" s="204">
        <v>5104.04486668154</v>
      </c>
      <c r="AP47" s="204">
        <v>5479.28121010837</v>
      </c>
      <c r="AQ47" s="204">
        <v>5513.2520045414003</v>
      </c>
      <c r="AR47" s="204">
        <v>5837</v>
      </c>
      <c r="AS47" s="204">
        <v>5791</v>
      </c>
      <c r="AT47" s="204">
        <v>5791</v>
      </c>
      <c r="AU47" s="204">
        <v>5791</v>
      </c>
      <c r="AV47" s="201" t="s">
        <v>77</v>
      </c>
      <c r="AW47" s="184"/>
      <c r="AX47" s="184"/>
      <c r="AY47" s="184"/>
    </row>
    <row r="48" spans="1:63" ht="22">
      <c r="A48" s="284"/>
      <c r="B48" s="201" t="s">
        <v>78</v>
      </c>
      <c r="C48" s="230">
        <f t="shared" ref="C48:Z48" si="48">+(C47-C46)/C46</f>
        <v>-0.45823946157765549</v>
      </c>
      <c r="D48" s="230">
        <f t="shared" si="48"/>
        <v>-0.45471329833235824</v>
      </c>
      <c r="E48" s="230">
        <f t="shared" si="48"/>
        <v>-0.44297024515848582</v>
      </c>
      <c r="F48" s="230">
        <f t="shared" si="48"/>
        <v>-0.43561817710073608</v>
      </c>
      <c r="G48" s="230">
        <f t="shared" si="48"/>
        <v>-0.46850455003136149</v>
      </c>
      <c r="H48" s="230">
        <f t="shared" si="48"/>
        <v>-0.44286332340561513</v>
      </c>
      <c r="I48" s="230">
        <f t="shared" si="48"/>
        <v>-0.44431616685010245</v>
      </c>
      <c r="J48" s="230">
        <f t="shared" si="48"/>
        <v>-0.465514217045776</v>
      </c>
      <c r="K48" s="230">
        <f t="shared" si="48"/>
        <v>-0.47613490240275547</v>
      </c>
      <c r="L48" s="230">
        <f t="shared" si="48"/>
        <v>-0.49600944500304039</v>
      </c>
      <c r="M48" s="230">
        <f t="shared" si="48"/>
        <v>-0.45565232988503118</v>
      </c>
      <c r="N48" s="230">
        <f t="shared" si="48"/>
        <v>-0.45544797396131825</v>
      </c>
      <c r="O48" s="230">
        <f t="shared" si="48"/>
        <v>-0.43699010696168772</v>
      </c>
      <c r="P48" s="230">
        <f t="shared" si="48"/>
        <v>-0.39794949724003437</v>
      </c>
      <c r="Q48" s="230">
        <f t="shared" si="48"/>
        <v>-0.35821025403469647</v>
      </c>
      <c r="R48" s="230">
        <f t="shared" si="48"/>
        <v>-0.37747633060601909</v>
      </c>
      <c r="S48" s="230">
        <f t="shared" si="48"/>
        <v>-0.36797470181530445</v>
      </c>
      <c r="T48" s="230">
        <f t="shared" si="48"/>
        <v>-0.38897279906349436</v>
      </c>
      <c r="U48" s="230">
        <f t="shared" si="48"/>
        <v>-0.39748464399584554</v>
      </c>
      <c r="V48" s="230">
        <f t="shared" si="48"/>
        <v>-0.39653808201306057</v>
      </c>
      <c r="W48" s="230">
        <f t="shared" si="48"/>
        <v>-0.39106421198116514</v>
      </c>
      <c r="X48" s="230">
        <f t="shared" si="48"/>
        <v>-0.41133373241294624</v>
      </c>
      <c r="Y48" s="230">
        <f t="shared" si="48"/>
        <v>-0.41915409568837714</v>
      </c>
      <c r="Z48" s="230">
        <f t="shared" si="48"/>
        <v>-0.40357681033848158</v>
      </c>
      <c r="AA48" s="230">
        <f t="shared" ref="AA48:AR48" si="49">+(AA47-AA46)/AA46</f>
        <v>-0.352046353506766</v>
      </c>
      <c r="AB48" s="205">
        <f t="shared" si="49"/>
        <v>-0.337609618656599</v>
      </c>
      <c r="AC48" s="205">
        <f t="shared" si="49"/>
        <v>-0.35146336730095135</v>
      </c>
      <c r="AD48" s="205">
        <f t="shared" si="49"/>
        <v>-0.37281857932281165</v>
      </c>
      <c r="AE48" s="205">
        <f t="shared" si="49"/>
        <v>-0.35062958535830946</v>
      </c>
      <c r="AF48" s="205">
        <f t="shared" si="49"/>
        <v>-0.35656979933273475</v>
      </c>
      <c r="AG48" s="205">
        <f t="shared" si="49"/>
        <v>-0.35917957828888786</v>
      </c>
      <c r="AH48" s="205">
        <f t="shared" si="49"/>
        <v>-0.3511791317009903</v>
      </c>
      <c r="AI48" s="205">
        <f t="shared" si="49"/>
        <v>-0.329592779027714</v>
      </c>
      <c r="AJ48" s="205">
        <f t="shared" si="49"/>
        <v>-0.31931186316173066</v>
      </c>
      <c r="AK48" s="205">
        <f t="shared" si="49"/>
        <v>-0.31501924895425604</v>
      </c>
      <c r="AL48" s="205">
        <f t="shared" si="49"/>
        <v>-0.30188245872385477</v>
      </c>
      <c r="AM48" s="205">
        <f t="shared" si="49"/>
        <v>-0.29325140633521007</v>
      </c>
      <c r="AN48" s="205">
        <f t="shared" si="49"/>
        <v>-0.27396870996382877</v>
      </c>
      <c r="AO48" s="205">
        <f t="shared" si="49"/>
        <v>-0.33847276276404914</v>
      </c>
      <c r="AP48" s="205">
        <f t="shared" si="49"/>
        <v>-0.28983896975057577</v>
      </c>
      <c r="AQ48" s="205">
        <f t="shared" si="49"/>
        <v>-0.2854360684487689</v>
      </c>
      <c r="AR48" s="205">
        <f t="shared" si="49"/>
        <v>-0.24347559933250723</v>
      </c>
      <c r="AS48" s="205">
        <f t="shared" ref="AS48:AT48" si="50">+(AS47-AS46)/AS46</f>
        <v>-0.24943758707119229</v>
      </c>
      <c r="AT48" s="205">
        <f t="shared" si="50"/>
        <v>-0.24943758707119229</v>
      </c>
      <c r="AU48" s="205">
        <f t="shared" ref="AU48" si="51">+(AU47-AU46)/AU46</f>
        <v>-0.24943758707119229</v>
      </c>
      <c r="AV48" s="201" t="s">
        <v>78</v>
      </c>
      <c r="AW48" s="184"/>
      <c r="AX48" s="184"/>
      <c r="AY48" s="184"/>
    </row>
    <row r="49" spans="1:51" ht="44">
      <c r="A49" s="284"/>
      <c r="B49" s="201" t="s">
        <v>91</v>
      </c>
      <c r="C49" s="233">
        <v>4522.240234375</v>
      </c>
      <c r="D49" s="233">
        <v>4522.240234375</v>
      </c>
      <c r="E49" s="233">
        <v>4522.240234375</v>
      </c>
      <c r="F49" s="233">
        <v>4522.240234375</v>
      </c>
      <c r="G49" s="233">
        <v>4522.240234375</v>
      </c>
      <c r="H49" s="233">
        <v>4522.240234375</v>
      </c>
      <c r="I49" s="233">
        <v>4522.240234375</v>
      </c>
      <c r="J49" s="233">
        <v>4522.240234375</v>
      </c>
      <c r="K49" s="233">
        <v>4522.240234375</v>
      </c>
      <c r="L49" s="233">
        <v>4522.240234375</v>
      </c>
      <c r="M49" s="233">
        <v>4522.240234375</v>
      </c>
      <c r="N49" s="233">
        <v>4593.10986328125</v>
      </c>
      <c r="O49" s="233">
        <v>4674.740234375</v>
      </c>
      <c r="P49" s="233">
        <v>4898.3701171875</v>
      </c>
      <c r="Q49" s="233">
        <v>5103.259765625</v>
      </c>
      <c r="R49" s="233">
        <v>5103.259765625</v>
      </c>
      <c r="S49" s="233">
        <v>5103.259765625</v>
      </c>
      <c r="T49" s="233">
        <v>5103.259765625</v>
      </c>
      <c r="U49" s="233">
        <v>5103.259765625</v>
      </c>
      <c r="V49" s="233">
        <v>5103.259765625</v>
      </c>
      <c r="W49" s="233">
        <v>5103.259765625</v>
      </c>
      <c r="X49" s="233">
        <v>5103.259765625</v>
      </c>
      <c r="Y49" s="233">
        <v>5103.259765625</v>
      </c>
      <c r="Z49" s="233">
        <v>5103.259765625</v>
      </c>
      <c r="AA49" s="231">
        <v>5314.2900390625</v>
      </c>
      <c r="AB49" s="203">
        <v>5544.1201171875</v>
      </c>
      <c r="AC49" s="203">
        <v>5544.1201171875</v>
      </c>
      <c r="AD49" s="203">
        <v>5544.1201171875</v>
      </c>
      <c r="AE49" s="203">
        <v>5544.1201171875</v>
      </c>
      <c r="AF49" s="203">
        <v>5544.1201171875</v>
      </c>
      <c r="AG49" s="203">
        <v>5544.1201171875</v>
      </c>
      <c r="AH49" s="203">
        <v>5544.1201171875</v>
      </c>
      <c r="AI49" s="203">
        <v>5544.1201171875</v>
      </c>
      <c r="AJ49" s="203">
        <v>5734.27978515625</v>
      </c>
      <c r="AK49" s="203">
        <v>5818.06982421875</v>
      </c>
      <c r="AL49" s="203">
        <v>5818.06982421875</v>
      </c>
      <c r="AM49" s="203">
        <v>6053.68017578125</v>
      </c>
      <c r="AN49" s="203">
        <v>6199.77978515625</v>
      </c>
      <c r="AO49" s="203">
        <v>6199.77978515625</v>
      </c>
      <c r="AP49" s="203">
        <v>6199.77978515625</v>
      </c>
      <c r="AQ49" s="203">
        <v>6199.77978515625</v>
      </c>
      <c r="AR49" s="203">
        <v>6337</v>
      </c>
      <c r="AS49" s="203">
        <v>6337</v>
      </c>
      <c r="AT49" s="203">
        <v>6337</v>
      </c>
      <c r="AU49" s="203">
        <v>6337</v>
      </c>
      <c r="AV49" s="201" t="s">
        <v>91</v>
      </c>
      <c r="AW49" s="184"/>
      <c r="AX49" s="184"/>
      <c r="AY49" s="184"/>
    </row>
    <row r="50" spans="1:51" ht="44">
      <c r="A50" s="284"/>
      <c r="B50" s="201" t="s">
        <v>92</v>
      </c>
      <c r="C50" s="233">
        <v>4163.4501953125</v>
      </c>
      <c r="D50" s="233">
        <v>4238.3798828125</v>
      </c>
      <c r="E50" s="233">
        <v>4315.0498046875</v>
      </c>
      <c r="F50" s="233">
        <v>4359.31005859375</v>
      </c>
      <c r="G50" s="233">
        <v>4218.0400390625</v>
      </c>
      <c r="H50" s="233">
        <v>4399.08984375</v>
      </c>
      <c r="I50" s="233">
        <v>4471.31005859375</v>
      </c>
      <c r="J50" s="233">
        <v>4297.10986328125</v>
      </c>
      <c r="K50" s="233">
        <v>4174.66015625</v>
      </c>
      <c r="L50" s="233">
        <v>4061.1201171875</v>
      </c>
      <c r="M50" s="233">
        <v>4382.47021484375</v>
      </c>
      <c r="N50" s="233">
        <v>4593.10986328125</v>
      </c>
      <c r="O50" s="233">
        <v>4674.740234375</v>
      </c>
      <c r="P50" s="233">
        <v>4898.3701171875</v>
      </c>
      <c r="Q50" s="233">
        <v>5103.259765625</v>
      </c>
      <c r="R50" s="233">
        <v>4921.22021484375</v>
      </c>
      <c r="S50" s="233">
        <v>4983.669921875</v>
      </c>
      <c r="T50" s="233">
        <v>4894.02001953125</v>
      </c>
      <c r="U50" s="233">
        <v>4872.93994140625</v>
      </c>
      <c r="V50" s="233">
        <v>4957.97998046875</v>
      </c>
      <c r="W50" s="233">
        <v>5000.4501953125</v>
      </c>
      <c r="X50" s="233">
        <v>4827.6298828125</v>
      </c>
      <c r="Y50" s="233">
        <v>4804.39990234375</v>
      </c>
      <c r="Z50" s="233">
        <v>4895.97998046875</v>
      </c>
      <c r="AA50" s="231">
        <v>5314.2900390625</v>
      </c>
      <c r="AB50" s="203">
        <v>5544.1201171875</v>
      </c>
      <c r="AC50" s="203">
        <v>5248.39013671875</v>
      </c>
      <c r="AD50" s="203">
        <v>5160.22021484375</v>
      </c>
      <c r="AE50" s="203">
        <v>5366.58984375</v>
      </c>
      <c r="AF50" s="203">
        <v>5303.240234375</v>
      </c>
      <c r="AG50" s="203">
        <v>5319.919921875</v>
      </c>
      <c r="AH50" s="203">
        <v>5351.72998046875</v>
      </c>
      <c r="AI50" s="203">
        <v>5529.9599609375</v>
      </c>
      <c r="AJ50" s="203">
        <v>5734.27978515625</v>
      </c>
      <c r="AK50" s="203">
        <v>5818.06982421875</v>
      </c>
      <c r="AL50" s="203">
        <v>5791.41015625</v>
      </c>
      <c r="AM50" s="203">
        <v>6053.68017578125</v>
      </c>
      <c r="AN50" s="203">
        <v>6199.77978515625</v>
      </c>
      <c r="AO50" s="203">
        <v>5569.72998046875</v>
      </c>
      <c r="AP50" s="203">
        <v>5881.509765625</v>
      </c>
      <c r="AQ50" s="203">
        <v>6050.5400390625</v>
      </c>
      <c r="AR50" s="203">
        <v>6447</v>
      </c>
      <c r="AS50" s="203">
        <v>6265</v>
      </c>
      <c r="AT50" s="203">
        <v>6265</v>
      </c>
      <c r="AU50" s="203">
        <v>6265</v>
      </c>
      <c r="AV50" s="201" t="s">
        <v>92</v>
      </c>
      <c r="AW50" s="184"/>
      <c r="AX50" s="184"/>
      <c r="AY50" s="184"/>
    </row>
    <row r="51" spans="1:51" ht="44">
      <c r="A51" s="284"/>
      <c r="B51" s="201" t="s">
        <v>79</v>
      </c>
      <c r="C51" s="230">
        <f t="shared" ref="C51:Z51" si="52">+(C50-C49)/C49</f>
        <v>-7.9339004667470278E-2</v>
      </c>
      <c r="D51" s="230">
        <f t="shared" si="52"/>
        <v>-6.2769852296829867E-2</v>
      </c>
      <c r="E51" s="230">
        <f t="shared" si="52"/>
        <v>-4.5815883046764969E-2</v>
      </c>
      <c r="F51" s="230">
        <f t="shared" si="52"/>
        <v>-3.6028642296082686E-2</v>
      </c>
      <c r="G51" s="230">
        <f t="shared" si="52"/>
        <v>-6.726758852839719E-2</v>
      </c>
      <c r="H51" s="230">
        <f t="shared" si="52"/>
        <v>-2.7232164644614486E-2</v>
      </c>
      <c r="I51" s="230">
        <f t="shared" si="52"/>
        <v>-1.1262156175187993E-2</v>
      </c>
      <c r="J51" s="230">
        <f t="shared" si="52"/>
        <v>-4.9782930456118132E-2</v>
      </c>
      <c r="K51" s="230">
        <f t="shared" si="52"/>
        <v>-7.6860153399842007E-2</v>
      </c>
      <c r="L51" s="230">
        <f t="shared" si="52"/>
        <v>-0.10196718734276386</v>
      </c>
      <c r="M51" s="230">
        <f t="shared" si="52"/>
        <v>-3.0907252221766816E-2</v>
      </c>
      <c r="N51" s="230">
        <f t="shared" si="52"/>
        <v>0</v>
      </c>
      <c r="O51" s="230">
        <f t="shared" si="52"/>
        <v>0</v>
      </c>
      <c r="P51" s="230">
        <f t="shared" si="52"/>
        <v>0</v>
      </c>
      <c r="Q51" s="230">
        <f t="shared" si="52"/>
        <v>0</v>
      </c>
      <c r="R51" s="230">
        <f t="shared" si="52"/>
        <v>-3.5671229594748145E-2</v>
      </c>
      <c r="S51" s="230">
        <f t="shared" si="52"/>
        <v>-2.3434010660312476E-2</v>
      </c>
      <c r="T51" s="230">
        <f t="shared" si="52"/>
        <v>-4.1001194472436241E-2</v>
      </c>
      <c r="U51" s="230">
        <f t="shared" si="52"/>
        <v>-4.5131902900604662E-2</v>
      </c>
      <c r="V51" s="230">
        <f t="shared" si="52"/>
        <v>-2.8468036476379029E-2</v>
      </c>
      <c r="W51" s="230">
        <f t="shared" si="52"/>
        <v>-2.0145862651361396E-2</v>
      </c>
      <c r="X51" s="230">
        <f t="shared" si="52"/>
        <v>-5.401055315057892E-2</v>
      </c>
      <c r="Y51" s="230">
        <f t="shared" si="52"/>
        <v>-5.8562541788356015E-2</v>
      </c>
      <c r="Z51" s="230">
        <f t="shared" si="52"/>
        <v>-4.0617133886161151E-2</v>
      </c>
      <c r="AA51" s="230">
        <f>+(AA50-AA49)/AA49</f>
        <v>0</v>
      </c>
      <c r="AB51" s="205">
        <f t="shared" ref="AB51:AP51" si="53">+(AB50-AB49)/AB49</f>
        <v>0</v>
      </c>
      <c r="AC51" s="205">
        <f t="shared" si="53"/>
        <v>-5.3341192870614083E-2</v>
      </c>
      <c r="AD51" s="205">
        <f t="shared" si="53"/>
        <v>-6.9244513868595647E-2</v>
      </c>
      <c r="AE51" s="205">
        <f t="shared" si="53"/>
        <v>-3.202136131342697E-2</v>
      </c>
      <c r="AF51" s="205">
        <f t="shared" si="53"/>
        <v>-4.3447810963860752E-2</v>
      </c>
      <c r="AG51" s="205">
        <f t="shared" si="53"/>
        <v>-4.0439274505876949E-2</v>
      </c>
      <c r="AH51" s="205">
        <f t="shared" si="53"/>
        <v>-3.4701653761489641E-2</v>
      </c>
      <c r="AI51" s="205">
        <f t="shared" si="53"/>
        <v>-2.5540854005131775E-3</v>
      </c>
      <c r="AJ51" s="205">
        <f t="shared" si="53"/>
        <v>0</v>
      </c>
      <c r="AK51" s="205">
        <f t="shared" si="53"/>
        <v>0</v>
      </c>
      <c r="AL51" s="205">
        <f t="shared" si="53"/>
        <v>-4.5822186350831327E-3</v>
      </c>
      <c r="AM51" s="205">
        <f t="shared" si="53"/>
        <v>0</v>
      </c>
      <c r="AN51" s="205">
        <f t="shared" si="53"/>
        <v>0</v>
      </c>
      <c r="AO51" s="205">
        <f t="shared" si="53"/>
        <v>-0.10162454579370535</v>
      </c>
      <c r="AP51" s="205">
        <f t="shared" si="53"/>
        <v>-5.1335697486104954E-2</v>
      </c>
      <c r="AQ51" s="205">
        <f>+(AQ50-AQ49)/AQ49</f>
        <v>-2.4071781783453906E-2</v>
      </c>
      <c r="AR51" s="205">
        <f>+(AR50-AR49)/AR49</f>
        <v>1.7358371469149439E-2</v>
      </c>
      <c r="AS51" s="205">
        <f>+(AS50-AS49)/AS49</f>
        <v>-1.1361843143443269E-2</v>
      </c>
      <c r="AT51" s="205">
        <f>+(AT50-AT49)/AT49</f>
        <v>-1.1361843143443269E-2</v>
      </c>
      <c r="AU51" s="205">
        <f>+(AU50-AU49)/AU49</f>
        <v>-1.1361843143443269E-2</v>
      </c>
      <c r="AV51" s="201" t="s">
        <v>79</v>
      </c>
      <c r="AW51" s="184"/>
      <c r="AX51" s="184"/>
      <c r="AY51" s="184"/>
    </row>
    <row r="52" spans="1:51" ht="22">
      <c r="A52" s="284"/>
      <c r="B52" s="201" t="s">
        <v>80</v>
      </c>
      <c r="C52" s="230">
        <f t="shared" ref="C52:Z52" si="54">+C48-C51</f>
        <v>-0.3789004569101852</v>
      </c>
      <c r="D52" s="230">
        <f t="shared" si="54"/>
        <v>-0.39194344603552839</v>
      </c>
      <c r="E52" s="230">
        <f t="shared" si="54"/>
        <v>-0.39715436211172084</v>
      </c>
      <c r="F52" s="230">
        <f t="shared" si="54"/>
        <v>-0.39958953480465342</v>
      </c>
      <c r="G52" s="230">
        <f t="shared" si="54"/>
        <v>-0.40123696150296428</v>
      </c>
      <c r="H52" s="230">
        <f t="shared" si="54"/>
        <v>-0.41563115876100065</v>
      </c>
      <c r="I52" s="230">
        <f t="shared" si="54"/>
        <v>-0.43305401067491445</v>
      </c>
      <c r="J52" s="230">
        <f t="shared" si="54"/>
        <v>-0.41573128658965786</v>
      </c>
      <c r="K52" s="230">
        <f t="shared" si="54"/>
        <v>-0.39927474900291349</v>
      </c>
      <c r="L52" s="230">
        <f t="shared" si="54"/>
        <v>-0.39404225766027656</v>
      </c>
      <c r="M52" s="230">
        <f t="shared" si="54"/>
        <v>-0.42474507766326436</v>
      </c>
      <c r="N52" s="230">
        <f t="shared" si="54"/>
        <v>-0.45544797396131825</v>
      </c>
      <c r="O52" s="230">
        <f t="shared" si="54"/>
        <v>-0.43699010696168772</v>
      </c>
      <c r="P52" s="230">
        <f t="shared" si="54"/>
        <v>-0.39794949724003437</v>
      </c>
      <c r="Q52" s="230">
        <f t="shared" si="54"/>
        <v>-0.35821025403469647</v>
      </c>
      <c r="R52" s="230">
        <f t="shared" si="54"/>
        <v>-0.34180510101127093</v>
      </c>
      <c r="S52" s="230">
        <f t="shared" si="54"/>
        <v>-0.34454069115499197</v>
      </c>
      <c r="T52" s="230">
        <f t="shared" si="54"/>
        <v>-0.34797160459105814</v>
      </c>
      <c r="U52" s="230">
        <f t="shared" si="54"/>
        <v>-0.3523527410952409</v>
      </c>
      <c r="V52" s="230">
        <f t="shared" si="54"/>
        <v>-0.36807004553668154</v>
      </c>
      <c r="W52" s="230">
        <f t="shared" si="54"/>
        <v>-0.37091834932980372</v>
      </c>
      <c r="X52" s="230">
        <f t="shared" si="54"/>
        <v>-0.35732317926236734</v>
      </c>
      <c r="Y52" s="230">
        <f t="shared" si="54"/>
        <v>-0.36059155390002112</v>
      </c>
      <c r="Z52" s="230">
        <f t="shared" si="54"/>
        <v>-0.36295967645232041</v>
      </c>
      <c r="AA52" s="230">
        <f t="shared" ref="AA52:AR52" si="55">+AA48-AA51</f>
        <v>-0.352046353506766</v>
      </c>
      <c r="AB52" s="205">
        <f t="shared" si="55"/>
        <v>-0.337609618656599</v>
      </c>
      <c r="AC52" s="205">
        <f t="shared" si="55"/>
        <v>-0.29812217443033728</v>
      </c>
      <c r="AD52" s="205">
        <f t="shared" si="55"/>
        <v>-0.303574065454216</v>
      </c>
      <c r="AE52" s="205">
        <f t="shared" si="55"/>
        <v>-0.31860822404488248</v>
      </c>
      <c r="AF52" s="205">
        <f t="shared" si="55"/>
        <v>-0.313121988368874</v>
      </c>
      <c r="AG52" s="205">
        <f t="shared" si="55"/>
        <v>-0.31874030378301088</v>
      </c>
      <c r="AH52" s="205">
        <f t="shared" si="55"/>
        <v>-0.31647747793950065</v>
      </c>
      <c r="AI52" s="205">
        <f t="shared" si="55"/>
        <v>-0.32703869362720084</v>
      </c>
      <c r="AJ52" s="205">
        <f t="shared" si="55"/>
        <v>-0.31931186316173066</v>
      </c>
      <c r="AK52" s="205">
        <f t="shared" si="55"/>
        <v>-0.31501924895425604</v>
      </c>
      <c r="AL52" s="205">
        <f t="shared" si="55"/>
        <v>-0.29730024008877165</v>
      </c>
      <c r="AM52" s="205">
        <f t="shared" si="55"/>
        <v>-0.29325140633521007</v>
      </c>
      <c r="AN52" s="205">
        <f t="shared" si="55"/>
        <v>-0.27396870996382877</v>
      </c>
      <c r="AO52" s="205">
        <f t="shared" si="55"/>
        <v>-0.23684821697034381</v>
      </c>
      <c r="AP52" s="205">
        <f t="shared" si="55"/>
        <v>-0.23850327226447082</v>
      </c>
      <c r="AQ52" s="205">
        <f t="shared" si="55"/>
        <v>-0.26136428666531497</v>
      </c>
      <c r="AR52" s="205">
        <f t="shared" si="55"/>
        <v>-0.26083397080165666</v>
      </c>
      <c r="AS52" s="205">
        <f t="shared" ref="AS52:AT52" si="56">+AS48-AS51</f>
        <v>-0.23807574392774902</v>
      </c>
      <c r="AT52" s="205">
        <f t="shared" si="56"/>
        <v>-0.23807574392774902</v>
      </c>
      <c r="AU52" s="205">
        <f t="shared" ref="AU52" si="57">+AU48-AU51</f>
        <v>-0.23807574392774902</v>
      </c>
      <c r="AV52" s="201" t="s">
        <v>80</v>
      </c>
      <c r="AW52" s="184"/>
      <c r="AX52" s="184"/>
      <c r="AY52" s="184"/>
    </row>
    <row r="53" spans="1:51" ht="22">
      <c r="A53" s="285"/>
      <c r="B53" s="206" t="s">
        <v>25</v>
      </c>
      <c r="C53" s="232" cm="1">
        <f t="array" ref="C53">_xlfn.XLOOKUP(MIN(ABS($BJ$7:$BJ$29 - MEDIAN(MIN($BJ$7:$BJ$29), MAX($BJ$7:$BJ$29), C52))), ABS($BJ$7:$BJ$29 - MEDIAN(MIN($BJ$7:$BJ$29), MAX($BJ$7:$BJ$29), C52)), $BK$7:$BK$29, "Error", 0)</f>
        <v>-2</v>
      </c>
      <c r="D53" s="232" cm="1">
        <f t="array" ref="D53">_xlfn.XLOOKUP(MIN(ABS($BJ$7:$BJ$29 - MEDIAN(MIN($BJ$7:$BJ$29), MAX($BJ$7:$BJ$29), D52))), ABS($BJ$7:$BJ$29 - MEDIAN(MIN($BJ$7:$BJ$29), MAX($BJ$7:$BJ$29), D52)), $BK$7:$BK$29, "Error", 0)</f>
        <v>-2</v>
      </c>
      <c r="E53" s="232" cm="1">
        <f t="array" ref="E53">_xlfn.XLOOKUP(MIN(ABS($BJ$7:$BJ$29 - MEDIAN(MIN($BJ$7:$BJ$29), MAX($BJ$7:$BJ$29), E52))), ABS($BJ$7:$BJ$29 - MEDIAN(MIN($BJ$7:$BJ$29), MAX($BJ$7:$BJ$29), E52)), $BK$7:$BK$29, "Error", 0)</f>
        <v>-2</v>
      </c>
      <c r="F53" s="232" cm="1">
        <f t="array" ref="F53">_xlfn.XLOOKUP(MIN(ABS($BJ$7:$BJ$29 - MEDIAN(MIN($BJ$7:$BJ$29), MAX($BJ$7:$BJ$29), F52))), ABS($BJ$7:$BJ$29 - MEDIAN(MIN($BJ$7:$BJ$29), MAX($BJ$7:$BJ$29), F52)), $BK$7:$BK$29, "Error", 0)</f>
        <v>-2</v>
      </c>
      <c r="G53" s="232" cm="1">
        <f t="array" ref="G53">_xlfn.XLOOKUP(MIN(ABS($BJ$7:$BJ$29 - MEDIAN(MIN($BJ$7:$BJ$29), MAX($BJ$7:$BJ$29), G52))), ABS($BJ$7:$BJ$29 - MEDIAN(MIN($BJ$7:$BJ$29), MAX($BJ$7:$BJ$29), G52)), $BK$7:$BK$29, "Error", 0)</f>
        <v>-2</v>
      </c>
      <c r="H53" s="232" cm="1">
        <f t="array" ref="H53">_xlfn.XLOOKUP(MIN(ABS($BJ$7:$BJ$29 - MEDIAN(MIN($BJ$7:$BJ$29), MAX($BJ$7:$BJ$29), H52))), ABS($BJ$7:$BJ$29 - MEDIAN(MIN($BJ$7:$BJ$29), MAX($BJ$7:$BJ$29), H52)), $BK$7:$BK$29, "Error", 0)</f>
        <v>-2</v>
      </c>
      <c r="I53" s="232" cm="1">
        <f t="array" ref="I53">_xlfn.XLOOKUP(MIN(ABS($BJ$7:$BJ$29 - MEDIAN(MIN($BJ$7:$BJ$29), MAX($BJ$7:$BJ$29), I52))), ABS($BJ$7:$BJ$29 - MEDIAN(MIN($BJ$7:$BJ$29), MAX($BJ$7:$BJ$29), I52)), $BK$7:$BK$29, "Error", 0)</f>
        <v>-2</v>
      </c>
      <c r="J53" s="232" cm="1">
        <f t="array" ref="J53">_xlfn.XLOOKUP(MIN(ABS($BJ$7:$BJ$29 - MEDIAN(MIN($BJ$7:$BJ$29), MAX($BJ$7:$BJ$29), J52))), ABS($BJ$7:$BJ$29 - MEDIAN(MIN($BJ$7:$BJ$29), MAX($BJ$7:$BJ$29), J52)), $BK$7:$BK$29, "Error", 0)</f>
        <v>-2</v>
      </c>
      <c r="K53" s="232" cm="1">
        <f t="array" ref="K53">_xlfn.XLOOKUP(MIN(ABS($BJ$7:$BJ$29 - MEDIAN(MIN($BJ$7:$BJ$29), MAX($BJ$7:$BJ$29), K52))), ABS($BJ$7:$BJ$29 - MEDIAN(MIN($BJ$7:$BJ$29), MAX($BJ$7:$BJ$29), K52)), $BK$7:$BK$29, "Error", 0)</f>
        <v>-2</v>
      </c>
      <c r="L53" s="232" cm="1">
        <f t="array" ref="L53">_xlfn.XLOOKUP(MIN(ABS($BJ$7:$BJ$29 - MEDIAN(MIN($BJ$7:$BJ$29), MAX($BJ$7:$BJ$29), L52))), ABS($BJ$7:$BJ$29 - MEDIAN(MIN($BJ$7:$BJ$29), MAX($BJ$7:$BJ$29), L52)), $BK$7:$BK$29, "Error", 0)</f>
        <v>-2</v>
      </c>
      <c r="M53" s="232" cm="1">
        <f t="array" ref="M53">_xlfn.XLOOKUP(MIN(ABS($BJ$7:$BJ$29 - MEDIAN(MIN($BJ$7:$BJ$29), MAX($BJ$7:$BJ$29), M52))), ABS($BJ$7:$BJ$29 - MEDIAN(MIN($BJ$7:$BJ$29), MAX($BJ$7:$BJ$29), M52)), $BK$7:$BK$29, "Error", 0)</f>
        <v>-2</v>
      </c>
      <c r="N53" s="232" cm="1">
        <f t="array" ref="N53">_xlfn.XLOOKUP(MIN(ABS($BJ$7:$BJ$29 - MEDIAN(MIN($BJ$7:$BJ$29), MAX($BJ$7:$BJ$29), N52))), ABS($BJ$7:$BJ$29 - MEDIAN(MIN($BJ$7:$BJ$29), MAX($BJ$7:$BJ$29), N52)), $BK$7:$BK$29, "Error", 0)</f>
        <v>-2</v>
      </c>
      <c r="O53" s="232" cm="1">
        <f t="array" ref="O53">_xlfn.XLOOKUP(MIN(ABS($BJ$7:$BJ$29 - MEDIAN(MIN($BJ$7:$BJ$29), MAX($BJ$7:$BJ$29), O52))), ABS($BJ$7:$BJ$29 - MEDIAN(MIN($BJ$7:$BJ$29), MAX($BJ$7:$BJ$29), O52)), $BK$7:$BK$29, "Error", 0)</f>
        <v>-2</v>
      </c>
      <c r="P53" s="232" cm="1">
        <f t="array" ref="P53">_xlfn.XLOOKUP(MIN(ABS($BJ$7:$BJ$29 - MEDIAN(MIN($BJ$7:$BJ$29), MAX($BJ$7:$BJ$29), P52))), ABS($BJ$7:$BJ$29 - MEDIAN(MIN($BJ$7:$BJ$29), MAX($BJ$7:$BJ$29), P52)), $BK$7:$BK$29, "Error", 0)</f>
        <v>-2</v>
      </c>
      <c r="Q53" s="232" cm="1">
        <f t="array" ref="Q53">_xlfn.XLOOKUP(MIN(ABS($BJ$7:$BJ$29 - MEDIAN(MIN($BJ$7:$BJ$29), MAX($BJ$7:$BJ$29), Q52))), ABS($BJ$7:$BJ$29 - MEDIAN(MIN($BJ$7:$BJ$29), MAX($BJ$7:$BJ$29), Q52)), $BK$7:$BK$29, "Error", 0)</f>
        <v>-2</v>
      </c>
      <c r="R53" s="232" cm="1">
        <f t="array" ref="R53">_xlfn.XLOOKUP(MIN(ABS($BJ$7:$BJ$29 - MEDIAN(MIN($BJ$7:$BJ$29), MAX($BJ$7:$BJ$29), R52))), ABS($BJ$7:$BJ$29 - MEDIAN(MIN($BJ$7:$BJ$29), MAX($BJ$7:$BJ$29), R52)), $BK$7:$BK$29, "Error", 0)</f>
        <v>-2</v>
      </c>
      <c r="S53" s="232" cm="1">
        <f t="array" ref="S53">_xlfn.XLOOKUP(MIN(ABS($BJ$7:$BJ$29 - MEDIAN(MIN($BJ$7:$BJ$29), MAX($BJ$7:$BJ$29), S52))), ABS($BJ$7:$BJ$29 - MEDIAN(MIN($BJ$7:$BJ$29), MAX($BJ$7:$BJ$29), S52)), $BK$7:$BK$29, "Error", 0)</f>
        <v>-2</v>
      </c>
      <c r="T53" s="232" cm="1">
        <f t="array" ref="T53">_xlfn.XLOOKUP(MIN(ABS($BJ$7:$BJ$29 - MEDIAN(MIN($BJ$7:$BJ$29), MAX($BJ$7:$BJ$29), T52))), ABS($BJ$7:$BJ$29 - MEDIAN(MIN($BJ$7:$BJ$29), MAX($BJ$7:$BJ$29), T52)), $BK$7:$BK$29, "Error", 0)</f>
        <v>-2</v>
      </c>
      <c r="U53" s="232" cm="1">
        <f t="array" ref="U53">_xlfn.XLOOKUP(MIN(ABS($BJ$7:$BJ$29 - MEDIAN(MIN($BJ$7:$BJ$29), MAX($BJ$7:$BJ$29), U52))), ABS($BJ$7:$BJ$29 - MEDIAN(MIN($BJ$7:$BJ$29), MAX($BJ$7:$BJ$29), U52)), $BK$7:$BK$29, "Error", 0)</f>
        <v>-2</v>
      </c>
      <c r="V53" s="232" cm="1">
        <f t="array" ref="V53">_xlfn.XLOOKUP(MIN(ABS($BJ$7:$BJ$29 - MEDIAN(MIN($BJ$7:$BJ$29), MAX($BJ$7:$BJ$29), V52))), ABS($BJ$7:$BJ$29 - MEDIAN(MIN($BJ$7:$BJ$29), MAX($BJ$7:$BJ$29), V52)), $BK$7:$BK$29, "Error", 0)</f>
        <v>-2</v>
      </c>
      <c r="W53" s="232" cm="1">
        <f t="array" ref="W53">_xlfn.XLOOKUP(MIN(ABS($BJ$7:$BJ$29 - MEDIAN(MIN($BJ$7:$BJ$29), MAX($BJ$7:$BJ$29), W52))), ABS($BJ$7:$BJ$29 - MEDIAN(MIN($BJ$7:$BJ$29), MAX($BJ$7:$BJ$29), W52)), $BK$7:$BK$29, "Error", 0)</f>
        <v>-2</v>
      </c>
      <c r="X53" s="232" cm="1">
        <f t="array" ref="X53">_xlfn.XLOOKUP(MIN(ABS($BJ$7:$BJ$29 - MEDIAN(MIN($BJ$7:$BJ$29), MAX($BJ$7:$BJ$29), X52))), ABS($BJ$7:$BJ$29 - MEDIAN(MIN($BJ$7:$BJ$29), MAX($BJ$7:$BJ$29), X52)), $BK$7:$BK$29, "Error", 0)</f>
        <v>-2</v>
      </c>
      <c r="Y53" s="232" cm="1">
        <f t="array" ref="Y53">_xlfn.XLOOKUP(MIN(ABS($BJ$7:$BJ$29 - MEDIAN(MIN($BJ$7:$BJ$29), MAX($BJ$7:$BJ$29), Y52))), ABS($BJ$7:$BJ$29 - MEDIAN(MIN($BJ$7:$BJ$29), MAX($BJ$7:$BJ$29), Y52)), $BK$7:$BK$29, "Error", 0)</f>
        <v>-2</v>
      </c>
      <c r="Z53" s="232" cm="1">
        <f t="array" ref="Z53">_xlfn.XLOOKUP(MIN(ABS($BJ$7:$BJ$29 - MEDIAN(MIN($BJ$7:$BJ$29), MAX($BJ$7:$BJ$29), Z52))), ABS($BJ$7:$BJ$29 - MEDIAN(MIN($BJ$7:$BJ$29), MAX($BJ$7:$BJ$29), Z52)), $BK$7:$BK$29, "Error", 0)</f>
        <v>-2</v>
      </c>
      <c r="AA53" s="232" cm="1">
        <f t="array" ref="AA53">_xlfn.XLOOKUP(MIN(ABS($BJ$7:$BJ$29 - MEDIAN(MIN($BJ$7:$BJ$29), MAX($BJ$7:$BJ$29), AA52))), ABS($BJ$7:$BJ$29 - MEDIAN(MIN($BJ$7:$BJ$29), MAX($BJ$7:$BJ$29), AA52)), $BK$7:$BK$29, "Error", 0)</f>
        <v>-2</v>
      </c>
      <c r="AB53" s="171" cm="1">
        <f t="array" ref="AB53">_xlfn.XLOOKUP(MIN(ABS($BJ$7:$BJ$29 - MEDIAN(MIN($BJ$7:$BJ$29), MAX($BJ$7:$BJ$29), AB52))), ABS($BJ$7:$BJ$29 - MEDIAN(MIN($BJ$7:$BJ$29), MAX($BJ$7:$BJ$29), AB52)), $BK$7:$BK$29, "Error", 0)</f>
        <v>-2</v>
      </c>
      <c r="AC53" s="171" cm="1">
        <f t="array" ref="AC53">_xlfn.XLOOKUP(MIN(ABS($BJ$7:$BJ$29 - MEDIAN(MIN($BJ$7:$BJ$29), MAX($BJ$7:$BJ$29), AC52))), ABS($BJ$7:$BJ$29 - MEDIAN(MIN($BJ$7:$BJ$29), MAX($BJ$7:$BJ$29), AC52)), $BK$7:$BK$29, "Error", 0)</f>
        <v>-2</v>
      </c>
      <c r="AD53" s="171" cm="1">
        <f t="array" ref="AD53">_xlfn.XLOOKUP(MIN(ABS($BJ$7:$BJ$29 - MEDIAN(MIN($BJ$7:$BJ$29), MAX($BJ$7:$BJ$29), AD52))), ABS($BJ$7:$BJ$29 - MEDIAN(MIN($BJ$7:$BJ$29), MAX($BJ$7:$BJ$29), AD52)), $BK$7:$BK$29, "Error", 0)</f>
        <v>-2</v>
      </c>
      <c r="AE53" s="171" cm="1">
        <f t="array" ref="AE53">_xlfn.XLOOKUP(MIN(ABS($BJ$7:$BJ$29 - MEDIAN(MIN($BJ$7:$BJ$29), MAX($BJ$7:$BJ$29), AE52))), ABS($BJ$7:$BJ$29 - MEDIAN(MIN($BJ$7:$BJ$29), MAX($BJ$7:$BJ$29), AE52)), $BK$7:$BK$29, "Error", 0)</f>
        <v>-2</v>
      </c>
      <c r="AF53" s="171" cm="1">
        <f t="array" ref="AF53">_xlfn.XLOOKUP(MIN(ABS($BJ$7:$BJ$29 - MEDIAN(MIN($BJ$7:$BJ$29), MAX($BJ$7:$BJ$29), AF52))), ABS($BJ$7:$BJ$29 - MEDIAN(MIN($BJ$7:$BJ$29), MAX($BJ$7:$BJ$29), AF52)), $BK$7:$BK$29, "Error", 0)</f>
        <v>-2</v>
      </c>
      <c r="AG53" s="171" cm="1">
        <f t="array" ref="AG53">_xlfn.XLOOKUP(MIN(ABS($BJ$7:$BJ$29 - MEDIAN(MIN($BJ$7:$BJ$29), MAX($BJ$7:$BJ$29), AG52))), ABS($BJ$7:$BJ$29 - MEDIAN(MIN($BJ$7:$BJ$29), MAX($BJ$7:$BJ$29), AG52)), $BK$7:$BK$29, "Error", 0)</f>
        <v>-2</v>
      </c>
      <c r="AH53" s="171" cm="1">
        <f t="array" ref="AH53">_xlfn.XLOOKUP(MIN(ABS($BJ$7:$BJ$29 - MEDIAN(MIN($BJ$7:$BJ$29), MAX($BJ$7:$BJ$29), AH52))), ABS($BJ$7:$BJ$29 - MEDIAN(MIN($BJ$7:$BJ$29), MAX($BJ$7:$BJ$29), AH52)), $BK$7:$BK$29, "Error", 0)</f>
        <v>-2</v>
      </c>
      <c r="AI53" s="171" cm="1">
        <f t="array" ref="AI53">_xlfn.XLOOKUP(MIN(ABS($BJ$7:$BJ$29 - MEDIAN(MIN($BJ$7:$BJ$29), MAX($BJ$7:$BJ$29), AI52))), ABS($BJ$7:$BJ$29 - MEDIAN(MIN($BJ$7:$BJ$29), MAX($BJ$7:$BJ$29), AI52)), $BK$7:$BK$29, "Error", 0)</f>
        <v>-2</v>
      </c>
      <c r="AJ53" s="171" cm="1">
        <f t="array" ref="AJ53">_xlfn.XLOOKUP(MIN(ABS($BJ$7:$BJ$29 - MEDIAN(MIN($BJ$7:$BJ$29), MAX($BJ$7:$BJ$29), AJ52))), ABS($BJ$7:$BJ$29 - MEDIAN(MIN($BJ$7:$BJ$29), MAX($BJ$7:$BJ$29), AJ52)), $BK$7:$BK$29, "Error", 0)</f>
        <v>-2</v>
      </c>
      <c r="AK53" s="171" cm="1">
        <f t="array" ref="AK53">_xlfn.XLOOKUP(MIN(ABS($BJ$7:$BJ$29 - MEDIAN(MIN($BJ$7:$BJ$29), MAX($BJ$7:$BJ$29), AK52))), ABS($BJ$7:$BJ$29 - MEDIAN(MIN($BJ$7:$BJ$29), MAX($BJ$7:$BJ$29), AK52)), $BK$7:$BK$29, "Error", 0)</f>
        <v>-2</v>
      </c>
      <c r="AL53" s="171" cm="1">
        <f t="array" ref="AL53">_xlfn.XLOOKUP(MIN(ABS($BJ$7:$BJ$29 - MEDIAN(MIN($BJ$7:$BJ$29), MAX($BJ$7:$BJ$29), AL52))), ABS($BJ$7:$BJ$29 - MEDIAN(MIN($BJ$7:$BJ$29), MAX($BJ$7:$BJ$29), AL52)), $BK$7:$BK$29, "Error", 0)</f>
        <v>-2</v>
      </c>
      <c r="AM53" s="171" cm="1">
        <f t="array" ref="AM53">_xlfn.XLOOKUP(MIN(ABS($BJ$7:$BJ$29 - MEDIAN(MIN($BJ$7:$BJ$29), MAX($BJ$7:$BJ$29), AM52))), ABS($BJ$7:$BJ$29 - MEDIAN(MIN($BJ$7:$BJ$29), MAX($BJ$7:$BJ$29), AM52)), $BK$7:$BK$29, "Error", 0)</f>
        <v>-2</v>
      </c>
      <c r="AN53" s="171" cm="1">
        <f t="array" ref="AN53">_xlfn.XLOOKUP(MIN(ABS($BJ$7:$BJ$29 - MEDIAN(MIN($BJ$7:$BJ$29), MAX($BJ$7:$BJ$29), AN52))), ABS($BJ$7:$BJ$29 - MEDIAN(MIN($BJ$7:$BJ$29), MAX($BJ$7:$BJ$29), AN52)), $BK$7:$BK$29, "Error", 0)</f>
        <v>-2</v>
      </c>
      <c r="AO53" s="171" cm="1">
        <f t="array" ref="AO53">_xlfn.XLOOKUP(MIN(ABS($BJ$7:$BJ$29 - MEDIAN(MIN($BJ$7:$BJ$29), MAX($BJ$7:$BJ$29), AO52))), ABS($BJ$7:$BJ$29 - MEDIAN(MIN($BJ$7:$BJ$29), MAX($BJ$7:$BJ$29), AO52)), $BK$7:$BK$29, "Error", 0)</f>
        <v>-2</v>
      </c>
      <c r="AP53" s="171" cm="1">
        <f t="array" ref="AP53">_xlfn.XLOOKUP(MIN(ABS($BJ$7:$BJ$29 - MEDIAN(MIN($BJ$7:$BJ$29), MAX($BJ$7:$BJ$29), AP52))), ABS($BJ$7:$BJ$29 - MEDIAN(MIN($BJ$7:$BJ$29), MAX($BJ$7:$BJ$29), AP52)), $BK$7:$BK$29, "Error", 0)</f>
        <v>-2</v>
      </c>
      <c r="AQ53" s="171" cm="1">
        <f t="array" ref="AQ53">_xlfn.XLOOKUP(MIN(ABS($BJ$7:$BJ$29 - MEDIAN(MIN($BJ$7:$BJ$29), MAX($BJ$7:$BJ$29), AQ52))), ABS($BJ$7:$BJ$29 - MEDIAN(MIN($BJ$7:$BJ$29), MAX($BJ$7:$BJ$29), AQ52)), $BK$7:$BK$29, "Error", 0)</f>
        <v>-2</v>
      </c>
      <c r="AR53" s="171" cm="1">
        <f t="array" ref="AR53">_xlfn.XLOOKUP(MIN(ABS($BJ$7:$BJ$29 - MEDIAN(MIN($BJ$7:$BJ$29), MAX($BJ$7:$BJ$29), AR52))), ABS($BJ$7:$BJ$29 - MEDIAN(MIN($BJ$7:$BJ$29), MAX($BJ$7:$BJ$29), AR52)), $BK$7:$BK$29, "Error", 0)</f>
        <v>-2</v>
      </c>
      <c r="AS53" s="171" cm="1">
        <f t="array" ref="AS53">_xlfn.XLOOKUP(MIN(ABS($BJ$7:$BJ$29 - MEDIAN(MIN($BJ$7:$BJ$29), MAX($BJ$7:$BJ$29), AS52))), ABS($BJ$7:$BJ$29 - MEDIAN(MIN($BJ$7:$BJ$29), MAX($BJ$7:$BJ$29), AS52)), $BK$7:$BK$29, "Error", 0)</f>
        <v>-2</v>
      </c>
      <c r="AT53" s="171" cm="1">
        <f t="array" ref="AT53">_xlfn.XLOOKUP(MIN(ABS($BJ$7:$BJ$29 - MEDIAN(MIN($BJ$7:$BJ$29), MAX($BJ$7:$BJ$29), AT52))), ABS($BJ$7:$BJ$29 - MEDIAN(MIN($BJ$7:$BJ$29), MAX($BJ$7:$BJ$29), AT52)), $BK$7:$BK$29, "Error", 0)</f>
        <v>-2</v>
      </c>
      <c r="AU53" s="171" cm="1">
        <f t="array" ref="AU53">_xlfn.XLOOKUP(MIN(ABS($BJ$7:$BJ$29 - MEDIAN(MIN($BJ$7:$BJ$29), MAX($BJ$7:$BJ$29), AU52))), ABS($BJ$7:$BJ$29 - MEDIAN(MIN($BJ$7:$BJ$29), MAX($BJ$7:$BJ$29), AU52)), $BK$7:$BK$29, "Error", 0)</f>
        <v>-2</v>
      </c>
      <c r="AV53" s="206" t="s">
        <v>25</v>
      </c>
      <c r="AW53" s="184"/>
      <c r="AX53" s="184"/>
      <c r="AY53" s="184"/>
    </row>
    <row r="54" spans="1:51" ht="44">
      <c r="A54" s="283" t="s">
        <v>49</v>
      </c>
      <c r="B54" s="200" t="s">
        <v>76</v>
      </c>
      <c r="C54" s="233">
        <v>3736.1682478396701</v>
      </c>
      <c r="D54" s="233">
        <v>3878.9419038495998</v>
      </c>
      <c r="E54" s="233">
        <v>3878.9419038495998</v>
      </c>
      <c r="F54" s="233">
        <v>3948.4444959322</v>
      </c>
      <c r="G54" s="233">
        <v>3948.4444959322</v>
      </c>
      <c r="H54" s="233">
        <v>3948.4444959322</v>
      </c>
      <c r="I54" s="233">
        <v>3948.4444959322</v>
      </c>
      <c r="J54" s="233">
        <v>3948.4444959322</v>
      </c>
      <c r="K54" s="233">
        <v>3948.4444959322</v>
      </c>
      <c r="L54" s="233">
        <v>3948.4444959322</v>
      </c>
      <c r="M54" s="233">
        <v>3948.4444959322</v>
      </c>
      <c r="N54" s="233">
        <v>4002.5279156799102</v>
      </c>
      <c r="O54" s="233">
        <v>4070.29633009504</v>
      </c>
      <c r="P54" s="233">
        <v>4201.8219201578804</v>
      </c>
      <c r="Q54" s="233">
        <v>4400.0306808859996</v>
      </c>
      <c r="R54" s="233">
        <v>4400.0306808859996</v>
      </c>
      <c r="S54" s="233">
        <v>4400.0306808859996</v>
      </c>
      <c r="T54" s="233">
        <v>4400.0306808859996</v>
      </c>
      <c r="U54" s="233">
        <v>4400.0306808859996</v>
      </c>
      <c r="V54" s="233">
        <v>4400.0306808859996</v>
      </c>
      <c r="W54" s="233">
        <v>4400.0306808859996</v>
      </c>
      <c r="X54" s="233">
        <v>4400.0306808859996</v>
      </c>
      <c r="Y54" s="233">
        <v>4400.0306808859996</v>
      </c>
      <c r="Z54" s="233">
        <v>4400.0306808859996</v>
      </c>
      <c r="AA54" s="204">
        <v>4502.9572415546299</v>
      </c>
      <c r="AB54" s="204">
        <v>4643.5887509518698</v>
      </c>
      <c r="AC54" s="204">
        <v>4643.5887509518698</v>
      </c>
      <c r="AD54" s="204">
        <v>4643.5887509518698</v>
      </c>
      <c r="AE54" s="204">
        <v>4669.0567853173097</v>
      </c>
      <c r="AF54" s="204">
        <v>4669.0567853173097</v>
      </c>
      <c r="AG54" s="204">
        <v>4787.8340152619603</v>
      </c>
      <c r="AH54" s="204">
        <v>4816.9490934488103</v>
      </c>
      <c r="AI54" s="204">
        <v>4838.3830472421296</v>
      </c>
      <c r="AJ54" s="204">
        <v>5055.6850270077102</v>
      </c>
      <c r="AK54" s="204">
        <v>5055.6850270077102</v>
      </c>
      <c r="AL54" s="204">
        <v>5107.2117738970601</v>
      </c>
      <c r="AM54" s="204">
        <v>5294.2459065123103</v>
      </c>
      <c r="AN54" s="204">
        <v>5447.6224443874098</v>
      </c>
      <c r="AO54" s="204">
        <v>5447.6224443874098</v>
      </c>
      <c r="AP54" s="204">
        <v>5447.6224443874098</v>
      </c>
      <c r="AQ54" s="204">
        <v>5447.6224443874098</v>
      </c>
      <c r="AR54" s="204">
        <v>5500</v>
      </c>
      <c r="AS54" s="204">
        <v>5500</v>
      </c>
      <c r="AT54" s="204">
        <v>5500</v>
      </c>
      <c r="AU54" s="204">
        <v>5500</v>
      </c>
      <c r="AV54" s="200" t="s">
        <v>76</v>
      </c>
      <c r="AW54" s="184"/>
      <c r="AX54" s="184"/>
      <c r="AY54" s="184"/>
    </row>
    <row r="55" spans="1:51" ht="22">
      <c r="A55" s="284"/>
      <c r="B55" s="201" t="s">
        <v>77</v>
      </c>
      <c r="C55" s="233">
        <v>3736.1682478396701</v>
      </c>
      <c r="D55" s="233">
        <v>3878.9419038495998</v>
      </c>
      <c r="E55" s="233">
        <v>3798.2795399117199</v>
      </c>
      <c r="F55" s="233">
        <v>3948.4444959322</v>
      </c>
      <c r="G55" s="233">
        <v>3646.8329540736199</v>
      </c>
      <c r="H55" s="233">
        <v>3789.7279081894098</v>
      </c>
      <c r="I55" s="233">
        <v>3834.5953885588101</v>
      </c>
      <c r="J55" s="233">
        <v>3694.4400881618199</v>
      </c>
      <c r="K55" s="233">
        <v>3622.3525371565502</v>
      </c>
      <c r="L55" s="233">
        <v>3542.9211325268798</v>
      </c>
      <c r="M55" s="233">
        <v>3787.7251776406802</v>
      </c>
      <c r="N55" s="233">
        <v>4002.5279156799102</v>
      </c>
      <c r="O55" s="233">
        <v>4070.29633009504</v>
      </c>
      <c r="P55" s="233">
        <v>4201.8219201578804</v>
      </c>
      <c r="Q55" s="233">
        <v>4400.0306808859996</v>
      </c>
      <c r="R55" s="233">
        <v>4198.4897970084003</v>
      </c>
      <c r="S55" s="233">
        <v>4240.5051967736799</v>
      </c>
      <c r="T55" s="233">
        <v>4147.68209490352</v>
      </c>
      <c r="U55" s="233">
        <v>4104.9646768133098</v>
      </c>
      <c r="V55" s="233">
        <v>4176.1065266737396</v>
      </c>
      <c r="W55" s="233">
        <v>4173.1756002626498</v>
      </c>
      <c r="X55" s="233">
        <v>4045.0709963972299</v>
      </c>
      <c r="Y55" s="233">
        <v>3991.9759434612602</v>
      </c>
      <c r="Z55" s="233">
        <v>4059.6977173263399</v>
      </c>
      <c r="AA55" s="204">
        <v>4502.9572415546299</v>
      </c>
      <c r="AB55" s="204">
        <v>4643.5887509518698</v>
      </c>
      <c r="AC55" s="204">
        <v>4390.5407548573603</v>
      </c>
      <c r="AD55" s="204">
        <v>4382.1107318735503</v>
      </c>
      <c r="AE55" s="204">
        <v>4669.0567853173097</v>
      </c>
      <c r="AF55" s="204">
        <v>4532.8385787329198</v>
      </c>
      <c r="AG55" s="204">
        <v>4787.8340152619603</v>
      </c>
      <c r="AH55" s="204">
        <v>4816.9490934488103</v>
      </c>
      <c r="AI55" s="204">
        <v>4838.3830472421296</v>
      </c>
      <c r="AJ55" s="204">
        <v>5055.6850270077102</v>
      </c>
      <c r="AK55" s="204">
        <v>4968.15099598491</v>
      </c>
      <c r="AL55" s="204">
        <v>5107.2117738970601</v>
      </c>
      <c r="AM55" s="204">
        <v>5294.2459065123103</v>
      </c>
      <c r="AN55" s="204">
        <v>5447.6224443874098</v>
      </c>
      <c r="AO55" s="204">
        <v>4843.99424528281</v>
      </c>
      <c r="AP55" s="204">
        <v>5158.5601195536701</v>
      </c>
      <c r="AQ55" s="204">
        <v>5243.3978587886704</v>
      </c>
      <c r="AR55" s="204">
        <v>5500</v>
      </c>
      <c r="AS55" s="204">
        <v>5342</v>
      </c>
      <c r="AT55" s="204">
        <v>5342</v>
      </c>
      <c r="AU55" s="204">
        <v>5342</v>
      </c>
      <c r="AV55" s="201" t="s">
        <v>77</v>
      </c>
      <c r="AW55" s="184"/>
      <c r="AX55" s="184"/>
      <c r="AY55" s="184"/>
    </row>
    <row r="56" spans="1:51" ht="22">
      <c r="A56" s="284"/>
      <c r="B56" s="201" t="s">
        <v>78</v>
      </c>
      <c r="C56" s="230">
        <f t="shared" ref="C56:Z56" si="58">+(C55-C54)/C54</f>
        <v>0</v>
      </c>
      <c r="D56" s="230">
        <f t="shared" si="58"/>
        <v>0</v>
      </c>
      <c r="E56" s="230">
        <f t="shared" si="58"/>
        <v>-2.0794939944273914E-2</v>
      </c>
      <c r="F56" s="230">
        <f t="shared" si="58"/>
        <v>0</v>
      </c>
      <c r="G56" s="230">
        <f t="shared" si="58"/>
        <v>-7.6387433625902265E-2</v>
      </c>
      <c r="H56" s="230">
        <f t="shared" si="58"/>
        <v>-4.0197244232837631E-2</v>
      </c>
      <c r="I56" s="230">
        <f t="shared" si="58"/>
        <v>-2.8833913580570896E-2</v>
      </c>
      <c r="J56" s="230">
        <f t="shared" si="58"/>
        <v>-6.4330246514054501E-2</v>
      </c>
      <c r="K56" s="230">
        <f t="shared" si="58"/>
        <v>-8.2587449085734649E-2</v>
      </c>
      <c r="L56" s="230">
        <f t="shared" si="58"/>
        <v>-0.10270458754659004</v>
      </c>
      <c r="M56" s="230">
        <f t="shared" si="58"/>
        <v>-4.0704464367448352E-2</v>
      </c>
      <c r="N56" s="230">
        <f t="shared" si="58"/>
        <v>0</v>
      </c>
      <c r="O56" s="230">
        <f t="shared" si="58"/>
        <v>0</v>
      </c>
      <c r="P56" s="230">
        <f t="shared" si="58"/>
        <v>0</v>
      </c>
      <c r="Q56" s="230">
        <f t="shared" si="58"/>
        <v>0</v>
      </c>
      <c r="R56" s="230">
        <f t="shared" si="58"/>
        <v>-4.5804426944817712E-2</v>
      </c>
      <c r="S56" s="230">
        <f t="shared" si="58"/>
        <v>-3.6255539036422639E-2</v>
      </c>
      <c r="T56" s="230">
        <f t="shared" si="58"/>
        <v>-5.7351551451378997E-2</v>
      </c>
      <c r="U56" s="230">
        <f t="shared" si="58"/>
        <v>-6.705998786655612E-2</v>
      </c>
      <c r="V56" s="230">
        <f t="shared" si="58"/>
        <v>-5.0891498367272775E-2</v>
      </c>
      <c r="W56" s="230">
        <f t="shared" si="58"/>
        <v>-5.1557613361384501E-2</v>
      </c>
      <c r="X56" s="230">
        <f t="shared" si="58"/>
        <v>-8.0672093044881724E-2</v>
      </c>
      <c r="Y56" s="230">
        <f t="shared" si="58"/>
        <v>-9.2739066388185423E-2</v>
      </c>
      <c r="Z56" s="230">
        <f t="shared" si="58"/>
        <v>-7.7347861467895379E-2</v>
      </c>
      <c r="AA56" s="230">
        <f t="shared" ref="AA56:AR56" si="59">+(AA55-AA54)/AA54</f>
        <v>0</v>
      </c>
      <c r="AB56" s="205">
        <f t="shared" si="59"/>
        <v>0</v>
      </c>
      <c r="AC56" s="205">
        <f t="shared" si="59"/>
        <v>-5.4494058295459134E-2</v>
      </c>
      <c r="AD56" s="205">
        <f t="shared" si="59"/>
        <v>-5.6309469486228766E-2</v>
      </c>
      <c r="AE56" s="205">
        <f t="shared" si="59"/>
        <v>0</v>
      </c>
      <c r="AF56" s="205">
        <f t="shared" si="59"/>
        <v>-2.9174673354317001E-2</v>
      </c>
      <c r="AG56" s="205">
        <f t="shared" si="59"/>
        <v>0</v>
      </c>
      <c r="AH56" s="205">
        <f t="shared" si="59"/>
        <v>0</v>
      </c>
      <c r="AI56" s="205">
        <f t="shared" si="59"/>
        <v>0</v>
      </c>
      <c r="AJ56" s="205">
        <f t="shared" si="59"/>
        <v>0</v>
      </c>
      <c r="AK56" s="205">
        <f t="shared" si="59"/>
        <v>-1.7313980312299776E-2</v>
      </c>
      <c r="AL56" s="205">
        <f t="shared" si="59"/>
        <v>0</v>
      </c>
      <c r="AM56" s="205">
        <f t="shared" si="59"/>
        <v>0</v>
      </c>
      <c r="AN56" s="205">
        <f t="shared" si="59"/>
        <v>0</v>
      </c>
      <c r="AO56" s="205">
        <f t="shared" si="59"/>
        <v>-0.11080580661872179</v>
      </c>
      <c r="AP56" s="205">
        <f t="shared" si="59"/>
        <v>-5.3062106962195141E-2</v>
      </c>
      <c r="AQ56" s="205">
        <f t="shared" si="59"/>
        <v>-3.7488755449480243E-2</v>
      </c>
      <c r="AR56" s="205">
        <f t="shared" si="59"/>
        <v>0</v>
      </c>
      <c r="AS56" s="205">
        <f t="shared" ref="AS56:AT56" si="60">+(AS55-AS54)/AS54</f>
        <v>-2.8727272727272726E-2</v>
      </c>
      <c r="AT56" s="205">
        <f t="shared" si="60"/>
        <v>-2.8727272727272726E-2</v>
      </c>
      <c r="AU56" s="205">
        <f t="shared" ref="AU56" si="61">+(AU55-AU54)/AU54</f>
        <v>-2.8727272727272726E-2</v>
      </c>
      <c r="AV56" s="201" t="s">
        <v>78</v>
      </c>
      <c r="AW56" s="184"/>
      <c r="AX56" s="184"/>
      <c r="AY56" s="184"/>
    </row>
    <row r="57" spans="1:51" ht="44">
      <c r="A57" s="284"/>
      <c r="B57" s="201" t="s">
        <v>91</v>
      </c>
      <c r="C57" s="233">
        <v>4522.240234375</v>
      </c>
      <c r="D57" s="233">
        <v>4522.240234375</v>
      </c>
      <c r="E57" s="233">
        <v>4522.240234375</v>
      </c>
      <c r="F57" s="233">
        <v>4522.240234375</v>
      </c>
      <c r="G57" s="233">
        <v>4522.240234375</v>
      </c>
      <c r="H57" s="233">
        <v>4522.240234375</v>
      </c>
      <c r="I57" s="233">
        <v>4522.240234375</v>
      </c>
      <c r="J57" s="233">
        <v>4522.240234375</v>
      </c>
      <c r="K57" s="233">
        <v>4522.240234375</v>
      </c>
      <c r="L57" s="233">
        <v>4522.240234375</v>
      </c>
      <c r="M57" s="233">
        <v>4522.240234375</v>
      </c>
      <c r="N57" s="233">
        <v>4593.10986328125</v>
      </c>
      <c r="O57" s="233">
        <v>4674.740234375</v>
      </c>
      <c r="P57" s="233">
        <v>4898.3701171875</v>
      </c>
      <c r="Q57" s="233">
        <v>5103.259765625</v>
      </c>
      <c r="R57" s="233">
        <v>5103.259765625</v>
      </c>
      <c r="S57" s="233">
        <v>5103.259765625</v>
      </c>
      <c r="T57" s="233">
        <v>5103.259765625</v>
      </c>
      <c r="U57" s="233">
        <v>5103.259765625</v>
      </c>
      <c r="V57" s="233">
        <v>5103.259765625</v>
      </c>
      <c r="W57" s="233">
        <v>5103.259765625</v>
      </c>
      <c r="X57" s="233">
        <v>5103.259765625</v>
      </c>
      <c r="Y57" s="233">
        <v>5103.259765625</v>
      </c>
      <c r="Z57" s="233">
        <v>5103.259765625</v>
      </c>
      <c r="AA57" s="231">
        <v>5314.2900390625</v>
      </c>
      <c r="AB57" s="203">
        <v>5544.1201171875</v>
      </c>
      <c r="AC57" s="203">
        <v>5544.1201171875</v>
      </c>
      <c r="AD57" s="203">
        <v>5544.1201171875</v>
      </c>
      <c r="AE57" s="203">
        <v>5544.1201171875</v>
      </c>
      <c r="AF57" s="203">
        <v>5544.1201171875</v>
      </c>
      <c r="AG57" s="203">
        <v>5544.1201171875</v>
      </c>
      <c r="AH57" s="203">
        <v>5544.1201171875</v>
      </c>
      <c r="AI57" s="203">
        <v>5544.1201171875</v>
      </c>
      <c r="AJ57" s="203">
        <v>5734.27978515625</v>
      </c>
      <c r="AK57" s="203">
        <v>5818.06982421875</v>
      </c>
      <c r="AL57" s="203">
        <v>5818.06982421875</v>
      </c>
      <c r="AM57" s="203">
        <v>6053.68017578125</v>
      </c>
      <c r="AN57" s="203">
        <v>6199.77978515625</v>
      </c>
      <c r="AO57" s="203">
        <v>6199.77978515625</v>
      </c>
      <c r="AP57" s="203">
        <v>6199.77978515625</v>
      </c>
      <c r="AQ57" s="203">
        <v>6199.77978515625</v>
      </c>
      <c r="AR57" s="203">
        <v>6337</v>
      </c>
      <c r="AS57" s="203">
        <v>6337</v>
      </c>
      <c r="AT57" s="203">
        <v>6337</v>
      </c>
      <c r="AU57" s="203">
        <v>6337</v>
      </c>
      <c r="AV57" s="201" t="s">
        <v>91</v>
      </c>
      <c r="AW57" s="184"/>
      <c r="AX57" s="184"/>
      <c r="AY57" s="184"/>
    </row>
    <row r="58" spans="1:51" ht="44">
      <c r="A58" s="284"/>
      <c r="B58" s="201" t="s">
        <v>92</v>
      </c>
      <c r="C58" s="233">
        <v>4163.4501953125</v>
      </c>
      <c r="D58" s="233">
        <v>4238.3798828125</v>
      </c>
      <c r="E58" s="233">
        <v>4315.0498046875</v>
      </c>
      <c r="F58" s="233">
        <v>4359.31005859375</v>
      </c>
      <c r="G58" s="233">
        <v>4218.0400390625</v>
      </c>
      <c r="H58" s="233">
        <v>4399.08984375</v>
      </c>
      <c r="I58" s="233">
        <v>4471.31005859375</v>
      </c>
      <c r="J58" s="233">
        <v>4297.10986328125</v>
      </c>
      <c r="K58" s="233">
        <v>4174.66015625</v>
      </c>
      <c r="L58" s="233">
        <v>4061.1201171875</v>
      </c>
      <c r="M58" s="233">
        <v>4382.47021484375</v>
      </c>
      <c r="N58" s="233">
        <v>4593.10986328125</v>
      </c>
      <c r="O58" s="233">
        <v>4674.740234375</v>
      </c>
      <c r="P58" s="233">
        <v>4898.3701171875</v>
      </c>
      <c r="Q58" s="233">
        <v>5103.259765625</v>
      </c>
      <c r="R58" s="233">
        <v>4921.22021484375</v>
      </c>
      <c r="S58" s="233">
        <v>4983.669921875</v>
      </c>
      <c r="T58" s="233">
        <v>4894.02001953125</v>
      </c>
      <c r="U58" s="233">
        <v>4872.93994140625</v>
      </c>
      <c r="V58" s="233">
        <v>4957.97998046875</v>
      </c>
      <c r="W58" s="233">
        <v>5000.4501953125</v>
      </c>
      <c r="X58" s="233">
        <v>4827.6298828125</v>
      </c>
      <c r="Y58" s="233">
        <v>4804.39990234375</v>
      </c>
      <c r="Z58" s="233">
        <v>4895.97998046875</v>
      </c>
      <c r="AA58" s="231">
        <v>5314.2900390625</v>
      </c>
      <c r="AB58" s="203">
        <v>5544.1201171875</v>
      </c>
      <c r="AC58" s="203">
        <v>5248.39013671875</v>
      </c>
      <c r="AD58" s="203">
        <v>5160.22021484375</v>
      </c>
      <c r="AE58" s="203">
        <v>5366.58984375</v>
      </c>
      <c r="AF58" s="203">
        <v>5303.240234375</v>
      </c>
      <c r="AG58" s="203">
        <v>5319.919921875</v>
      </c>
      <c r="AH58" s="203">
        <v>5351.72998046875</v>
      </c>
      <c r="AI58" s="203">
        <v>5529.9599609375</v>
      </c>
      <c r="AJ58" s="203">
        <v>5734.27978515625</v>
      </c>
      <c r="AK58" s="203">
        <v>5818.06982421875</v>
      </c>
      <c r="AL58" s="203">
        <v>5791.41015625</v>
      </c>
      <c r="AM58" s="203">
        <v>6053.68017578125</v>
      </c>
      <c r="AN58" s="203">
        <v>6199.77978515625</v>
      </c>
      <c r="AO58" s="203">
        <v>5569.72998046875</v>
      </c>
      <c r="AP58" s="203">
        <v>5881.509765625</v>
      </c>
      <c r="AQ58" s="203">
        <v>6050.5400390625</v>
      </c>
      <c r="AR58" s="203">
        <v>6447</v>
      </c>
      <c r="AS58" s="203">
        <v>6265</v>
      </c>
      <c r="AT58" s="203">
        <v>6265</v>
      </c>
      <c r="AU58" s="203">
        <v>6265</v>
      </c>
      <c r="AV58" s="201" t="s">
        <v>92</v>
      </c>
      <c r="AW58" s="184"/>
      <c r="AX58" s="184"/>
      <c r="AY58" s="184"/>
    </row>
    <row r="59" spans="1:51" ht="44">
      <c r="A59" s="284"/>
      <c r="B59" s="201" t="s">
        <v>79</v>
      </c>
      <c r="C59" s="230">
        <f t="shared" ref="C59:Z59" si="62">+(C58-C57)/C57</f>
        <v>-7.9339004667470278E-2</v>
      </c>
      <c r="D59" s="230">
        <f t="shared" si="62"/>
        <v>-6.2769852296829867E-2</v>
      </c>
      <c r="E59" s="230">
        <f t="shared" si="62"/>
        <v>-4.5815883046764969E-2</v>
      </c>
      <c r="F59" s="230">
        <f t="shared" si="62"/>
        <v>-3.6028642296082686E-2</v>
      </c>
      <c r="G59" s="230">
        <f t="shared" si="62"/>
        <v>-6.726758852839719E-2</v>
      </c>
      <c r="H59" s="230">
        <f t="shared" si="62"/>
        <v>-2.7232164644614486E-2</v>
      </c>
      <c r="I59" s="230">
        <f t="shared" si="62"/>
        <v>-1.1262156175187993E-2</v>
      </c>
      <c r="J59" s="230">
        <f t="shared" si="62"/>
        <v>-4.9782930456118132E-2</v>
      </c>
      <c r="K59" s="230">
        <f t="shared" si="62"/>
        <v>-7.6860153399842007E-2</v>
      </c>
      <c r="L59" s="230">
        <f t="shared" si="62"/>
        <v>-0.10196718734276386</v>
      </c>
      <c r="M59" s="230">
        <f t="shared" si="62"/>
        <v>-3.0907252221766816E-2</v>
      </c>
      <c r="N59" s="230">
        <f t="shared" si="62"/>
        <v>0</v>
      </c>
      <c r="O59" s="230">
        <f t="shared" si="62"/>
        <v>0</v>
      </c>
      <c r="P59" s="230">
        <f t="shared" si="62"/>
        <v>0</v>
      </c>
      <c r="Q59" s="230">
        <f t="shared" si="62"/>
        <v>0</v>
      </c>
      <c r="R59" s="230">
        <f t="shared" si="62"/>
        <v>-3.5671229594748145E-2</v>
      </c>
      <c r="S59" s="230">
        <f t="shared" si="62"/>
        <v>-2.3434010660312476E-2</v>
      </c>
      <c r="T59" s="230">
        <f t="shared" si="62"/>
        <v>-4.1001194472436241E-2</v>
      </c>
      <c r="U59" s="230">
        <f t="shared" si="62"/>
        <v>-4.5131902900604662E-2</v>
      </c>
      <c r="V59" s="230">
        <f t="shared" si="62"/>
        <v>-2.8468036476379029E-2</v>
      </c>
      <c r="W59" s="230">
        <f t="shared" si="62"/>
        <v>-2.0145862651361396E-2</v>
      </c>
      <c r="X59" s="230">
        <f t="shared" si="62"/>
        <v>-5.401055315057892E-2</v>
      </c>
      <c r="Y59" s="230">
        <f t="shared" si="62"/>
        <v>-5.8562541788356015E-2</v>
      </c>
      <c r="Z59" s="230">
        <f t="shared" si="62"/>
        <v>-4.0617133886161151E-2</v>
      </c>
      <c r="AA59" s="230">
        <f>+(AA58-AA57)/AA57</f>
        <v>0</v>
      </c>
      <c r="AB59" s="205">
        <f t="shared" ref="AB59:AJ59" si="63">+(AB58-AB57)/AB57</f>
        <v>0</v>
      </c>
      <c r="AC59" s="205">
        <f t="shared" si="63"/>
        <v>-5.3341192870614083E-2</v>
      </c>
      <c r="AD59" s="205">
        <f t="shared" si="63"/>
        <v>-6.9244513868595647E-2</v>
      </c>
      <c r="AE59" s="205">
        <f t="shared" si="63"/>
        <v>-3.202136131342697E-2</v>
      </c>
      <c r="AF59" s="205">
        <f t="shared" si="63"/>
        <v>-4.3447810963860752E-2</v>
      </c>
      <c r="AG59" s="205">
        <f t="shared" si="63"/>
        <v>-4.0439274505876949E-2</v>
      </c>
      <c r="AH59" s="205">
        <f t="shared" si="63"/>
        <v>-3.4701653761489641E-2</v>
      </c>
      <c r="AI59" s="205">
        <f t="shared" si="63"/>
        <v>-2.5540854005131775E-3</v>
      </c>
      <c r="AJ59" s="205">
        <f t="shared" si="63"/>
        <v>0</v>
      </c>
      <c r="AK59" s="205">
        <f t="shared" ref="AK59:AR59" si="64">+(AK58-AK57)/AK57</f>
        <v>0</v>
      </c>
      <c r="AL59" s="205">
        <f t="shared" si="64"/>
        <v>-4.5822186350831327E-3</v>
      </c>
      <c r="AM59" s="205">
        <f t="shared" si="64"/>
        <v>0</v>
      </c>
      <c r="AN59" s="205">
        <f t="shared" si="64"/>
        <v>0</v>
      </c>
      <c r="AO59" s="205">
        <f t="shared" si="64"/>
        <v>-0.10162454579370535</v>
      </c>
      <c r="AP59" s="205">
        <f t="shared" si="64"/>
        <v>-5.1335697486104954E-2</v>
      </c>
      <c r="AQ59" s="205">
        <f t="shared" si="64"/>
        <v>-2.4071781783453906E-2</v>
      </c>
      <c r="AR59" s="205">
        <f t="shared" si="64"/>
        <v>1.7358371469149439E-2</v>
      </c>
      <c r="AS59" s="205">
        <f t="shared" ref="AS59:AT59" si="65">+(AS58-AS57)/AS57</f>
        <v>-1.1361843143443269E-2</v>
      </c>
      <c r="AT59" s="205">
        <f t="shared" si="65"/>
        <v>-1.1361843143443269E-2</v>
      </c>
      <c r="AU59" s="205">
        <f t="shared" ref="AU59" si="66">+(AU58-AU57)/AU57</f>
        <v>-1.1361843143443269E-2</v>
      </c>
      <c r="AV59" s="201" t="s">
        <v>79</v>
      </c>
      <c r="AW59" s="184"/>
      <c r="AX59" s="184"/>
      <c r="AY59" s="184"/>
    </row>
    <row r="60" spans="1:51" ht="22">
      <c r="A60" s="284"/>
      <c r="B60" s="201" t="s">
        <v>80</v>
      </c>
      <c r="C60" s="230">
        <f t="shared" ref="C60:Z60" si="67">+C56-C59</f>
        <v>7.9339004667470278E-2</v>
      </c>
      <c r="D60" s="230">
        <f t="shared" si="67"/>
        <v>6.2769852296829867E-2</v>
      </c>
      <c r="E60" s="230">
        <f t="shared" si="67"/>
        <v>2.5020943102491054E-2</v>
      </c>
      <c r="F60" s="230">
        <f t="shared" si="67"/>
        <v>3.6028642296082686E-2</v>
      </c>
      <c r="G60" s="230">
        <f t="shared" si="67"/>
        <v>-9.1198450975050749E-3</v>
      </c>
      <c r="H60" s="230">
        <f t="shared" si="67"/>
        <v>-1.2965079588223145E-2</v>
      </c>
      <c r="I60" s="230">
        <f t="shared" si="67"/>
        <v>-1.7571757405382901E-2</v>
      </c>
      <c r="J60" s="230">
        <f t="shared" si="67"/>
        <v>-1.4547316057936369E-2</v>
      </c>
      <c r="K60" s="230">
        <f t="shared" si="67"/>
        <v>-5.7272956858926416E-3</v>
      </c>
      <c r="L60" s="230">
        <f t="shared" si="67"/>
        <v>-7.3740020382617733E-4</v>
      </c>
      <c r="M60" s="230">
        <f t="shared" si="67"/>
        <v>-9.7972121456815359E-3</v>
      </c>
      <c r="N60" s="230">
        <f t="shared" si="67"/>
        <v>0</v>
      </c>
      <c r="O60" s="230">
        <f t="shared" si="67"/>
        <v>0</v>
      </c>
      <c r="P60" s="230">
        <f t="shared" si="67"/>
        <v>0</v>
      </c>
      <c r="Q60" s="230">
        <f t="shared" si="67"/>
        <v>0</v>
      </c>
      <c r="R60" s="230">
        <f t="shared" si="67"/>
        <v>-1.0133197350069567E-2</v>
      </c>
      <c r="S60" s="230">
        <f t="shared" si="67"/>
        <v>-1.2821528376110163E-2</v>
      </c>
      <c r="T60" s="230">
        <f t="shared" si="67"/>
        <v>-1.6350356978942757E-2</v>
      </c>
      <c r="U60" s="230">
        <f t="shared" si="67"/>
        <v>-2.1928084965951458E-2</v>
      </c>
      <c r="V60" s="230">
        <f t="shared" si="67"/>
        <v>-2.2423461890893746E-2</v>
      </c>
      <c r="W60" s="230">
        <f t="shared" si="67"/>
        <v>-3.1411750710023105E-2</v>
      </c>
      <c r="X60" s="230">
        <f t="shared" si="67"/>
        <v>-2.6661539894302803E-2</v>
      </c>
      <c r="Y60" s="230">
        <f t="shared" si="67"/>
        <v>-3.4176524599829408E-2</v>
      </c>
      <c r="Z60" s="230">
        <f t="shared" si="67"/>
        <v>-3.6730727581734228E-2</v>
      </c>
      <c r="AA60" s="230">
        <f t="shared" ref="AA60:AR60" si="68">+AA56-AA59</f>
        <v>0</v>
      </c>
      <c r="AB60" s="205">
        <f t="shared" si="68"/>
        <v>0</v>
      </c>
      <c r="AC60" s="205">
        <f t="shared" si="68"/>
        <v>-1.1528654248450509E-3</v>
      </c>
      <c r="AD60" s="205">
        <f t="shared" si="68"/>
        <v>1.2935044382366881E-2</v>
      </c>
      <c r="AE60" s="205">
        <f t="shared" si="68"/>
        <v>3.202136131342697E-2</v>
      </c>
      <c r="AF60" s="205">
        <f t="shared" si="68"/>
        <v>1.4273137609543751E-2</v>
      </c>
      <c r="AG60" s="205">
        <f t="shared" si="68"/>
        <v>4.0439274505876949E-2</v>
      </c>
      <c r="AH60" s="205">
        <f t="shared" si="68"/>
        <v>3.4701653761489641E-2</v>
      </c>
      <c r="AI60" s="205">
        <f t="shared" si="68"/>
        <v>2.5540854005131775E-3</v>
      </c>
      <c r="AJ60" s="205">
        <f t="shared" si="68"/>
        <v>0</v>
      </c>
      <c r="AK60" s="205">
        <f t="shared" si="68"/>
        <v>-1.7313980312299776E-2</v>
      </c>
      <c r="AL60" s="205">
        <f t="shared" si="68"/>
        <v>4.5822186350831327E-3</v>
      </c>
      <c r="AM60" s="205">
        <f t="shared" si="68"/>
        <v>0</v>
      </c>
      <c r="AN60" s="205">
        <f t="shared" si="68"/>
        <v>0</v>
      </c>
      <c r="AO60" s="205">
        <f t="shared" si="68"/>
        <v>-9.1812608250164407E-3</v>
      </c>
      <c r="AP60" s="205">
        <f t="shared" si="68"/>
        <v>-1.7264094760901863E-3</v>
      </c>
      <c r="AQ60" s="205">
        <f t="shared" si="68"/>
        <v>-1.3416973666026337E-2</v>
      </c>
      <c r="AR60" s="205">
        <f t="shared" si="68"/>
        <v>-1.7358371469149439E-2</v>
      </c>
      <c r="AS60" s="205">
        <f t="shared" ref="AS60:AT60" si="69">+AS56-AS59</f>
        <v>-1.7365429583829459E-2</v>
      </c>
      <c r="AT60" s="205">
        <f t="shared" si="69"/>
        <v>-1.7365429583829459E-2</v>
      </c>
      <c r="AU60" s="205">
        <f t="shared" ref="AU60" si="70">+AU56-AU59</f>
        <v>-1.7365429583829459E-2</v>
      </c>
      <c r="AV60" s="201" t="s">
        <v>80</v>
      </c>
      <c r="AW60" s="184"/>
      <c r="AX60" s="184"/>
      <c r="AY60" s="184"/>
    </row>
    <row r="61" spans="1:51" ht="22">
      <c r="A61" s="285"/>
      <c r="B61" s="206" t="s">
        <v>25</v>
      </c>
      <c r="C61" s="232" cm="1">
        <f t="array" ref="C61">_xlfn.XLOOKUP(MIN(ABS($BJ$7:$BJ$29 - MEDIAN(MIN($BJ$7:$BJ$29), MAX($BJ$7:$BJ$29), C60))), ABS($BJ$7:$BJ$29 - MEDIAN(MIN($BJ$7:$BJ$29), MAX($BJ$7:$BJ$29), C60)), $BK$7:$BK$29, "Error", 0)</f>
        <v>7</v>
      </c>
      <c r="D61" s="232" cm="1">
        <f t="array" ref="D61">_xlfn.XLOOKUP(MIN(ABS($BJ$7:$BJ$29 - MEDIAN(MIN($BJ$7:$BJ$29), MAX($BJ$7:$BJ$29), D60))), ABS($BJ$7:$BJ$29 - MEDIAN(MIN($BJ$7:$BJ$29), MAX($BJ$7:$BJ$29), D60)), $BK$7:$BK$29, "Error", 0)</f>
        <v>5</v>
      </c>
      <c r="E61" s="232" cm="1">
        <f t="array" ref="E61">_xlfn.XLOOKUP(MIN(ABS($BJ$7:$BJ$29 - MEDIAN(MIN($BJ$7:$BJ$29), MAX($BJ$7:$BJ$29), E60))), ABS($BJ$7:$BJ$29 - MEDIAN(MIN($BJ$7:$BJ$29), MAX($BJ$7:$BJ$29), E60)), $BK$7:$BK$29, "Error", 0)</f>
        <v>2</v>
      </c>
      <c r="F61" s="232" cm="1">
        <f t="array" ref="F61">_xlfn.XLOOKUP(MIN(ABS($BJ$7:$BJ$29 - MEDIAN(MIN($BJ$7:$BJ$29), MAX($BJ$7:$BJ$29), F60))), ABS($BJ$7:$BJ$29 - MEDIAN(MIN($BJ$7:$BJ$29), MAX($BJ$7:$BJ$29), F60)), $BK$7:$BK$29, "Error", 0)</f>
        <v>3</v>
      </c>
      <c r="G61" s="232" cm="1">
        <f t="array" ref="G61">_xlfn.XLOOKUP(MIN(ABS($BJ$7:$BJ$29 - MEDIAN(MIN($BJ$7:$BJ$29), MAX($BJ$7:$BJ$29), G60))), ABS($BJ$7:$BJ$29 - MEDIAN(MIN($BJ$7:$BJ$29), MAX($BJ$7:$BJ$29), G60)), $BK$7:$BK$29, "Error", 0)</f>
        <v>0</v>
      </c>
      <c r="H61" s="232" cm="1">
        <f t="array" ref="H61">_xlfn.XLOOKUP(MIN(ABS($BJ$7:$BJ$29 - MEDIAN(MIN($BJ$7:$BJ$29), MAX($BJ$7:$BJ$29), H60))), ABS($BJ$7:$BJ$29 - MEDIAN(MIN($BJ$7:$BJ$29), MAX($BJ$7:$BJ$29), H60)), $BK$7:$BK$29, "Error", 0)</f>
        <v>-2</v>
      </c>
      <c r="I61" s="232" cm="1">
        <f t="array" ref="I61">_xlfn.XLOOKUP(MIN(ABS($BJ$7:$BJ$29 - MEDIAN(MIN($BJ$7:$BJ$29), MAX($BJ$7:$BJ$29), I60))), ABS($BJ$7:$BJ$29 - MEDIAN(MIN($BJ$7:$BJ$29), MAX($BJ$7:$BJ$29), I60)), $BK$7:$BK$29, "Error", 0)</f>
        <v>-2</v>
      </c>
      <c r="J61" s="232" cm="1">
        <f t="array" ref="J61">_xlfn.XLOOKUP(MIN(ABS($BJ$7:$BJ$29 - MEDIAN(MIN($BJ$7:$BJ$29), MAX($BJ$7:$BJ$29), J60))), ABS($BJ$7:$BJ$29 - MEDIAN(MIN($BJ$7:$BJ$29), MAX($BJ$7:$BJ$29), J60)), $BK$7:$BK$29, "Error", 0)</f>
        <v>-2</v>
      </c>
      <c r="K61" s="232" cm="1">
        <f t="array" ref="K61">_xlfn.XLOOKUP(MIN(ABS($BJ$7:$BJ$29 - MEDIAN(MIN($BJ$7:$BJ$29), MAX($BJ$7:$BJ$29), K60))), ABS($BJ$7:$BJ$29 - MEDIAN(MIN($BJ$7:$BJ$29), MAX($BJ$7:$BJ$29), K60)), $BK$7:$BK$29, "Error", 0)</f>
        <v>0</v>
      </c>
      <c r="L61" s="232" cm="1">
        <f t="array" ref="L61">_xlfn.XLOOKUP(MIN(ABS($BJ$7:$BJ$29 - MEDIAN(MIN($BJ$7:$BJ$29), MAX($BJ$7:$BJ$29), L60))), ABS($BJ$7:$BJ$29 - MEDIAN(MIN($BJ$7:$BJ$29), MAX($BJ$7:$BJ$29), L60)), $BK$7:$BK$29, "Error", 0)</f>
        <v>0</v>
      </c>
      <c r="M61" s="232" cm="1">
        <f t="array" ref="M61">_xlfn.XLOOKUP(MIN(ABS($BJ$7:$BJ$29 - MEDIAN(MIN($BJ$7:$BJ$29), MAX($BJ$7:$BJ$29), M60))), ABS($BJ$7:$BJ$29 - MEDIAN(MIN($BJ$7:$BJ$29), MAX($BJ$7:$BJ$29), M60)), $BK$7:$BK$29, "Error", 0)</f>
        <v>0</v>
      </c>
      <c r="N61" s="232" cm="1">
        <f t="array" ref="N61">_xlfn.XLOOKUP(MIN(ABS($BJ$7:$BJ$29 - MEDIAN(MIN($BJ$7:$BJ$29), MAX($BJ$7:$BJ$29), N60))), ABS($BJ$7:$BJ$29 - MEDIAN(MIN($BJ$7:$BJ$29), MAX($BJ$7:$BJ$29), N60)), $BK$7:$BK$29, "Error", 0)</f>
        <v>0</v>
      </c>
      <c r="O61" s="232" cm="1">
        <f t="array" ref="O61">_xlfn.XLOOKUP(MIN(ABS($BJ$7:$BJ$29 - MEDIAN(MIN($BJ$7:$BJ$29), MAX($BJ$7:$BJ$29), O60))), ABS($BJ$7:$BJ$29 - MEDIAN(MIN($BJ$7:$BJ$29), MAX($BJ$7:$BJ$29), O60)), $BK$7:$BK$29, "Error", 0)</f>
        <v>0</v>
      </c>
      <c r="P61" s="232" cm="1">
        <f t="array" ref="P61">_xlfn.XLOOKUP(MIN(ABS($BJ$7:$BJ$29 - MEDIAN(MIN($BJ$7:$BJ$29), MAX($BJ$7:$BJ$29), P60))), ABS($BJ$7:$BJ$29 - MEDIAN(MIN($BJ$7:$BJ$29), MAX($BJ$7:$BJ$29), P60)), $BK$7:$BK$29, "Error", 0)</f>
        <v>0</v>
      </c>
      <c r="Q61" s="232" cm="1">
        <f t="array" ref="Q61">_xlfn.XLOOKUP(MIN(ABS($BJ$7:$BJ$29 - MEDIAN(MIN($BJ$7:$BJ$29), MAX($BJ$7:$BJ$29), Q60))), ABS($BJ$7:$BJ$29 - MEDIAN(MIN($BJ$7:$BJ$29), MAX($BJ$7:$BJ$29), Q60)), $BK$7:$BK$29, "Error", 0)</f>
        <v>0</v>
      </c>
      <c r="R61" s="232" cm="1">
        <f t="array" ref="R61">_xlfn.XLOOKUP(MIN(ABS($BJ$7:$BJ$29 - MEDIAN(MIN($BJ$7:$BJ$29), MAX($BJ$7:$BJ$29), R60))), ABS($BJ$7:$BJ$29 - MEDIAN(MIN($BJ$7:$BJ$29), MAX($BJ$7:$BJ$29), R60)), $BK$7:$BK$29, "Error", 0)</f>
        <v>-2</v>
      </c>
      <c r="S61" s="232" cm="1">
        <f t="array" ref="S61">_xlfn.XLOOKUP(MIN(ABS($BJ$7:$BJ$29 - MEDIAN(MIN($BJ$7:$BJ$29), MAX($BJ$7:$BJ$29), S60))), ABS($BJ$7:$BJ$29 - MEDIAN(MIN($BJ$7:$BJ$29), MAX($BJ$7:$BJ$29), S60)), $BK$7:$BK$29, "Error", 0)</f>
        <v>-2</v>
      </c>
      <c r="T61" s="232" cm="1">
        <f t="array" ref="T61">_xlfn.XLOOKUP(MIN(ABS($BJ$7:$BJ$29 - MEDIAN(MIN($BJ$7:$BJ$29), MAX($BJ$7:$BJ$29), T60))), ABS($BJ$7:$BJ$29 - MEDIAN(MIN($BJ$7:$BJ$29), MAX($BJ$7:$BJ$29), T60)), $BK$7:$BK$29, "Error", 0)</f>
        <v>-2</v>
      </c>
      <c r="U61" s="232" cm="1">
        <f t="array" ref="U61">_xlfn.XLOOKUP(MIN(ABS($BJ$7:$BJ$29 - MEDIAN(MIN($BJ$7:$BJ$29), MAX($BJ$7:$BJ$29), U60))), ABS($BJ$7:$BJ$29 - MEDIAN(MIN($BJ$7:$BJ$29), MAX($BJ$7:$BJ$29), U60)), $BK$7:$BK$29, "Error", 0)</f>
        <v>-2</v>
      </c>
      <c r="V61" s="232" cm="1">
        <f t="array" ref="V61">_xlfn.XLOOKUP(MIN(ABS($BJ$7:$BJ$29 - MEDIAN(MIN($BJ$7:$BJ$29), MAX($BJ$7:$BJ$29), V60))), ABS($BJ$7:$BJ$29 - MEDIAN(MIN($BJ$7:$BJ$29), MAX($BJ$7:$BJ$29), V60)), $BK$7:$BK$29, "Error", 0)</f>
        <v>-2</v>
      </c>
      <c r="W61" s="232" cm="1">
        <f t="array" ref="W61">_xlfn.XLOOKUP(MIN(ABS($BJ$7:$BJ$29 - MEDIAN(MIN($BJ$7:$BJ$29), MAX($BJ$7:$BJ$29), W60))), ABS($BJ$7:$BJ$29 - MEDIAN(MIN($BJ$7:$BJ$29), MAX($BJ$7:$BJ$29), W60)), $BK$7:$BK$29, "Error", 0)</f>
        <v>-3</v>
      </c>
      <c r="X61" s="232" cm="1">
        <f t="array" ref="X61">_xlfn.XLOOKUP(MIN(ABS($BJ$7:$BJ$29 - MEDIAN(MIN($BJ$7:$BJ$29), MAX($BJ$7:$BJ$29), X60))), ABS($BJ$7:$BJ$29 - MEDIAN(MIN($BJ$7:$BJ$29), MAX($BJ$7:$BJ$29), X60)), $BK$7:$BK$29, "Error", 0)</f>
        <v>-2</v>
      </c>
      <c r="Y61" s="232" cm="1">
        <f t="array" ref="Y61">_xlfn.XLOOKUP(MIN(ABS($BJ$7:$BJ$29 - MEDIAN(MIN($BJ$7:$BJ$29), MAX($BJ$7:$BJ$29), Y60))), ABS($BJ$7:$BJ$29 - MEDIAN(MIN($BJ$7:$BJ$29), MAX($BJ$7:$BJ$29), Y60)), $BK$7:$BK$29, "Error", 0)</f>
        <v>-3</v>
      </c>
      <c r="Z61" s="232" cm="1">
        <f t="array" ref="Z61">_xlfn.XLOOKUP(MIN(ABS($BJ$7:$BJ$29 - MEDIAN(MIN($BJ$7:$BJ$29), MAX($BJ$7:$BJ$29), Z60))), ABS($BJ$7:$BJ$29 - MEDIAN(MIN($BJ$7:$BJ$29), MAX($BJ$7:$BJ$29), Z60)), $BK$7:$BK$29, "Error", 0)</f>
        <v>-3</v>
      </c>
      <c r="AA61" s="232" cm="1">
        <f t="array" ref="AA61">_xlfn.XLOOKUP(MIN(ABS($BJ$7:$BJ$29 - MEDIAN(MIN($BJ$7:$BJ$29), MAX($BJ$7:$BJ$29), AA60))), ABS($BJ$7:$BJ$29 - MEDIAN(MIN($BJ$7:$BJ$29), MAX($BJ$7:$BJ$29), AA60)), $BK$7:$BK$29, "Error", 0)</f>
        <v>0</v>
      </c>
      <c r="AB61" s="171" cm="1">
        <f t="array" ref="AB61">_xlfn.XLOOKUP(MIN(ABS($BJ$7:$BJ$29 - MEDIAN(MIN($BJ$7:$BJ$29), MAX($BJ$7:$BJ$29), AB60))), ABS($BJ$7:$BJ$29 - MEDIAN(MIN($BJ$7:$BJ$29), MAX($BJ$7:$BJ$29), AB60)), $BK$7:$BK$29, "Error", 0)</f>
        <v>0</v>
      </c>
      <c r="AC61" s="171" cm="1">
        <f t="array" ref="AC61">_xlfn.XLOOKUP(MIN(ABS($BJ$7:$BJ$29 - MEDIAN(MIN($BJ$7:$BJ$29), MAX($BJ$7:$BJ$29), AC60))), ABS($BJ$7:$BJ$29 - MEDIAN(MIN($BJ$7:$BJ$29), MAX($BJ$7:$BJ$29), AC60)), $BK$7:$BK$29, "Error", 0)</f>
        <v>0</v>
      </c>
      <c r="AD61" s="171" cm="1">
        <f t="array" ref="AD61">_xlfn.XLOOKUP(MIN(ABS($BJ$7:$BJ$29 - MEDIAN(MIN($BJ$7:$BJ$29), MAX($BJ$7:$BJ$29), AD60))), ABS($BJ$7:$BJ$29 - MEDIAN(MIN($BJ$7:$BJ$29), MAX($BJ$7:$BJ$29), AD60)), $BK$7:$BK$29, "Error", 0)</f>
        <v>2</v>
      </c>
      <c r="AE61" s="171" cm="1">
        <f t="array" ref="AE61">_xlfn.XLOOKUP(MIN(ABS($BJ$7:$BJ$29 - MEDIAN(MIN($BJ$7:$BJ$29), MAX($BJ$7:$BJ$29), AE60))), ABS($BJ$7:$BJ$29 - MEDIAN(MIN($BJ$7:$BJ$29), MAX($BJ$7:$BJ$29), AE60)), $BK$7:$BK$29, "Error", 0)</f>
        <v>3</v>
      </c>
      <c r="AF61" s="171" cm="1">
        <f t="array" ref="AF61">_xlfn.XLOOKUP(MIN(ABS($BJ$7:$BJ$29 - MEDIAN(MIN($BJ$7:$BJ$29), MAX($BJ$7:$BJ$29), AF60))), ABS($BJ$7:$BJ$29 - MEDIAN(MIN($BJ$7:$BJ$29), MAX($BJ$7:$BJ$29), AF60)), $BK$7:$BK$29, "Error", 0)</f>
        <v>2</v>
      </c>
      <c r="AG61" s="171" cm="1">
        <f t="array" ref="AG61">_xlfn.XLOOKUP(MIN(ABS($BJ$7:$BJ$29 - MEDIAN(MIN($BJ$7:$BJ$29), MAX($BJ$7:$BJ$29), AG60))), ABS($BJ$7:$BJ$29 - MEDIAN(MIN($BJ$7:$BJ$29), MAX($BJ$7:$BJ$29), AG60)), $BK$7:$BK$29, "Error", 0)</f>
        <v>3</v>
      </c>
      <c r="AH61" s="171" cm="1">
        <f t="array" ref="AH61">_xlfn.XLOOKUP(MIN(ABS($BJ$7:$BJ$29 - MEDIAN(MIN($BJ$7:$BJ$29), MAX($BJ$7:$BJ$29), AH60))), ABS($BJ$7:$BJ$29 - MEDIAN(MIN($BJ$7:$BJ$29), MAX($BJ$7:$BJ$29), AH60)), $BK$7:$BK$29, "Error", 0)</f>
        <v>3</v>
      </c>
      <c r="AI61" s="171" cm="1">
        <f t="array" ref="AI61">_xlfn.XLOOKUP(MIN(ABS($BJ$7:$BJ$29 - MEDIAN(MIN($BJ$7:$BJ$29), MAX($BJ$7:$BJ$29), AI60))), ABS($BJ$7:$BJ$29 - MEDIAN(MIN($BJ$7:$BJ$29), MAX($BJ$7:$BJ$29), AI60)), $BK$7:$BK$29, "Error", 0)</f>
        <v>0</v>
      </c>
      <c r="AJ61" s="171" cm="1">
        <f t="array" ref="AJ61">_xlfn.XLOOKUP(MIN(ABS($BJ$7:$BJ$29 - MEDIAN(MIN($BJ$7:$BJ$29), MAX($BJ$7:$BJ$29), AJ60))), ABS($BJ$7:$BJ$29 - MEDIAN(MIN($BJ$7:$BJ$29), MAX($BJ$7:$BJ$29), AJ60)), $BK$7:$BK$29, "Error", 0)</f>
        <v>0</v>
      </c>
      <c r="AK61" s="171" cm="1">
        <f t="array" ref="AK61">_xlfn.XLOOKUP(MIN(ABS($BJ$7:$BJ$29 - MEDIAN(MIN($BJ$7:$BJ$29), MAX($BJ$7:$BJ$29), AK60))), ABS($BJ$7:$BJ$29 - MEDIAN(MIN($BJ$7:$BJ$29), MAX($BJ$7:$BJ$29), AK60)), $BK$7:$BK$29, "Error", 0)</f>
        <v>-2</v>
      </c>
      <c r="AL61" s="171" cm="1">
        <f t="array" ref="AL61">_xlfn.XLOOKUP(MIN(ABS($BJ$7:$BJ$29 - MEDIAN(MIN($BJ$7:$BJ$29), MAX($BJ$7:$BJ$29), AL60))), ABS($BJ$7:$BJ$29 - MEDIAN(MIN($BJ$7:$BJ$29), MAX($BJ$7:$BJ$29), AL60)), $BK$7:$BK$29, "Error", 0)</f>
        <v>0</v>
      </c>
      <c r="AM61" s="171" cm="1">
        <f t="array" ref="AM61">_xlfn.XLOOKUP(MIN(ABS($BJ$7:$BJ$29 - MEDIAN(MIN($BJ$7:$BJ$29), MAX($BJ$7:$BJ$29), AM60))), ABS($BJ$7:$BJ$29 - MEDIAN(MIN($BJ$7:$BJ$29), MAX($BJ$7:$BJ$29), AM60)), $BK$7:$BK$29, "Error", 0)</f>
        <v>0</v>
      </c>
      <c r="AN61" s="171" cm="1">
        <f t="array" ref="AN61">_xlfn.XLOOKUP(MIN(ABS($BJ$7:$BJ$29 - MEDIAN(MIN($BJ$7:$BJ$29), MAX($BJ$7:$BJ$29), AN60))), ABS($BJ$7:$BJ$29 - MEDIAN(MIN($BJ$7:$BJ$29), MAX($BJ$7:$BJ$29), AN60)), $BK$7:$BK$29, "Error", 0)</f>
        <v>0</v>
      </c>
      <c r="AO61" s="171" cm="1">
        <f t="array" ref="AO61">_xlfn.XLOOKUP(MIN(ABS($BJ$7:$BJ$29 - MEDIAN(MIN($BJ$7:$BJ$29), MAX($BJ$7:$BJ$29), AO60))), ABS($BJ$7:$BJ$29 - MEDIAN(MIN($BJ$7:$BJ$29), MAX($BJ$7:$BJ$29), AO60)), $BK$7:$BK$29, "Error", 0)</f>
        <v>0</v>
      </c>
      <c r="AP61" s="171" cm="1">
        <f t="array" ref="AP61">_xlfn.XLOOKUP(MIN(ABS($BJ$7:$BJ$29 - MEDIAN(MIN($BJ$7:$BJ$29), MAX($BJ$7:$BJ$29), AP60))), ABS($BJ$7:$BJ$29 - MEDIAN(MIN($BJ$7:$BJ$29), MAX($BJ$7:$BJ$29), AP60)), $BK$7:$BK$29, "Error", 0)</f>
        <v>0</v>
      </c>
      <c r="AQ61" s="171" cm="1">
        <f t="array" ref="AQ61">_xlfn.XLOOKUP(MIN(ABS($BJ$7:$BJ$29 - MEDIAN(MIN($BJ$7:$BJ$29), MAX($BJ$7:$BJ$29), AQ60))), ABS($BJ$7:$BJ$29 - MEDIAN(MIN($BJ$7:$BJ$29), MAX($BJ$7:$BJ$29), AQ60)), $BK$7:$BK$29, "Error", 0)</f>
        <v>-2</v>
      </c>
      <c r="AR61" s="171" cm="1">
        <f t="array" ref="AR61">_xlfn.XLOOKUP(MIN(ABS($BJ$7:$BJ$29 - MEDIAN(MIN($BJ$7:$BJ$29), MAX($BJ$7:$BJ$29), AR60))), ABS($BJ$7:$BJ$29 - MEDIAN(MIN($BJ$7:$BJ$29), MAX($BJ$7:$BJ$29), AR60)), $BK$7:$BK$29, "Error", 0)</f>
        <v>-2</v>
      </c>
      <c r="AS61" s="171" cm="1">
        <f t="array" ref="AS61">_xlfn.XLOOKUP(MIN(ABS($BJ$7:$BJ$29 - MEDIAN(MIN($BJ$7:$BJ$29), MAX($BJ$7:$BJ$29), AS60))), ABS($BJ$7:$BJ$29 - MEDIAN(MIN($BJ$7:$BJ$29), MAX($BJ$7:$BJ$29), AS60)), $BK$7:$BK$29, "Error", 0)</f>
        <v>-2</v>
      </c>
      <c r="AT61" s="171" cm="1">
        <f t="array" ref="AT61">_xlfn.XLOOKUP(MIN(ABS($BJ$7:$BJ$29 - MEDIAN(MIN($BJ$7:$BJ$29), MAX($BJ$7:$BJ$29), AT60))), ABS($BJ$7:$BJ$29 - MEDIAN(MIN($BJ$7:$BJ$29), MAX($BJ$7:$BJ$29), AT60)), $BK$7:$BK$29, "Error", 0)</f>
        <v>-2</v>
      </c>
      <c r="AU61" s="171" cm="1">
        <f t="array" ref="AU61">_xlfn.XLOOKUP(MIN(ABS($BJ$7:$BJ$29 - MEDIAN(MIN($BJ$7:$BJ$29), MAX($BJ$7:$BJ$29), AU60))), ABS($BJ$7:$BJ$29 - MEDIAN(MIN($BJ$7:$BJ$29), MAX($BJ$7:$BJ$29), AU60)), $BK$7:$BK$29, "Error", 0)</f>
        <v>-2</v>
      </c>
      <c r="AV61" s="206" t="s">
        <v>25</v>
      </c>
      <c r="AW61" s="184"/>
      <c r="AX61" s="184"/>
      <c r="AY61" s="184"/>
    </row>
    <row r="62" spans="1:51" ht="44">
      <c r="A62" s="283" t="s">
        <v>15</v>
      </c>
      <c r="B62" s="200" t="s">
        <v>76</v>
      </c>
      <c r="C62" s="233">
        <v>6873.6798385565598</v>
      </c>
      <c r="D62" s="233">
        <v>6873.6798385565598</v>
      </c>
      <c r="E62" s="233">
        <v>6873.6798385565598</v>
      </c>
      <c r="F62" s="233">
        <v>6873.6798385565598</v>
      </c>
      <c r="G62" s="233">
        <v>6873.6798385565598</v>
      </c>
      <c r="H62" s="233">
        <v>6873.6798385565598</v>
      </c>
      <c r="I62" s="233">
        <v>6873.6798385565598</v>
      </c>
      <c r="J62" s="233">
        <v>6873.6798385565598</v>
      </c>
      <c r="K62" s="233">
        <v>6873.6798385565598</v>
      </c>
      <c r="L62" s="233">
        <v>6873.6798385565598</v>
      </c>
      <c r="M62" s="233">
        <v>6873.6798385565598</v>
      </c>
      <c r="N62" s="233">
        <v>6873.6798385565598</v>
      </c>
      <c r="O62" s="233">
        <v>6887.6218135098497</v>
      </c>
      <c r="P62" s="233">
        <v>7223.8715358660602</v>
      </c>
      <c r="Q62" s="233">
        <v>7542.1077516758796</v>
      </c>
      <c r="R62" s="233">
        <v>7542.1077516758796</v>
      </c>
      <c r="S62" s="233">
        <v>7593.2423104683403</v>
      </c>
      <c r="T62" s="233">
        <v>7593.2423104683403</v>
      </c>
      <c r="U62" s="233">
        <v>7594.5094256862103</v>
      </c>
      <c r="V62" s="233">
        <v>7594.5094256862103</v>
      </c>
      <c r="W62" s="233">
        <v>7689.0692797638503</v>
      </c>
      <c r="X62" s="233">
        <v>7689.0692797638503</v>
      </c>
      <c r="Y62" s="233">
        <v>7689.0692797638503</v>
      </c>
      <c r="Z62" s="233">
        <v>7689.0692797638503</v>
      </c>
      <c r="AA62" s="204">
        <v>8039.0327684924696</v>
      </c>
      <c r="AB62" s="204">
        <v>8382.5990494843609</v>
      </c>
      <c r="AC62" s="204">
        <v>8382.5990494843609</v>
      </c>
      <c r="AD62" s="204">
        <v>8382.5990494843609</v>
      </c>
      <c r="AE62" s="204">
        <v>8615.7771447999403</v>
      </c>
      <c r="AF62" s="204">
        <v>8731.1864929273706</v>
      </c>
      <c r="AG62" s="204">
        <v>8731.1864929273706</v>
      </c>
      <c r="AH62" s="204">
        <v>8939.8269054474695</v>
      </c>
      <c r="AI62" s="204">
        <v>9051.9911731649208</v>
      </c>
      <c r="AJ62" s="204">
        <v>9441.8928781611594</v>
      </c>
      <c r="AK62" s="204">
        <v>9505.3296130851395</v>
      </c>
      <c r="AL62" s="204">
        <v>9505.3296130851395</v>
      </c>
      <c r="AM62" s="204">
        <v>9894.3167975312699</v>
      </c>
      <c r="AN62" s="204">
        <v>10043.8916094874</v>
      </c>
      <c r="AO62" s="204">
        <v>10043.8916094874</v>
      </c>
      <c r="AP62" s="204">
        <v>10043.8916094874</v>
      </c>
      <c r="AQ62" s="204">
        <v>10043.8916094874</v>
      </c>
      <c r="AR62" s="204">
        <v>10308</v>
      </c>
      <c r="AS62" s="204">
        <v>10308</v>
      </c>
      <c r="AT62" s="204">
        <v>10308</v>
      </c>
      <c r="AU62" s="204">
        <v>10308</v>
      </c>
      <c r="AV62" s="200" t="s">
        <v>76</v>
      </c>
      <c r="AW62" s="184"/>
      <c r="AX62" s="184"/>
      <c r="AY62" s="184"/>
    </row>
    <row r="63" spans="1:51" ht="22">
      <c r="A63" s="284"/>
      <c r="B63" s="201" t="s">
        <v>77</v>
      </c>
      <c r="C63" s="233">
        <v>6046.0375300032301</v>
      </c>
      <c r="D63" s="233">
        <v>6103.9028836244297</v>
      </c>
      <c r="E63" s="233">
        <v>6362.28194167942</v>
      </c>
      <c r="F63" s="233">
        <v>6507.1420404841801</v>
      </c>
      <c r="G63" s="233">
        <v>6155.8918493154897</v>
      </c>
      <c r="H63" s="233">
        <v>6334.4253228809703</v>
      </c>
      <c r="I63" s="233">
        <v>6531.5108694222899</v>
      </c>
      <c r="J63" s="233">
        <v>6354.5663166205604</v>
      </c>
      <c r="K63" s="233">
        <v>5989.8025124217402</v>
      </c>
      <c r="L63" s="233">
        <v>5960.9121939880997</v>
      </c>
      <c r="M63" s="233">
        <v>6535.2711066287002</v>
      </c>
      <c r="N63" s="233">
        <v>6609.7477332405397</v>
      </c>
      <c r="O63" s="233">
        <v>6887.6218135098497</v>
      </c>
      <c r="P63" s="233">
        <v>7223.8715358660602</v>
      </c>
      <c r="Q63" s="233">
        <v>7542.1077516758796</v>
      </c>
      <c r="R63" s="233">
        <v>7206.5858645275002</v>
      </c>
      <c r="S63" s="233">
        <v>7593.2423104683403</v>
      </c>
      <c r="T63" s="233">
        <v>7169.7394919688204</v>
      </c>
      <c r="U63" s="233">
        <v>7594.5094256862103</v>
      </c>
      <c r="V63" s="233">
        <v>7381.4408370107403</v>
      </c>
      <c r="W63" s="233">
        <v>7689.0692797638503</v>
      </c>
      <c r="X63" s="233">
        <v>7290.6867632023104</v>
      </c>
      <c r="Y63" s="233">
        <v>7112.4334532328103</v>
      </c>
      <c r="Z63" s="233">
        <v>7310.3834610037702</v>
      </c>
      <c r="AA63" s="204">
        <v>8039.0327684924696</v>
      </c>
      <c r="AB63" s="204">
        <v>8382.5990494843609</v>
      </c>
      <c r="AC63" s="204">
        <v>8128.4444494796298</v>
      </c>
      <c r="AD63" s="204">
        <v>8125.54101523606</v>
      </c>
      <c r="AE63" s="204">
        <v>8615.7771447999403</v>
      </c>
      <c r="AF63" s="204">
        <v>8731.1864929273706</v>
      </c>
      <c r="AG63" s="204">
        <v>8405.2073476414698</v>
      </c>
      <c r="AH63" s="204">
        <v>8939.8269054474695</v>
      </c>
      <c r="AI63" s="204">
        <v>9051.9911731649208</v>
      </c>
      <c r="AJ63" s="204">
        <v>9441.8928781611594</v>
      </c>
      <c r="AK63" s="204">
        <v>9505.3296130851395</v>
      </c>
      <c r="AL63" s="204">
        <v>9314.8460285519304</v>
      </c>
      <c r="AM63" s="204">
        <v>9894.3167975312699</v>
      </c>
      <c r="AN63" s="204">
        <v>10043.8916094874</v>
      </c>
      <c r="AO63" s="204">
        <v>8887.5624992492394</v>
      </c>
      <c r="AP63" s="204">
        <v>9575.5271370122791</v>
      </c>
      <c r="AQ63" s="204">
        <v>9729.8737795689394</v>
      </c>
      <c r="AR63" s="204">
        <v>10308</v>
      </c>
      <c r="AS63" s="204">
        <v>9786.6057011246994</v>
      </c>
      <c r="AT63" s="204">
        <v>9786.6057011246994</v>
      </c>
      <c r="AU63" s="204">
        <v>9786.6057011246994</v>
      </c>
      <c r="AV63" s="201" t="s">
        <v>77</v>
      </c>
      <c r="AW63" s="184"/>
      <c r="AX63" s="184"/>
      <c r="AY63" s="184"/>
    </row>
    <row r="64" spans="1:51" ht="22">
      <c r="A64" s="284"/>
      <c r="B64" s="201" t="s">
        <v>78</v>
      </c>
      <c r="C64" s="230">
        <f t="shared" ref="C64:Z64" si="71">+(C63-C62)/C62</f>
        <v>-0.12040745684878024</v>
      </c>
      <c r="D64" s="230">
        <f t="shared" si="71"/>
        <v>-0.1119890616106699</v>
      </c>
      <c r="E64" s="230">
        <f t="shared" si="71"/>
        <v>-7.4399435075307635E-2</v>
      </c>
      <c r="F64" s="230">
        <f t="shared" si="71"/>
        <v>-5.3324828429796474E-2</v>
      </c>
      <c r="G64" s="230">
        <f t="shared" si="71"/>
        <v>-0.1044255778709359</v>
      </c>
      <c r="H64" s="230">
        <f t="shared" si="71"/>
        <v>-7.8452085104509392E-2</v>
      </c>
      <c r="I64" s="230">
        <f t="shared" si="71"/>
        <v>-4.9779590724453024E-2</v>
      </c>
      <c r="J64" s="230">
        <f t="shared" si="71"/>
        <v>-7.5521923355250542E-2</v>
      </c>
      <c r="K64" s="230">
        <f t="shared" si="71"/>
        <v>-0.12858866675414282</v>
      </c>
      <c r="L64" s="230">
        <f t="shared" si="71"/>
        <v>-0.13279170197140533</v>
      </c>
      <c r="M64" s="230">
        <f t="shared" si="71"/>
        <v>-4.9232542084608338E-2</v>
      </c>
      <c r="N64" s="230">
        <f t="shared" si="71"/>
        <v>-3.8397497630824284E-2</v>
      </c>
      <c r="O64" s="230">
        <f t="shared" si="71"/>
        <v>0</v>
      </c>
      <c r="P64" s="230">
        <f t="shared" si="71"/>
        <v>0</v>
      </c>
      <c r="Q64" s="230">
        <f t="shared" si="71"/>
        <v>0</v>
      </c>
      <c r="R64" s="230">
        <f t="shared" si="71"/>
        <v>-4.4486488153636546E-2</v>
      </c>
      <c r="S64" s="230">
        <f t="shared" si="71"/>
        <v>0</v>
      </c>
      <c r="T64" s="230">
        <f t="shared" si="71"/>
        <v>-5.5773647301583192E-2</v>
      </c>
      <c r="U64" s="230">
        <f t="shared" si="71"/>
        <v>0</v>
      </c>
      <c r="V64" s="230">
        <f t="shared" si="71"/>
        <v>-2.8055609221423534E-2</v>
      </c>
      <c r="W64" s="230">
        <f t="shared" si="71"/>
        <v>0</v>
      </c>
      <c r="X64" s="230">
        <f t="shared" si="71"/>
        <v>-5.1811539481118468E-2</v>
      </c>
      <c r="Y64" s="230">
        <f t="shared" si="71"/>
        <v>-7.4994229542011612E-2</v>
      </c>
      <c r="Z64" s="230">
        <f t="shared" si="71"/>
        <v>-4.9249890328951551E-2</v>
      </c>
      <c r="AA64" s="230">
        <f t="shared" ref="AA64:AR64" si="72">+(AA63-AA62)/AA62</f>
        <v>0</v>
      </c>
      <c r="AB64" s="205">
        <f t="shared" si="72"/>
        <v>0</v>
      </c>
      <c r="AC64" s="205">
        <f t="shared" si="72"/>
        <v>-3.0319307711653566E-2</v>
      </c>
      <c r="AD64" s="205">
        <f t="shared" si="72"/>
        <v>-3.066567215380691E-2</v>
      </c>
      <c r="AE64" s="205">
        <f t="shared" si="72"/>
        <v>0</v>
      </c>
      <c r="AF64" s="205">
        <f t="shared" si="72"/>
        <v>0</v>
      </c>
      <c r="AG64" s="205">
        <f t="shared" si="72"/>
        <v>-3.7335034081560123E-2</v>
      </c>
      <c r="AH64" s="205">
        <f t="shared" si="72"/>
        <v>0</v>
      </c>
      <c r="AI64" s="205">
        <f t="shared" si="72"/>
        <v>0</v>
      </c>
      <c r="AJ64" s="205">
        <f t="shared" si="72"/>
        <v>0</v>
      </c>
      <c r="AK64" s="205">
        <f t="shared" si="72"/>
        <v>0</v>
      </c>
      <c r="AL64" s="205">
        <f t="shared" si="72"/>
        <v>-2.0039661146625289E-2</v>
      </c>
      <c r="AM64" s="205">
        <f t="shared" si="72"/>
        <v>0</v>
      </c>
      <c r="AN64" s="205">
        <f t="shared" si="72"/>
        <v>0</v>
      </c>
      <c r="AO64" s="205">
        <f t="shared" si="72"/>
        <v>-0.1151275974688834</v>
      </c>
      <c r="AP64" s="205">
        <f t="shared" si="72"/>
        <v>-4.6631772890968565E-2</v>
      </c>
      <c r="AQ64" s="205">
        <f t="shared" si="72"/>
        <v>-3.1264557815602216E-2</v>
      </c>
      <c r="AR64" s="205">
        <f t="shared" si="72"/>
        <v>0</v>
      </c>
      <c r="AS64" s="205">
        <f t="shared" ref="AS64:AT64" si="73">+(AS63-AS62)/AS62</f>
        <v>-5.0581519099272471E-2</v>
      </c>
      <c r="AT64" s="205">
        <f t="shared" si="73"/>
        <v>-5.0581519099272471E-2</v>
      </c>
      <c r="AU64" s="205">
        <f t="shared" ref="AU64" si="74">+(AU63-AU62)/AU62</f>
        <v>-5.0581519099272471E-2</v>
      </c>
      <c r="AV64" s="201" t="s">
        <v>78</v>
      </c>
      <c r="AW64" s="184"/>
      <c r="AX64" s="184"/>
      <c r="AY64" s="184"/>
    </row>
    <row r="65" spans="1:51" ht="44">
      <c r="A65" s="284"/>
      <c r="B65" s="201" t="s">
        <v>91</v>
      </c>
      <c r="C65" s="233">
        <v>4522.240234375</v>
      </c>
      <c r="D65" s="233">
        <v>4522.240234375</v>
      </c>
      <c r="E65" s="233">
        <v>4522.240234375</v>
      </c>
      <c r="F65" s="233">
        <v>4522.240234375</v>
      </c>
      <c r="G65" s="233">
        <v>4522.240234375</v>
      </c>
      <c r="H65" s="233">
        <v>4522.240234375</v>
      </c>
      <c r="I65" s="233">
        <v>4522.240234375</v>
      </c>
      <c r="J65" s="233">
        <v>4522.240234375</v>
      </c>
      <c r="K65" s="233">
        <v>4522.240234375</v>
      </c>
      <c r="L65" s="233">
        <v>4522.240234375</v>
      </c>
      <c r="M65" s="233">
        <v>4522.240234375</v>
      </c>
      <c r="N65" s="233">
        <v>4593.10986328125</v>
      </c>
      <c r="O65" s="233">
        <v>4674.740234375</v>
      </c>
      <c r="P65" s="233">
        <v>4898.3701171875</v>
      </c>
      <c r="Q65" s="233">
        <v>5103.259765625</v>
      </c>
      <c r="R65" s="233">
        <v>5103.259765625</v>
      </c>
      <c r="S65" s="233">
        <v>5103.259765625</v>
      </c>
      <c r="T65" s="233">
        <v>5103.259765625</v>
      </c>
      <c r="U65" s="233">
        <v>5103.259765625</v>
      </c>
      <c r="V65" s="233">
        <v>5103.259765625</v>
      </c>
      <c r="W65" s="233">
        <v>5103.259765625</v>
      </c>
      <c r="X65" s="233">
        <v>5103.259765625</v>
      </c>
      <c r="Y65" s="233">
        <v>5103.259765625</v>
      </c>
      <c r="Z65" s="233">
        <v>5103.259765625</v>
      </c>
      <c r="AA65" s="231">
        <v>5314.2900390625</v>
      </c>
      <c r="AB65" s="203">
        <v>5544.1201171875</v>
      </c>
      <c r="AC65" s="203">
        <v>5544.1201171875</v>
      </c>
      <c r="AD65" s="203">
        <v>5544.1201171875</v>
      </c>
      <c r="AE65" s="203">
        <v>5544.1201171875</v>
      </c>
      <c r="AF65" s="203">
        <v>5544.1201171875</v>
      </c>
      <c r="AG65" s="203">
        <v>5544.1201171875</v>
      </c>
      <c r="AH65" s="203">
        <v>5544.1201171875</v>
      </c>
      <c r="AI65" s="203">
        <v>5544.1201171875</v>
      </c>
      <c r="AJ65" s="203">
        <v>5734.27978515625</v>
      </c>
      <c r="AK65" s="203">
        <v>5818.06982421875</v>
      </c>
      <c r="AL65" s="203">
        <v>5818.06982421875</v>
      </c>
      <c r="AM65" s="203">
        <v>6053.68017578125</v>
      </c>
      <c r="AN65" s="203">
        <v>6199.77978515625</v>
      </c>
      <c r="AO65" s="203">
        <v>6199.77978515625</v>
      </c>
      <c r="AP65" s="203">
        <v>6199.77978515625</v>
      </c>
      <c r="AQ65" s="203">
        <v>6199.77978515625</v>
      </c>
      <c r="AR65" s="203">
        <v>6337</v>
      </c>
      <c r="AS65" s="203">
        <v>6337</v>
      </c>
      <c r="AT65" s="203">
        <v>6337</v>
      </c>
      <c r="AU65" s="203">
        <v>6337</v>
      </c>
      <c r="AV65" s="201" t="s">
        <v>91</v>
      </c>
      <c r="AW65" s="184"/>
      <c r="AX65" s="184"/>
      <c r="AY65" s="184"/>
    </row>
    <row r="66" spans="1:51" ht="44">
      <c r="A66" s="284"/>
      <c r="B66" s="201" t="s">
        <v>92</v>
      </c>
      <c r="C66" s="233">
        <v>4163.4501953125</v>
      </c>
      <c r="D66" s="233">
        <v>4238.3798828125</v>
      </c>
      <c r="E66" s="233">
        <v>4315.0498046875</v>
      </c>
      <c r="F66" s="233">
        <v>4359.31005859375</v>
      </c>
      <c r="G66" s="233">
        <v>4218.0400390625</v>
      </c>
      <c r="H66" s="233">
        <v>4399.08984375</v>
      </c>
      <c r="I66" s="233">
        <v>4471.31005859375</v>
      </c>
      <c r="J66" s="233">
        <v>4297.10986328125</v>
      </c>
      <c r="K66" s="233">
        <v>4174.66015625</v>
      </c>
      <c r="L66" s="233">
        <v>4061.1201171875</v>
      </c>
      <c r="M66" s="233">
        <v>4382.47021484375</v>
      </c>
      <c r="N66" s="233">
        <v>4593.10986328125</v>
      </c>
      <c r="O66" s="233">
        <v>4674.740234375</v>
      </c>
      <c r="P66" s="233">
        <v>4898.3701171875</v>
      </c>
      <c r="Q66" s="233">
        <v>5103.259765625</v>
      </c>
      <c r="R66" s="233">
        <v>4921.22021484375</v>
      </c>
      <c r="S66" s="233">
        <v>4983.669921875</v>
      </c>
      <c r="T66" s="233">
        <v>4894.02001953125</v>
      </c>
      <c r="U66" s="233">
        <v>4872.93994140625</v>
      </c>
      <c r="V66" s="233">
        <v>4957.97998046875</v>
      </c>
      <c r="W66" s="233">
        <v>5000.4501953125</v>
      </c>
      <c r="X66" s="233">
        <v>4827.6298828125</v>
      </c>
      <c r="Y66" s="233">
        <v>4804.39990234375</v>
      </c>
      <c r="Z66" s="233">
        <v>4895.97998046875</v>
      </c>
      <c r="AA66" s="231">
        <v>5314.2900390625</v>
      </c>
      <c r="AB66" s="203">
        <v>5544.1201171875</v>
      </c>
      <c r="AC66" s="203">
        <v>5248.39013671875</v>
      </c>
      <c r="AD66" s="203">
        <v>5160.22021484375</v>
      </c>
      <c r="AE66" s="203">
        <v>5366.58984375</v>
      </c>
      <c r="AF66" s="203">
        <v>5303.240234375</v>
      </c>
      <c r="AG66" s="203">
        <v>5319.919921875</v>
      </c>
      <c r="AH66" s="203">
        <v>5351.72998046875</v>
      </c>
      <c r="AI66" s="203">
        <v>5529.9599609375</v>
      </c>
      <c r="AJ66" s="203">
        <v>5734.27978515625</v>
      </c>
      <c r="AK66" s="203">
        <v>5818.06982421875</v>
      </c>
      <c r="AL66" s="203">
        <v>5791.41015625</v>
      </c>
      <c r="AM66" s="203">
        <v>6053.68017578125</v>
      </c>
      <c r="AN66" s="203">
        <v>6199.77978515625</v>
      </c>
      <c r="AO66" s="203">
        <v>5569.72998046875</v>
      </c>
      <c r="AP66" s="203">
        <v>5881.509765625</v>
      </c>
      <c r="AQ66" s="203">
        <v>6050.5400390625</v>
      </c>
      <c r="AR66" s="203">
        <v>6447</v>
      </c>
      <c r="AS66" s="203">
        <v>6265</v>
      </c>
      <c r="AT66" s="203">
        <v>6265</v>
      </c>
      <c r="AU66" s="203">
        <v>6265</v>
      </c>
      <c r="AV66" s="201" t="s">
        <v>92</v>
      </c>
      <c r="AW66" s="184"/>
      <c r="AX66" s="184"/>
      <c r="AY66" s="184"/>
    </row>
    <row r="67" spans="1:51" ht="44">
      <c r="A67" s="284"/>
      <c r="B67" s="201" t="s">
        <v>79</v>
      </c>
      <c r="C67" s="230">
        <f t="shared" ref="C67:Z67" si="75">+(C66-C65)/C65</f>
        <v>-7.9339004667470278E-2</v>
      </c>
      <c r="D67" s="230">
        <f t="shared" si="75"/>
        <v>-6.2769852296829867E-2</v>
      </c>
      <c r="E67" s="230">
        <f t="shared" si="75"/>
        <v>-4.5815883046764969E-2</v>
      </c>
      <c r="F67" s="230">
        <f t="shared" si="75"/>
        <v>-3.6028642296082686E-2</v>
      </c>
      <c r="G67" s="230">
        <f t="shared" si="75"/>
        <v>-6.726758852839719E-2</v>
      </c>
      <c r="H67" s="230">
        <f t="shared" si="75"/>
        <v>-2.7232164644614486E-2</v>
      </c>
      <c r="I67" s="230">
        <f t="shared" si="75"/>
        <v>-1.1262156175187993E-2</v>
      </c>
      <c r="J67" s="230">
        <f t="shared" si="75"/>
        <v>-4.9782930456118132E-2</v>
      </c>
      <c r="K67" s="230">
        <f t="shared" si="75"/>
        <v>-7.6860153399842007E-2</v>
      </c>
      <c r="L67" s="230">
        <f t="shared" si="75"/>
        <v>-0.10196718734276386</v>
      </c>
      <c r="M67" s="230">
        <f t="shared" si="75"/>
        <v>-3.0907252221766816E-2</v>
      </c>
      <c r="N67" s="230">
        <f t="shared" si="75"/>
        <v>0</v>
      </c>
      <c r="O67" s="230">
        <f t="shared" si="75"/>
        <v>0</v>
      </c>
      <c r="P67" s="230">
        <f t="shared" si="75"/>
        <v>0</v>
      </c>
      <c r="Q67" s="230">
        <f t="shared" si="75"/>
        <v>0</v>
      </c>
      <c r="R67" s="230">
        <f t="shared" si="75"/>
        <v>-3.5671229594748145E-2</v>
      </c>
      <c r="S67" s="230">
        <f t="shared" si="75"/>
        <v>-2.3434010660312476E-2</v>
      </c>
      <c r="T67" s="230">
        <f t="shared" si="75"/>
        <v>-4.1001194472436241E-2</v>
      </c>
      <c r="U67" s="230">
        <f t="shared" si="75"/>
        <v>-4.5131902900604662E-2</v>
      </c>
      <c r="V67" s="230">
        <f t="shared" si="75"/>
        <v>-2.8468036476379029E-2</v>
      </c>
      <c r="W67" s="230">
        <f t="shared" si="75"/>
        <v>-2.0145862651361396E-2</v>
      </c>
      <c r="X67" s="230">
        <f t="shared" si="75"/>
        <v>-5.401055315057892E-2</v>
      </c>
      <c r="Y67" s="230">
        <f t="shared" si="75"/>
        <v>-5.8562541788356015E-2</v>
      </c>
      <c r="Z67" s="230">
        <f t="shared" si="75"/>
        <v>-4.0617133886161151E-2</v>
      </c>
      <c r="AA67" s="230">
        <f>+(AA66-AA65)/AA65</f>
        <v>0</v>
      </c>
      <c r="AB67" s="205">
        <f t="shared" ref="AB67:AP67" si="76">+(AB66-AB65)/AB65</f>
        <v>0</v>
      </c>
      <c r="AC67" s="205">
        <f t="shared" si="76"/>
        <v>-5.3341192870614083E-2</v>
      </c>
      <c r="AD67" s="205">
        <f t="shared" si="76"/>
        <v>-6.9244513868595647E-2</v>
      </c>
      <c r="AE67" s="205">
        <f t="shared" si="76"/>
        <v>-3.202136131342697E-2</v>
      </c>
      <c r="AF67" s="205">
        <f t="shared" si="76"/>
        <v>-4.3447810963860752E-2</v>
      </c>
      <c r="AG67" s="205">
        <f t="shared" si="76"/>
        <v>-4.0439274505876949E-2</v>
      </c>
      <c r="AH67" s="205">
        <f t="shared" si="76"/>
        <v>-3.4701653761489641E-2</v>
      </c>
      <c r="AI67" s="205">
        <f t="shared" si="76"/>
        <v>-2.5540854005131775E-3</v>
      </c>
      <c r="AJ67" s="205">
        <f t="shared" si="76"/>
        <v>0</v>
      </c>
      <c r="AK67" s="205">
        <f t="shared" si="76"/>
        <v>0</v>
      </c>
      <c r="AL67" s="205">
        <f t="shared" si="76"/>
        <v>-4.5822186350831327E-3</v>
      </c>
      <c r="AM67" s="205">
        <f t="shared" si="76"/>
        <v>0</v>
      </c>
      <c r="AN67" s="205">
        <f t="shared" si="76"/>
        <v>0</v>
      </c>
      <c r="AO67" s="205">
        <f t="shared" si="76"/>
        <v>-0.10162454579370535</v>
      </c>
      <c r="AP67" s="205">
        <f t="shared" si="76"/>
        <v>-5.1335697486104954E-2</v>
      </c>
      <c r="AQ67" s="205">
        <f>+(AQ66-AQ65)/AQ65</f>
        <v>-2.4071781783453906E-2</v>
      </c>
      <c r="AR67" s="205">
        <f>+(AR66-AR65)/AR65</f>
        <v>1.7358371469149439E-2</v>
      </c>
      <c r="AS67" s="205">
        <f>+(AS66-AS65)/AS65</f>
        <v>-1.1361843143443269E-2</v>
      </c>
      <c r="AT67" s="205">
        <f>+(AT66-AT65)/AT65</f>
        <v>-1.1361843143443269E-2</v>
      </c>
      <c r="AU67" s="205">
        <f>+(AU66-AU65)/AU65</f>
        <v>-1.1361843143443269E-2</v>
      </c>
      <c r="AV67" s="201" t="s">
        <v>79</v>
      </c>
      <c r="AW67" s="184"/>
      <c r="AX67" s="184"/>
      <c r="AY67" s="184"/>
    </row>
    <row r="68" spans="1:51" ht="22">
      <c r="A68" s="284"/>
      <c r="B68" s="201" t="s">
        <v>80</v>
      </c>
      <c r="C68" s="230">
        <f t="shared" ref="C68:Z68" si="77">+C64-C67</f>
        <v>-4.1068452181309958E-2</v>
      </c>
      <c r="D68" s="230">
        <f t="shared" si="77"/>
        <v>-4.9219209313840037E-2</v>
      </c>
      <c r="E68" s="230">
        <f t="shared" si="77"/>
        <v>-2.8583552028542666E-2</v>
      </c>
      <c r="F68" s="230">
        <f t="shared" si="77"/>
        <v>-1.7296186133713788E-2</v>
      </c>
      <c r="G68" s="230">
        <f t="shared" si="77"/>
        <v>-3.7157989342538708E-2</v>
      </c>
      <c r="H68" s="230">
        <f t="shared" si="77"/>
        <v>-5.1219920459894902E-2</v>
      </c>
      <c r="I68" s="230">
        <f t="shared" si="77"/>
        <v>-3.8517434549265032E-2</v>
      </c>
      <c r="J68" s="230">
        <f t="shared" si="77"/>
        <v>-2.573899289913241E-2</v>
      </c>
      <c r="K68" s="230">
        <f t="shared" si="77"/>
        <v>-5.1728513354300815E-2</v>
      </c>
      <c r="L68" s="230">
        <f t="shared" si="77"/>
        <v>-3.082451462864147E-2</v>
      </c>
      <c r="M68" s="230">
        <f t="shared" si="77"/>
        <v>-1.8325289862841522E-2</v>
      </c>
      <c r="N68" s="230">
        <f t="shared" si="77"/>
        <v>-3.8397497630824284E-2</v>
      </c>
      <c r="O68" s="230">
        <f t="shared" si="77"/>
        <v>0</v>
      </c>
      <c r="P68" s="230">
        <f t="shared" si="77"/>
        <v>0</v>
      </c>
      <c r="Q68" s="230">
        <f t="shared" si="77"/>
        <v>0</v>
      </c>
      <c r="R68" s="230">
        <f t="shared" si="77"/>
        <v>-8.8152585588884003E-3</v>
      </c>
      <c r="S68" s="230">
        <f t="shared" si="77"/>
        <v>2.3434010660312476E-2</v>
      </c>
      <c r="T68" s="230">
        <f t="shared" si="77"/>
        <v>-1.4772452829146951E-2</v>
      </c>
      <c r="U68" s="230">
        <f t="shared" si="77"/>
        <v>4.5131902900604662E-2</v>
      </c>
      <c r="V68" s="230">
        <f t="shared" si="77"/>
        <v>4.1242725495549415E-4</v>
      </c>
      <c r="W68" s="230">
        <f t="shared" si="77"/>
        <v>2.0145862651361396E-2</v>
      </c>
      <c r="X68" s="230">
        <f t="shared" si="77"/>
        <v>2.199013669460452E-3</v>
      </c>
      <c r="Y68" s="230">
        <f t="shared" si="77"/>
        <v>-1.6431687753655597E-2</v>
      </c>
      <c r="Z68" s="230">
        <f t="shared" si="77"/>
        <v>-8.6327564427903999E-3</v>
      </c>
      <c r="AA68" s="230">
        <f t="shared" ref="AA68:AR68" si="78">+AA64-AA67</f>
        <v>0</v>
      </c>
      <c r="AB68" s="205">
        <f t="shared" si="78"/>
        <v>0</v>
      </c>
      <c r="AC68" s="205">
        <f t="shared" si="78"/>
        <v>2.3021885158960517E-2</v>
      </c>
      <c r="AD68" s="205">
        <f t="shared" si="78"/>
        <v>3.8578841714788738E-2</v>
      </c>
      <c r="AE68" s="205">
        <f t="shared" si="78"/>
        <v>3.202136131342697E-2</v>
      </c>
      <c r="AF68" s="205">
        <f t="shared" si="78"/>
        <v>4.3447810963860752E-2</v>
      </c>
      <c r="AG68" s="205">
        <f t="shared" si="78"/>
        <v>3.1042404243168259E-3</v>
      </c>
      <c r="AH68" s="205">
        <f t="shared" si="78"/>
        <v>3.4701653761489641E-2</v>
      </c>
      <c r="AI68" s="205">
        <f t="shared" si="78"/>
        <v>2.5540854005131775E-3</v>
      </c>
      <c r="AJ68" s="205">
        <f t="shared" si="78"/>
        <v>0</v>
      </c>
      <c r="AK68" s="205">
        <f t="shared" si="78"/>
        <v>0</v>
      </c>
      <c r="AL68" s="205">
        <f t="shared" si="78"/>
        <v>-1.5457442511542156E-2</v>
      </c>
      <c r="AM68" s="205">
        <f t="shared" si="78"/>
        <v>0</v>
      </c>
      <c r="AN68" s="205">
        <f t="shared" si="78"/>
        <v>0</v>
      </c>
      <c r="AO68" s="205">
        <f t="shared" si="78"/>
        <v>-1.3503051675178054E-2</v>
      </c>
      <c r="AP68" s="205">
        <f t="shared" si="78"/>
        <v>4.7039245951363898E-3</v>
      </c>
      <c r="AQ68" s="205">
        <f t="shared" si="78"/>
        <v>-7.1927760321483097E-3</v>
      </c>
      <c r="AR68" s="205">
        <f t="shared" si="78"/>
        <v>-1.7358371469149439E-2</v>
      </c>
      <c r="AS68" s="205">
        <f t="shared" ref="AS68:AT68" si="79">+AS64-AS67</f>
        <v>-3.9219675955829203E-2</v>
      </c>
      <c r="AT68" s="205">
        <f t="shared" si="79"/>
        <v>-3.9219675955829203E-2</v>
      </c>
      <c r="AU68" s="205">
        <f t="shared" ref="AU68" si="80">+AU64-AU67</f>
        <v>-3.9219675955829203E-2</v>
      </c>
      <c r="AV68" s="201" t="s">
        <v>80</v>
      </c>
      <c r="AW68" s="184"/>
      <c r="AX68" s="184"/>
      <c r="AY68" s="184"/>
    </row>
    <row r="69" spans="1:51" ht="22">
      <c r="A69" s="285"/>
      <c r="B69" s="206" t="s">
        <v>25</v>
      </c>
      <c r="C69" s="232" cm="1">
        <f t="array" ref="C69">_xlfn.XLOOKUP(MIN(ABS($BJ$7:$BJ$29 - MEDIAN(MIN($BJ$7:$BJ$29), MAX($BJ$7:$BJ$29), C68))), ABS($BJ$7:$BJ$29 - MEDIAN(MIN($BJ$7:$BJ$29), MAX($BJ$7:$BJ$29), C68)), $BK$7:$BK$29, "Error", 0)</f>
        <v>-3</v>
      </c>
      <c r="D69" s="232" cm="1">
        <f t="array" ref="D69">_xlfn.XLOOKUP(MIN(ABS($BJ$7:$BJ$29 - MEDIAN(MIN($BJ$7:$BJ$29), MAX($BJ$7:$BJ$29), D68))), ABS($BJ$7:$BJ$29 - MEDIAN(MIN($BJ$7:$BJ$29), MAX($BJ$7:$BJ$29), D68)), $BK$7:$BK$29, "Error", 0)</f>
        <v>-3</v>
      </c>
      <c r="E69" s="232" cm="1">
        <f t="array" ref="E69">_xlfn.XLOOKUP(MIN(ABS($BJ$7:$BJ$29 - MEDIAN(MIN($BJ$7:$BJ$29), MAX($BJ$7:$BJ$29), E68))), ABS($BJ$7:$BJ$29 - MEDIAN(MIN($BJ$7:$BJ$29), MAX($BJ$7:$BJ$29), E68)), $BK$7:$BK$29, "Error", 0)</f>
        <v>-2</v>
      </c>
      <c r="F69" s="232" cm="1">
        <f t="array" ref="F69">_xlfn.XLOOKUP(MIN(ABS($BJ$7:$BJ$29 - MEDIAN(MIN($BJ$7:$BJ$29), MAX($BJ$7:$BJ$29), F68))), ABS($BJ$7:$BJ$29 - MEDIAN(MIN($BJ$7:$BJ$29), MAX($BJ$7:$BJ$29), F68)), $BK$7:$BK$29, "Error", 0)</f>
        <v>-2</v>
      </c>
      <c r="G69" s="232" cm="1">
        <f t="array" ref="G69">_xlfn.XLOOKUP(MIN(ABS($BJ$7:$BJ$29 - MEDIAN(MIN($BJ$7:$BJ$29), MAX($BJ$7:$BJ$29), G68))), ABS($BJ$7:$BJ$29 - MEDIAN(MIN($BJ$7:$BJ$29), MAX($BJ$7:$BJ$29), G68)), $BK$7:$BK$29, "Error", 0)</f>
        <v>-3</v>
      </c>
      <c r="H69" s="232" cm="1">
        <f t="array" ref="H69">_xlfn.XLOOKUP(MIN(ABS($BJ$7:$BJ$29 - MEDIAN(MIN($BJ$7:$BJ$29), MAX($BJ$7:$BJ$29), H68))), ABS($BJ$7:$BJ$29 - MEDIAN(MIN($BJ$7:$BJ$29), MAX($BJ$7:$BJ$29), H68)), $BK$7:$BK$29, "Error", 0)</f>
        <v>-5</v>
      </c>
      <c r="I69" s="232" cm="1">
        <f t="array" ref="I69">_xlfn.XLOOKUP(MIN(ABS($BJ$7:$BJ$29 - MEDIAN(MIN($BJ$7:$BJ$29), MAX($BJ$7:$BJ$29), I68))), ABS($BJ$7:$BJ$29 - MEDIAN(MIN($BJ$7:$BJ$29), MAX($BJ$7:$BJ$29), I68)), $BK$7:$BK$29, "Error", 0)</f>
        <v>-3</v>
      </c>
      <c r="J69" s="232" cm="1">
        <f t="array" ref="J69">_xlfn.XLOOKUP(MIN(ABS($BJ$7:$BJ$29 - MEDIAN(MIN($BJ$7:$BJ$29), MAX($BJ$7:$BJ$29), J68))), ABS($BJ$7:$BJ$29 - MEDIAN(MIN($BJ$7:$BJ$29), MAX($BJ$7:$BJ$29), J68)), $BK$7:$BK$29, "Error", 0)</f>
        <v>-2</v>
      </c>
      <c r="K69" s="232" cm="1">
        <f t="array" ref="K69">_xlfn.XLOOKUP(MIN(ABS($BJ$7:$BJ$29 - MEDIAN(MIN($BJ$7:$BJ$29), MAX($BJ$7:$BJ$29), K68))), ABS($BJ$7:$BJ$29 - MEDIAN(MIN($BJ$7:$BJ$29), MAX($BJ$7:$BJ$29), K68)), $BK$7:$BK$29, "Error", 0)</f>
        <v>-5</v>
      </c>
      <c r="L69" s="232" cm="1">
        <f t="array" ref="L69">_xlfn.XLOOKUP(MIN(ABS($BJ$7:$BJ$29 - MEDIAN(MIN($BJ$7:$BJ$29), MAX($BJ$7:$BJ$29), L68))), ABS($BJ$7:$BJ$29 - MEDIAN(MIN($BJ$7:$BJ$29), MAX($BJ$7:$BJ$29), L68)), $BK$7:$BK$29, "Error", 0)</f>
        <v>-3</v>
      </c>
      <c r="M69" s="232" cm="1">
        <f t="array" ref="M69">_xlfn.XLOOKUP(MIN(ABS($BJ$7:$BJ$29 - MEDIAN(MIN($BJ$7:$BJ$29), MAX($BJ$7:$BJ$29), M68))), ABS($BJ$7:$BJ$29 - MEDIAN(MIN($BJ$7:$BJ$29), MAX($BJ$7:$BJ$29), M68)), $BK$7:$BK$29, "Error", 0)</f>
        <v>-2</v>
      </c>
      <c r="N69" s="232" cm="1">
        <f t="array" ref="N69">_xlfn.XLOOKUP(MIN(ABS($BJ$7:$BJ$29 - MEDIAN(MIN($BJ$7:$BJ$29), MAX($BJ$7:$BJ$29), N68))), ABS($BJ$7:$BJ$29 - MEDIAN(MIN($BJ$7:$BJ$29), MAX($BJ$7:$BJ$29), N68)), $BK$7:$BK$29, "Error", 0)</f>
        <v>-3</v>
      </c>
      <c r="O69" s="232" cm="1">
        <f t="array" ref="O69">_xlfn.XLOOKUP(MIN(ABS($BJ$7:$BJ$29 - MEDIAN(MIN($BJ$7:$BJ$29), MAX($BJ$7:$BJ$29), O68))), ABS($BJ$7:$BJ$29 - MEDIAN(MIN($BJ$7:$BJ$29), MAX($BJ$7:$BJ$29), O68)), $BK$7:$BK$29, "Error", 0)</f>
        <v>0</v>
      </c>
      <c r="P69" s="232" cm="1">
        <f t="array" ref="P69">_xlfn.XLOOKUP(MIN(ABS($BJ$7:$BJ$29 - MEDIAN(MIN($BJ$7:$BJ$29), MAX($BJ$7:$BJ$29), P68))), ABS($BJ$7:$BJ$29 - MEDIAN(MIN($BJ$7:$BJ$29), MAX($BJ$7:$BJ$29), P68)), $BK$7:$BK$29, "Error", 0)</f>
        <v>0</v>
      </c>
      <c r="Q69" s="232" cm="1">
        <f t="array" ref="Q69">_xlfn.XLOOKUP(MIN(ABS($BJ$7:$BJ$29 - MEDIAN(MIN($BJ$7:$BJ$29), MAX($BJ$7:$BJ$29), Q68))), ABS($BJ$7:$BJ$29 - MEDIAN(MIN($BJ$7:$BJ$29), MAX($BJ$7:$BJ$29), Q68)), $BK$7:$BK$29, "Error", 0)</f>
        <v>0</v>
      </c>
      <c r="R69" s="232" cm="1">
        <f t="array" ref="R69">_xlfn.XLOOKUP(MIN(ABS($BJ$7:$BJ$29 - MEDIAN(MIN($BJ$7:$BJ$29), MAX($BJ$7:$BJ$29), R68))), ABS($BJ$7:$BJ$29 - MEDIAN(MIN($BJ$7:$BJ$29), MAX($BJ$7:$BJ$29), R68)), $BK$7:$BK$29, "Error", 0)</f>
        <v>0</v>
      </c>
      <c r="S69" s="232" cm="1">
        <f t="array" ref="S69">_xlfn.XLOOKUP(MIN(ABS($BJ$7:$BJ$29 - MEDIAN(MIN($BJ$7:$BJ$29), MAX($BJ$7:$BJ$29), S68))), ABS($BJ$7:$BJ$29 - MEDIAN(MIN($BJ$7:$BJ$29), MAX($BJ$7:$BJ$29), S68)), $BK$7:$BK$29, "Error", 0)</f>
        <v>2</v>
      </c>
      <c r="T69" s="232" cm="1">
        <f t="array" ref="T69">_xlfn.XLOOKUP(MIN(ABS($BJ$7:$BJ$29 - MEDIAN(MIN($BJ$7:$BJ$29), MAX($BJ$7:$BJ$29), T68))), ABS($BJ$7:$BJ$29 - MEDIAN(MIN($BJ$7:$BJ$29), MAX($BJ$7:$BJ$29), T68)), $BK$7:$BK$29, "Error", 0)</f>
        <v>-2</v>
      </c>
      <c r="U69" s="232" cm="1">
        <f t="array" ref="U69">_xlfn.XLOOKUP(MIN(ABS($BJ$7:$BJ$29 - MEDIAN(MIN($BJ$7:$BJ$29), MAX($BJ$7:$BJ$29), U68))), ABS($BJ$7:$BJ$29 - MEDIAN(MIN($BJ$7:$BJ$29), MAX($BJ$7:$BJ$29), U68)), $BK$7:$BK$29, "Error", 0)</f>
        <v>3</v>
      </c>
      <c r="V69" s="232" cm="1">
        <f t="array" ref="V69">_xlfn.XLOOKUP(MIN(ABS($BJ$7:$BJ$29 - MEDIAN(MIN($BJ$7:$BJ$29), MAX($BJ$7:$BJ$29), V68))), ABS($BJ$7:$BJ$29 - MEDIAN(MIN($BJ$7:$BJ$29), MAX($BJ$7:$BJ$29), V68)), $BK$7:$BK$29, "Error", 0)</f>
        <v>0</v>
      </c>
      <c r="W69" s="232" cm="1">
        <f t="array" ref="W69">_xlfn.XLOOKUP(MIN(ABS($BJ$7:$BJ$29 - MEDIAN(MIN($BJ$7:$BJ$29), MAX($BJ$7:$BJ$29), W68))), ABS($BJ$7:$BJ$29 - MEDIAN(MIN($BJ$7:$BJ$29), MAX($BJ$7:$BJ$29), W68)), $BK$7:$BK$29, "Error", 0)</f>
        <v>2</v>
      </c>
      <c r="X69" s="232" cm="1">
        <f t="array" ref="X69">_xlfn.XLOOKUP(MIN(ABS($BJ$7:$BJ$29 - MEDIAN(MIN($BJ$7:$BJ$29), MAX($BJ$7:$BJ$29), X68))), ABS($BJ$7:$BJ$29 - MEDIAN(MIN($BJ$7:$BJ$29), MAX($BJ$7:$BJ$29), X68)), $BK$7:$BK$29, "Error", 0)</f>
        <v>0</v>
      </c>
      <c r="Y69" s="232" cm="1">
        <f t="array" ref="Y69">_xlfn.XLOOKUP(MIN(ABS($BJ$7:$BJ$29 - MEDIAN(MIN($BJ$7:$BJ$29), MAX($BJ$7:$BJ$29), Y68))), ABS($BJ$7:$BJ$29 - MEDIAN(MIN($BJ$7:$BJ$29), MAX($BJ$7:$BJ$29), Y68)), $BK$7:$BK$29, "Error", 0)</f>
        <v>-2</v>
      </c>
      <c r="Z69" s="232" cm="1">
        <f t="array" ref="Z69">_xlfn.XLOOKUP(MIN(ABS($BJ$7:$BJ$29 - MEDIAN(MIN($BJ$7:$BJ$29), MAX($BJ$7:$BJ$29), Z68))), ABS($BJ$7:$BJ$29 - MEDIAN(MIN($BJ$7:$BJ$29), MAX($BJ$7:$BJ$29), Z68)), $BK$7:$BK$29, "Error", 0)</f>
        <v>0</v>
      </c>
      <c r="AA69" s="232" cm="1">
        <f t="array" ref="AA69">_xlfn.XLOOKUP(MIN(ABS($BJ$7:$BJ$29 - MEDIAN(MIN($BJ$7:$BJ$29), MAX($BJ$7:$BJ$29), AA68))), ABS($BJ$7:$BJ$29 - MEDIAN(MIN($BJ$7:$BJ$29), MAX($BJ$7:$BJ$29), AA68)), $BK$7:$BK$29, "Error", 0)</f>
        <v>0</v>
      </c>
      <c r="AB69" s="171" cm="1">
        <f t="array" ref="AB69">_xlfn.XLOOKUP(MIN(ABS($BJ$7:$BJ$29 - MEDIAN(MIN($BJ$7:$BJ$29), MAX($BJ$7:$BJ$29), AB68))), ABS($BJ$7:$BJ$29 - MEDIAN(MIN($BJ$7:$BJ$29), MAX($BJ$7:$BJ$29), AB68)), $BK$7:$BK$29, "Error", 0)</f>
        <v>0</v>
      </c>
      <c r="AC69" s="171" cm="1">
        <f t="array" ref="AC69">_xlfn.XLOOKUP(MIN(ABS($BJ$7:$BJ$29 - MEDIAN(MIN($BJ$7:$BJ$29), MAX($BJ$7:$BJ$29), AC68))), ABS($BJ$7:$BJ$29 - MEDIAN(MIN($BJ$7:$BJ$29), MAX($BJ$7:$BJ$29), AC68)), $BK$7:$BK$29, "Error", 0)</f>
        <v>2</v>
      </c>
      <c r="AD69" s="171" cm="1">
        <f t="array" ref="AD69">_xlfn.XLOOKUP(MIN(ABS($BJ$7:$BJ$29 - MEDIAN(MIN($BJ$7:$BJ$29), MAX($BJ$7:$BJ$29), AD68))), ABS($BJ$7:$BJ$29 - MEDIAN(MIN($BJ$7:$BJ$29), MAX($BJ$7:$BJ$29), AD68)), $BK$7:$BK$29, "Error", 0)</f>
        <v>3</v>
      </c>
      <c r="AE69" s="171" cm="1">
        <f t="array" ref="AE69">_xlfn.XLOOKUP(MIN(ABS($BJ$7:$BJ$29 - MEDIAN(MIN($BJ$7:$BJ$29), MAX($BJ$7:$BJ$29), AE68))), ABS($BJ$7:$BJ$29 - MEDIAN(MIN($BJ$7:$BJ$29), MAX($BJ$7:$BJ$29), AE68)), $BK$7:$BK$29, "Error", 0)</f>
        <v>3</v>
      </c>
      <c r="AF69" s="171" cm="1">
        <f t="array" ref="AF69">_xlfn.XLOOKUP(MIN(ABS($BJ$7:$BJ$29 - MEDIAN(MIN($BJ$7:$BJ$29), MAX($BJ$7:$BJ$29), AF68))), ABS($BJ$7:$BJ$29 - MEDIAN(MIN($BJ$7:$BJ$29), MAX($BJ$7:$BJ$29), AF68)), $BK$7:$BK$29, "Error", 0)</f>
        <v>3</v>
      </c>
      <c r="AG69" s="171" cm="1">
        <f t="array" ref="AG69">_xlfn.XLOOKUP(MIN(ABS($BJ$7:$BJ$29 - MEDIAN(MIN($BJ$7:$BJ$29), MAX($BJ$7:$BJ$29), AG68))), ABS($BJ$7:$BJ$29 - MEDIAN(MIN($BJ$7:$BJ$29), MAX($BJ$7:$BJ$29), AG68)), $BK$7:$BK$29, "Error", 0)</f>
        <v>0</v>
      </c>
      <c r="AH69" s="171" cm="1">
        <f t="array" ref="AH69">_xlfn.XLOOKUP(MIN(ABS($BJ$7:$BJ$29 - MEDIAN(MIN($BJ$7:$BJ$29), MAX($BJ$7:$BJ$29), AH68))), ABS($BJ$7:$BJ$29 - MEDIAN(MIN($BJ$7:$BJ$29), MAX($BJ$7:$BJ$29), AH68)), $BK$7:$BK$29, "Error", 0)</f>
        <v>3</v>
      </c>
      <c r="AI69" s="171" cm="1">
        <f t="array" ref="AI69">_xlfn.XLOOKUP(MIN(ABS($BJ$7:$BJ$29 - MEDIAN(MIN($BJ$7:$BJ$29), MAX($BJ$7:$BJ$29), AI68))), ABS($BJ$7:$BJ$29 - MEDIAN(MIN($BJ$7:$BJ$29), MAX($BJ$7:$BJ$29), AI68)), $BK$7:$BK$29, "Error", 0)</f>
        <v>0</v>
      </c>
      <c r="AJ69" s="171" cm="1">
        <f t="array" ref="AJ69">_xlfn.XLOOKUP(MIN(ABS($BJ$7:$BJ$29 - MEDIAN(MIN($BJ$7:$BJ$29), MAX($BJ$7:$BJ$29), AJ68))), ABS($BJ$7:$BJ$29 - MEDIAN(MIN($BJ$7:$BJ$29), MAX($BJ$7:$BJ$29), AJ68)), $BK$7:$BK$29, "Error", 0)</f>
        <v>0</v>
      </c>
      <c r="AK69" s="171" cm="1">
        <f t="array" ref="AK69">_xlfn.XLOOKUP(MIN(ABS($BJ$7:$BJ$29 - MEDIAN(MIN($BJ$7:$BJ$29), MAX($BJ$7:$BJ$29), AK68))), ABS($BJ$7:$BJ$29 - MEDIAN(MIN($BJ$7:$BJ$29), MAX($BJ$7:$BJ$29), AK68)), $BK$7:$BK$29, "Error", 0)</f>
        <v>0</v>
      </c>
      <c r="AL69" s="171" cm="1">
        <f t="array" ref="AL69">_xlfn.XLOOKUP(MIN(ABS($BJ$7:$BJ$29 - MEDIAN(MIN($BJ$7:$BJ$29), MAX($BJ$7:$BJ$29), AL68))), ABS($BJ$7:$BJ$29 - MEDIAN(MIN($BJ$7:$BJ$29), MAX($BJ$7:$BJ$29), AL68)), $BK$7:$BK$29, "Error", 0)</f>
        <v>-2</v>
      </c>
      <c r="AM69" s="171" cm="1">
        <f t="array" ref="AM69">_xlfn.XLOOKUP(MIN(ABS($BJ$7:$BJ$29 - MEDIAN(MIN($BJ$7:$BJ$29), MAX($BJ$7:$BJ$29), AM68))), ABS($BJ$7:$BJ$29 - MEDIAN(MIN($BJ$7:$BJ$29), MAX($BJ$7:$BJ$29), AM68)), $BK$7:$BK$29, "Error", 0)</f>
        <v>0</v>
      </c>
      <c r="AN69" s="171" cm="1">
        <f t="array" ref="AN69">_xlfn.XLOOKUP(MIN(ABS($BJ$7:$BJ$29 - MEDIAN(MIN($BJ$7:$BJ$29), MAX($BJ$7:$BJ$29), AN68))), ABS($BJ$7:$BJ$29 - MEDIAN(MIN($BJ$7:$BJ$29), MAX($BJ$7:$BJ$29), AN68)), $BK$7:$BK$29, "Error", 0)</f>
        <v>0</v>
      </c>
      <c r="AO69" s="171" cm="1">
        <f t="array" ref="AO69">_xlfn.XLOOKUP(MIN(ABS($BJ$7:$BJ$29 - MEDIAN(MIN($BJ$7:$BJ$29), MAX($BJ$7:$BJ$29), AO68))), ABS($BJ$7:$BJ$29 - MEDIAN(MIN($BJ$7:$BJ$29), MAX($BJ$7:$BJ$29), AO68)), $BK$7:$BK$29, "Error", 0)</f>
        <v>-2</v>
      </c>
      <c r="AP69" s="171" cm="1">
        <f t="array" ref="AP69">_xlfn.XLOOKUP(MIN(ABS($BJ$7:$BJ$29 - MEDIAN(MIN($BJ$7:$BJ$29), MAX($BJ$7:$BJ$29), AP68))), ABS($BJ$7:$BJ$29 - MEDIAN(MIN($BJ$7:$BJ$29), MAX($BJ$7:$BJ$29), AP68)), $BK$7:$BK$29, "Error", 0)</f>
        <v>0</v>
      </c>
      <c r="AQ69" s="171" cm="1">
        <f t="array" ref="AQ69">_xlfn.XLOOKUP(MIN(ABS($BJ$7:$BJ$29 - MEDIAN(MIN($BJ$7:$BJ$29), MAX($BJ$7:$BJ$29), AQ68))), ABS($BJ$7:$BJ$29 - MEDIAN(MIN($BJ$7:$BJ$29), MAX($BJ$7:$BJ$29), AQ68)), $BK$7:$BK$29, "Error", 0)</f>
        <v>0</v>
      </c>
      <c r="AR69" s="171" cm="1">
        <f t="array" ref="AR69">_xlfn.XLOOKUP(MIN(ABS($BJ$7:$BJ$29 - MEDIAN(MIN($BJ$7:$BJ$29), MAX($BJ$7:$BJ$29), AR68))), ABS($BJ$7:$BJ$29 - MEDIAN(MIN($BJ$7:$BJ$29), MAX($BJ$7:$BJ$29), AR68)), $BK$7:$BK$29, "Error", 0)</f>
        <v>-2</v>
      </c>
      <c r="AS69" s="171" cm="1">
        <f t="array" ref="AS69">_xlfn.XLOOKUP(MIN(ABS($BJ$7:$BJ$29 - MEDIAN(MIN($BJ$7:$BJ$29), MAX($BJ$7:$BJ$29), AS68))), ABS($BJ$7:$BJ$29 - MEDIAN(MIN($BJ$7:$BJ$29), MAX($BJ$7:$BJ$29), AS68)), $BK$7:$BK$29, "Error", 0)</f>
        <v>-3</v>
      </c>
      <c r="AT69" s="171" cm="1">
        <f t="array" ref="AT69">_xlfn.XLOOKUP(MIN(ABS($BJ$7:$BJ$29 - MEDIAN(MIN($BJ$7:$BJ$29), MAX($BJ$7:$BJ$29), AT68))), ABS($BJ$7:$BJ$29 - MEDIAN(MIN($BJ$7:$BJ$29), MAX($BJ$7:$BJ$29), AT68)), $BK$7:$BK$29, "Error", 0)</f>
        <v>-3</v>
      </c>
      <c r="AU69" s="171" cm="1">
        <f t="array" ref="AU69">_xlfn.XLOOKUP(MIN(ABS($BJ$7:$BJ$29 - MEDIAN(MIN($BJ$7:$BJ$29), MAX($BJ$7:$BJ$29), AU68))), ABS($BJ$7:$BJ$29 - MEDIAN(MIN($BJ$7:$BJ$29), MAX($BJ$7:$BJ$29), AU68)), $BK$7:$BK$29, "Error", 0)</f>
        <v>-3</v>
      </c>
      <c r="AV69" s="206" t="s">
        <v>25</v>
      </c>
      <c r="AW69" s="184"/>
      <c r="AX69" s="184"/>
      <c r="AY69" s="184"/>
    </row>
    <row r="70" spans="1:51" ht="44">
      <c r="A70" s="283" t="s">
        <v>12</v>
      </c>
      <c r="B70" s="200" t="s">
        <v>76</v>
      </c>
      <c r="C70" s="233">
        <v>7714.7023389696797</v>
      </c>
      <c r="D70" s="233">
        <v>7714.7023389696797</v>
      </c>
      <c r="E70" s="233">
        <v>7714.7023389696797</v>
      </c>
      <c r="F70" s="233">
        <v>7714.7023389696797</v>
      </c>
      <c r="G70" s="233">
        <v>7714.7023389696797</v>
      </c>
      <c r="H70" s="233">
        <v>7714.7023389696797</v>
      </c>
      <c r="I70" s="233">
        <v>7714.7023389696797</v>
      </c>
      <c r="J70" s="233">
        <v>7714.7023389696797</v>
      </c>
      <c r="K70" s="233">
        <v>7714.7023389696797</v>
      </c>
      <c r="L70" s="233">
        <v>7714.7023389696797</v>
      </c>
      <c r="M70" s="233">
        <v>7714.7023389696797</v>
      </c>
      <c r="N70" s="233">
        <v>7714.7023389696797</v>
      </c>
      <c r="O70" s="233">
        <v>7779.8428890739997</v>
      </c>
      <c r="P70" s="233">
        <v>8178.85776475689</v>
      </c>
      <c r="Q70" s="233">
        <v>8544.3364959158898</v>
      </c>
      <c r="R70" s="233">
        <v>8544.3364959158898</v>
      </c>
      <c r="S70" s="233">
        <v>8544.3364959158898</v>
      </c>
      <c r="T70" s="233">
        <v>8544.3364959158898</v>
      </c>
      <c r="U70" s="233">
        <v>8544.3364959158898</v>
      </c>
      <c r="V70" s="233">
        <v>8544.3364959158898</v>
      </c>
      <c r="W70" s="233">
        <v>8544.3364959158898</v>
      </c>
      <c r="X70" s="233">
        <v>8544.3364959158898</v>
      </c>
      <c r="Y70" s="233">
        <v>8544.3364959158898</v>
      </c>
      <c r="Z70" s="233">
        <v>8544.3364959158898</v>
      </c>
      <c r="AA70" s="204">
        <v>8916.6880147533993</v>
      </c>
      <c r="AB70" s="204">
        <v>9307.7463622303894</v>
      </c>
      <c r="AC70" s="204">
        <v>9307.7463622303894</v>
      </c>
      <c r="AD70" s="204">
        <v>9886.2471265853401</v>
      </c>
      <c r="AE70" s="204">
        <v>9886.2471265853401</v>
      </c>
      <c r="AF70" s="204">
        <v>9886.2471265853401</v>
      </c>
      <c r="AG70" s="204">
        <v>9886.2471265853401</v>
      </c>
      <c r="AH70" s="204">
        <v>10005.318571227401</v>
      </c>
      <c r="AI70" s="204">
        <v>10005.318571227401</v>
      </c>
      <c r="AJ70" s="204">
        <v>10412.075956974601</v>
      </c>
      <c r="AK70" s="204">
        <v>10458.3877166599</v>
      </c>
      <c r="AL70" s="204">
        <v>10458.3877166599</v>
      </c>
      <c r="AM70" s="204">
        <v>10458.3877166599</v>
      </c>
      <c r="AN70" s="204">
        <v>10628.5303004537</v>
      </c>
      <c r="AO70" s="204">
        <v>10628.5303004537</v>
      </c>
      <c r="AP70" s="204">
        <v>10628.5303004537</v>
      </c>
      <c r="AQ70" s="204">
        <v>10628.5303004537</v>
      </c>
      <c r="AR70" s="204">
        <v>10628.5303004537</v>
      </c>
      <c r="AS70" s="204">
        <v>10628.5303004537</v>
      </c>
      <c r="AT70" s="204">
        <v>10628.5303004537</v>
      </c>
      <c r="AU70" s="204">
        <v>10628.5303004537</v>
      </c>
      <c r="AV70" s="200" t="s">
        <v>76</v>
      </c>
      <c r="AW70" s="184"/>
      <c r="AX70" s="184"/>
      <c r="AY70" s="184"/>
    </row>
    <row r="71" spans="1:51" ht="22">
      <c r="A71" s="284"/>
      <c r="B71" s="201" t="s">
        <v>77</v>
      </c>
      <c r="C71" s="233">
        <v>6400.38856425637</v>
      </c>
      <c r="D71" s="233">
        <v>6668.66699492512</v>
      </c>
      <c r="E71" s="233">
        <v>7006.51878780895</v>
      </c>
      <c r="F71" s="233">
        <v>7332.3596973212598</v>
      </c>
      <c r="G71" s="233">
        <v>6944.7077271630997</v>
      </c>
      <c r="H71" s="233">
        <v>7222.2056544846901</v>
      </c>
      <c r="I71" s="233">
        <v>7400.1075666922798</v>
      </c>
      <c r="J71" s="233">
        <v>7248.7516833340596</v>
      </c>
      <c r="K71" s="233">
        <v>6871.9082679338799</v>
      </c>
      <c r="L71" s="233">
        <v>6767.8565629763798</v>
      </c>
      <c r="M71" s="233">
        <v>7266.9683380456399</v>
      </c>
      <c r="N71" s="233">
        <v>7331.4031456230996</v>
      </c>
      <c r="O71" s="233">
        <v>7779.8428890739997</v>
      </c>
      <c r="P71" s="233">
        <v>8178.85776475689</v>
      </c>
      <c r="Q71" s="233">
        <v>8544.3364959158898</v>
      </c>
      <c r="R71" s="233">
        <v>8036.10629545542</v>
      </c>
      <c r="S71" s="233">
        <v>8141.4728804021097</v>
      </c>
      <c r="T71" s="233">
        <v>7843.64586103277</v>
      </c>
      <c r="U71" s="233">
        <v>8057.0650144512801</v>
      </c>
      <c r="V71" s="233">
        <v>8103.8184104685197</v>
      </c>
      <c r="W71" s="233">
        <v>8072.2768856508201</v>
      </c>
      <c r="X71" s="233">
        <v>7975.1965606376798</v>
      </c>
      <c r="Y71" s="233">
        <v>7808.11088073684</v>
      </c>
      <c r="Z71" s="233">
        <v>8191.95375841652</v>
      </c>
      <c r="AA71" s="204">
        <v>8916.6880147533993</v>
      </c>
      <c r="AB71" s="204">
        <v>9307.7463622303894</v>
      </c>
      <c r="AC71" s="204">
        <v>9041.3491323481394</v>
      </c>
      <c r="AD71" s="204">
        <v>9886.2471265853401</v>
      </c>
      <c r="AE71" s="204">
        <v>9460.7612079097908</v>
      </c>
      <c r="AF71" s="204">
        <v>9518.9448943538591</v>
      </c>
      <c r="AG71" s="204">
        <v>9430.2495248853193</v>
      </c>
      <c r="AH71" s="204">
        <v>10005.318571227401</v>
      </c>
      <c r="AI71" s="204">
        <v>9860.4162812229497</v>
      </c>
      <c r="AJ71" s="204">
        <v>10412.075956974601</v>
      </c>
      <c r="AK71" s="204">
        <v>10458.3877166599</v>
      </c>
      <c r="AL71" s="204">
        <v>10158.423079568</v>
      </c>
      <c r="AM71" s="204">
        <v>10124.362609595701</v>
      </c>
      <c r="AN71" s="204">
        <v>10628.5303004537</v>
      </c>
      <c r="AO71" s="204">
        <v>9321.0543441773007</v>
      </c>
      <c r="AP71" s="204">
        <v>9791.35598521459</v>
      </c>
      <c r="AQ71" s="204">
        <v>9808.5301480391099</v>
      </c>
      <c r="AR71" s="204">
        <v>10499</v>
      </c>
      <c r="AS71" s="204">
        <v>10260</v>
      </c>
      <c r="AT71" s="204">
        <v>10260</v>
      </c>
      <c r="AU71" s="204">
        <v>10260</v>
      </c>
      <c r="AV71" s="201" t="s">
        <v>77</v>
      </c>
      <c r="AW71" s="184"/>
      <c r="AX71" s="184"/>
      <c r="AY71" s="184"/>
    </row>
    <row r="72" spans="1:51" ht="22">
      <c r="A72" s="284"/>
      <c r="B72" s="201" t="s">
        <v>78</v>
      </c>
      <c r="C72" s="230">
        <f t="shared" ref="C72:Z72" si="81">+(C71-C70)/C70</f>
        <v>-0.17036480695752157</v>
      </c>
      <c r="D72" s="230">
        <f t="shared" si="81"/>
        <v>-0.13558985143997929</v>
      </c>
      <c r="E72" s="230">
        <f t="shared" si="81"/>
        <v>-9.1796613795900456E-2</v>
      </c>
      <c r="F72" s="230">
        <f t="shared" si="81"/>
        <v>-4.956025843240542E-2</v>
      </c>
      <c r="G72" s="230">
        <f t="shared" si="81"/>
        <v>-9.9808725985066973E-2</v>
      </c>
      <c r="H72" s="230">
        <f t="shared" si="81"/>
        <v>-6.3838715072286764E-2</v>
      </c>
      <c r="I72" s="230">
        <f t="shared" si="81"/>
        <v>-4.0778601487742545E-2</v>
      </c>
      <c r="J72" s="230">
        <f t="shared" si="81"/>
        <v>-6.0397749020326956E-2</v>
      </c>
      <c r="K72" s="230">
        <f t="shared" si="81"/>
        <v>-0.10924518328834931</v>
      </c>
      <c r="L72" s="230">
        <f t="shared" si="81"/>
        <v>-0.12273263884861095</v>
      </c>
      <c r="M72" s="230">
        <f t="shared" si="81"/>
        <v>-5.8036458342971643E-2</v>
      </c>
      <c r="N72" s="230">
        <f t="shared" si="81"/>
        <v>-4.9684249178403264E-2</v>
      </c>
      <c r="O72" s="230">
        <f t="shared" si="81"/>
        <v>0</v>
      </c>
      <c r="P72" s="230">
        <f t="shared" si="81"/>
        <v>0</v>
      </c>
      <c r="Q72" s="230">
        <f t="shared" si="81"/>
        <v>0</v>
      </c>
      <c r="R72" s="230">
        <f t="shared" si="81"/>
        <v>-5.9481529163019152E-2</v>
      </c>
      <c r="S72" s="230">
        <f t="shared" si="81"/>
        <v>-4.7149783450867726E-2</v>
      </c>
      <c r="T72" s="230">
        <f t="shared" si="81"/>
        <v>-8.2006441953455744E-2</v>
      </c>
      <c r="U72" s="230">
        <f t="shared" si="81"/>
        <v>-5.7028592178868506E-2</v>
      </c>
      <c r="V72" s="230">
        <f t="shared" si="81"/>
        <v>-5.1556734178005922E-2</v>
      </c>
      <c r="W72" s="230">
        <f t="shared" si="81"/>
        <v>-5.5248246659141957E-2</v>
      </c>
      <c r="X72" s="230">
        <f t="shared" si="81"/>
        <v>-6.6610196771891353E-2</v>
      </c>
      <c r="Y72" s="230">
        <f t="shared" si="81"/>
        <v>-8.6165334842671346E-2</v>
      </c>
      <c r="Z72" s="230">
        <f t="shared" si="81"/>
        <v>-4.1241673670952134E-2</v>
      </c>
      <c r="AA72" s="230">
        <f t="shared" ref="AA72:AR72" si="82">+(AA71-AA70)/AA70</f>
        <v>0</v>
      </c>
      <c r="AB72" s="205">
        <f t="shared" si="82"/>
        <v>0</v>
      </c>
      <c r="AC72" s="205">
        <f t="shared" si="82"/>
        <v>-2.8621023770399993E-2</v>
      </c>
      <c r="AD72" s="205">
        <f t="shared" si="82"/>
        <v>0</v>
      </c>
      <c r="AE72" s="205">
        <f t="shared" si="82"/>
        <v>-4.3038163342221651E-2</v>
      </c>
      <c r="AF72" s="205">
        <f t="shared" si="82"/>
        <v>-3.7152847539463164E-2</v>
      </c>
      <c r="AG72" s="205">
        <f t="shared" si="82"/>
        <v>-4.6124438916137038E-2</v>
      </c>
      <c r="AH72" s="205">
        <f t="shared" si="82"/>
        <v>0</v>
      </c>
      <c r="AI72" s="205">
        <f t="shared" si="82"/>
        <v>-1.4482526365642269E-2</v>
      </c>
      <c r="AJ72" s="205">
        <f t="shared" si="82"/>
        <v>0</v>
      </c>
      <c r="AK72" s="205">
        <f t="shared" si="82"/>
        <v>0</v>
      </c>
      <c r="AL72" s="205">
        <f t="shared" si="82"/>
        <v>-2.868172850525184E-2</v>
      </c>
      <c r="AM72" s="205">
        <f t="shared" si="82"/>
        <v>-3.1938489575415806E-2</v>
      </c>
      <c r="AN72" s="205">
        <f t="shared" si="82"/>
        <v>0</v>
      </c>
      <c r="AO72" s="205">
        <f t="shared" si="82"/>
        <v>-0.12301568695914496</v>
      </c>
      <c r="AP72" s="205">
        <f t="shared" si="82"/>
        <v>-7.8766705421479913E-2</v>
      </c>
      <c r="AQ72" s="205">
        <f t="shared" si="82"/>
        <v>-7.7150850515953912E-2</v>
      </c>
      <c r="AR72" s="205">
        <f t="shared" si="82"/>
        <v>-1.2187037792814187E-2</v>
      </c>
      <c r="AS72" s="205">
        <f t="shared" ref="AS72:AT72" si="83">+(AS71-AS70)/AS70</f>
        <v>-3.4673683946497148E-2</v>
      </c>
      <c r="AT72" s="205">
        <f t="shared" si="83"/>
        <v>-3.4673683946497148E-2</v>
      </c>
      <c r="AU72" s="205">
        <f t="shared" ref="AU72" si="84">+(AU71-AU70)/AU70</f>
        <v>-3.4673683946497148E-2</v>
      </c>
      <c r="AV72" s="201" t="s">
        <v>78</v>
      </c>
      <c r="AW72" s="184"/>
      <c r="AX72" s="184"/>
      <c r="AY72" s="184"/>
    </row>
    <row r="73" spans="1:51" ht="44">
      <c r="A73" s="284"/>
      <c r="B73" s="201" t="s">
        <v>91</v>
      </c>
      <c r="C73" s="233">
        <v>4522.240234375</v>
      </c>
      <c r="D73" s="233">
        <v>4522.240234375</v>
      </c>
      <c r="E73" s="233">
        <v>4522.240234375</v>
      </c>
      <c r="F73" s="233">
        <v>4522.240234375</v>
      </c>
      <c r="G73" s="233">
        <v>4522.240234375</v>
      </c>
      <c r="H73" s="233">
        <v>4522.240234375</v>
      </c>
      <c r="I73" s="233">
        <v>4522.240234375</v>
      </c>
      <c r="J73" s="233">
        <v>4522.240234375</v>
      </c>
      <c r="K73" s="233">
        <v>4522.240234375</v>
      </c>
      <c r="L73" s="233">
        <v>4522.240234375</v>
      </c>
      <c r="M73" s="233">
        <v>4522.240234375</v>
      </c>
      <c r="N73" s="233">
        <v>4593.10986328125</v>
      </c>
      <c r="O73" s="233">
        <v>4674.740234375</v>
      </c>
      <c r="P73" s="233">
        <v>4898.3701171875</v>
      </c>
      <c r="Q73" s="233">
        <v>5103.259765625</v>
      </c>
      <c r="R73" s="233">
        <v>5103.259765625</v>
      </c>
      <c r="S73" s="233">
        <v>5103.259765625</v>
      </c>
      <c r="T73" s="233">
        <v>5103.259765625</v>
      </c>
      <c r="U73" s="233">
        <v>5103.259765625</v>
      </c>
      <c r="V73" s="233">
        <v>5103.259765625</v>
      </c>
      <c r="W73" s="233">
        <v>5103.259765625</v>
      </c>
      <c r="X73" s="233">
        <v>5103.259765625</v>
      </c>
      <c r="Y73" s="233">
        <v>5103.259765625</v>
      </c>
      <c r="Z73" s="233">
        <v>5103.259765625</v>
      </c>
      <c r="AA73" s="231">
        <v>5314.2900390625</v>
      </c>
      <c r="AB73" s="203">
        <v>5544.1201171875</v>
      </c>
      <c r="AC73" s="203">
        <v>5544.1201171875</v>
      </c>
      <c r="AD73" s="203">
        <v>5544.1201171875</v>
      </c>
      <c r="AE73" s="203">
        <v>5544.1201171875</v>
      </c>
      <c r="AF73" s="203">
        <v>5544.1201171875</v>
      </c>
      <c r="AG73" s="203">
        <v>5544.1201171875</v>
      </c>
      <c r="AH73" s="203">
        <v>5544.1201171875</v>
      </c>
      <c r="AI73" s="203">
        <v>5544.1201171875</v>
      </c>
      <c r="AJ73" s="203">
        <v>5734.27978515625</v>
      </c>
      <c r="AK73" s="203">
        <v>5818.06982421875</v>
      </c>
      <c r="AL73" s="203">
        <v>5818.06982421875</v>
      </c>
      <c r="AM73" s="203">
        <v>6053.68017578125</v>
      </c>
      <c r="AN73" s="203">
        <v>6199.77978515625</v>
      </c>
      <c r="AO73" s="203">
        <v>6199.77978515625</v>
      </c>
      <c r="AP73" s="203">
        <v>6199.77978515625</v>
      </c>
      <c r="AQ73" s="203">
        <v>6199.77978515625</v>
      </c>
      <c r="AR73" s="203">
        <v>6337</v>
      </c>
      <c r="AS73" s="203">
        <v>6337</v>
      </c>
      <c r="AT73" s="203">
        <v>6337</v>
      </c>
      <c r="AU73" s="203">
        <v>6337</v>
      </c>
      <c r="AV73" s="201" t="s">
        <v>91</v>
      </c>
      <c r="AW73" s="184"/>
      <c r="AX73" s="184"/>
      <c r="AY73" s="184"/>
    </row>
    <row r="74" spans="1:51" ht="44">
      <c r="A74" s="284"/>
      <c r="B74" s="201" t="s">
        <v>92</v>
      </c>
      <c r="C74" s="233">
        <v>4163.4501953125</v>
      </c>
      <c r="D74" s="233">
        <v>4238.3798828125</v>
      </c>
      <c r="E74" s="233">
        <v>4315.0498046875</v>
      </c>
      <c r="F74" s="233">
        <v>4359.31005859375</v>
      </c>
      <c r="G74" s="233">
        <v>4218.0400390625</v>
      </c>
      <c r="H74" s="233">
        <v>4399.08984375</v>
      </c>
      <c r="I74" s="233">
        <v>4471.31005859375</v>
      </c>
      <c r="J74" s="233">
        <v>4297.10986328125</v>
      </c>
      <c r="K74" s="233">
        <v>4174.66015625</v>
      </c>
      <c r="L74" s="233">
        <v>4061.1201171875</v>
      </c>
      <c r="M74" s="233">
        <v>4382.47021484375</v>
      </c>
      <c r="N74" s="233">
        <v>4593.10986328125</v>
      </c>
      <c r="O74" s="233">
        <v>4674.740234375</v>
      </c>
      <c r="P74" s="233">
        <v>4898.3701171875</v>
      </c>
      <c r="Q74" s="233">
        <v>5103.259765625</v>
      </c>
      <c r="R74" s="233">
        <v>4921.22021484375</v>
      </c>
      <c r="S74" s="233">
        <v>4983.669921875</v>
      </c>
      <c r="T74" s="233">
        <v>4894.02001953125</v>
      </c>
      <c r="U74" s="233">
        <v>4872.93994140625</v>
      </c>
      <c r="V74" s="233">
        <v>4957.97998046875</v>
      </c>
      <c r="W74" s="233">
        <v>5000.4501953125</v>
      </c>
      <c r="X74" s="233">
        <v>4827.6298828125</v>
      </c>
      <c r="Y74" s="233">
        <v>4804.39990234375</v>
      </c>
      <c r="Z74" s="233">
        <v>4895.97998046875</v>
      </c>
      <c r="AA74" s="231">
        <v>5314.2900390625</v>
      </c>
      <c r="AB74" s="203">
        <v>5544.1201171875</v>
      </c>
      <c r="AC74" s="203">
        <v>5248.39013671875</v>
      </c>
      <c r="AD74" s="203">
        <v>5160.22021484375</v>
      </c>
      <c r="AE74" s="203">
        <v>5366.58984375</v>
      </c>
      <c r="AF74" s="203">
        <v>5303.240234375</v>
      </c>
      <c r="AG74" s="203">
        <v>5319.919921875</v>
      </c>
      <c r="AH74" s="203">
        <v>5351.72998046875</v>
      </c>
      <c r="AI74" s="203">
        <v>5529.9599609375</v>
      </c>
      <c r="AJ74" s="203">
        <v>5734.27978515625</v>
      </c>
      <c r="AK74" s="203">
        <v>5818.06982421875</v>
      </c>
      <c r="AL74" s="203">
        <v>5791.41015625</v>
      </c>
      <c r="AM74" s="203">
        <v>6053.68017578125</v>
      </c>
      <c r="AN74" s="203">
        <v>6199.77978515625</v>
      </c>
      <c r="AO74" s="203">
        <v>5569.72998046875</v>
      </c>
      <c r="AP74" s="203">
        <v>5881.509765625</v>
      </c>
      <c r="AQ74" s="203">
        <v>6050.5400390625</v>
      </c>
      <c r="AR74" s="203">
        <v>6447</v>
      </c>
      <c r="AS74" s="203">
        <v>6265</v>
      </c>
      <c r="AT74" s="203">
        <v>6265</v>
      </c>
      <c r="AU74" s="203">
        <v>6265</v>
      </c>
      <c r="AV74" s="201" t="s">
        <v>92</v>
      </c>
      <c r="AW74" s="184"/>
      <c r="AX74" s="184"/>
      <c r="AY74" s="184"/>
    </row>
    <row r="75" spans="1:51" ht="44">
      <c r="A75" s="284"/>
      <c r="B75" s="201" t="s">
        <v>79</v>
      </c>
      <c r="C75" s="230">
        <f t="shared" ref="C75:Z75" si="85">+(C74-C73)/C73</f>
        <v>-7.9339004667470278E-2</v>
      </c>
      <c r="D75" s="230">
        <f t="shared" si="85"/>
        <v>-6.2769852296829867E-2</v>
      </c>
      <c r="E75" s="230">
        <f t="shared" si="85"/>
        <v>-4.5815883046764969E-2</v>
      </c>
      <c r="F75" s="230">
        <f t="shared" si="85"/>
        <v>-3.6028642296082686E-2</v>
      </c>
      <c r="G75" s="230">
        <f t="shared" si="85"/>
        <v>-6.726758852839719E-2</v>
      </c>
      <c r="H75" s="230">
        <f t="shared" si="85"/>
        <v>-2.7232164644614486E-2</v>
      </c>
      <c r="I75" s="230">
        <f t="shared" si="85"/>
        <v>-1.1262156175187993E-2</v>
      </c>
      <c r="J75" s="230">
        <f t="shared" si="85"/>
        <v>-4.9782930456118132E-2</v>
      </c>
      <c r="K75" s="230">
        <f t="shared" si="85"/>
        <v>-7.6860153399842007E-2</v>
      </c>
      <c r="L75" s="230">
        <f t="shared" si="85"/>
        <v>-0.10196718734276386</v>
      </c>
      <c r="M75" s="230">
        <f t="shared" si="85"/>
        <v>-3.0907252221766816E-2</v>
      </c>
      <c r="N75" s="230">
        <f t="shared" si="85"/>
        <v>0</v>
      </c>
      <c r="O75" s="230">
        <f t="shared" si="85"/>
        <v>0</v>
      </c>
      <c r="P75" s="230">
        <f t="shared" si="85"/>
        <v>0</v>
      </c>
      <c r="Q75" s="230">
        <f t="shared" si="85"/>
        <v>0</v>
      </c>
      <c r="R75" s="230">
        <f t="shared" si="85"/>
        <v>-3.5671229594748145E-2</v>
      </c>
      <c r="S75" s="230">
        <f t="shared" si="85"/>
        <v>-2.3434010660312476E-2</v>
      </c>
      <c r="T75" s="230">
        <f t="shared" si="85"/>
        <v>-4.1001194472436241E-2</v>
      </c>
      <c r="U75" s="230">
        <f t="shared" si="85"/>
        <v>-4.5131902900604662E-2</v>
      </c>
      <c r="V75" s="230">
        <f t="shared" si="85"/>
        <v>-2.8468036476379029E-2</v>
      </c>
      <c r="W75" s="230">
        <f t="shared" si="85"/>
        <v>-2.0145862651361396E-2</v>
      </c>
      <c r="X75" s="230">
        <f t="shared" si="85"/>
        <v>-5.401055315057892E-2</v>
      </c>
      <c r="Y75" s="230">
        <f t="shared" si="85"/>
        <v>-5.8562541788356015E-2</v>
      </c>
      <c r="Z75" s="230">
        <f t="shared" si="85"/>
        <v>-4.0617133886161151E-2</v>
      </c>
      <c r="AA75" s="230">
        <f>+(AA74-AA73)/AA73</f>
        <v>0</v>
      </c>
      <c r="AB75" s="205">
        <f t="shared" ref="AB75:AP75" si="86">+(AB74-AB73)/AB73</f>
        <v>0</v>
      </c>
      <c r="AC75" s="205">
        <f t="shared" si="86"/>
        <v>-5.3341192870614083E-2</v>
      </c>
      <c r="AD75" s="205">
        <f t="shared" si="86"/>
        <v>-6.9244513868595647E-2</v>
      </c>
      <c r="AE75" s="205">
        <f t="shared" si="86"/>
        <v>-3.202136131342697E-2</v>
      </c>
      <c r="AF75" s="205">
        <f t="shared" si="86"/>
        <v>-4.3447810963860752E-2</v>
      </c>
      <c r="AG75" s="205">
        <f t="shared" si="86"/>
        <v>-4.0439274505876949E-2</v>
      </c>
      <c r="AH75" s="205">
        <f t="shared" si="86"/>
        <v>-3.4701653761489641E-2</v>
      </c>
      <c r="AI75" s="205">
        <f t="shared" si="86"/>
        <v>-2.5540854005131775E-3</v>
      </c>
      <c r="AJ75" s="205">
        <f t="shared" si="86"/>
        <v>0</v>
      </c>
      <c r="AK75" s="205">
        <f t="shared" si="86"/>
        <v>0</v>
      </c>
      <c r="AL75" s="205">
        <f t="shared" si="86"/>
        <v>-4.5822186350831327E-3</v>
      </c>
      <c r="AM75" s="205">
        <f t="shared" si="86"/>
        <v>0</v>
      </c>
      <c r="AN75" s="205">
        <f t="shared" si="86"/>
        <v>0</v>
      </c>
      <c r="AO75" s="205">
        <f t="shared" si="86"/>
        <v>-0.10162454579370535</v>
      </c>
      <c r="AP75" s="205">
        <f t="shared" si="86"/>
        <v>-5.1335697486104954E-2</v>
      </c>
      <c r="AQ75" s="205">
        <f>+(AQ74-AQ73)/AQ73</f>
        <v>-2.4071781783453906E-2</v>
      </c>
      <c r="AR75" s="205">
        <f>+(AR74-AR73)/AR73</f>
        <v>1.7358371469149439E-2</v>
      </c>
      <c r="AS75" s="205">
        <f>+(AS74-AS73)/AS73</f>
        <v>-1.1361843143443269E-2</v>
      </c>
      <c r="AT75" s="205">
        <f>+(AT74-AT73)/AT73</f>
        <v>-1.1361843143443269E-2</v>
      </c>
      <c r="AU75" s="205">
        <f>+(AU74-AU73)/AU73</f>
        <v>-1.1361843143443269E-2</v>
      </c>
      <c r="AV75" s="201" t="s">
        <v>79</v>
      </c>
      <c r="AW75" s="184"/>
      <c r="AX75" s="184"/>
      <c r="AY75" s="184"/>
    </row>
    <row r="76" spans="1:51" ht="22">
      <c r="A76" s="284"/>
      <c r="B76" s="201" t="s">
        <v>80</v>
      </c>
      <c r="C76" s="230">
        <f t="shared" ref="C76:Z76" si="87">+C72-C75</f>
        <v>-9.1025802290051291E-2</v>
      </c>
      <c r="D76" s="230">
        <f t="shared" si="87"/>
        <v>-7.2819999143149419E-2</v>
      </c>
      <c r="E76" s="230">
        <f t="shared" si="87"/>
        <v>-4.5980730749135487E-2</v>
      </c>
      <c r="F76" s="230">
        <f t="shared" si="87"/>
        <v>-1.3531616136322734E-2</v>
      </c>
      <c r="G76" s="230">
        <f t="shared" si="87"/>
        <v>-3.2541137456669783E-2</v>
      </c>
      <c r="H76" s="230">
        <f t="shared" si="87"/>
        <v>-3.6606550427672274E-2</v>
      </c>
      <c r="I76" s="230">
        <f t="shared" si="87"/>
        <v>-2.9516445312554554E-2</v>
      </c>
      <c r="J76" s="230">
        <f t="shared" si="87"/>
        <v>-1.0614818564208824E-2</v>
      </c>
      <c r="K76" s="230">
        <f t="shared" si="87"/>
        <v>-3.2385029888507305E-2</v>
      </c>
      <c r="L76" s="230">
        <f t="shared" si="87"/>
        <v>-2.0765451505847091E-2</v>
      </c>
      <c r="M76" s="230">
        <f t="shared" si="87"/>
        <v>-2.7129206121204827E-2</v>
      </c>
      <c r="N76" s="230">
        <f t="shared" si="87"/>
        <v>-4.9684249178403264E-2</v>
      </c>
      <c r="O76" s="230">
        <f t="shared" si="87"/>
        <v>0</v>
      </c>
      <c r="P76" s="230">
        <f t="shared" si="87"/>
        <v>0</v>
      </c>
      <c r="Q76" s="230">
        <f t="shared" si="87"/>
        <v>0</v>
      </c>
      <c r="R76" s="230">
        <f t="shared" si="87"/>
        <v>-2.3810299568271007E-2</v>
      </c>
      <c r="S76" s="230">
        <f t="shared" si="87"/>
        <v>-2.3715772790555249E-2</v>
      </c>
      <c r="T76" s="230">
        <f t="shared" si="87"/>
        <v>-4.1005247481019504E-2</v>
      </c>
      <c r="U76" s="230">
        <f t="shared" si="87"/>
        <v>-1.1896689278263844E-2</v>
      </c>
      <c r="V76" s="230">
        <f t="shared" si="87"/>
        <v>-2.3088697701626894E-2</v>
      </c>
      <c r="W76" s="230">
        <f t="shared" si="87"/>
        <v>-3.5102384007780561E-2</v>
      </c>
      <c r="X76" s="230">
        <f t="shared" si="87"/>
        <v>-1.2599643621312433E-2</v>
      </c>
      <c r="Y76" s="230">
        <f t="shared" si="87"/>
        <v>-2.760279305431533E-2</v>
      </c>
      <c r="Z76" s="230">
        <f t="shared" si="87"/>
        <v>-6.2453978479098254E-4</v>
      </c>
      <c r="AA76" s="230">
        <f t="shared" ref="AA76:AR76" si="88">+AA72-AA75</f>
        <v>0</v>
      </c>
      <c r="AB76" s="205">
        <f t="shared" si="88"/>
        <v>0</v>
      </c>
      <c r="AC76" s="205">
        <f t="shared" si="88"/>
        <v>2.4720169100214091E-2</v>
      </c>
      <c r="AD76" s="205">
        <f t="shared" si="88"/>
        <v>6.9244513868595647E-2</v>
      </c>
      <c r="AE76" s="205">
        <f t="shared" si="88"/>
        <v>-1.1016802028794681E-2</v>
      </c>
      <c r="AF76" s="205">
        <f t="shared" si="88"/>
        <v>6.2949634243975872E-3</v>
      </c>
      <c r="AG76" s="205">
        <f t="shared" si="88"/>
        <v>-5.6851644102600893E-3</v>
      </c>
      <c r="AH76" s="205">
        <f t="shared" si="88"/>
        <v>3.4701653761489641E-2</v>
      </c>
      <c r="AI76" s="205">
        <f t="shared" si="88"/>
        <v>-1.1928440965129091E-2</v>
      </c>
      <c r="AJ76" s="205">
        <f t="shared" si="88"/>
        <v>0</v>
      </c>
      <c r="AK76" s="205">
        <f t="shared" si="88"/>
        <v>0</v>
      </c>
      <c r="AL76" s="205">
        <f t="shared" si="88"/>
        <v>-2.4099509870168706E-2</v>
      </c>
      <c r="AM76" s="205">
        <f t="shared" si="88"/>
        <v>-3.1938489575415806E-2</v>
      </c>
      <c r="AN76" s="205">
        <f t="shared" si="88"/>
        <v>0</v>
      </c>
      <c r="AO76" s="205">
        <f t="shared" si="88"/>
        <v>-2.1391141165439609E-2</v>
      </c>
      <c r="AP76" s="205">
        <f t="shared" si="88"/>
        <v>-2.7431007935374958E-2</v>
      </c>
      <c r="AQ76" s="205">
        <f t="shared" si="88"/>
        <v>-5.3079068732500005E-2</v>
      </c>
      <c r="AR76" s="205">
        <f t="shared" si="88"/>
        <v>-2.9545409261963626E-2</v>
      </c>
      <c r="AS76" s="205">
        <f t="shared" ref="AS76:AT76" si="89">+AS72-AS75</f>
        <v>-2.3311840803053881E-2</v>
      </c>
      <c r="AT76" s="205">
        <f t="shared" si="89"/>
        <v>-2.3311840803053881E-2</v>
      </c>
      <c r="AU76" s="205">
        <f t="shared" ref="AU76" si="90">+AU72-AU75</f>
        <v>-2.3311840803053881E-2</v>
      </c>
      <c r="AV76" s="201" t="s">
        <v>80</v>
      </c>
      <c r="AW76" s="184"/>
      <c r="AX76" s="184"/>
      <c r="AY76" s="184"/>
    </row>
    <row r="77" spans="1:51" ht="22">
      <c r="A77" s="284"/>
      <c r="B77" s="206" t="s">
        <v>25</v>
      </c>
      <c r="C77" s="232" cm="1">
        <f t="array" ref="C77">_xlfn.XLOOKUP(MIN(ABS($BJ$7:$BJ$29 - MEDIAN(MIN($BJ$7:$BJ$29), MAX($BJ$7:$BJ$29), C76))), ABS($BJ$7:$BJ$29 - MEDIAN(MIN($BJ$7:$BJ$29), MAX($BJ$7:$BJ$29), C76)), $BK$7:$BK$29, "Error", 0)</f>
        <v>-9</v>
      </c>
      <c r="D77" s="232" cm="1">
        <f t="array" ref="D77">_xlfn.XLOOKUP(MIN(ABS($BJ$7:$BJ$29 - MEDIAN(MIN($BJ$7:$BJ$29), MAX($BJ$7:$BJ$29), D76))), ABS($BJ$7:$BJ$29 - MEDIAN(MIN($BJ$7:$BJ$29), MAX($BJ$7:$BJ$29), D76)), $BK$7:$BK$29, "Error", 0)</f>
        <v>-7</v>
      </c>
      <c r="E77" s="232" cm="1">
        <f t="array" ref="E77">_xlfn.XLOOKUP(MIN(ABS($BJ$7:$BJ$29 - MEDIAN(MIN($BJ$7:$BJ$29), MAX($BJ$7:$BJ$29), E76))), ABS($BJ$7:$BJ$29 - MEDIAN(MIN($BJ$7:$BJ$29), MAX($BJ$7:$BJ$29), E76)), $BK$7:$BK$29, "Error", 0)</f>
        <v>-3</v>
      </c>
      <c r="F77" s="232" cm="1">
        <f t="array" ref="F77">_xlfn.XLOOKUP(MIN(ABS($BJ$7:$BJ$29 - MEDIAN(MIN($BJ$7:$BJ$29), MAX($BJ$7:$BJ$29), F76))), ABS($BJ$7:$BJ$29 - MEDIAN(MIN($BJ$7:$BJ$29), MAX($BJ$7:$BJ$29), F76)), $BK$7:$BK$29, "Error", 0)</f>
        <v>-2</v>
      </c>
      <c r="G77" s="232" cm="1">
        <f t="array" ref="G77">_xlfn.XLOOKUP(MIN(ABS($BJ$7:$BJ$29 - MEDIAN(MIN($BJ$7:$BJ$29), MAX($BJ$7:$BJ$29), G76))), ABS($BJ$7:$BJ$29 - MEDIAN(MIN($BJ$7:$BJ$29), MAX($BJ$7:$BJ$29), G76)), $BK$7:$BK$29, "Error", 0)</f>
        <v>-3</v>
      </c>
      <c r="H77" s="232" cm="1">
        <f t="array" ref="H77">_xlfn.XLOOKUP(MIN(ABS($BJ$7:$BJ$29 - MEDIAN(MIN($BJ$7:$BJ$29), MAX($BJ$7:$BJ$29), H76))), ABS($BJ$7:$BJ$29 - MEDIAN(MIN($BJ$7:$BJ$29), MAX($BJ$7:$BJ$29), H76)), $BK$7:$BK$29, "Error", 0)</f>
        <v>-3</v>
      </c>
      <c r="I77" s="232" cm="1">
        <f t="array" ref="I77">_xlfn.XLOOKUP(MIN(ABS($BJ$7:$BJ$29 - MEDIAN(MIN($BJ$7:$BJ$29), MAX($BJ$7:$BJ$29), I76))), ABS($BJ$7:$BJ$29 - MEDIAN(MIN($BJ$7:$BJ$29), MAX($BJ$7:$BJ$29), I76)), $BK$7:$BK$29, "Error", 0)</f>
        <v>-2</v>
      </c>
      <c r="J77" s="232" cm="1">
        <f t="array" ref="J77">_xlfn.XLOOKUP(MIN(ABS($BJ$7:$BJ$29 - MEDIAN(MIN($BJ$7:$BJ$29), MAX($BJ$7:$BJ$29), J76))), ABS($BJ$7:$BJ$29 - MEDIAN(MIN($BJ$7:$BJ$29), MAX($BJ$7:$BJ$29), J76)), $BK$7:$BK$29, "Error", 0)</f>
        <v>-2</v>
      </c>
      <c r="K77" s="232" cm="1">
        <f t="array" ref="K77">_xlfn.XLOOKUP(MIN(ABS($BJ$7:$BJ$29 - MEDIAN(MIN($BJ$7:$BJ$29), MAX($BJ$7:$BJ$29), K76))), ABS($BJ$7:$BJ$29 - MEDIAN(MIN($BJ$7:$BJ$29), MAX($BJ$7:$BJ$29), K76)), $BK$7:$BK$29, "Error", 0)</f>
        <v>-3</v>
      </c>
      <c r="L77" s="232" cm="1">
        <f t="array" ref="L77">_xlfn.XLOOKUP(MIN(ABS($BJ$7:$BJ$29 - MEDIAN(MIN($BJ$7:$BJ$29), MAX($BJ$7:$BJ$29), L76))), ABS($BJ$7:$BJ$29 - MEDIAN(MIN($BJ$7:$BJ$29), MAX($BJ$7:$BJ$29), L76)), $BK$7:$BK$29, "Error", 0)</f>
        <v>-2</v>
      </c>
      <c r="M77" s="232" cm="1">
        <f t="array" ref="M77">_xlfn.XLOOKUP(MIN(ABS($BJ$7:$BJ$29 - MEDIAN(MIN($BJ$7:$BJ$29), MAX($BJ$7:$BJ$29), M76))), ABS($BJ$7:$BJ$29 - MEDIAN(MIN($BJ$7:$BJ$29), MAX($BJ$7:$BJ$29), M76)), $BK$7:$BK$29, "Error", 0)</f>
        <v>-2</v>
      </c>
      <c r="N77" s="232" cm="1">
        <f t="array" ref="N77">_xlfn.XLOOKUP(MIN(ABS($BJ$7:$BJ$29 - MEDIAN(MIN($BJ$7:$BJ$29), MAX($BJ$7:$BJ$29), N76))), ABS($BJ$7:$BJ$29 - MEDIAN(MIN($BJ$7:$BJ$29), MAX($BJ$7:$BJ$29), N76)), $BK$7:$BK$29, "Error", 0)</f>
        <v>-3</v>
      </c>
      <c r="O77" s="232" cm="1">
        <f t="array" ref="O77">_xlfn.XLOOKUP(MIN(ABS($BJ$7:$BJ$29 - MEDIAN(MIN($BJ$7:$BJ$29), MAX($BJ$7:$BJ$29), O76))), ABS($BJ$7:$BJ$29 - MEDIAN(MIN($BJ$7:$BJ$29), MAX($BJ$7:$BJ$29), O76)), $BK$7:$BK$29, "Error", 0)</f>
        <v>0</v>
      </c>
      <c r="P77" s="232" cm="1">
        <f t="array" ref="P77">_xlfn.XLOOKUP(MIN(ABS($BJ$7:$BJ$29 - MEDIAN(MIN($BJ$7:$BJ$29), MAX($BJ$7:$BJ$29), P76))), ABS($BJ$7:$BJ$29 - MEDIAN(MIN($BJ$7:$BJ$29), MAX($BJ$7:$BJ$29), P76)), $BK$7:$BK$29, "Error", 0)</f>
        <v>0</v>
      </c>
      <c r="Q77" s="232" cm="1">
        <f t="array" ref="Q77">_xlfn.XLOOKUP(MIN(ABS($BJ$7:$BJ$29 - MEDIAN(MIN($BJ$7:$BJ$29), MAX($BJ$7:$BJ$29), Q76))), ABS($BJ$7:$BJ$29 - MEDIAN(MIN($BJ$7:$BJ$29), MAX($BJ$7:$BJ$29), Q76)), $BK$7:$BK$29, "Error", 0)</f>
        <v>0</v>
      </c>
      <c r="R77" s="232" cm="1">
        <f t="array" ref="R77">_xlfn.XLOOKUP(MIN(ABS($BJ$7:$BJ$29 - MEDIAN(MIN($BJ$7:$BJ$29), MAX($BJ$7:$BJ$29), R76))), ABS($BJ$7:$BJ$29 - MEDIAN(MIN($BJ$7:$BJ$29), MAX($BJ$7:$BJ$29), R76)), $BK$7:$BK$29, "Error", 0)</f>
        <v>-2</v>
      </c>
      <c r="S77" s="232" cm="1">
        <f t="array" ref="S77">_xlfn.XLOOKUP(MIN(ABS($BJ$7:$BJ$29 - MEDIAN(MIN($BJ$7:$BJ$29), MAX($BJ$7:$BJ$29), S76))), ABS($BJ$7:$BJ$29 - MEDIAN(MIN($BJ$7:$BJ$29), MAX($BJ$7:$BJ$29), S76)), $BK$7:$BK$29, "Error", 0)</f>
        <v>-2</v>
      </c>
      <c r="T77" s="232" cm="1">
        <f t="array" ref="T77">_xlfn.XLOOKUP(MIN(ABS($BJ$7:$BJ$29 - MEDIAN(MIN($BJ$7:$BJ$29), MAX($BJ$7:$BJ$29), T76))), ABS($BJ$7:$BJ$29 - MEDIAN(MIN($BJ$7:$BJ$29), MAX($BJ$7:$BJ$29), T76)), $BK$7:$BK$29, "Error", 0)</f>
        <v>-3</v>
      </c>
      <c r="U77" s="232" cm="1">
        <f t="array" ref="U77">_xlfn.XLOOKUP(MIN(ABS($BJ$7:$BJ$29 - MEDIAN(MIN($BJ$7:$BJ$29), MAX($BJ$7:$BJ$29), U76))), ABS($BJ$7:$BJ$29 - MEDIAN(MIN($BJ$7:$BJ$29), MAX($BJ$7:$BJ$29), U76)), $BK$7:$BK$29, "Error", 0)</f>
        <v>-2</v>
      </c>
      <c r="V77" s="232" cm="1">
        <f t="array" ref="V77">_xlfn.XLOOKUP(MIN(ABS($BJ$7:$BJ$29 - MEDIAN(MIN($BJ$7:$BJ$29), MAX($BJ$7:$BJ$29), V76))), ABS($BJ$7:$BJ$29 - MEDIAN(MIN($BJ$7:$BJ$29), MAX($BJ$7:$BJ$29), V76)), $BK$7:$BK$29, "Error", 0)</f>
        <v>-2</v>
      </c>
      <c r="W77" s="232" cm="1">
        <f t="array" ref="W77">_xlfn.XLOOKUP(MIN(ABS($BJ$7:$BJ$29 - MEDIAN(MIN($BJ$7:$BJ$29), MAX($BJ$7:$BJ$29), W76))), ABS($BJ$7:$BJ$29 - MEDIAN(MIN($BJ$7:$BJ$29), MAX($BJ$7:$BJ$29), W76)), $BK$7:$BK$29, "Error", 0)</f>
        <v>-3</v>
      </c>
      <c r="X77" s="232" cm="1">
        <f t="array" ref="X77">_xlfn.XLOOKUP(MIN(ABS($BJ$7:$BJ$29 - MEDIAN(MIN($BJ$7:$BJ$29), MAX($BJ$7:$BJ$29), X76))), ABS($BJ$7:$BJ$29 - MEDIAN(MIN($BJ$7:$BJ$29), MAX($BJ$7:$BJ$29), X76)), $BK$7:$BK$29, "Error", 0)</f>
        <v>-2</v>
      </c>
      <c r="Y77" s="232" cm="1">
        <f t="array" ref="Y77">_xlfn.XLOOKUP(MIN(ABS($BJ$7:$BJ$29 - MEDIAN(MIN($BJ$7:$BJ$29), MAX($BJ$7:$BJ$29), Y76))), ABS($BJ$7:$BJ$29 - MEDIAN(MIN($BJ$7:$BJ$29), MAX($BJ$7:$BJ$29), Y76)), $BK$7:$BK$29, "Error", 0)</f>
        <v>-2</v>
      </c>
      <c r="Z77" s="232" cm="1">
        <f t="array" ref="Z77">_xlfn.XLOOKUP(MIN(ABS($BJ$7:$BJ$29 - MEDIAN(MIN($BJ$7:$BJ$29), MAX($BJ$7:$BJ$29), Z76))), ABS($BJ$7:$BJ$29 - MEDIAN(MIN($BJ$7:$BJ$29), MAX($BJ$7:$BJ$29), Z76)), $BK$7:$BK$29, "Error", 0)</f>
        <v>0</v>
      </c>
      <c r="AA77" s="232" cm="1">
        <f t="array" ref="AA77">_xlfn.XLOOKUP(MIN(ABS($BJ$7:$BJ$29 - MEDIAN(MIN($BJ$7:$BJ$29), MAX($BJ$7:$BJ$29), AA76))), ABS($BJ$7:$BJ$29 - MEDIAN(MIN($BJ$7:$BJ$29), MAX($BJ$7:$BJ$29), AA76)), $BK$7:$BK$29, "Error", 0)</f>
        <v>0</v>
      </c>
      <c r="AB77" s="171" cm="1">
        <f t="array" ref="AB77">_xlfn.XLOOKUP(MIN(ABS($BJ$7:$BJ$29 - MEDIAN(MIN($BJ$7:$BJ$29), MAX($BJ$7:$BJ$29), AB76))), ABS($BJ$7:$BJ$29 - MEDIAN(MIN($BJ$7:$BJ$29), MAX($BJ$7:$BJ$29), AB76)), $BK$7:$BK$29, "Error", 0)</f>
        <v>0</v>
      </c>
      <c r="AC77" s="171" cm="1">
        <f t="array" ref="AC77">_xlfn.XLOOKUP(MIN(ABS($BJ$7:$BJ$29 - MEDIAN(MIN($BJ$7:$BJ$29), MAX($BJ$7:$BJ$29), AC76))), ABS($BJ$7:$BJ$29 - MEDIAN(MIN($BJ$7:$BJ$29), MAX($BJ$7:$BJ$29), AC76)), $BK$7:$BK$29, "Error", 0)</f>
        <v>2</v>
      </c>
      <c r="AD77" s="171" cm="1">
        <f t="array" ref="AD77">_xlfn.XLOOKUP(MIN(ABS($BJ$7:$BJ$29 - MEDIAN(MIN($BJ$7:$BJ$29), MAX($BJ$7:$BJ$29), AD76))), ABS($BJ$7:$BJ$29 - MEDIAN(MIN($BJ$7:$BJ$29), MAX($BJ$7:$BJ$29), AD76)), $BK$7:$BK$29, "Error", 0)</f>
        <v>5</v>
      </c>
      <c r="AE77" s="171" cm="1">
        <f t="array" ref="AE77">_xlfn.XLOOKUP(MIN(ABS($BJ$7:$BJ$29 - MEDIAN(MIN($BJ$7:$BJ$29), MAX($BJ$7:$BJ$29), AE76))), ABS($BJ$7:$BJ$29 - MEDIAN(MIN($BJ$7:$BJ$29), MAX($BJ$7:$BJ$29), AE76)), $BK$7:$BK$29, "Error", 0)</f>
        <v>-2</v>
      </c>
      <c r="AF77" s="171" cm="1">
        <f t="array" ref="AF77">_xlfn.XLOOKUP(MIN(ABS($BJ$7:$BJ$29 - MEDIAN(MIN($BJ$7:$BJ$29), MAX($BJ$7:$BJ$29), AF76))), ABS($BJ$7:$BJ$29 - MEDIAN(MIN($BJ$7:$BJ$29), MAX($BJ$7:$BJ$29), AF76)), $BK$7:$BK$29, "Error", 0)</f>
        <v>0</v>
      </c>
      <c r="AG77" s="171" cm="1">
        <f t="array" ref="AG77">_xlfn.XLOOKUP(MIN(ABS($BJ$7:$BJ$29 - MEDIAN(MIN($BJ$7:$BJ$29), MAX($BJ$7:$BJ$29), AG76))), ABS($BJ$7:$BJ$29 - MEDIAN(MIN($BJ$7:$BJ$29), MAX($BJ$7:$BJ$29), AG76)), $BK$7:$BK$29, "Error", 0)</f>
        <v>0</v>
      </c>
      <c r="AH77" s="171" cm="1">
        <f t="array" ref="AH77">_xlfn.XLOOKUP(MIN(ABS($BJ$7:$BJ$29 - MEDIAN(MIN($BJ$7:$BJ$29), MAX($BJ$7:$BJ$29), AH76))), ABS($BJ$7:$BJ$29 - MEDIAN(MIN($BJ$7:$BJ$29), MAX($BJ$7:$BJ$29), AH76)), $BK$7:$BK$29, "Error", 0)</f>
        <v>3</v>
      </c>
      <c r="AI77" s="171" cm="1">
        <f t="array" ref="AI77">_xlfn.XLOOKUP(MIN(ABS($BJ$7:$BJ$29 - MEDIAN(MIN($BJ$7:$BJ$29), MAX($BJ$7:$BJ$29), AI76))), ABS($BJ$7:$BJ$29 - MEDIAN(MIN($BJ$7:$BJ$29), MAX($BJ$7:$BJ$29), AI76)), $BK$7:$BK$29, "Error", 0)</f>
        <v>-2</v>
      </c>
      <c r="AJ77" s="171" cm="1">
        <f t="array" ref="AJ77">_xlfn.XLOOKUP(MIN(ABS($BJ$7:$BJ$29 - MEDIAN(MIN($BJ$7:$BJ$29), MAX($BJ$7:$BJ$29), AJ76))), ABS($BJ$7:$BJ$29 - MEDIAN(MIN($BJ$7:$BJ$29), MAX($BJ$7:$BJ$29), AJ76)), $BK$7:$BK$29, "Error", 0)</f>
        <v>0</v>
      </c>
      <c r="AK77" s="171" cm="1">
        <f t="array" ref="AK77">_xlfn.XLOOKUP(MIN(ABS($BJ$7:$BJ$29 - MEDIAN(MIN($BJ$7:$BJ$29), MAX($BJ$7:$BJ$29), AK76))), ABS($BJ$7:$BJ$29 - MEDIAN(MIN($BJ$7:$BJ$29), MAX($BJ$7:$BJ$29), AK76)), $BK$7:$BK$29, "Error", 0)</f>
        <v>0</v>
      </c>
      <c r="AL77" s="171" cm="1">
        <f t="array" ref="AL77">_xlfn.XLOOKUP(MIN(ABS($BJ$7:$BJ$29 - MEDIAN(MIN($BJ$7:$BJ$29), MAX($BJ$7:$BJ$29), AL76))), ABS($BJ$7:$BJ$29 - MEDIAN(MIN($BJ$7:$BJ$29), MAX($BJ$7:$BJ$29), AL76)), $BK$7:$BK$29, "Error", 0)</f>
        <v>-2</v>
      </c>
      <c r="AM77" s="171" cm="1">
        <f t="array" ref="AM77">_xlfn.XLOOKUP(MIN(ABS($BJ$7:$BJ$29 - MEDIAN(MIN($BJ$7:$BJ$29), MAX($BJ$7:$BJ$29), AM76))), ABS($BJ$7:$BJ$29 - MEDIAN(MIN($BJ$7:$BJ$29), MAX($BJ$7:$BJ$29), AM76)), $BK$7:$BK$29, "Error", 0)</f>
        <v>-3</v>
      </c>
      <c r="AN77" s="171" cm="1">
        <f t="array" ref="AN77">_xlfn.XLOOKUP(MIN(ABS($BJ$7:$BJ$29 - MEDIAN(MIN($BJ$7:$BJ$29), MAX($BJ$7:$BJ$29), AN76))), ABS($BJ$7:$BJ$29 - MEDIAN(MIN($BJ$7:$BJ$29), MAX($BJ$7:$BJ$29), AN76)), $BK$7:$BK$29, "Error", 0)</f>
        <v>0</v>
      </c>
      <c r="AO77" s="171" cm="1">
        <f t="array" ref="AO77">_xlfn.XLOOKUP(MIN(ABS($BJ$7:$BJ$29 - MEDIAN(MIN($BJ$7:$BJ$29), MAX($BJ$7:$BJ$29), AO76))), ABS($BJ$7:$BJ$29 - MEDIAN(MIN($BJ$7:$BJ$29), MAX($BJ$7:$BJ$29), AO76)), $BK$7:$BK$29, "Error", 0)</f>
        <v>-2</v>
      </c>
      <c r="AP77" s="171" cm="1">
        <f t="array" ref="AP77">_xlfn.XLOOKUP(MIN(ABS($BJ$7:$BJ$29 - MEDIAN(MIN($BJ$7:$BJ$29), MAX($BJ$7:$BJ$29), AP76))), ABS($BJ$7:$BJ$29 - MEDIAN(MIN($BJ$7:$BJ$29), MAX($BJ$7:$BJ$29), AP76)), $BK$7:$BK$29, "Error", 0)</f>
        <v>-2</v>
      </c>
      <c r="AQ77" s="171" cm="1">
        <f t="array" ref="AQ77">_xlfn.XLOOKUP(MIN(ABS($BJ$7:$BJ$29 - MEDIAN(MIN($BJ$7:$BJ$29), MAX($BJ$7:$BJ$29), AQ76))), ABS($BJ$7:$BJ$29 - MEDIAN(MIN($BJ$7:$BJ$29), MAX($BJ$7:$BJ$29), AQ76)), $BK$7:$BK$29, "Error", 0)</f>
        <v>-5</v>
      </c>
      <c r="AR77" s="171" cm="1">
        <f t="array" ref="AR77">_xlfn.XLOOKUP(MIN(ABS($BJ$7:$BJ$29 - MEDIAN(MIN($BJ$7:$BJ$29), MAX($BJ$7:$BJ$29), AR76))), ABS($BJ$7:$BJ$29 - MEDIAN(MIN($BJ$7:$BJ$29), MAX($BJ$7:$BJ$29), AR76)), $BK$7:$BK$29, "Error", 0)</f>
        <v>-2</v>
      </c>
      <c r="AS77" s="171" cm="1">
        <f t="array" ref="AS77">_xlfn.XLOOKUP(MIN(ABS($BJ$7:$BJ$29 - MEDIAN(MIN($BJ$7:$BJ$29), MAX($BJ$7:$BJ$29), AS76))), ABS($BJ$7:$BJ$29 - MEDIAN(MIN($BJ$7:$BJ$29), MAX($BJ$7:$BJ$29), AS76)), $BK$7:$BK$29, "Error", 0)</f>
        <v>-2</v>
      </c>
      <c r="AT77" s="171" cm="1">
        <f t="array" ref="AT77">_xlfn.XLOOKUP(MIN(ABS($BJ$7:$BJ$29 - MEDIAN(MIN($BJ$7:$BJ$29), MAX($BJ$7:$BJ$29), AT76))), ABS($BJ$7:$BJ$29 - MEDIAN(MIN($BJ$7:$BJ$29), MAX($BJ$7:$BJ$29), AT76)), $BK$7:$BK$29, "Error", 0)</f>
        <v>-2</v>
      </c>
      <c r="AU77" s="171" cm="1">
        <f t="array" ref="AU77">_xlfn.XLOOKUP(MIN(ABS($BJ$7:$BJ$29 - MEDIAN(MIN($BJ$7:$BJ$29), MAX($BJ$7:$BJ$29), AU76))), ABS($BJ$7:$BJ$29 - MEDIAN(MIN($BJ$7:$BJ$29), MAX($BJ$7:$BJ$29), AU76)), $BK$7:$BK$29, "Error", 0)</f>
        <v>-2</v>
      </c>
      <c r="AV77" s="206" t="s">
        <v>25</v>
      </c>
      <c r="AW77" s="184"/>
      <c r="AX77" s="184"/>
      <c r="AY77" s="184"/>
    </row>
    <row r="78" spans="1:51" ht="44">
      <c r="A78" s="283" t="s">
        <v>50</v>
      </c>
      <c r="B78" s="200" t="s">
        <v>76</v>
      </c>
      <c r="C78" s="233">
        <v>8933.2959986201604</v>
      </c>
      <c r="D78" s="233">
        <v>8933.2959986201604</v>
      </c>
      <c r="E78" s="233">
        <v>8933.2959986201604</v>
      </c>
      <c r="F78" s="233">
        <v>8933.2959986201604</v>
      </c>
      <c r="G78" s="233">
        <v>8933.2959986201604</v>
      </c>
      <c r="H78" s="233">
        <v>8933.2959986201604</v>
      </c>
      <c r="I78" s="233">
        <v>8933.2959986201604</v>
      </c>
      <c r="J78" s="233">
        <v>8933.2959986201604</v>
      </c>
      <c r="K78" s="233">
        <v>8933.2959986201604</v>
      </c>
      <c r="L78" s="233">
        <v>8933.2959986201604</v>
      </c>
      <c r="M78" s="233">
        <v>8933.2959986201604</v>
      </c>
      <c r="N78" s="233">
        <v>8933.2959986201604</v>
      </c>
      <c r="O78" s="233">
        <v>8933.2959986201604</v>
      </c>
      <c r="P78" s="233">
        <v>8933.2959986201604</v>
      </c>
      <c r="Q78" s="233">
        <v>9242.5137926712596</v>
      </c>
      <c r="R78" s="233">
        <v>9242.5137926712596</v>
      </c>
      <c r="S78" s="233">
        <v>9242.5137926712596</v>
      </c>
      <c r="T78" s="233">
        <v>9242.5137926712596</v>
      </c>
      <c r="U78" s="233">
        <v>9321.1932896696999</v>
      </c>
      <c r="V78" s="233">
        <v>9321.1932896696999</v>
      </c>
      <c r="W78" s="233">
        <v>9321.1932896696999</v>
      </c>
      <c r="X78" s="233">
        <v>9321.1932896696999</v>
      </c>
      <c r="Y78" s="233">
        <v>9321.1932896696999</v>
      </c>
      <c r="Z78" s="233">
        <v>9338.3592057810201</v>
      </c>
      <c r="AA78" s="204">
        <v>9866.5111318195704</v>
      </c>
      <c r="AB78" s="204">
        <v>10307.9050476548</v>
      </c>
      <c r="AC78" s="204">
        <v>10307.9050476548</v>
      </c>
      <c r="AD78" s="204">
        <v>10307.9050476548</v>
      </c>
      <c r="AE78" s="204">
        <v>10471.9731077775</v>
      </c>
      <c r="AF78" s="204">
        <v>10591.731044239101</v>
      </c>
      <c r="AG78" s="204">
        <v>10764.475370342099</v>
      </c>
      <c r="AH78" s="204">
        <v>11038.628116977399</v>
      </c>
      <c r="AI78" s="204">
        <v>11229.911016379299</v>
      </c>
      <c r="AJ78" s="204">
        <v>11746.155703844301</v>
      </c>
      <c r="AK78" s="204">
        <v>11746.155703844301</v>
      </c>
      <c r="AL78" s="204">
        <v>11860.208836924299</v>
      </c>
      <c r="AM78" s="204">
        <v>11860.208836924299</v>
      </c>
      <c r="AN78" s="204">
        <v>12307.864466859701</v>
      </c>
      <c r="AO78" s="204">
        <v>12307.864466859701</v>
      </c>
      <c r="AP78" s="204">
        <v>12335.500675306001</v>
      </c>
      <c r="AQ78" s="204">
        <v>12307.864466859701</v>
      </c>
      <c r="AR78" s="204">
        <v>12823</v>
      </c>
      <c r="AS78" s="204">
        <v>12823</v>
      </c>
      <c r="AT78" s="204">
        <v>12823</v>
      </c>
      <c r="AU78" s="204">
        <v>12823</v>
      </c>
      <c r="AV78" s="200" t="s">
        <v>76</v>
      </c>
      <c r="AW78" s="184"/>
      <c r="AX78" s="184"/>
      <c r="AY78" s="184"/>
    </row>
    <row r="79" spans="1:51" ht="22">
      <c r="A79" s="284"/>
      <c r="B79" s="201" t="s">
        <v>77</v>
      </c>
      <c r="C79" s="233">
        <v>6983.1886462775301</v>
      </c>
      <c r="D79" s="233">
        <v>7294.3789164589298</v>
      </c>
      <c r="E79" s="233">
        <v>7504.9933432217204</v>
      </c>
      <c r="F79" s="233">
        <v>7844.1423972071498</v>
      </c>
      <c r="G79" s="233">
        <v>7482.8032344513304</v>
      </c>
      <c r="H79" s="233">
        <v>7879.9577419431898</v>
      </c>
      <c r="I79" s="233">
        <v>8001.54366279242</v>
      </c>
      <c r="J79" s="233">
        <v>7888.8921735988697</v>
      </c>
      <c r="K79" s="233">
        <v>7365.7704019825896</v>
      </c>
      <c r="L79" s="233">
        <v>7381.0451272708597</v>
      </c>
      <c r="M79" s="233">
        <v>7811.7532833424602</v>
      </c>
      <c r="N79" s="233">
        <v>7897.9661034826404</v>
      </c>
      <c r="O79" s="233">
        <v>8219.9048969965097</v>
      </c>
      <c r="P79" s="233">
        <v>8671.1144005328497</v>
      </c>
      <c r="Q79" s="233">
        <v>9242.5137926712596</v>
      </c>
      <c r="R79" s="233">
        <v>8829.1614146040502</v>
      </c>
      <c r="S79" s="233">
        <v>8825.8300475764609</v>
      </c>
      <c r="T79" s="233">
        <v>8611.0283550496697</v>
      </c>
      <c r="U79" s="233">
        <v>9321.1932896696999</v>
      </c>
      <c r="V79" s="233">
        <v>8772.1539000079501</v>
      </c>
      <c r="W79" s="233">
        <v>8795.69206347619</v>
      </c>
      <c r="X79" s="233">
        <v>8779.3829619888002</v>
      </c>
      <c r="Y79" s="233">
        <v>8626.3002170951804</v>
      </c>
      <c r="Z79" s="233">
        <v>9338.3592057810201</v>
      </c>
      <c r="AA79" s="204">
        <v>9866.5111318195704</v>
      </c>
      <c r="AB79" s="204">
        <v>10307.9050476548</v>
      </c>
      <c r="AC79" s="204">
        <v>9953.4667388874204</v>
      </c>
      <c r="AD79" s="204">
        <v>9899.0050081313802</v>
      </c>
      <c r="AE79" s="204">
        <v>10471.9731077775</v>
      </c>
      <c r="AF79" s="204">
        <v>10591.731044239101</v>
      </c>
      <c r="AG79" s="204">
        <v>10764.475370342099</v>
      </c>
      <c r="AH79" s="204">
        <v>11038.628116977399</v>
      </c>
      <c r="AI79" s="204">
        <v>11229.911016379299</v>
      </c>
      <c r="AJ79" s="204">
        <v>11746.155703844301</v>
      </c>
      <c r="AK79" s="204">
        <v>11458.2061241185</v>
      </c>
      <c r="AL79" s="204">
        <v>11860.208836924299</v>
      </c>
      <c r="AM79" s="204">
        <v>11705.8846893013</v>
      </c>
      <c r="AN79" s="204">
        <v>12307.864466859701</v>
      </c>
      <c r="AO79" s="204">
        <v>11160.9033278762</v>
      </c>
      <c r="AP79" s="204">
        <v>12335.500675306001</v>
      </c>
      <c r="AQ79" s="204">
        <v>11784.6369771841</v>
      </c>
      <c r="AR79" s="204">
        <v>12823</v>
      </c>
      <c r="AS79" s="204">
        <v>12312</v>
      </c>
      <c r="AT79" s="204">
        <v>12312</v>
      </c>
      <c r="AU79" s="204">
        <v>12312</v>
      </c>
      <c r="AV79" s="201" t="s">
        <v>77</v>
      </c>
      <c r="AW79" s="184"/>
      <c r="AX79" s="184"/>
      <c r="AY79" s="184"/>
    </row>
    <row r="80" spans="1:51" ht="22">
      <c r="A80" s="284"/>
      <c r="B80" s="201" t="s">
        <v>78</v>
      </c>
      <c r="C80" s="230">
        <f t="shared" ref="C80:Z80" si="91">+(C79-C78)/C78</f>
        <v>-0.21829651146047824</v>
      </c>
      <c r="D80" s="230">
        <f t="shared" si="91"/>
        <v>-0.18346163413978203</v>
      </c>
      <c r="E80" s="230">
        <f t="shared" si="91"/>
        <v>-0.15988529380634606</v>
      </c>
      <c r="F80" s="230">
        <f t="shared" si="91"/>
        <v>-0.12192068880077875</v>
      </c>
      <c r="G80" s="230">
        <f t="shared" si="91"/>
        <v>-0.16236927158720293</v>
      </c>
      <c r="H80" s="230">
        <f t="shared" si="91"/>
        <v>-0.11791149166440579</v>
      </c>
      <c r="I80" s="230">
        <f t="shared" si="91"/>
        <v>-0.10430107050876397</v>
      </c>
      <c r="J80" s="230">
        <f t="shared" si="91"/>
        <v>-0.11691136453808422</v>
      </c>
      <c r="K80" s="230">
        <f t="shared" si="91"/>
        <v>-0.17547001654033306</v>
      </c>
      <c r="L80" s="230">
        <f t="shared" si="91"/>
        <v>-0.17376015208597834</v>
      </c>
      <c r="M80" s="230">
        <f t="shared" si="91"/>
        <v>-0.12554635102776557</v>
      </c>
      <c r="N80" s="230">
        <f t="shared" si="91"/>
        <v>-0.11589562187320754</v>
      </c>
      <c r="O80" s="230">
        <f t="shared" si="91"/>
        <v>-7.9857546613684494E-2</v>
      </c>
      <c r="P80" s="230">
        <f t="shared" si="91"/>
        <v>-2.934880900932952E-2</v>
      </c>
      <c r="Q80" s="230">
        <f t="shared" si="91"/>
        <v>0</v>
      </c>
      <c r="R80" s="230">
        <f t="shared" si="91"/>
        <v>-4.4722938730691671E-2</v>
      </c>
      <c r="S80" s="230">
        <f t="shared" si="91"/>
        <v>-4.508337822824815E-2</v>
      </c>
      <c r="T80" s="230">
        <f t="shared" si="91"/>
        <v>-6.8323991912494483E-2</v>
      </c>
      <c r="U80" s="230">
        <f t="shared" si="91"/>
        <v>0</v>
      </c>
      <c r="V80" s="230">
        <f t="shared" si="91"/>
        <v>-5.8902264184375171E-2</v>
      </c>
      <c r="W80" s="230">
        <f t="shared" si="91"/>
        <v>-5.6377033483030713E-2</v>
      </c>
      <c r="X80" s="230">
        <f t="shared" si="91"/>
        <v>-5.8126713055222885E-2</v>
      </c>
      <c r="Y80" s="230">
        <f t="shared" si="91"/>
        <v>-7.4549797539832291E-2</v>
      </c>
      <c r="Z80" s="230">
        <f t="shared" si="91"/>
        <v>0</v>
      </c>
      <c r="AA80" s="230">
        <f t="shared" ref="AA80:AR80" si="92">+(AA79-AA78)/AA78</f>
        <v>0</v>
      </c>
      <c r="AB80" s="205">
        <f t="shared" si="92"/>
        <v>0</v>
      </c>
      <c r="AC80" s="205">
        <f t="shared" si="92"/>
        <v>-3.4385096402107379E-2</v>
      </c>
      <c r="AD80" s="205">
        <f t="shared" si="92"/>
        <v>-3.9668588101366975E-2</v>
      </c>
      <c r="AE80" s="205">
        <f t="shared" si="92"/>
        <v>0</v>
      </c>
      <c r="AF80" s="205">
        <f t="shared" si="92"/>
        <v>0</v>
      </c>
      <c r="AG80" s="205">
        <f t="shared" si="92"/>
        <v>0</v>
      </c>
      <c r="AH80" s="205">
        <f t="shared" si="92"/>
        <v>0</v>
      </c>
      <c r="AI80" s="205">
        <f t="shared" si="92"/>
        <v>0</v>
      </c>
      <c r="AJ80" s="205">
        <f t="shared" si="92"/>
        <v>0</v>
      </c>
      <c r="AK80" s="205">
        <f t="shared" si="92"/>
        <v>-2.4514367677891405E-2</v>
      </c>
      <c r="AL80" s="205">
        <f t="shared" si="92"/>
        <v>0</v>
      </c>
      <c r="AM80" s="205">
        <f t="shared" si="92"/>
        <v>-1.3011924979140619E-2</v>
      </c>
      <c r="AN80" s="205">
        <f t="shared" si="92"/>
        <v>0</v>
      </c>
      <c r="AO80" s="205">
        <f t="shared" si="92"/>
        <v>-9.3189289016938862E-2</v>
      </c>
      <c r="AP80" s="205">
        <f t="shared" si="92"/>
        <v>0</v>
      </c>
      <c r="AQ80" s="205">
        <f t="shared" si="92"/>
        <v>-4.2511638886213704E-2</v>
      </c>
      <c r="AR80" s="205">
        <f t="shared" si="92"/>
        <v>0</v>
      </c>
      <c r="AS80" s="205">
        <f t="shared" ref="AS80:AT80" si="93">+(AS79-AS78)/AS78</f>
        <v>-3.9850269047804726E-2</v>
      </c>
      <c r="AT80" s="205">
        <f t="shared" si="93"/>
        <v>-3.9850269047804726E-2</v>
      </c>
      <c r="AU80" s="205">
        <f t="shared" ref="AU80" si="94">+(AU79-AU78)/AU78</f>
        <v>-3.9850269047804726E-2</v>
      </c>
      <c r="AV80" s="201" t="s">
        <v>78</v>
      </c>
      <c r="AW80" s="184"/>
      <c r="AX80" s="184"/>
      <c r="AY80" s="184"/>
    </row>
    <row r="81" spans="1:51" ht="44">
      <c r="A81" s="284"/>
      <c r="B81" s="201" t="s">
        <v>89</v>
      </c>
      <c r="C81" s="233">
        <v>4522.240234375</v>
      </c>
      <c r="D81" s="233">
        <v>4522.240234375</v>
      </c>
      <c r="E81" s="233">
        <v>4522.240234375</v>
      </c>
      <c r="F81" s="233">
        <v>4522.240234375</v>
      </c>
      <c r="G81" s="233">
        <v>4522.240234375</v>
      </c>
      <c r="H81" s="233">
        <v>4522.240234375</v>
      </c>
      <c r="I81" s="233">
        <v>4522.240234375</v>
      </c>
      <c r="J81" s="233">
        <v>4522.240234375</v>
      </c>
      <c r="K81" s="233">
        <v>4522.240234375</v>
      </c>
      <c r="L81" s="233">
        <v>4522.240234375</v>
      </c>
      <c r="M81" s="233">
        <v>4522.240234375</v>
      </c>
      <c r="N81" s="233">
        <v>4593.10986328125</v>
      </c>
      <c r="O81" s="233">
        <v>4674.740234375</v>
      </c>
      <c r="P81" s="233">
        <v>4898.3701171875</v>
      </c>
      <c r="Q81" s="233">
        <v>5103.259765625</v>
      </c>
      <c r="R81" s="233">
        <v>5103.259765625</v>
      </c>
      <c r="S81" s="233">
        <v>5103.259765625</v>
      </c>
      <c r="T81" s="233">
        <v>5103.259765625</v>
      </c>
      <c r="U81" s="233">
        <v>5103.259765625</v>
      </c>
      <c r="V81" s="233">
        <v>5103.259765625</v>
      </c>
      <c r="W81" s="233">
        <v>5103.259765625</v>
      </c>
      <c r="X81" s="233">
        <v>5103.259765625</v>
      </c>
      <c r="Y81" s="233">
        <v>5103.259765625</v>
      </c>
      <c r="Z81" s="233">
        <v>5103.259765625</v>
      </c>
      <c r="AA81" s="231">
        <v>5314.2900390625</v>
      </c>
      <c r="AB81" s="203">
        <v>5544.1201171875</v>
      </c>
      <c r="AC81" s="203">
        <v>5544.1201171875</v>
      </c>
      <c r="AD81" s="203">
        <v>5544.1201171875</v>
      </c>
      <c r="AE81" s="203">
        <v>5544.1201171875</v>
      </c>
      <c r="AF81" s="203">
        <v>5544.1201171875</v>
      </c>
      <c r="AG81" s="203">
        <v>5544.1201171875</v>
      </c>
      <c r="AH81" s="203">
        <v>5544.1201171875</v>
      </c>
      <c r="AI81" s="203">
        <v>5544.1201171875</v>
      </c>
      <c r="AJ81" s="203">
        <v>5734.27978515625</v>
      </c>
      <c r="AK81" s="203">
        <v>5818.06982421875</v>
      </c>
      <c r="AL81" s="203">
        <v>5818.06982421875</v>
      </c>
      <c r="AM81" s="203">
        <v>6053.68017578125</v>
      </c>
      <c r="AN81" s="203">
        <v>6199.77978515625</v>
      </c>
      <c r="AO81" s="203">
        <v>6199.77978515625</v>
      </c>
      <c r="AP81" s="203">
        <v>6199.77978515625</v>
      </c>
      <c r="AQ81" s="203">
        <v>6199.77978515625</v>
      </c>
      <c r="AR81" s="203">
        <v>6337</v>
      </c>
      <c r="AS81" s="203">
        <v>6337</v>
      </c>
      <c r="AT81" s="203">
        <v>6337</v>
      </c>
      <c r="AU81" s="203">
        <v>6337</v>
      </c>
      <c r="AV81" s="201" t="s">
        <v>89</v>
      </c>
      <c r="AW81" s="184"/>
      <c r="AX81" s="184"/>
      <c r="AY81" s="184"/>
    </row>
    <row r="82" spans="1:51" ht="44">
      <c r="A82" s="284"/>
      <c r="B82" s="201" t="s">
        <v>90</v>
      </c>
      <c r="C82" s="233">
        <v>4163.4501953125</v>
      </c>
      <c r="D82" s="233">
        <v>4238.3798828125</v>
      </c>
      <c r="E82" s="233">
        <v>4315.0498046875</v>
      </c>
      <c r="F82" s="233">
        <v>4359.31005859375</v>
      </c>
      <c r="G82" s="233">
        <v>4218.0400390625</v>
      </c>
      <c r="H82" s="233">
        <v>4399.08984375</v>
      </c>
      <c r="I82" s="233">
        <v>4471.31005859375</v>
      </c>
      <c r="J82" s="233">
        <v>4297.10986328125</v>
      </c>
      <c r="K82" s="233">
        <v>4174.66015625</v>
      </c>
      <c r="L82" s="233">
        <v>4061.1201171875</v>
      </c>
      <c r="M82" s="233">
        <v>4382.47021484375</v>
      </c>
      <c r="N82" s="233">
        <v>4593.10986328125</v>
      </c>
      <c r="O82" s="233">
        <v>4674.740234375</v>
      </c>
      <c r="P82" s="233">
        <v>4898.3701171875</v>
      </c>
      <c r="Q82" s="233">
        <v>5103.259765625</v>
      </c>
      <c r="R82" s="233">
        <v>4921.22021484375</v>
      </c>
      <c r="S82" s="233">
        <v>4983.669921875</v>
      </c>
      <c r="T82" s="233">
        <v>4894.02001953125</v>
      </c>
      <c r="U82" s="233">
        <v>4872.93994140625</v>
      </c>
      <c r="V82" s="233">
        <v>4957.97998046875</v>
      </c>
      <c r="W82" s="233">
        <v>5000.4501953125</v>
      </c>
      <c r="X82" s="233">
        <v>4827.6298828125</v>
      </c>
      <c r="Y82" s="233">
        <v>4804.39990234375</v>
      </c>
      <c r="Z82" s="233">
        <v>4895.97998046875</v>
      </c>
      <c r="AA82" s="231">
        <v>5314.2900390625</v>
      </c>
      <c r="AB82" s="203">
        <v>5544.1201171875</v>
      </c>
      <c r="AC82" s="203">
        <v>5248.39013671875</v>
      </c>
      <c r="AD82" s="203">
        <v>5160.22021484375</v>
      </c>
      <c r="AE82" s="203">
        <v>5366.58984375</v>
      </c>
      <c r="AF82" s="203">
        <v>5303.240234375</v>
      </c>
      <c r="AG82" s="203">
        <v>5319.919921875</v>
      </c>
      <c r="AH82" s="203">
        <v>5351.72998046875</v>
      </c>
      <c r="AI82" s="203">
        <v>5529.9599609375</v>
      </c>
      <c r="AJ82" s="203">
        <v>5734.27978515625</v>
      </c>
      <c r="AK82" s="203">
        <v>5818.06982421875</v>
      </c>
      <c r="AL82" s="203">
        <v>5791.41015625</v>
      </c>
      <c r="AM82" s="203">
        <v>6053.68017578125</v>
      </c>
      <c r="AN82" s="203">
        <v>6199.77978515625</v>
      </c>
      <c r="AO82" s="203">
        <v>5569.72998046875</v>
      </c>
      <c r="AP82" s="203">
        <v>5881.509765625</v>
      </c>
      <c r="AQ82" s="203">
        <v>6050.5400390625</v>
      </c>
      <c r="AR82" s="203">
        <v>6447</v>
      </c>
      <c r="AS82" s="203">
        <v>6265</v>
      </c>
      <c r="AT82" s="203">
        <v>6265</v>
      </c>
      <c r="AU82" s="203">
        <v>6265</v>
      </c>
      <c r="AV82" s="201" t="s">
        <v>90</v>
      </c>
      <c r="AW82" s="184"/>
      <c r="AX82" s="184"/>
      <c r="AY82" s="184"/>
    </row>
    <row r="83" spans="1:51" ht="44">
      <c r="A83" s="284"/>
      <c r="B83" s="201" t="s">
        <v>79</v>
      </c>
      <c r="C83" s="230">
        <f t="shared" ref="C83:Z83" si="95">+(C82-C81)/C81</f>
        <v>-7.9339004667470278E-2</v>
      </c>
      <c r="D83" s="230">
        <f t="shared" si="95"/>
        <v>-6.2769852296829867E-2</v>
      </c>
      <c r="E83" s="230">
        <f t="shared" si="95"/>
        <v>-4.5815883046764969E-2</v>
      </c>
      <c r="F83" s="230">
        <f t="shared" si="95"/>
        <v>-3.6028642296082686E-2</v>
      </c>
      <c r="G83" s="230">
        <f t="shared" si="95"/>
        <v>-6.726758852839719E-2</v>
      </c>
      <c r="H83" s="230">
        <f t="shared" si="95"/>
        <v>-2.7232164644614486E-2</v>
      </c>
      <c r="I83" s="230">
        <f t="shared" si="95"/>
        <v>-1.1262156175187993E-2</v>
      </c>
      <c r="J83" s="230">
        <f t="shared" si="95"/>
        <v>-4.9782930456118132E-2</v>
      </c>
      <c r="K83" s="230">
        <f t="shared" si="95"/>
        <v>-7.6860153399842007E-2</v>
      </c>
      <c r="L83" s="230">
        <f t="shared" si="95"/>
        <v>-0.10196718734276386</v>
      </c>
      <c r="M83" s="230">
        <f t="shared" si="95"/>
        <v>-3.0907252221766816E-2</v>
      </c>
      <c r="N83" s="230">
        <f t="shared" si="95"/>
        <v>0</v>
      </c>
      <c r="O83" s="230">
        <f t="shared" si="95"/>
        <v>0</v>
      </c>
      <c r="P83" s="230">
        <f t="shared" si="95"/>
        <v>0</v>
      </c>
      <c r="Q83" s="230">
        <f t="shared" si="95"/>
        <v>0</v>
      </c>
      <c r="R83" s="230">
        <f t="shared" si="95"/>
        <v>-3.5671229594748145E-2</v>
      </c>
      <c r="S83" s="230">
        <f t="shared" si="95"/>
        <v>-2.3434010660312476E-2</v>
      </c>
      <c r="T83" s="230">
        <f t="shared" si="95"/>
        <v>-4.1001194472436241E-2</v>
      </c>
      <c r="U83" s="230">
        <f t="shared" si="95"/>
        <v>-4.5131902900604662E-2</v>
      </c>
      <c r="V83" s="230">
        <f t="shared" si="95"/>
        <v>-2.8468036476379029E-2</v>
      </c>
      <c r="W83" s="230">
        <f t="shared" si="95"/>
        <v>-2.0145862651361396E-2</v>
      </c>
      <c r="X83" s="230">
        <f t="shared" si="95"/>
        <v>-5.401055315057892E-2</v>
      </c>
      <c r="Y83" s="230">
        <f t="shared" si="95"/>
        <v>-5.8562541788356015E-2</v>
      </c>
      <c r="Z83" s="230">
        <f t="shared" si="95"/>
        <v>-4.0617133886161151E-2</v>
      </c>
      <c r="AA83" s="230">
        <f>+(AA82-AA81)/AA81</f>
        <v>0</v>
      </c>
      <c r="AB83" s="205">
        <f t="shared" ref="AB83:AP83" si="96">+(AB82-AB81)/AB81</f>
        <v>0</v>
      </c>
      <c r="AC83" s="205">
        <f t="shared" si="96"/>
        <v>-5.3341192870614083E-2</v>
      </c>
      <c r="AD83" s="205">
        <f t="shared" si="96"/>
        <v>-6.9244513868595647E-2</v>
      </c>
      <c r="AE83" s="205">
        <f t="shared" si="96"/>
        <v>-3.202136131342697E-2</v>
      </c>
      <c r="AF83" s="205">
        <f t="shared" si="96"/>
        <v>-4.3447810963860752E-2</v>
      </c>
      <c r="AG83" s="205">
        <f t="shared" si="96"/>
        <v>-4.0439274505876949E-2</v>
      </c>
      <c r="AH83" s="205">
        <f t="shared" si="96"/>
        <v>-3.4701653761489641E-2</v>
      </c>
      <c r="AI83" s="205">
        <f t="shared" si="96"/>
        <v>-2.5540854005131775E-3</v>
      </c>
      <c r="AJ83" s="205">
        <f t="shared" si="96"/>
        <v>0</v>
      </c>
      <c r="AK83" s="205">
        <f t="shared" si="96"/>
        <v>0</v>
      </c>
      <c r="AL83" s="205">
        <f t="shared" si="96"/>
        <v>-4.5822186350831327E-3</v>
      </c>
      <c r="AM83" s="205">
        <f t="shared" si="96"/>
        <v>0</v>
      </c>
      <c r="AN83" s="205">
        <f t="shared" si="96"/>
        <v>0</v>
      </c>
      <c r="AO83" s="205">
        <f t="shared" si="96"/>
        <v>-0.10162454579370535</v>
      </c>
      <c r="AP83" s="205">
        <f t="shared" si="96"/>
        <v>-5.1335697486104954E-2</v>
      </c>
      <c r="AQ83" s="205">
        <f>+(AQ82-AQ81)/AQ81</f>
        <v>-2.4071781783453906E-2</v>
      </c>
      <c r="AR83" s="205">
        <f>+(AR82-AR81)/AR81</f>
        <v>1.7358371469149439E-2</v>
      </c>
      <c r="AS83" s="205">
        <f>+(AS82-AS81)/AS81</f>
        <v>-1.1361843143443269E-2</v>
      </c>
      <c r="AT83" s="205">
        <f>+(AT82-AT81)/AT81</f>
        <v>-1.1361843143443269E-2</v>
      </c>
      <c r="AU83" s="205">
        <f>+(AU82-AU81)/AU81</f>
        <v>-1.1361843143443269E-2</v>
      </c>
      <c r="AV83" s="201" t="s">
        <v>79</v>
      </c>
      <c r="AW83" s="184"/>
      <c r="AX83" s="184"/>
      <c r="AY83" s="184"/>
    </row>
    <row r="84" spans="1:51" ht="22">
      <c r="A84" s="284"/>
      <c r="B84" s="201" t="s">
        <v>80</v>
      </c>
      <c r="C84" s="230">
        <f t="shared" ref="C84:Z84" si="97">+C80-C83</f>
        <v>-0.13895750679300795</v>
      </c>
      <c r="D84" s="230">
        <f t="shared" si="97"/>
        <v>-0.12069178184295216</v>
      </c>
      <c r="E84" s="230">
        <f t="shared" si="97"/>
        <v>-0.11406941075958109</v>
      </c>
      <c r="F84" s="230">
        <f t="shared" si="97"/>
        <v>-8.5892046504696062E-2</v>
      </c>
      <c r="G84" s="230">
        <f t="shared" si="97"/>
        <v>-9.5101683058805744E-2</v>
      </c>
      <c r="H84" s="230">
        <f t="shared" si="97"/>
        <v>-9.0679327019791298E-2</v>
      </c>
      <c r="I84" s="230">
        <f t="shared" si="97"/>
        <v>-9.3038914333575973E-2</v>
      </c>
      <c r="J84" s="230">
        <f t="shared" si="97"/>
        <v>-6.7128434081966087E-2</v>
      </c>
      <c r="K84" s="230">
        <f t="shared" si="97"/>
        <v>-9.8609863140491055E-2</v>
      </c>
      <c r="L84" s="230">
        <f t="shared" si="97"/>
        <v>-7.1792964743214477E-2</v>
      </c>
      <c r="M84" s="230">
        <f t="shared" si="97"/>
        <v>-9.4639098805998745E-2</v>
      </c>
      <c r="N84" s="230">
        <f t="shared" si="97"/>
        <v>-0.11589562187320754</v>
      </c>
      <c r="O84" s="230">
        <f t="shared" si="97"/>
        <v>-7.9857546613684494E-2</v>
      </c>
      <c r="P84" s="230">
        <f t="shared" si="97"/>
        <v>-2.934880900932952E-2</v>
      </c>
      <c r="Q84" s="230">
        <f t="shared" si="97"/>
        <v>0</v>
      </c>
      <c r="R84" s="230">
        <f t="shared" si="97"/>
        <v>-9.0517091359435253E-3</v>
      </c>
      <c r="S84" s="230">
        <f t="shared" si="97"/>
        <v>-2.1649367567935673E-2</v>
      </c>
      <c r="T84" s="230">
        <f t="shared" si="97"/>
        <v>-2.7322797440058243E-2</v>
      </c>
      <c r="U84" s="230">
        <f t="shared" si="97"/>
        <v>4.5131902900604662E-2</v>
      </c>
      <c r="V84" s="230">
        <f t="shared" si="97"/>
        <v>-3.0434227707996142E-2</v>
      </c>
      <c r="W84" s="230">
        <f t="shared" si="97"/>
        <v>-3.6231170831669317E-2</v>
      </c>
      <c r="X84" s="230">
        <f t="shared" si="97"/>
        <v>-4.1161599046439651E-3</v>
      </c>
      <c r="Y84" s="230">
        <f t="shared" si="97"/>
        <v>-1.5987255751476276E-2</v>
      </c>
      <c r="Z84" s="230">
        <f t="shared" si="97"/>
        <v>4.0617133886161151E-2</v>
      </c>
      <c r="AA84" s="230">
        <f t="shared" ref="AA84:AR84" si="98">+AA80-AA83</f>
        <v>0</v>
      </c>
      <c r="AB84" s="205">
        <f t="shared" si="98"/>
        <v>0</v>
      </c>
      <c r="AC84" s="205">
        <f t="shared" si="98"/>
        <v>1.8956096468506704E-2</v>
      </c>
      <c r="AD84" s="205">
        <f t="shared" si="98"/>
        <v>2.9575925767228672E-2</v>
      </c>
      <c r="AE84" s="205">
        <f t="shared" si="98"/>
        <v>3.202136131342697E-2</v>
      </c>
      <c r="AF84" s="205">
        <f t="shared" si="98"/>
        <v>4.3447810963860752E-2</v>
      </c>
      <c r="AG84" s="205">
        <f t="shared" si="98"/>
        <v>4.0439274505876949E-2</v>
      </c>
      <c r="AH84" s="205">
        <f t="shared" si="98"/>
        <v>3.4701653761489641E-2</v>
      </c>
      <c r="AI84" s="205">
        <f t="shared" si="98"/>
        <v>2.5540854005131775E-3</v>
      </c>
      <c r="AJ84" s="205">
        <f t="shared" si="98"/>
        <v>0</v>
      </c>
      <c r="AK84" s="205">
        <f t="shared" si="98"/>
        <v>-2.4514367677891405E-2</v>
      </c>
      <c r="AL84" s="205">
        <f t="shared" si="98"/>
        <v>4.5822186350831327E-3</v>
      </c>
      <c r="AM84" s="205">
        <f t="shared" si="98"/>
        <v>-1.3011924979140619E-2</v>
      </c>
      <c r="AN84" s="205">
        <f t="shared" si="98"/>
        <v>0</v>
      </c>
      <c r="AO84" s="205">
        <f t="shared" si="98"/>
        <v>8.4352567767664866E-3</v>
      </c>
      <c r="AP84" s="205">
        <f t="shared" si="98"/>
        <v>5.1335697486104954E-2</v>
      </c>
      <c r="AQ84" s="205">
        <f t="shared" si="98"/>
        <v>-1.8439857102759798E-2</v>
      </c>
      <c r="AR84" s="205">
        <f t="shared" si="98"/>
        <v>-1.7358371469149439E-2</v>
      </c>
      <c r="AS84" s="205">
        <f t="shared" ref="AS84:AT84" si="99">+AS80-AS83</f>
        <v>-2.8488425904361458E-2</v>
      </c>
      <c r="AT84" s="205">
        <f t="shared" si="99"/>
        <v>-2.8488425904361458E-2</v>
      </c>
      <c r="AU84" s="205">
        <f t="shared" ref="AU84" si="100">+AU80-AU83</f>
        <v>-2.8488425904361458E-2</v>
      </c>
      <c r="AV84" s="201" t="s">
        <v>80</v>
      </c>
      <c r="AW84" s="184"/>
      <c r="AX84" s="184"/>
      <c r="AY84" s="184"/>
    </row>
    <row r="85" spans="1:51" ht="22">
      <c r="A85" s="285"/>
      <c r="B85" s="206" t="s">
        <v>25</v>
      </c>
      <c r="C85" s="232" cm="1">
        <f t="array" ref="C85">_xlfn.XLOOKUP(MIN(ABS($BJ$7:$BJ$29 - MEDIAN(MIN($BJ$7:$BJ$29), MAX($BJ$7:$BJ$29), C84))), ABS($BJ$7:$BJ$29 - MEDIAN(MIN($BJ$7:$BJ$29), MAX($BJ$7:$BJ$29), C84)), $BK$7:$BK$29, "Error", 0)</f>
        <v>-9</v>
      </c>
      <c r="D85" s="232" cm="1">
        <f t="array" ref="D85">_xlfn.XLOOKUP(MIN(ABS($BJ$7:$BJ$29 - MEDIAN(MIN($BJ$7:$BJ$29), MAX($BJ$7:$BJ$29), D84))), ABS($BJ$7:$BJ$29 - MEDIAN(MIN($BJ$7:$BJ$29), MAX($BJ$7:$BJ$29), D84)), $BK$7:$BK$29, "Error", 0)</f>
        <v>-10</v>
      </c>
      <c r="E85" s="232" cm="1">
        <f t="array" ref="E85">_xlfn.XLOOKUP(MIN(ABS($BJ$7:$BJ$29 - MEDIAN(MIN($BJ$7:$BJ$29), MAX($BJ$7:$BJ$29), E84))), ABS($BJ$7:$BJ$29 - MEDIAN(MIN($BJ$7:$BJ$29), MAX($BJ$7:$BJ$29), E84)), $BK$7:$BK$29, "Error", 0)</f>
        <v>-10</v>
      </c>
      <c r="F85" s="232" cm="1">
        <f t="array" ref="F85">_xlfn.XLOOKUP(MIN(ABS($BJ$7:$BJ$29 - MEDIAN(MIN($BJ$7:$BJ$29), MAX($BJ$7:$BJ$29), F84))), ABS($BJ$7:$BJ$29 - MEDIAN(MIN($BJ$7:$BJ$29), MAX($BJ$7:$BJ$29), F84)), $BK$7:$BK$29, "Error", 0)</f>
        <v>-7</v>
      </c>
      <c r="G85" s="232" cm="1">
        <f t="array" ref="G85">_xlfn.XLOOKUP(MIN(ABS($BJ$7:$BJ$29 - MEDIAN(MIN($BJ$7:$BJ$29), MAX($BJ$7:$BJ$29), G84))), ABS($BJ$7:$BJ$29 - MEDIAN(MIN($BJ$7:$BJ$29), MAX($BJ$7:$BJ$29), G84)), $BK$7:$BK$29, "Error", 0)</f>
        <v>-9</v>
      </c>
      <c r="H85" s="232" cm="1">
        <f t="array" ref="H85">_xlfn.XLOOKUP(MIN(ABS($BJ$7:$BJ$29 - MEDIAN(MIN($BJ$7:$BJ$29), MAX($BJ$7:$BJ$29), H84))), ABS($BJ$7:$BJ$29 - MEDIAN(MIN($BJ$7:$BJ$29), MAX($BJ$7:$BJ$29), H84)), $BK$7:$BK$29, "Error", 0)</f>
        <v>-9</v>
      </c>
      <c r="I85" s="232" cm="1">
        <f t="array" ref="I85">_xlfn.XLOOKUP(MIN(ABS($BJ$7:$BJ$29 - MEDIAN(MIN($BJ$7:$BJ$29), MAX($BJ$7:$BJ$29), I84))), ABS($BJ$7:$BJ$29 - MEDIAN(MIN($BJ$7:$BJ$29), MAX($BJ$7:$BJ$29), I84)), $BK$7:$BK$29, "Error", 0)</f>
        <v>-9</v>
      </c>
      <c r="J85" s="232" cm="1">
        <f t="array" ref="J85">_xlfn.XLOOKUP(MIN(ABS($BJ$7:$BJ$29 - MEDIAN(MIN($BJ$7:$BJ$29), MAX($BJ$7:$BJ$29), J84))), ABS($BJ$7:$BJ$29 - MEDIAN(MIN($BJ$7:$BJ$29), MAX($BJ$7:$BJ$29), J84)), $BK$7:$BK$29, "Error", 0)</f>
        <v>-5</v>
      </c>
      <c r="K85" s="232" cm="1">
        <f t="array" ref="K85">_xlfn.XLOOKUP(MIN(ABS($BJ$7:$BJ$29 - MEDIAN(MIN($BJ$7:$BJ$29), MAX($BJ$7:$BJ$29), K84))), ABS($BJ$7:$BJ$29 - MEDIAN(MIN($BJ$7:$BJ$29), MAX($BJ$7:$BJ$29), K84)), $BK$7:$BK$29, "Error", 0)</f>
        <v>-9</v>
      </c>
      <c r="L85" s="232" cm="1">
        <f t="array" ref="L85">_xlfn.XLOOKUP(MIN(ABS($BJ$7:$BJ$29 - MEDIAN(MIN($BJ$7:$BJ$29), MAX($BJ$7:$BJ$29), L84))), ABS($BJ$7:$BJ$29 - MEDIAN(MIN($BJ$7:$BJ$29), MAX($BJ$7:$BJ$29), L84)), $BK$7:$BK$29, "Error", 0)</f>
        <v>-7</v>
      </c>
      <c r="M85" s="232" cm="1">
        <f t="array" ref="M85">_xlfn.XLOOKUP(MIN(ABS($BJ$7:$BJ$29 - MEDIAN(MIN($BJ$7:$BJ$29), MAX($BJ$7:$BJ$29), M84))), ABS($BJ$7:$BJ$29 - MEDIAN(MIN($BJ$7:$BJ$29), MAX($BJ$7:$BJ$29), M84)), $BK$7:$BK$29, "Error", 0)</f>
        <v>-9</v>
      </c>
      <c r="N85" s="232" cm="1">
        <f t="array" ref="N85">_xlfn.XLOOKUP(MIN(ABS($BJ$7:$BJ$29 - MEDIAN(MIN($BJ$7:$BJ$29), MAX($BJ$7:$BJ$29), N84))), ABS($BJ$7:$BJ$29 - MEDIAN(MIN($BJ$7:$BJ$29), MAX($BJ$7:$BJ$29), N84)), $BK$7:$BK$29, "Error", 0)</f>
        <v>-10</v>
      </c>
      <c r="O85" s="232" cm="1">
        <f t="array" ref="O85">_xlfn.XLOOKUP(MIN(ABS($BJ$7:$BJ$29 - MEDIAN(MIN($BJ$7:$BJ$29), MAX($BJ$7:$BJ$29), O84))), ABS($BJ$7:$BJ$29 - MEDIAN(MIN($BJ$7:$BJ$29), MAX($BJ$7:$BJ$29), O84)), $BK$7:$BK$29, "Error", 0)</f>
        <v>-7</v>
      </c>
      <c r="P85" s="232" cm="1">
        <f t="array" ref="P85">_xlfn.XLOOKUP(MIN(ABS($BJ$7:$BJ$29 - MEDIAN(MIN($BJ$7:$BJ$29), MAX($BJ$7:$BJ$29), P84))), ABS($BJ$7:$BJ$29 - MEDIAN(MIN($BJ$7:$BJ$29), MAX($BJ$7:$BJ$29), P84)), $BK$7:$BK$29, "Error", 0)</f>
        <v>-2</v>
      </c>
      <c r="Q85" s="232" cm="1">
        <f t="array" ref="Q85">_xlfn.XLOOKUP(MIN(ABS($BJ$7:$BJ$29 - MEDIAN(MIN($BJ$7:$BJ$29), MAX($BJ$7:$BJ$29), Q84))), ABS($BJ$7:$BJ$29 - MEDIAN(MIN($BJ$7:$BJ$29), MAX($BJ$7:$BJ$29), Q84)), $BK$7:$BK$29, "Error", 0)</f>
        <v>0</v>
      </c>
      <c r="R85" s="232" cm="1">
        <f t="array" ref="R85">_xlfn.XLOOKUP(MIN(ABS($BJ$7:$BJ$29 - MEDIAN(MIN($BJ$7:$BJ$29), MAX($BJ$7:$BJ$29), R84))), ABS($BJ$7:$BJ$29 - MEDIAN(MIN($BJ$7:$BJ$29), MAX($BJ$7:$BJ$29), R84)), $BK$7:$BK$29, "Error", 0)</f>
        <v>0</v>
      </c>
      <c r="S85" s="232" cm="1">
        <f t="array" ref="S85">_xlfn.XLOOKUP(MIN(ABS($BJ$7:$BJ$29 - MEDIAN(MIN($BJ$7:$BJ$29), MAX($BJ$7:$BJ$29), S84))), ABS($BJ$7:$BJ$29 - MEDIAN(MIN($BJ$7:$BJ$29), MAX($BJ$7:$BJ$29), S84)), $BK$7:$BK$29, "Error", 0)</f>
        <v>-2</v>
      </c>
      <c r="T85" s="232" cm="1">
        <f t="array" ref="T85">_xlfn.XLOOKUP(MIN(ABS($BJ$7:$BJ$29 - MEDIAN(MIN($BJ$7:$BJ$29), MAX($BJ$7:$BJ$29), T84))), ABS($BJ$7:$BJ$29 - MEDIAN(MIN($BJ$7:$BJ$29), MAX($BJ$7:$BJ$29), T84)), $BK$7:$BK$29, "Error", 0)</f>
        <v>-2</v>
      </c>
      <c r="U85" s="232" cm="1">
        <f t="array" ref="U85">_xlfn.XLOOKUP(MIN(ABS($BJ$7:$BJ$29 - MEDIAN(MIN($BJ$7:$BJ$29), MAX($BJ$7:$BJ$29), U84))), ABS($BJ$7:$BJ$29 - MEDIAN(MIN($BJ$7:$BJ$29), MAX($BJ$7:$BJ$29), U84)), $BK$7:$BK$29, "Error", 0)</f>
        <v>3</v>
      </c>
      <c r="V85" s="232" cm="1">
        <f t="array" ref="V85">_xlfn.XLOOKUP(MIN(ABS($BJ$7:$BJ$29 - MEDIAN(MIN($BJ$7:$BJ$29), MAX($BJ$7:$BJ$29), V84))), ABS($BJ$7:$BJ$29 - MEDIAN(MIN($BJ$7:$BJ$29), MAX($BJ$7:$BJ$29), V84)), $BK$7:$BK$29, "Error", 0)</f>
        <v>-3</v>
      </c>
      <c r="W85" s="232" cm="1">
        <f t="array" ref="W85">_xlfn.XLOOKUP(MIN(ABS($BJ$7:$BJ$29 - MEDIAN(MIN($BJ$7:$BJ$29), MAX($BJ$7:$BJ$29), W84))), ABS($BJ$7:$BJ$29 - MEDIAN(MIN($BJ$7:$BJ$29), MAX($BJ$7:$BJ$29), W84)), $BK$7:$BK$29, "Error", 0)</f>
        <v>-3</v>
      </c>
      <c r="X85" s="232" cm="1">
        <f t="array" ref="X85">_xlfn.XLOOKUP(MIN(ABS($BJ$7:$BJ$29 - MEDIAN(MIN($BJ$7:$BJ$29), MAX($BJ$7:$BJ$29), X84))), ABS($BJ$7:$BJ$29 - MEDIAN(MIN($BJ$7:$BJ$29), MAX($BJ$7:$BJ$29), X84)), $BK$7:$BK$29, "Error", 0)</f>
        <v>0</v>
      </c>
      <c r="Y85" s="232" cm="1">
        <f t="array" ref="Y85">_xlfn.XLOOKUP(MIN(ABS($BJ$7:$BJ$29 - MEDIAN(MIN($BJ$7:$BJ$29), MAX($BJ$7:$BJ$29), Y84))), ABS($BJ$7:$BJ$29 - MEDIAN(MIN($BJ$7:$BJ$29), MAX($BJ$7:$BJ$29), Y84)), $BK$7:$BK$29, "Error", 0)</f>
        <v>-2</v>
      </c>
      <c r="Z85" s="232" cm="1">
        <f t="array" ref="Z85">_xlfn.XLOOKUP(MIN(ABS($BJ$7:$BJ$29 - MEDIAN(MIN($BJ$7:$BJ$29), MAX($BJ$7:$BJ$29), Z84))), ABS($BJ$7:$BJ$29 - MEDIAN(MIN($BJ$7:$BJ$29), MAX($BJ$7:$BJ$29), Z84)), $BK$7:$BK$29, "Error", 0)</f>
        <v>3</v>
      </c>
      <c r="AA85" s="232" cm="1">
        <f t="array" ref="AA85">_xlfn.XLOOKUP(MIN(ABS($BJ$7:$BJ$29 - MEDIAN(MIN($BJ$7:$BJ$29), MAX($BJ$7:$BJ$29), AA84))), ABS($BJ$7:$BJ$29 - MEDIAN(MIN($BJ$7:$BJ$29), MAX($BJ$7:$BJ$29), AA84)), $BK$7:$BK$29, "Error", 0)</f>
        <v>0</v>
      </c>
      <c r="AB85" s="171" cm="1">
        <f t="array" ref="AB85">_xlfn.XLOOKUP(MIN(ABS($BJ$7:$BJ$29 - MEDIAN(MIN($BJ$7:$BJ$29), MAX($BJ$7:$BJ$29), AB84))), ABS($BJ$7:$BJ$29 - MEDIAN(MIN($BJ$7:$BJ$29), MAX($BJ$7:$BJ$29), AB84)), $BK$7:$BK$29, "Error", 0)</f>
        <v>0</v>
      </c>
      <c r="AC85" s="171" cm="1">
        <f t="array" ref="AC85">_xlfn.XLOOKUP(MIN(ABS($BJ$7:$BJ$29 - MEDIAN(MIN($BJ$7:$BJ$29), MAX($BJ$7:$BJ$29), AC84))), ABS($BJ$7:$BJ$29 - MEDIAN(MIN($BJ$7:$BJ$29), MAX($BJ$7:$BJ$29), AC84)), $BK$7:$BK$29, "Error", 0)</f>
        <v>2</v>
      </c>
      <c r="AD85" s="171" cm="1">
        <f t="array" ref="AD85">_xlfn.XLOOKUP(MIN(ABS($BJ$7:$BJ$29 - MEDIAN(MIN($BJ$7:$BJ$29), MAX($BJ$7:$BJ$29), AD84))), ABS($BJ$7:$BJ$29 - MEDIAN(MIN($BJ$7:$BJ$29), MAX($BJ$7:$BJ$29), AD84)), $BK$7:$BK$29, "Error", 0)</f>
        <v>2</v>
      </c>
      <c r="AE85" s="171" cm="1">
        <f t="array" ref="AE85">_xlfn.XLOOKUP(MIN(ABS($BJ$7:$BJ$29 - MEDIAN(MIN($BJ$7:$BJ$29), MAX($BJ$7:$BJ$29), AE84))), ABS($BJ$7:$BJ$29 - MEDIAN(MIN($BJ$7:$BJ$29), MAX($BJ$7:$BJ$29), AE84)), $BK$7:$BK$29, "Error", 0)</f>
        <v>3</v>
      </c>
      <c r="AF85" s="171" cm="1">
        <f t="array" ref="AF85">_xlfn.XLOOKUP(MIN(ABS($BJ$7:$BJ$29 - MEDIAN(MIN($BJ$7:$BJ$29), MAX($BJ$7:$BJ$29), AF84))), ABS($BJ$7:$BJ$29 - MEDIAN(MIN($BJ$7:$BJ$29), MAX($BJ$7:$BJ$29), AF84)), $BK$7:$BK$29, "Error", 0)</f>
        <v>3</v>
      </c>
      <c r="AG85" s="171" cm="1">
        <f t="array" ref="AG85">_xlfn.XLOOKUP(MIN(ABS($BJ$7:$BJ$29 - MEDIAN(MIN($BJ$7:$BJ$29), MAX($BJ$7:$BJ$29), AG84))), ABS($BJ$7:$BJ$29 - MEDIAN(MIN($BJ$7:$BJ$29), MAX($BJ$7:$BJ$29), AG84)), $BK$7:$BK$29, "Error", 0)</f>
        <v>3</v>
      </c>
      <c r="AH85" s="171" cm="1">
        <f t="array" ref="AH85">_xlfn.XLOOKUP(MIN(ABS($BJ$7:$BJ$29 - MEDIAN(MIN($BJ$7:$BJ$29), MAX($BJ$7:$BJ$29), AH84))), ABS($BJ$7:$BJ$29 - MEDIAN(MIN($BJ$7:$BJ$29), MAX($BJ$7:$BJ$29), AH84)), $BK$7:$BK$29, "Error", 0)</f>
        <v>3</v>
      </c>
      <c r="AI85" s="171" cm="1">
        <f t="array" ref="AI85">_xlfn.XLOOKUP(MIN(ABS($BJ$7:$BJ$29 - MEDIAN(MIN($BJ$7:$BJ$29), MAX($BJ$7:$BJ$29), AI84))), ABS($BJ$7:$BJ$29 - MEDIAN(MIN($BJ$7:$BJ$29), MAX($BJ$7:$BJ$29), AI84)), $BK$7:$BK$29, "Error", 0)</f>
        <v>0</v>
      </c>
      <c r="AJ85" s="171" cm="1">
        <f t="array" ref="AJ85">_xlfn.XLOOKUP(MIN(ABS($BJ$7:$BJ$29 - MEDIAN(MIN($BJ$7:$BJ$29), MAX($BJ$7:$BJ$29), AJ84))), ABS($BJ$7:$BJ$29 - MEDIAN(MIN($BJ$7:$BJ$29), MAX($BJ$7:$BJ$29), AJ84)), $BK$7:$BK$29, "Error", 0)</f>
        <v>0</v>
      </c>
      <c r="AK85" s="171" cm="1">
        <f t="array" ref="AK85">_xlfn.XLOOKUP(MIN(ABS($BJ$7:$BJ$29 - MEDIAN(MIN($BJ$7:$BJ$29), MAX($BJ$7:$BJ$29), AK84))), ABS($BJ$7:$BJ$29 - MEDIAN(MIN($BJ$7:$BJ$29), MAX($BJ$7:$BJ$29), AK84)), $BK$7:$BK$29, "Error", 0)</f>
        <v>-2</v>
      </c>
      <c r="AL85" s="171" cm="1">
        <f t="array" ref="AL85">_xlfn.XLOOKUP(MIN(ABS($BJ$7:$BJ$29 - MEDIAN(MIN($BJ$7:$BJ$29), MAX($BJ$7:$BJ$29), AL84))), ABS($BJ$7:$BJ$29 - MEDIAN(MIN($BJ$7:$BJ$29), MAX($BJ$7:$BJ$29), AL84)), $BK$7:$BK$29, "Error", 0)</f>
        <v>0</v>
      </c>
      <c r="AM85" s="171" cm="1">
        <f t="array" ref="AM85">_xlfn.XLOOKUP(MIN(ABS($BJ$7:$BJ$29 - MEDIAN(MIN($BJ$7:$BJ$29), MAX($BJ$7:$BJ$29), AM84))), ABS($BJ$7:$BJ$29 - MEDIAN(MIN($BJ$7:$BJ$29), MAX($BJ$7:$BJ$29), AM84)), $BK$7:$BK$29, "Error", 0)</f>
        <v>-2</v>
      </c>
      <c r="AN85" s="171" cm="1">
        <f t="array" ref="AN85">_xlfn.XLOOKUP(MIN(ABS($BJ$7:$BJ$29 - MEDIAN(MIN($BJ$7:$BJ$29), MAX($BJ$7:$BJ$29), AN84))), ABS($BJ$7:$BJ$29 - MEDIAN(MIN($BJ$7:$BJ$29), MAX($BJ$7:$BJ$29), AN84)), $BK$7:$BK$29, "Error", 0)</f>
        <v>0</v>
      </c>
      <c r="AO85" s="171" cm="1">
        <f t="array" ref="AO85">_xlfn.XLOOKUP(MIN(ABS($BJ$7:$BJ$29 - MEDIAN(MIN($BJ$7:$BJ$29), MAX($BJ$7:$BJ$29), AO84))), ABS($BJ$7:$BJ$29 - MEDIAN(MIN($BJ$7:$BJ$29), MAX($BJ$7:$BJ$29), AO84)), $BK$7:$BK$29, "Error", 0)</f>
        <v>0</v>
      </c>
      <c r="AP85" s="171" cm="1">
        <f t="array" ref="AP85">_xlfn.XLOOKUP(MIN(ABS($BJ$7:$BJ$29 - MEDIAN(MIN($BJ$7:$BJ$29), MAX($BJ$7:$BJ$29), AP84))), ABS($BJ$7:$BJ$29 - MEDIAN(MIN($BJ$7:$BJ$29), MAX($BJ$7:$BJ$29), AP84)), $BK$7:$BK$29, "Error", 0)</f>
        <v>5</v>
      </c>
      <c r="AQ85" s="171" cm="1">
        <f t="array" ref="AQ85">_xlfn.XLOOKUP(MIN(ABS($BJ$7:$BJ$29 - MEDIAN(MIN($BJ$7:$BJ$29), MAX($BJ$7:$BJ$29), AQ84))), ABS($BJ$7:$BJ$29 - MEDIAN(MIN($BJ$7:$BJ$29), MAX($BJ$7:$BJ$29), AQ84)), $BK$7:$BK$29, "Error", 0)</f>
        <v>-2</v>
      </c>
      <c r="AR85" s="171" cm="1">
        <f t="array" ref="AR85">_xlfn.XLOOKUP(MIN(ABS($BJ$7:$BJ$29 - MEDIAN(MIN($BJ$7:$BJ$29), MAX($BJ$7:$BJ$29), AR84))), ABS($BJ$7:$BJ$29 - MEDIAN(MIN($BJ$7:$BJ$29), MAX($BJ$7:$BJ$29), AR84)), $BK$7:$BK$29, "Error", 0)</f>
        <v>-2</v>
      </c>
      <c r="AS85" s="171" cm="1">
        <f t="array" ref="AS85">_xlfn.XLOOKUP(MIN(ABS($BJ$7:$BJ$29 - MEDIAN(MIN($BJ$7:$BJ$29), MAX($BJ$7:$BJ$29), AS84))), ABS($BJ$7:$BJ$29 - MEDIAN(MIN($BJ$7:$BJ$29), MAX($BJ$7:$BJ$29), AS84)), $BK$7:$BK$29, "Error", 0)</f>
        <v>-2</v>
      </c>
      <c r="AT85" s="171" cm="1">
        <f t="array" ref="AT85">_xlfn.XLOOKUP(MIN(ABS($BJ$7:$BJ$29 - MEDIAN(MIN($BJ$7:$BJ$29), MAX($BJ$7:$BJ$29), AT84))), ABS($BJ$7:$BJ$29 - MEDIAN(MIN($BJ$7:$BJ$29), MAX($BJ$7:$BJ$29), AT84)), $BK$7:$BK$29, "Error", 0)</f>
        <v>-2</v>
      </c>
      <c r="AU85" s="171" cm="1">
        <f t="array" ref="AU85">_xlfn.XLOOKUP(MIN(ABS($BJ$7:$BJ$29 - MEDIAN(MIN($BJ$7:$BJ$29), MAX($BJ$7:$BJ$29), AU84))), ABS($BJ$7:$BJ$29 - MEDIAN(MIN($BJ$7:$BJ$29), MAX($BJ$7:$BJ$29), AU84)), $BK$7:$BK$29, "Error", 0)</f>
        <v>-2</v>
      </c>
      <c r="AV85" s="206" t="s">
        <v>25</v>
      </c>
      <c r="AW85" s="184"/>
      <c r="AX85" s="184"/>
      <c r="AY85" s="184"/>
    </row>
    <row r="86" spans="1:51" ht="44">
      <c r="A86" s="283" t="s">
        <v>51</v>
      </c>
      <c r="B86" s="200" t="s">
        <v>76</v>
      </c>
      <c r="C86" s="233">
        <v>11772.0549473763</v>
      </c>
      <c r="D86" s="233">
        <v>11772.0549473763</v>
      </c>
      <c r="E86" s="233">
        <v>11772.0549473763</v>
      </c>
      <c r="F86" s="233">
        <v>11772.0549473763</v>
      </c>
      <c r="G86" s="233">
        <v>11772.0549473763</v>
      </c>
      <c r="H86" s="233">
        <v>11772.0549473763</v>
      </c>
      <c r="I86" s="233">
        <v>11772.0549473763</v>
      </c>
      <c r="J86" s="233">
        <v>11772.0549473763</v>
      </c>
      <c r="K86" s="233">
        <v>11772.0549473763</v>
      </c>
      <c r="L86" s="233">
        <v>11772.0549473763</v>
      </c>
      <c r="M86" s="233">
        <v>11772.0549473763</v>
      </c>
      <c r="N86" s="233">
        <v>11772.0549473763</v>
      </c>
      <c r="O86" s="233">
        <v>11772.0549473763</v>
      </c>
      <c r="P86" s="233">
        <v>11772.0549473763</v>
      </c>
      <c r="Q86" s="233">
        <v>11772.0549473763</v>
      </c>
      <c r="R86" s="233">
        <v>11772.0549473763</v>
      </c>
      <c r="S86" s="233">
        <v>11772.0549473763</v>
      </c>
      <c r="T86" s="233">
        <v>11772.0549473763</v>
      </c>
      <c r="U86" s="233">
        <v>11772.0549473763</v>
      </c>
      <c r="V86" s="233">
        <v>11772.0549473763</v>
      </c>
      <c r="W86" s="233">
        <v>11772.0549473763</v>
      </c>
      <c r="X86" s="233">
        <v>11772.0549473763</v>
      </c>
      <c r="Y86" s="233">
        <v>11772.0549473763</v>
      </c>
      <c r="Z86" s="233">
        <v>11772.0549473763</v>
      </c>
      <c r="AA86" s="204">
        <v>11772.0549473763</v>
      </c>
      <c r="AB86" s="204">
        <v>11772.0549473763</v>
      </c>
      <c r="AC86" s="204">
        <v>11772.0549473763</v>
      </c>
      <c r="AD86" s="204">
        <v>11772.0549473763</v>
      </c>
      <c r="AE86" s="204">
        <v>11994.345540046699</v>
      </c>
      <c r="AF86" s="204">
        <v>12253.9886762684</v>
      </c>
      <c r="AG86" s="204">
        <v>12672.808264094099</v>
      </c>
      <c r="AH86" s="204">
        <v>12721.081100106199</v>
      </c>
      <c r="AI86" s="204">
        <v>12800.721413323399</v>
      </c>
      <c r="AJ86" s="204">
        <v>13282.758527595101</v>
      </c>
      <c r="AK86" s="204">
        <v>13282.758527595101</v>
      </c>
      <c r="AL86" s="204">
        <v>13473.605289346</v>
      </c>
      <c r="AM86" s="204">
        <v>14231.296838099401</v>
      </c>
      <c r="AN86" s="204">
        <v>15048.601666680501</v>
      </c>
      <c r="AO86" s="204">
        <v>15048.601666680501</v>
      </c>
      <c r="AP86" s="204">
        <v>15048.601666680501</v>
      </c>
      <c r="AQ86" s="204">
        <v>15048.601666680501</v>
      </c>
      <c r="AR86" s="204">
        <v>15048.601666680501</v>
      </c>
      <c r="AS86" s="204">
        <v>15048.601666680501</v>
      </c>
      <c r="AT86" s="204">
        <v>15048.601666680501</v>
      </c>
      <c r="AU86" s="204">
        <v>15048.601666680501</v>
      </c>
      <c r="AV86" s="200" t="s">
        <v>76</v>
      </c>
      <c r="AW86" s="184"/>
      <c r="AX86" s="184"/>
      <c r="AY86" s="184"/>
    </row>
    <row r="87" spans="1:51" ht="22">
      <c r="A87" s="284"/>
      <c r="B87" s="201" t="s">
        <v>77</v>
      </c>
      <c r="C87" s="233">
        <v>9600.8551698107003</v>
      </c>
      <c r="D87" s="233">
        <v>9500.0482663433104</v>
      </c>
      <c r="E87" s="233">
        <v>9453.5974347032607</v>
      </c>
      <c r="F87" s="233">
        <v>9898.0719174893493</v>
      </c>
      <c r="G87" s="233">
        <v>9242.0069046474491</v>
      </c>
      <c r="H87" s="233">
        <v>9500.7134206294995</v>
      </c>
      <c r="I87" s="233">
        <v>9896.7822711709905</v>
      </c>
      <c r="J87" s="233">
        <v>9456.4310786664701</v>
      </c>
      <c r="K87" s="233">
        <v>9284.1606108032902</v>
      </c>
      <c r="L87" s="233">
        <v>8907.3949907822498</v>
      </c>
      <c r="M87" s="233">
        <v>9463.6403748777193</v>
      </c>
      <c r="N87" s="233">
        <v>9852.8671858173293</v>
      </c>
      <c r="O87" s="233">
        <v>9687.43718984322</v>
      </c>
      <c r="P87" s="233">
        <v>9661.8969142436999</v>
      </c>
      <c r="Q87" s="233">
        <v>10041.7449943547</v>
      </c>
      <c r="R87" s="233">
        <v>10228.8395822764</v>
      </c>
      <c r="S87" s="233">
        <v>10534.932949174001</v>
      </c>
      <c r="T87" s="233">
        <v>10327.584560273601</v>
      </c>
      <c r="U87" s="233">
        <v>10741.9775695801</v>
      </c>
      <c r="V87" s="233">
        <v>10998.4699907021</v>
      </c>
      <c r="W87" s="233">
        <v>11023.822496891</v>
      </c>
      <c r="X87" s="233">
        <v>10510.3484773575</v>
      </c>
      <c r="Y87" s="233">
        <v>10552.217293825801</v>
      </c>
      <c r="Z87" s="233">
        <v>10256.3783921003</v>
      </c>
      <c r="AA87" s="204">
        <v>10776.4942793846</v>
      </c>
      <c r="AB87" s="204">
        <v>11099.253879428399</v>
      </c>
      <c r="AC87" s="204">
        <v>11104.6708889236</v>
      </c>
      <c r="AD87" s="204">
        <v>11392.336543256</v>
      </c>
      <c r="AE87" s="204">
        <v>11994.345540046699</v>
      </c>
      <c r="AF87" s="204">
        <v>12253.9886762684</v>
      </c>
      <c r="AG87" s="204">
        <v>12672.808264094099</v>
      </c>
      <c r="AH87" s="204">
        <v>12721.081100106199</v>
      </c>
      <c r="AI87" s="204">
        <v>12800.721413323399</v>
      </c>
      <c r="AJ87" s="204">
        <v>13282.758527595101</v>
      </c>
      <c r="AK87" s="204">
        <v>12882.580756187401</v>
      </c>
      <c r="AL87" s="204">
        <v>13473.605289346</v>
      </c>
      <c r="AM87" s="204">
        <v>14231.296838099401</v>
      </c>
      <c r="AN87" s="204">
        <v>15048.601666680501</v>
      </c>
      <c r="AO87" s="204">
        <v>13405.3004704714</v>
      </c>
      <c r="AP87" s="204">
        <v>13999.544456485301</v>
      </c>
      <c r="AQ87" s="204">
        <v>14004.6791503901</v>
      </c>
      <c r="AR87" s="204">
        <v>13921.180520215101</v>
      </c>
      <c r="AS87" s="204">
        <v>14088</v>
      </c>
      <c r="AT87" s="204">
        <v>14088</v>
      </c>
      <c r="AU87" s="204">
        <v>14088</v>
      </c>
      <c r="AV87" s="201" t="s">
        <v>77</v>
      </c>
      <c r="AW87" s="184"/>
      <c r="AX87" s="184"/>
      <c r="AY87" s="184"/>
    </row>
    <row r="88" spans="1:51" ht="22">
      <c r="A88" s="284"/>
      <c r="B88" s="201" t="s">
        <v>78</v>
      </c>
      <c r="C88" s="230">
        <f t="shared" ref="C88:Z88" si="101">+(C87-C86)/C86</f>
        <v>-0.18443676887946456</v>
      </c>
      <c r="D88" s="230">
        <f t="shared" si="101"/>
        <v>-0.19300000647205304</v>
      </c>
      <c r="E88" s="230">
        <f t="shared" si="101"/>
        <v>-0.19694586230161681</v>
      </c>
      <c r="F88" s="230">
        <f t="shared" si="101"/>
        <v>-0.15918911679091469</v>
      </c>
      <c r="G88" s="230">
        <f t="shared" si="101"/>
        <v>-0.21491982954876848</v>
      </c>
      <c r="H88" s="230">
        <f t="shared" si="101"/>
        <v>-0.19294350365337248</v>
      </c>
      <c r="I88" s="230">
        <f t="shared" si="101"/>
        <v>-0.1592986682943798</v>
      </c>
      <c r="J88" s="230">
        <f t="shared" si="101"/>
        <v>-0.19670515292879479</v>
      </c>
      <c r="K88" s="230">
        <f t="shared" si="101"/>
        <v>-0.21133900136335163</v>
      </c>
      <c r="L88" s="230">
        <f t="shared" si="101"/>
        <v>-0.24334408643178415</v>
      </c>
      <c r="M88" s="230">
        <f t="shared" si="101"/>
        <v>-0.19609274530383242</v>
      </c>
      <c r="N88" s="230">
        <f t="shared" si="101"/>
        <v>-0.16302912024605445</v>
      </c>
      <c r="O88" s="230">
        <f t="shared" si="101"/>
        <v>-0.17708189155179657</v>
      </c>
      <c r="P88" s="230">
        <f t="shared" si="101"/>
        <v>-0.17925145971246953</v>
      </c>
      <c r="Q88" s="230">
        <f t="shared" si="101"/>
        <v>-0.14698452910358217</v>
      </c>
      <c r="R88" s="230">
        <f t="shared" si="101"/>
        <v>-0.13109141708889535</v>
      </c>
      <c r="S88" s="230">
        <f t="shared" si="101"/>
        <v>-0.10508972339430198</v>
      </c>
      <c r="T88" s="230">
        <f t="shared" si="101"/>
        <v>-0.12270333374757449</v>
      </c>
      <c r="U88" s="230">
        <f t="shared" si="101"/>
        <v>-8.7501917243920035E-2</v>
      </c>
      <c r="V88" s="230">
        <f t="shared" si="101"/>
        <v>-6.5713671923236558E-2</v>
      </c>
      <c r="W88" s="230">
        <f t="shared" si="101"/>
        <v>-6.3560054198699006E-2</v>
      </c>
      <c r="X88" s="230">
        <f t="shared" si="101"/>
        <v>-0.10717809895204435</v>
      </c>
      <c r="Y88" s="230">
        <f t="shared" si="101"/>
        <v>-0.1036214712727255</v>
      </c>
      <c r="Z88" s="230">
        <f t="shared" si="101"/>
        <v>-0.12875207956906518</v>
      </c>
      <c r="AA88" s="230">
        <f t="shared" ref="AA88:AR88" si="102">+(AA87-AA86)/AA86</f>
        <v>-8.4569828499958352E-2</v>
      </c>
      <c r="AB88" s="205">
        <f t="shared" si="102"/>
        <v>-5.7152389362390116E-2</v>
      </c>
      <c r="AC88" s="205">
        <f t="shared" si="102"/>
        <v>-5.6692231002663136E-2</v>
      </c>
      <c r="AD88" s="205">
        <f t="shared" si="102"/>
        <v>-3.2255915030784815E-2</v>
      </c>
      <c r="AE88" s="205">
        <f t="shared" si="102"/>
        <v>0</v>
      </c>
      <c r="AF88" s="205">
        <f t="shared" si="102"/>
        <v>0</v>
      </c>
      <c r="AG88" s="205">
        <f t="shared" si="102"/>
        <v>0</v>
      </c>
      <c r="AH88" s="205">
        <f t="shared" si="102"/>
        <v>0</v>
      </c>
      <c r="AI88" s="205">
        <f t="shared" si="102"/>
        <v>0</v>
      </c>
      <c r="AJ88" s="205">
        <f t="shared" si="102"/>
        <v>0</v>
      </c>
      <c r="AK88" s="205">
        <f t="shared" si="102"/>
        <v>-3.012761020809987E-2</v>
      </c>
      <c r="AL88" s="205">
        <f t="shared" si="102"/>
        <v>0</v>
      </c>
      <c r="AM88" s="205">
        <f t="shared" si="102"/>
        <v>0</v>
      </c>
      <c r="AN88" s="205">
        <f t="shared" si="102"/>
        <v>0</v>
      </c>
      <c r="AO88" s="205">
        <f t="shared" si="102"/>
        <v>-0.10919959426180947</v>
      </c>
      <c r="AP88" s="205">
        <f t="shared" si="102"/>
        <v>-6.9711275069360437E-2</v>
      </c>
      <c r="AQ88" s="205">
        <f t="shared" si="102"/>
        <v>-6.9370067692188064E-2</v>
      </c>
      <c r="AR88" s="205">
        <f t="shared" si="102"/>
        <v>-7.4918664965506546E-2</v>
      </c>
      <c r="AS88" s="205">
        <f t="shared" ref="AS88:AT88" si="103">+(AS87-AS86)/AS86</f>
        <v>-6.3833284178648558E-2</v>
      </c>
      <c r="AT88" s="205">
        <f t="shared" si="103"/>
        <v>-6.3833284178648558E-2</v>
      </c>
      <c r="AU88" s="205">
        <f t="shared" ref="AU88" si="104">+(AU87-AU86)/AU86</f>
        <v>-6.3833284178648558E-2</v>
      </c>
      <c r="AV88" s="201" t="s">
        <v>78</v>
      </c>
      <c r="AW88" s="184"/>
      <c r="AX88" s="184"/>
      <c r="AY88" s="184"/>
    </row>
    <row r="89" spans="1:51" ht="44">
      <c r="A89" s="284"/>
      <c r="B89" s="201" t="s">
        <v>89</v>
      </c>
      <c r="C89" s="233">
        <v>7903.5</v>
      </c>
      <c r="D89" s="233">
        <v>8047.10009765625</v>
      </c>
      <c r="E89" s="233">
        <v>8047.10009765625</v>
      </c>
      <c r="F89" s="233">
        <v>8047.10009765625</v>
      </c>
      <c r="G89" s="233">
        <v>8047.10009765625</v>
      </c>
      <c r="H89" s="233">
        <v>8047.10009765625</v>
      </c>
      <c r="I89" s="233">
        <v>8047.10009765625</v>
      </c>
      <c r="J89" s="233">
        <v>8047.10009765625</v>
      </c>
      <c r="K89" s="233">
        <v>8047.10009765625</v>
      </c>
      <c r="L89" s="233">
        <v>8047.10009765625</v>
      </c>
      <c r="M89" s="233">
        <v>8047.10009765625</v>
      </c>
      <c r="N89" s="233">
        <v>8047.10009765625</v>
      </c>
      <c r="O89" s="233">
        <v>8047.10009765625</v>
      </c>
      <c r="P89" s="233">
        <v>8047.10009765625</v>
      </c>
      <c r="Q89" s="233">
        <v>8047.10009765625</v>
      </c>
      <c r="R89" s="233">
        <v>8200</v>
      </c>
      <c r="S89" s="233">
        <v>8474.400390625</v>
      </c>
      <c r="T89" s="233">
        <v>8474.400390625</v>
      </c>
      <c r="U89" s="233">
        <v>8474.400390625</v>
      </c>
      <c r="V89" s="233">
        <v>8474.400390625</v>
      </c>
      <c r="W89" s="233">
        <v>8474.400390625</v>
      </c>
      <c r="X89" s="233">
        <v>8474.400390625</v>
      </c>
      <c r="Y89" s="233">
        <v>8474.400390625</v>
      </c>
      <c r="Z89" s="233">
        <v>8474.400390625</v>
      </c>
      <c r="AA89" s="231">
        <v>8692.7998046875</v>
      </c>
      <c r="AB89" s="203">
        <v>8820.900390625</v>
      </c>
      <c r="AC89" s="203">
        <v>8820.900390625</v>
      </c>
      <c r="AD89" s="203">
        <v>8820.900390625</v>
      </c>
      <c r="AE89" s="203">
        <v>8824</v>
      </c>
      <c r="AF89" s="203">
        <v>8824</v>
      </c>
      <c r="AG89" s="203">
        <v>9190.7001953125</v>
      </c>
      <c r="AH89" s="203">
        <v>9357.5</v>
      </c>
      <c r="AI89" s="203">
        <v>9363.599609375</v>
      </c>
      <c r="AJ89" s="203">
        <v>9787.599609375</v>
      </c>
      <c r="AK89" s="203">
        <v>9930.099609375</v>
      </c>
      <c r="AL89" s="203">
        <v>9954.2998046875</v>
      </c>
      <c r="AM89" s="203">
        <v>10277.7001953125</v>
      </c>
      <c r="AN89" s="203">
        <v>10934.900390625</v>
      </c>
      <c r="AO89" s="203">
        <v>10934.900390625</v>
      </c>
      <c r="AP89" s="203">
        <v>10934.900390625</v>
      </c>
      <c r="AQ89" s="203">
        <v>10934.900390625</v>
      </c>
      <c r="AR89" s="203">
        <v>10934.900390625</v>
      </c>
      <c r="AS89" s="203">
        <v>10934.900390625</v>
      </c>
      <c r="AT89" s="203">
        <v>10934.900390625</v>
      </c>
      <c r="AU89" s="203">
        <v>10934.900390625</v>
      </c>
      <c r="AV89" s="201" t="s">
        <v>89</v>
      </c>
      <c r="AW89" s="184"/>
      <c r="AX89" s="184"/>
      <c r="AY89" s="184"/>
    </row>
    <row r="90" spans="1:51" ht="44">
      <c r="A90" s="284"/>
      <c r="B90" s="201" t="s">
        <v>90</v>
      </c>
      <c r="C90" s="233">
        <v>7771.7001953125</v>
      </c>
      <c r="D90" s="233">
        <v>8047.10009765625</v>
      </c>
      <c r="E90" s="233">
        <v>7631.7001953125</v>
      </c>
      <c r="F90" s="233">
        <v>7870.60009765625</v>
      </c>
      <c r="G90" s="233">
        <v>7446.10009765625</v>
      </c>
      <c r="H90" s="233">
        <v>7531.5</v>
      </c>
      <c r="I90" s="233">
        <v>7699.39990234375</v>
      </c>
      <c r="J90" s="233">
        <v>7439.10009765625</v>
      </c>
      <c r="K90" s="233">
        <v>7608.10009765625</v>
      </c>
      <c r="L90" s="233">
        <v>7321.7001953125</v>
      </c>
      <c r="M90" s="233">
        <v>7453.7998046875</v>
      </c>
      <c r="N90" s="233">
        <v>7733.2001953125</v>
      </c>
      <c r="O90" s="233">
        <v>7630.60009765625</v>
      </c>
      <c r="P90" s="233">
        <v>7630</v>
      </c>
      <c r="Q90" s="233">
        <v>7952.60009765625</v>
      </c>
      <c r="R90" s="233">
        <v>8200</v>
      </c>
      <c r="S90" s="233">
        <v>8474.400390625</v>
      </c>
      <c r="T90" s="233">
        <v>8164.10009765625</v>
      </c>
      <c r="U90" s="233">
        <v>8368</v>
      </c>
      <c r="V90" s="233">
        <v>8376.599609375</v>
      </c>
      <c r="W90" s="233">
        <v>8237</v>
      </c>
      <c r="X90" s="233">
        <v>8110.10009765625</v>
      </c>
      <c r="Y90" s="233">
        <v>8287.2998046875</v>
      </c>
      <c r="Z90" s="233">
        <v>8173</v>
      </c>
      <c r="AA90" s="231">
        <v>8692.7998046875</v>
      </c>
      <c r="AB90" s="203">
        <v>8820.900390625</v>
      </c>
      <c r="AC90" s="203">
        <v>8582.7998046875</v>
      </c>
      <c r="AD90" s="203">
        <v>8494.900390625</v>
      </c>
      <c r="AE90" s="203">
        <v>8824</v>
      </c>
      <c r="AF90" s="203">
        <v>8761</v>
      </c>
      <c r="AG90" s="203">
        <v>9190.7001953125</v>
      </c>
      <c r="AH90" s="203">
        <v>9357.5</v>
      </c>
      <c r="AI90" s="203">
        <v>9363.599609375</v>
      </c>
      <c r="AJ90" s="203">
        <v>9787.599609375</v>
      </c>
      <c r="AK90" s="203">
        <v>9930.099609375</v>
      </c>
      <c r="AL90" s="203">
        <v>9954.2998046875</v>
      </c>
      <c r="AM90" s="203">
        <v>10277.7001953125</v>
      </c>
      <c r="AN90" s="203">
        <v>10934.900390625</v>
      </c>
      <c r="AO90" s="203">
        <v>10176.5</v>
      </c>
      <c r="AP90" s="203">
        <v>10378.7998046875</v>
      </c>
      <c r="AQ90" s="203">
        <v>10409.2998046875</v>
      </c>
      <c r="AR90" s="203">
        <v>10497</v>
      </c>
      <c r="AS90" s="203">
        <v>10515</v>
      </c>
      <c r="AT90" s="203">
        <v>10515</v>
      </c>
      <c r="AU90" s="203">
        <v>10515</v>
      </c>
      <c r="AV90" s="201" t="s">
        <v>90</v>
      </c>
      <c r="AW90" s="184"/>
      <c r="AX90" s="184"/>
      <c r="AY90" s="184"/>
    </row>
    <row r="91" spans="1:51" ht="44">
      <c r="A91" s="284"/>
      <c r="B91" s="201" t="s">
        <v>79</v>
      </c>
      <c r="C91" s="230">
        <f t="shared" ref="C91:Z91" si="105">+(C90-C89)/C89</f>
        <v>-1.6676131421205796E-2</v>
      </c>
      <c r="D91" s="230">
        <f t="shared" si="105"/>
        <v>0</v>
      </c>
      <c r="E91" s="230">
        <f t="shared" si="105"/>
        <v>-5.162106812424725E-2</v>
      </c>
      <c r="F91" s="230">
        <f t="shared" si="105"/>
        <v>-2.1933367033846931E-2</v>
      </c>
      <c r="G91" s="230">
        <f t="shared" si="105"/>
        <v>-7.4685289446696904E-2</v>
      </c>
      <c r="H91" s="230">
        <f t="shared" si="105"/>
        <v>-6.407278291547791E-2</v>
      </c>
      <c r="I91" s="230">
        <f t="shared" si="105"/>
        <v>-4.3208135986001851E-2</v>
      </c>
      <c r="J91" s="230">
        <f t="shared" si="105"/>
        <v>-7.5555168025942962E-2</v>
      </c>
      <c r="K91" s="230">
        <f t="shared" si="105"/>
        <v>-5.455381375557395E-2</v>
      </c>
      <c r="L91" s="230">
        <f t="shared" si="105"/>
        <v>-9.0144262348001061E-2</v>
      </c>
      <c r="M91" s="230">
        <f t="shared" si="105"/>
        <v>-7.372845941627483E-2</v>
      </c>
      <c r="N91" s="230">
        <f t="shared" si="105"/>
        <v>-3.9007828725179473E-2</v>
      </c>
      <c r="O91" s="230">
        <f t="shared" si="105"/>
        <v>-5.1757775465140203E-2</v>
      </c>
      <c r="P91" s="230">
        <f t="shared" si="105"/>
        <v>-5.1832348621801298E-2</v>
      </c>
      <c r="Q91" s="230">
        <f t="shared" si="105"/>
        <v>-1.1743360819821727E-2</v>
      </c>
      <c r="R91" s="230">
        <f t="shared" si="105"/>
        <v>0</v>
      </c>
      <c r="S91" s="230">
        <f t="shared" si="105"/>
        <v>0</v>
      </c>
      <c r="T91" s="230">
        <f t="shared" si="105"/>
        <v>-3.6616194499380375E-2</v>
      </c>
      <c r="U91" s="230">
        <f t="shared" si="105"/>
        <v>-1.2555506669558342E-2</v>
      </c>
      <c r="V91" s="230">
        <f t="shared" si="105"/>
        <v>-1.1540731702763816E-2</v>
      </c>
      <c r="W91" s="230">
        <f t="shared" si="105"/>
        <v>-2.8013827490099435E-2</v>
      </c>
      <c r="X91" s="230">
        <f t="shared" si="105"/>
        <v>-4.2988326746015632E-2</v>
      </c>
      <c r="Y91" s="230">
        <f t="shared" si="105"/>
        <v>-2.2078327352161024E-2</v>
      </c>
      <c r="Z91" s="230">
        <f t="shared" si="105"/>
        <v>-3.556598422685233E-2</v>
      </c>
      <c r="AA91" s="230">
        <f>+(AA90-AA89)/AA89</f>
        <v>0</v>
      </c>
      <c r="AB91" s="205">
        <f t="shared" ref="AB91:AP91" si="106">+(AB90-AB89)/AB89</f>
        <v>0</v>
      </c>
      <c r="AC91" s="205">
        <f t="shared" si="106"/>
        <v>-2.6992775725090068E-2</v>
      </c>
      <c r="AD91" s="205">
        <f t="shared" si="106"/>
        <v>-3.6957678418688217E-2</v>
      </c>
      <c r="AE91" s="205">
        <f t="shared" si="106"/>
        <v>0</v>
      </c>
      <c r="AF91" s="205">
        <f t="shared" si="106"/>
        <v>-7.1396192203082506E-3</v>
      </c>
      <c r="AG91" s="205">
        <f t="shared" si="106"/>
        <v>0</v>
      </c>
      <c r="AH91" s="205">
        <f t="shared" si="106"/>
        <v>0</v>
      </c>
      <c r="AI91" s="205">
        <f t="shared" si="106"/>
        <v>0</v>
      </c>
      <c r="AJ91" s="205">
        <f t="shared" si="106"/>
        <v>0</v>
      </c>
      <c r="AK91" s="205">
        <f t="shared" si="106"/>
        <v>0</v>
      </c>
      <c r="AL91" s="205">
        <f t="shared" si="106"/>
        <v>0</v>
      </c>
      <c r="AM91" s="205">
        <f t="shared" si="106"/>
        <v>0</v>
      </c>
      <c r="AN91" s="205">
        <f t="shared" si="106"/>
        <v>0</v>
      </c>
      <c r="AO91" s="205">
        <f t="shared" si="106"/>
        <v>-6.9355948708523407E-2</v>
      </c>
      <c r="AP91" s="205">
        <f t="shared" si="106"/>
        <v>-5.0855569421946537E-2</v>
      </c>
      <c r="AQ91" s="205">
        <f>+(AQ90-AQ89)/AQ89</f>
        <v>-4.8066335052134715E-2</v>
      </c>
      <c r="AR91" s="205">
        <f>+(AR90-AR89)/AR89</f>
        <v>-4.0046125248697502E-2</v>
      </c>
      <c r="AS91" s="205">
        <f>+(AS90-AS89)/AS89</f>
        <v>-3.8400019718972493E-2</v>
      </c>
      <c r="AT91" s="205">
        <f>+(AT90-AT89)/AT89</f>
        <v>-3.8400019718972493E-2</v>
      </c>
      <c r="AU91" s="205">
        <f>+(AU90-AU89)/AU89</f>
        <v>-3.8400019718972493E-2</v>
      </c>
      <c r="AV91" s="201" t="s">
        <v>79</v>
      </c>
      <c r="AW91" s="184"/>
      <c r="AX91" s="184"/>
      <c r="AY91" s="184"/>
    </row>
    <row r="92" spans="1:51" ht="22">
      <c r="A92" s="284"/>
      <c r="B92" s="201" t="s">
        <v>80</v>
      </c>
      <c r="C92" s="230">
        <f t="shared" ref="C92:Z92" si="107">+C88-C91</f>
        <v>-0.16776063745825875</v>
      </c>
      <c r="D92" s="230">
        <f t="shared" si="107"/>
        <v>-0.19300000647205304</v>
      </c>
      <c r="E92" s="230">
        <f t="shared" si="107"/>
        <v>-0.14532479417736957</v>
      </c>
      <c r="F92" s="230">
        <f t="shared" si="107"/>
        <v>-0.13725574975706775</v>
      </c>
      <c r="G92" s="230">
        <f t="shared" si="107"/>
        <v>-0.14023454010207159</v>
      </c>
      <c r="H92" s="230">
        <f t="shared" si="107"/>
        <v>-0.12887072073789457</v>
      </c>
      <c r="I92" s="230">
        <f t="shared" si="107"/>
        <v>-0.11609053230837796</v>
      </c>
      <c r="J92" s="230">
        <f t="shared" si="107"/>
        <v>-0.12114998490285182</v>
      </c>
      <c r="K92" s="230">
        <f t="shared" si="107"/>
        <v>-0.15678518760777768</v>
      </c>
      <c r="L92" s="230">
        <f t="shared" si="107"/>
        <v>-0.15319982408378308</v>
      </c>
      <c r="M92" s="230">
        <f t="shared" si="107"/>
        <v>-0.12236428588755759</v>
      </c>
      <c r="N92" s="230">
        <f t="shared" si="107"/>
        <v>-0.12402129152087499</v>
      </c>
      <c r="O92" s="230">
        <f t="shared" si="107"/>
        <v>-0.12532411608665636</v>
      </c>
      <c r="P92" s="230">
        <f t="shared" si="107"/>
        <v>-0.12741911109066822</v>
      </c>
      <c r="Q92" s="230">
        <f t="shared" si="107"/>
        <v>-0.13524116828376045</v>
      </c>
      <c r="R92" s="230">
        <f t="shared" si="107"/>
        <v>-0.13109141708889535</v>
      </c>
      <c r="S92" s="230">
        <f t="shared" si="107"/>
        <v>-0.10508972339430198</v>
      </c>
      <c r="T92" s="230">
        <f t="shared" si="107"/>
        <v>-8.6087139248194111E-2</v>
      </c>
      <c r="U92" s="230">
        <f t="shared" si="107"/>
        <v>-7.4946410574361688E-2</v>
      </c>
      <c r="V92" s="230">
        <f t="shared" si="107"/>
        <v>-5.417294022047274E-2</v>
      </c>
      <c r="W92" s="230">
        <f t="shared" si="107"/>
        <v>-3.5546226708599568E-2</v>
      </c>
      <c r="X92" s="230">
        <f t="shared" si="107"/>
        <v>-6.4189772206028714E-2</v>
      </c>
      <c r="Y92" s="230">
        <f t="shared" si="107"/>
        <v>-8.154314392056447E-2</v>
      </c>
      <c r="Z92" s="230">
        <f t="shared" si="107"/>
        <v>-9.3186095342212838E-2</v>
      </c>
      <c r="AA92" s="230">
        <f t="shared" ref="AA92:AR92" si="108">+AA88-AA91</f>
        <v>-8.4569828499958352E-2</v>
      </c>
      <c r="AB92" s="205">
        <f t="shared" si="108"/>
        <v>-5.7152389362390116E-2</v>
      </c>
      <c r="AC92" s="205">
        <f t="shared" si="108"/>
        <v>-2.9699455277573068E-2</v>
      </c>
      <c r="AD92" s="205">
        <f t="shared" si="108"/>
        <v>4.7017633879034015E-3</v>
      </c>
      <c r="AE92" s="205">
        <f t="shared" si="108"/>
        <v>0</v>
      </c>
      <c r="AF92" s="205">
        <f t="shared" si="108"/>
        <v>7.1396192203082506E-3</v>
      </c>
      <c r="AG92" s="205">
        <f t="shared" si="108"/>
        <v>0</v>
      </c>
      <c r="AH92" s="205">
        <f t="shared" si="108"/>
        <v>0</v>
      </c>
      <c r="AI92" s="205">
        <f t="shared" si="108"/>
        <v>0</v>
      </c>
      <c r="AJ92" s="205">
        <f t="shared" si="108"/>
        <v>0</v>
      </c>
      <c r="AK92" s="205">
        <f t="shared" si="108"/>
        <v>-3.012761020809987E-2</v>
      </c>
      <c r="AL92" s="205">
        <f t="shared" si="108"/>
        <v>0</v>
      </c>
      <c r="AM92" s="205">
        <f t="shared" si="108"/>
        <v>0</v>
      </c>
      <c r="AN92" s="205">
        <f t="shared" si="108"/>
        <v>0</v>
      </c>
      <c r="AO92" s="205">
        <f t="shared" si="108"/>
        <v>-3.9843645553286067E-2</v>
      </c>
      <c r="AP92" s="205">
        <f t="shared" si="108"/>
        <v>-1.8855705647413901E-2</v>
      </c>
      <c r="AQ92" s="205">
        <f t="shared" si="108"/>
        <v>-2.1303732640053349E-2</v>
      </c>
      <c r="AR92" s="205">
        <f t="shared" si="108"/>
        <v>-3.4872539716809044E-2</v>
      </c>
      <c r="AS92" s="205">
        <f t="shared" ref="AS92:AT92" si="109">+AS88-AS91</f>
        <v>-2.5433264459676065E-2</v>
      </c>
      <c r="AT92" s="205">
        <f t="shared" si="109"/>
        <v>-2.5433264459676065E-2</v>
      </c>
      <c r="AU92" s="205">
        <f t="shared" ref="AU92" si="110">+AU88-AU91</f>
        <v>-2.5433264459676065E-2</v>
      </c>
      <c r="AV92" s="201" t="s">
        <v>80</v>
      </c>
      <c r="AW92" s="184"/>
      <c r="AX92" s="184"/>
      <c r="AY92" s="184"/>
    </row>
    <row r="93" spans="1:51" ht="22">
      <c r="A93" s="285"/>
      <c r="B93" s="206" t="s">
        <v>25</v>
      </c>
      <c r="C93" s="232" cm="1">
        <f t="array" ref="C93">_xlfn.XLOOKUP(MIN(ABS($BJ$7:$BJ$29 - MEDIAN(MIN($BJ$7:$BJ$29), MAX($BJ$7:$BJ$29), C92))), ABS($BJ$7:$BJ$29 - MEDIAN(MIN($BJ$7:$BJ$29), MAX($BJ$7:$BJ$29), C92)), $BK$7:$BK$29, "Error", 0)</f>
        <v>-7</v>
      </c>
      <c r="D93" s="232" cm="1">
        <f t="array" ref="D93">_xlfn.XLOOKUP(MIN(ABS($BJ$7:$BJ$29 - MEDIAN(MIN($BJ$7:$BJ$29), MAX($BJ$7:$BJ$29), D92))), ABS($BJ$7:$BJ$29 - MEDIAN(MIN($BJ$7:$BJ$29), MAX($BJ$7:$BJ$29), D92)), $BK$7:$BK$29, "Error", 0)</f>
        <v>-3</v>
      </c>
      <c r="E93" s="232" cm="1">
        <f t="array" ref="E93">_xlfn.XLOOKUP(MIN(ABS($BJ$7:$BJ$29 - MEDIAN(MIN($BJ$7:$BJ$29), MAX($BJ$7:$BJ$29), E92))), ABS($BJ$7:$BJ$29 - MEDIAN(MIN($BJ$7:$BJ$29), MAX($BJ$7:$BJ$29), E92)), $BK$7:$BK$29, "Error", 0)</f>
        <v>-9</v>
      </c>
      <c r="F93" s="232" cm="1">
        <f t="array" ref="F93">_xlfn.XLOOKUP(MIN(ABS($BJ$7:$BJ$29 - MEDIAN(MIN($BJ$7:$BJ$29), MAX($BJ$7:$BJ$29), F92))), ABS($BJ$7:$BJ$29 - MEDIAN(MIN($BJ$7:$BJ$29), MAX($BJ$7:$BJ$29), F92)), $BK$7:$BK$29, "Error", 0)</f>
        <v>-9</v>
      </c>
      <c r="G93" s="232" cm="1">
        <f t="array" ref="G93">_xlfn.XLOOKUP(MIN(ABS($BJ$7:$BJ$29 - MEDIAN(MIN($BJ$7:$BJ$29), MAX($BJ$7:$BJ$29), G92))), ABS($BJ$7:$BJ$29 - MEDIAN(MIN($BJ$7:$BJ$29), MAX($BJ$7:$BJ$29), G92)), $BK$7:$BK$29, "Error", 0)</f>
        <v>-9</v>
      </c>
      <c r="H93" s="232" cm="1">
        <f t="array" ref="H93">_xlfn.XLOOKUP(MIN(ABS($BJ$7:$BJ$29 - MEDIAN(MIN($BJ$7:$BJ$29), MAX($BJ$7:$BJ$29), H92))), ABS($BJ$7:$BJ$29 - MEDIAN(MIN($BJ$7:$BJ$29), MAX($BJ$7:$BJ$29), H92)), $BK$7:$BK$29, "Error", 0)</f>
        <v>-10</v>
      </c>
      <c r="I93" s="232" cm="1">
        <f t="array" ref="I93">_xlfn.XLOOKUP(MIN(ABS($BJ$7:$BJ$29 - MEDIAN(MIN($BJ$7:$BJ$29), MAX($BJ$7:$BJ$29), I92))), ABS($BJ$7:$BJ$29 - MEDIAN(MIN($BJ$7:$BJ$29), MAX($BJ$7:$BJ$29), I92)), $BK$7:$BK$29, "Error", 0)</f>
        <v>-10</v>
      </c>
      <c r="J93" s="232" cm="1">
        <f t="array" ref="J93">_xlfn.XLOOKUP(MIN(ABS($BJ$7:$BJ$29 - MEDIAN(MIN($BJ$7:$BJ$29), MAX($BJ$7:$BJ$29), J92))), ABS($BJ$7:$BJ$29 - MEDIAN(MIN($BJ$7:$BJ$29), MAX($BJ$7:$BJ$29), J92)), $BK$7:$BK$29, "Error", 0)</f>
        <v>-10</v>
      </c>
      <c r="K93" s="232" cm="1">
        <f t="array" ref="K93">_xlfn.XLOOKUP(MIN(ABS($BJ$7:$BJ$29 - MEDIAN(MIN($BJ$7:$BJ$29), MAX($BJ$7:$BJ$29), K92))), ABS($BJ$7:$BJ$29 - MEDIAN(MIN($BJ$7:$BJ$29), MAX($BJ$7:$BJ$29), K92)), $BK$7:$BK$29, "Error", 0)</f>
        <v>-7</v>
      </c>
      <c r="L93" s="232" cm="1">
        <f t="array" ref="L93">_xlfn.XLOOKUP(MIN(ABS($BJ$7:$BJ$29 - MEDIAN(MIN($BJ$7:$BJ$29), MAX($BJ$7:$BJ$29), L92))), ABS($BJ$7:$BJ$29 - MEDIAN(MIN($BJ$7:$BJ$29), MAX($BJ$7:$BJ$29), L92)), $BK$7:$BK$29, "Error", 0)</f>
        <v>-7</v>
      </c>
      <c r="M93" s="232" cm="1">
        <f t="array" ref="M93">_xlfn.XLOOKUP(MIN(ABS($BJ$7:$BJ$29 - MEDIAN(MIN($BJ$7:$BJ$29), MAX($BJ$7:$BJ$29), M92))), ABS($BJ$7:$BJ$29 - MEDIAN(MIN($BJ$7:$BJ$29), MAX($BJ$7:$BJ$29), M92)), $BK$7:$BK$29, "Error", 0)</f>
        <v>-10</v>
      </c>
      <c r="N93" s="232" cm="1">
        <f t="array" ref="N93">_xlfn.XLOOKUP(MIN(ABS($BJ$7:$BJ$29 - MEDIAN(MIN($BJ$7:$BJ$29), MAX($BJ$7:$BJ$29), N92))), ABS($BJ$7:$BJ$29 - MEDIAN(MIN($BJ$7:$BJ$29), MAX($BJ$7:$BJ$29), N92)), $BK$7:$BK$29, "Error", 0)</f>
        <v>-10</v>
      </c>
      <c r="O93" s="232" cm="1">
        <f t="array" ref="O93">_xlfn.XLOOKUP(MIN(ABS($BJ$7:$BJ$29 - MEDIAN(MIN($BJ$7:$BJ$29), MAX($BJ$7:$BJ$29), O92))), ABS($BJ$7:$BJ$29 - MEDIAN(MIN($BJ$7:$BJ$29), MAX($BJ$7:$BJ$29), O92)), $BK$7:$BK$29, "Error", 0)</f>
        <v>-10</v>
      </c>
      <c r="P93" s="232" cm="1">
        <f t="array" ref="P93">_xlfn.XLOOKUP(MIN(ABS($BJ$7:$BJ$29 - MEDIAN(MIN($BJ$7:$BJ$29), MAX($BJ$7:$BJ$29), P92))), ABS($BJ$7:$BJ$29 - MEDIAN(MIN($BJ$7:$BJ$29), MAX($BJ$7:$BJ$29), P92)), $BK$7:$BK$29, "Error", 0)</f>
        <v>-10</v>
      </c>
      <c r="Q93" s="232" cm="1">
        <f t="array" ref="Q93">_xlfn.XLOOKUP(MIN(ABS($BJ$7:$BJ$29 - MEDIAN(MIN($BJ$7:$BJ$29), MAX($BJ$7:$BJ$29), Q92))), ABS($BJ$7:$BJ$29 - MEDIAN(MIN($BJ$7:$BJ$29), MAX($BJ$7:$BJ$29), Q92)), $BK$7:$BK$29, "Error", 0)</f>
        <v>-9</v>
      </c>
      <c r="R93" s="232" cm="1">
        <f t="array" ref="R93">_xlfn.XLOOKUP(MIN(ABS($BJ$7:$BJ$29 - MEDIAN(MIN($BJ$7:$BJ$29), MAX($BJ$7:$BJ$29), R92))), ABS($BJ$7:$BJ$29 - MEDIAN(MIN($BJ$7:$BJ$29), MAX($BJ$7:$BJ$29), R92)), $BK$7:$BK$29, "Error", 0)</f>
        <v>-9</v>
      </c>
      <c r="S93" s="232" cm="1">
        <f t="array" ref="S93">_xlfn.XLOOKUP(MIN(ABS($BJ$7:$BJ$29 - MEDIAN(MIN($BJ$7:$BJ$29), MAX($BJ$7:$BJ$29), S92))), ABS($BJ$7:$BJ$29 - MEDIAN(MIN($BJ$7:$BJ$29), MAX($BJ$7:$BJ$29), S92)), $BK$7:$BK$29, "Error", 0)</f>
        <v>-9</v>
      </c>
      <c r="T93" s="232" cm="1">
        <f t="array" ref="T93">_xlfn.XLOOKUP(MIN(ABS($BJ$7:$BJ$29 - MEDIAN(MIN($BJ$7:$BJ$29), MAX($BJ$7:$BJ$29), T92))), ABS($BJ$7:$BJ$29 - MEDIAN(MIN($BJ$7:$BJ$29), MAX($BJ$7:$BJ$29), T92)), $BK$7:$BK$29, "Error", 0)</f>
        <v>-7</v>
      </c>
      <c r="U93" s="232" cm="1">
        <f t="array" ref="U93">_xlfn.XLOOKUP(MIN(ABS($BJ$7:$BJ$29 - MEDIAN(MIN($BJ$7:$BJ$29), MAX($BJ$7:$BJ$29), U92))), ABS($BJ$7:$BJ$29 - MEDIAN(MIN($BJ$7:$BJ$29), MAX($BJ$7:$BJ$29), U92)), $BK$7:$BK$29, "Error", 0)</f>
        <v>-7</v>
      </c>
      <c r="V93" s="232" cm="1">
        <f t="array" ref="V93">_xlfn.XLOOKUP(MIN(ABS($BJ$7:$BJ$29 - MEDIAN(MIN($BJ$7:$BJ$29), MAX($BJ$7:$BJ$29), V92))), ABS($BJ$7:$BJ$29 - MEDIAN(MIN($BJ$7:$BJ$29), MAX($BJ$7:$BJ$29), V92)), $BK$7:$BK$29, "Error", 0)</f>
        <v>-5</v>
      </c>
      <c r="W93" s="232" cm="1">
        <f t="array" ref="W93">_xlfn.XLOOKUP(MIN(ABS($BJ$7:$BJ$29 - MEDIAN(MIN($BJ$7:$BJ$29), MAX($BJ$7:$BJ$29), W92))), ABS($BJ$7:$BJ$29 - MEDIAN(MIN($BJ$7:$BJ$29), MAX($BJ$7:$BJ$29), W92)), $BK$7:$BK$29, "Error", 0)</f>
        <v>-3</v>
      </c>
      <c r="X93" s="232" cm="1">
        <f t="array" ref="X93">_xlfn.XLOOKUP(MIN(ABS($BJ$7:$BJ$29 - MEDIAN(MIN($BJ$7:$BJ$29), MAX($BJ$7:$BJ$29), X92))), ABS($BJ$7:$BJ$29 - MEDIAN(MIN($BJ$7:$BJ$29), MAX($BJ$7:$BJ$29), X92)), $BK$7:$BK$29, "Error", 0)</f>
        <v>-5</v>
      </c>
      <c r="Y93" s="232" cm="1">
        <f t="array" ref="Y93">_xlfn.XLOOKUP(MIN(ABS($BJ$7:$BJ$29 - MEDIAN(MIN($BJ$7:$BJ$29), MAX($BJ$7:$BJ$29), Y92))), ABS($BJ$7:$BJ$29 - MEDIAN(MIN($BJ$7:$BJ$29), MAX($BJ$7:$BJ$29), Y92)), $BK$7:$BK$29, "Error", 0)</f>
        <v>-7</v>
      </c>
      <c r="Z93" s="232" cm="1">
        <f t="array" ref="Z93">_xlfn.XLOOKUP(MIN(ABS($BJ$7:$BJ$29 - MEDIAN(MIN($BJ$7:$BJ$29), MAX($BJ$7:$BJ$29), Z92))), ABS($BJ$7:$BJ$29 - MEDIAN(MIN($BJ$7:$BJ$29), MAX($BJ$7:$BJ$29), Z92)), $BK$7:$BK$29, "Error", 0)</f>
        <v>-9</v>
      </c>
      <c r="AA93" s="232" cm="1">
        <f t="array" ref="AA93">_xlfn.XLOOKUP(MIN(ABS($BJ$7:$BJ$29 - MEDIAN(MIN($BJ$7:$BJ$29), MAX($BJ$7:$BJ$29), AA92))), ABS($BJ$7:$BJ$29 - MEDIAN(MIN($BJ$7:$BJ$29), MAX($BJ$7:$BJ$29), AA92)), $BK$7:$BK$29, "Error", 0)</f>
        <v>-7</v>
      </c>
      <c r="AB93" s="171" cm="1">
        <f t="array" ref="AB93">_xlfn.XLOOKUP(MIN(ABS($BJ$7:$BJ$29 - MEDIAN(MIN($BJ$7:$BJ$29), MAX($BJ$7:$BJ$29), AB92))), ABS($BJ$7:$BJ$29 - MEDIAN(MIN($BJ$7:$BJ$29), MAX($BJ$7:$BJ$29), AB92)), $BK$7:$BK$29, "Error", 0)</f>
        <v>-5</v>
      </c>
      <c r="AC93" s="171" cm="1">
        <f t="array" ref="AC93">_xlfn.XLOOKUP(MIN(ABS($BJ$7:$BJ$29 - MEDIAN(MIN($BJ$7:$BJ$29), MAX($BJ$7:$BJ$29), AC92))), ABS($BJ$7:$BJ$29 - MEDIAN(MIN($BJ$7:$BJ$29), MAX($BJ$7:$BJ$29), AC92)), $BK$7:$BK$29, "Error", 0)</f>
        <v>-2</v>
      </c>
      <c r="AD93" s="171" cm="1">
        <f t="array" ref="AD93">_xlfn.XLOOKUP(MIN(ABS($BJ$7:$BJ$29 - MEDIAN(MIN($BJ$7:$BJ$29), MAX($BJ$7:$BJ$29), AD92))), ABS($BJ$7:$BJ$29 - MEDIAN(MIN($BJ$7:$BJ$29), MAX($BJ$7:$BJ$29), AD92)), $BK$7:$BK$29, "Error", 0)</f>
        <v>0</v>
      </c>
      <c r="AE93" s="171" cm="1">
        <f t="array" ref="AE93">_xlfn.XLOOKUP(MIN(ABS($BJ$7:$BJ$29 - MEDIAN(MIN($BJ$7:$BJ$29), MAX($BJ$7:$BJ$29), AE92))), ABS($BJ$7:$BJ$29 - MEDIAN(MIN($BJ$7:$BJ$29), MAX($BJ$7:$BJ$29), AE92)), $BK$7:$BK$29, "Error", 0)</f>
        <v>0</v>
      </c>
      <c r="AF93" s="171" cm="1">
        <f t="array" ref="AF93">_xlfn.XLOOKUP(MIN(ABS($BJ$7:$BJ$29 - MEDIAN(MIN($BJ$7:$BJ$29), MAX($BJ$7:$BJ$29), AF92))), ABS($BJ$7:$BJ$29 - MEDIAN(MIN($BJ$7:$BJ$29), MAX($BJ$7:$BJ$29), AF92)), $BK$7:$BK$29, "Error", 0)</f>
        <v>0</v>
      </c>
      <c r="AG93" s="171" cm="1">
        <f t="array" ref="AG93">_xlfn.XLOOKUP(MIN(ABS($BJ$7:$BJ$29 - MEDIAN(MIN($BJ$7:$BJ$29), MAX($BJ$7:$BJ$29), AG92))), ABS($BJ$7:$BJ$29 - MEDIAN(MIN($BJ$7:$BJ$29), MAX($BJ$7:$BJ$29), AG92)), $BK$7:$BK$29, "Error", 0)</f>
        <v>0</v>
      </c>
      <c r="AH93" s="171" cm="1">
        <f t="array" ref="AH93">_xlfn.XLOOKUP(MIN(ABS($BJ$7:$BJ$29 - MEDIAN(MIN($BJ$7:$BJ$29), MAX($BJ$7:$BJ$29), AH92))), ABS($BJ$7:$BJ$29 - MEDIAN(MIN($BJ$7:$BJ$29), MAX($BJ$7:$BJ$29), AH92)), $BK$7:$BK$29, "Error", 0)</f>
        <v>0</v>
      </c>
      <c r="AI93" s="171" cm="1">
        <f t="array" ref="AI93">_xlfn.XLOOKUP(MIN(ABS($BJ$7:$BJ$29 - MEDIAN(MIN($BJ$7:$BJ$29), MAX($BJ$7:$BJ$29), AI92))), ABS($BJ$7:$BJ$29 - MEDIAN(MIN($BJ$7:$BJ$29), MAX($BJ$7:$BJ$29), AI92)), $BK$7:$BK$29, "Error", 0)</f>
        <v>0</v>
      </c>
      <c r="AJ93" s="171" cm="1">
        <f t="array" ref="AJ93">_xlfn.XLOOKUP(MIN(ABS($BJ$7:$BJ$29 - MEDIAN(MIN($BJ$7:$BJ$29), MAX($BJ$7:$BJ$29), AJ92))), ABS($BJ$7:$BJ$29 - MEDIAN(MIN($BJ$7:$BJ$29), MAX($BJ$7:$BJ$29), AJ92)), $BK$7:$BK$29, "Error", 0)</f>
        <v>0</v>
      </c>
      <c r="AK93" s="171" cm="1">
        <f t="array" ref="AK93">_xlfn.XLOOKUP(MIN(ABS($BJ$7:$BJ$29 - MEDIAN(MIN($BJ$7:$BJ$29), MAX($BJ$7:$BJ$29), AK92))), ABS($BJ$7:$BJ$29 - MEDIAN(MIN($BJ$7:$BJ$29), MAX($BJ$7:$BJ$29), AK92)), $BK$7:$BK$29, "Error", 0)</f>
        <v>-3</v>
      </c>
      <c r="AL93" s="171" cm="1">
        <f t="array" ref="AL93">_xlfn.XLOOKUP(MIN(ABS($BJ$7:$BJ$29 - MEDIAN(MIN($BJ$7:$BJ$29), MAX($BJ$7:$BJ$29), AL92))), ABS($BJ$7:$BJ$29 - MEDIAN(MIN($BJ$7:$BJ$29), MAX($BJ$7:$BJ$29), AL92)), $BK$7:$BK$29, "Error", 0)</f>
        <v>0</v>
      </c>
      <c r="AM93" s="171" cm="1">
        <f t="array" ref="AM93">_xlfn.XLOOKUP(MIN(ABS($BJ$7:$BJ$29 - MEDIAN(MIN($BJ$7:$BJ$29), MAX($BJ$7:$BJ$29), AM92))), ABS($BJ$7:$BJ$29 - MEDIAN(MIN($BJ$7:$BJ$29), MAX($BJ$7:$BJ$29), AM92)), $BK$7:$BK$29, "Error", 0)</f>
        <v>0</v>
      </c>
      <c r="AN93" s="171" cm="1">
        <f t="array" ref="AN93">_xlfn.XLOOKUP(MIN(ABS($BJ$7:$BJ$29 - MEDIAN(MIN($BJ$7:$BJ$29), MAX($BJ$7:$BJ$29), AN92))), ABS($BJ$7:$BJ$29 - MEDIAN(MIN($BJ$7:$BJ$29), MAX($BJ$7:$BJ$29), AN92)), $BK$7:$BK$29, "Error", 0)</f>
        <v>0</v>
      </c>
      <c r="AO93" s="171" cm="1">
        <f t="array" ref="AO93">_xlfn.XLOOKUP(MIN(ABS($BJ$7:$BJ$29 - MEDIAN(MIN($BJ$7:$BJ$29), MAX($BJ$7:$BJ$29), AO92))), ABS($BJ$7:$BJ$29 - MEDIAN(MIN($BJ$7:$BJ$29), MAX($BJ$7:$BJ$29), AO92)), $BK$7:$BK$29, "Error", 0)</f>
        <v>-3</v>
      </c>
      <c r="AP93" s="171" cm="1">
        <f t="array" ref="AP93">_xlfn.XLOOKUP(MIN(ABS($BJ$7:$BJ$29 - MEDIAN(MIN($BJ$7:$BJ$29), MAX($BJ$7:$BJ$29), AP92))), ABS($BJ$7:$BJ$29 - MEDIAN(MIN($BJ$7:$BJ$29), MAX($BJ$7:$BJ$29), AP92)), $BK$7:$BK$29, "Error", 0)</f>
        <v>-2</v>
      </c>
      <c r="AQ93" s="171" cm="1">
        <f t="array" ref="AQ93">_xlfn.XLOOKUP(MIN(ABS($BJ$7:$BJ$29 - MEDIAN(MIN($BJ$7:$BJ$29), MAX($BJ$7:$BJ$29), AQ92))), ABS($BJ$7:$BJ$29 - MEDIAN(MIN($BJ$7:$BJ$29), MAX($BJ$7:$BJ$29), AQ92)), $BK$7:$BK$29, "Error", 0)</f>
        <v>-2</v>
      </c>
      <c r="AR93" s="171" cm="1">
        <f t="array" ref="AR93">_xlfn.XLOOKUP(MIN(ABS($BJ$7:$BJ$29 - MEDIAN(MIN($BJ$7:$BJ$29), MAX($BJ$7:$BJ$29), AR92))), ABS($BJ$7:$BJ$29 - MEDIAN(MIN($BJ$7:$BJ$29), MAX($BJ$7:$BJ$29), AR92)), $BK$7:$BK$29, "Error", 0)</f>
        <v>-3</v>
      </c>
      <c r="AS93" s="171" cm="1">
        <f t="array" ref="AS93">_xlfn.XLOOKUP(MIN(ABS($BJ$7:$BJ$29 - MEDIAN(MIN($BJ$7:$BJ$29), MAX($BJ$7:$BJ$29), AS92))), ABS($BJ$7:$BJ$29 - MEDIAN(MIN($BJ$7:$BJ$29), MAX($BJ$7:$BJ$29), AS92)), $BK$7:$BK$29, "Error", 0)</f>
        <v>-2</v>
      </c>
      <c r="AT93" s="171" cm="1">
        <f t="array" ref="AT93">_xlfn.XLOOKUP(MIN(ABS($BJ$7:$BJ$29 - MEDIAN(MIN($BJ$7:$BJ$29), MAX($BJ$7:$BJ$29), AT92))), ABS($BJ$7:$BJ$29 - MEDIAN(MIN($BJ$7:$BJ$29), MAX($BJ$7:$BJ$29), AT92)), $BK$7:$BK$29, "Error", 0)</f>
        <v>-2</v>
      </c>
      <c r="AU93" s="171" cm="1">
        <f t="array" ref="AU93">_xlfn.XLOOKUP(MIN(ABS($BJ$7:$BJ$29 - MEDIAN(MIN($BJ$7:$BJ$29), MAX($BJ$7:$BJ$29), AU92))), ABS($BJ$7:$BJ$29 - MEDIAN(MIN($BJ$7:$BJ$29), MAX($BJ$7:$BJ$29), AU92)), $BK$7:$BK$29, "Error", 0)</f>
        <v>-2</v>
      </c>
      <c r="AV93" s="206" t="s">
        <v>25</v>
      </c>
      <c r="AW93" s="184"/>
      <c r="AX93" s="184"/>
      <c r="AY93" s="184"/>
    </row>
    <row r="94" spans="1:51" ht="44">
      <c r="A94" s="283" t="s">
        <v>52</v>
      </c>
      <c r="B94" s="200" t="s">
        <v>76</v>
      </c>
      <c r="C94" s="233">
        <v>1350649.1032695901</v>
      </c>
      <c r="D94" s="233">
        <v>1350649.1032695901</v>
      </c>
      <c r="E94" s="233">
        <v>1350649.1032695901</v>
      </c>
      <c r="F94" s="233">
        <v>1365677.4205374001</v>
      </c>
      <c r="G94" s="233">
        <v>1365677.4205374001</v>
      </c>
      <c r="H94" s="233">
        <v>1413411.4251385301</v>
      </c>
      <c r="I94" s="233">
        <v>1420967.2700857299</v>
      </c>
      <c r="J94" s="233">
        <v>1420967.2700857299</v>
      </c>
      <c r="K94" s="233">
        <v>1438989.7974471999</v>
      </c>
      <c r="L94" s="233">
        <v>1438989.7974471999</v>
      </c>
      <c r="M94" s="233">
        <v>1438989.7974471999</v>
      </c>
      <c r="N94" s="233">
        <v>1438989.7974471999</v>
      </c>
      <c r="O94" s="233">
        <v>1466617.4928146999</v>
      </c>
      <c r="P94" s="233">
        <v>1482326.3710104399</v>
      </c>
      <c r="Q94" s="233">
        <v>1543056.4868216999</v>
      </c>
      <c r="R94" s="233">
        <v>1642320.6390380899</v>
      </c>
      <c r="S94" s="233">
        <v>1701057.9491128901</v>
      </c>
      <c r="T94" s="233">
        <v>1706199.66215381</v>
      </c>
      <c r="U94" s="233">
        <v>1706199.66215381</v>
      </c>
      <c r="V94" s="233">
        <v>1706199.66215381</v>
      </c>
      <c r="W94" s="233">
        <v>1706199.66215381</v>
      </c>
      <c r="X94" s="233">
        <v>1706199.66215381</v>
      </c>
      <c r="Y94" s="233">
        <v>1706199.66215381</v>
      </c>
      <c r="Z94" s="233">
        <v>1706199.66215381</v>
      </c>
      <c r="AA94" s="204">
        <v>1723234.5506372999</v>
      </c>
      <c r="AB94" s="204">
        <v>1723234.5506372999</v>
      </c>
      <c r="AC94" s="204">
        <v>1723234.5506372999</v>
      </c>
      <c r="AD94" s="204">
        <v>1723234.5506372999</v>
      </c>
      <c r="AE94" s="204">
        <v>1732945.3546142599</v>
      </c>
      <c r="AF94" s="204">
        <v>1784866.0751924501</v>
      </c>
      <c r="AG94" s="204">
        <v>1837772.4727598301</v>
      </c>
      <c r="AH94" s="204">
        <v>1873970.4508209201</v>
      </c>
      <c r="AI94" s="204">
        <v>1884209.10545942</v>
      </c>
      <c r="AJ94" s="204">
        <v>2009472.48745903</v>
      </c>
      <c r="AK94" s="204">
        <v>2057506.75987405</v>
      </c>
      <c r="AL94" s="204">
        <v>2106140.6437891098</v>
      </c>
      <c r="AM94" s="204">
        <v>2208009.7904630802</v>
      </c>
      <c r="AN94" s="204">
        <v>2350905.1405146699</v>
      </c>
      <c r="AO94" s="204">
        <v>2350905.1405146699</v>
      </c>
      <c r="AP94" s="204">
        <v>2350905.1405146699</v>
      </c>
      <c r="AQ94" s="204">
        <v>2350905.1405146699</v>
      </c>
      <c r="AR94" s="204">
        <v>2350905.1405146699</v>
      </c>
      <c r="AS94" s="204">
        <v>2351572</v>
      </c>
      <c r="AT94" s="204">
        <v>2351572</v>
      </c>
      <c r="AU94" s="204">
        <v>2351572</v>
      </c>
      <c r="AV94" s="200" t="s">
        <v>76</v>
      </c>
      <c r="AW94" s="184"/>
      <c r="AX94" s="184"/>
      <c r="AY94" s="184"/>
    </row>
    <row r="95" spans="1:51" ht="22">
      <c r="A95" s="284"/>
      <c r="B95" s="201" t="s">
        <v>77</v>
      </c>
      <c r="C95" s="233">
        <v>1252176.297521</v>
      </c>
      <c r="D95" s="233">
        <v>1294714.0122348501</v>
      </c>
      <c r="E95" s="233">
        <v>1258925.3154569699</v>
      </c>
      <c r="F95" s="233">
        <v>1365677.4205374001</v>
      </c>
      <c r="G95" s="233">
        <v>1291838.8308647</v>
      </c>
      <c r="H95" s="233">
        <v>1413411.4251385301</v>
      </c>
      <c r="I95" s="233">
        <v>1420967.2700857299</v>
      </c>
      <c r="J95" s="233">
        <v>1381396.25535037</v>
      </c>
      <c r="K95" s="233">
        <v>1438989.7974471999</v>
      </c>
      <c r="L95" s="233">
        <v>1328031.9143509299</v>
      </c>
      <c r="M95" s="233">
        <v>1391318.79226631</v>
      </c>
      <c r="N95" s="233">
        <v>1387272.11223471</v>
      </c>
      <c r="O95" s="233">
        <v>1466617.4928146999</v>
      </c>
      <c r="P95" s="233">
        <v>1482326.3710104399</v>
      </c>
      <c r="Q95" s="233">
        <v>1543056.4868216999</v>
      </c>
      <c r="R95" s="233">
        <v>1642320.6390380899</v>
      </c>
      <c r="S95" s="233">
        <v>1701057.9491128901</v>
      </c>
      <c r="T95" s="233">
        <v>1706199.66215381</v>
      </c>
      <c r="U95" s="233">
        <v>1639876.97021484</v>
      </c>
      <c r="V95" s="233">
        <v>1607629.3126872501</v>
      </c>
      <c r="W95" s="233">
        <v>1573950.60966492</v>
      </c>
      <c r="X95" s="233">
        <v>1610057.5723870799</v>
      </c>
      <c r="Y95" s="233">
        <v>1579777.4003262799</v>
      </c>
      <c r="Z95" s="233">
        <v>1610072.7691345201</v>
      </c>
      <c r="AA95" s="204">
        <v>1723234.5506372999</v>
      </c>
      <c r="AB95" s="204">
        <v>1664918.8065099099</v>
      </c>
      <c r="AC95" s="204">
        <v>1661329.66514844</v>
      </c>
      <c r="AD95" s="204">
        <v>1621039.34111664</v>
      </c>
      <c r="AE95" s="204">
        <v>1732945.3546142599</v>
      </c>
      <c r="AF95" s="204">
        <v>1784866.0751924501</v>
      </c>
      <c r="AG95" s="204">
        <v>1837772.4727598301</v>
      </c>
      <c r="AH95" s="204">
        <v>1873970.4508209201</v>
      </c>
      <c r="AI95" s="204">
        <v>1884209.10545942</v>
      </c>
      <c r="AJ95" s="204">
        <v>2009472.48745903</v>
      </c>
      <c r="AK95" s="204">
        <v>2057506.75987405</v>
      </c>
      <c r="AL95" s="204">
        <v>2106140.6437891098</v>
      </c>
      <c r="AM95" s="204">
        <v>2208009.7904630802</v>
      </c>
      <c r="AN95" s="204">
        <v>2350905.1405146699</v>
      </c>
      <c r="AO95" s="204">
        <v>2142611.1738662701</v>
      </c>
      <c r="AP95" s="204">
        <v>2264972.9052863298</v>
      </c>
      <c r="AQ95" s="204">
        <v>2231398.1868105698</v>
      </c>
      <c r="AR95" s="204">
        <v>2217456.2105211299</v>
      </c>
      <c r="AS95" s="204">
        <v>2351572</v>
      </c>
      <c r="AT95" s="204">
        <v>2351572</v>
      </c>
      <c r="AU95" s="204">
        <v>2351572</v>
      </c>
      <c r="AV95" s="201" t="s">
        <v>77</v>
      </c>
      <c r="AW95" s="184"/>
      <c r="AX95" s="184"/>
      <c r="AY95" s="184"/>
    </row>
    <row r="96" spans="1:51" ht="22">
      <c r="A96" s="284"/>
      <c r="B96" s="201" t="s">
        <v>78</v>
      </c>
      <c r="C96" s="230">
        <f t="shared" ref="C96:Z96" si="111">+(C95-C94)/C94</f>
        <v>-7.290776376352047E-2</v>
      </c>
      <c r="D96" s="230">
        <f t="shared" si="111"/>
        <v>-4.1413488447395293E-2</v>
      </c>
      <c r="E96" s="230">
        <f t="shared" si="111"/>
        <v>-6.7910893799565997E-2</v>
      </c>
      <c r="F96" s="230">
        <f t="shared" si="111"/>
        <v>0</v>
      </c>
      <c r="G96" s="230">
        <f t="shared" si="111"/>
        <v>-5.4067372398706154E-2</v>
      </c>
      <c r="H96" s="230">
        <f t="shared" si="111"/>
        <v>0</v>
      </c>
      <c r="I96" s="230">
        <f t="shared" si="111"/>
        <v>0</v>
      </c>
      <c r="J96" s="230">
        <f t="shared" si="111"/>
        <v>-2.7847942432180389E-2</v>
      </c>
      <c r="K96" s="230">
        <f t="shared" si="111"/>
        <v>0</v>
      </c>
      <c r="L96" s="230">
        <f t="shared" si="111"/>
        <v>-7.7108179149783962E-2</v>
      </c>
      <c r="M96" s="230">
        <f t="shared" si="111"/>
        <v>-3.3128105053600379E-2</v>
      </c>
      <c r="N96" s="230">
        <f t="shared" si="111"/>
        <v>-3.5940272338440653E-2</v>
      </c>
      <c r="O96" s="230">
        <f t="shared" si="111"/>
        <v>0</v>
      </c>
      <c r="P96" s="230">
        <f t="shared" si="111"/>
        <v>0</v>
      </c>
      <c r="Q96" s="230">
        <f t="shared" si="111"/>
        <v>0</v>
      </c>
      <c r="R96" s="230">
        <f t="shared" si="111"/>
        <v>0</v>
      </c>
      <c r="S96" s="230">
        <f t="shared" si="111"/>
        <v>0</v>
      </c>
      <c r="T96" s="230">
        <f t="shared" si="111"/>
        <v>0</v>
      </c>
      <c r="U96" s="230">
        <f t="shared" si="111"/>
        <v>-3.8871588952988062E-2</v>
      </c>
      <c r="V96" s="230">
        <f t="shared" si="111"/>
        <v>-5.7771872573301478E-2</v>
      </c>
      <c r="W96" s="230">
        <f t="shared" si="111"/>
        <v>-7.7510888920201915E-2</v>
      </c>
      <c r="X96" s="230">
        <f t="shared" si="111"/>
        <v>-5.6348674718037249E-2</v>
      </c>
      <c r="Y96" s="230">
        <f t="shared" si="111"/>
        <v>-7.4095819282921319E-2</v>
      </c>
      <c r="Z96" s="230">
        <f t="shared" si="111"/>
        <v>-5.6339767936622834E-2</v>
      </c>
      <c r="AA96" s="230">
        <f t="shared" ref="AA96:AR96" si="112">+(AA95-AA94)/AA94</f>
        <v>0</v>
      </c>
      <c r="AB96" s="205">
        <f t="shared" si="112"/>
        <v>-3.3840862873729637E-2</v>
      </c>
      <c r="AC96" s="205">
        <f t="shared" si="112"/>
        <v>-3.5923656165068013E-2</v>
      </c>
      <c r="AD96" s="205">
        <f t="shared" si="112"/>
        <v>-5.9304294637584451E-2</v>
      </c>
      <c r="AE96" s="205">
        <f t="shared" si="112"/>
        <v>0</v>
      </c>
      <c r="AF96" s="205">
        <f t="shared" si="112"/>
        <v>0</v>
      </c>
      <c r="AG96" s="205">
        <f t="shared" si="112"/>
        <v>0</v>
      </c>
      <c r="AH96" s="205">
        <f t="shared" si="112"/>
        <v>0</v>
      </c>
      <c r="AI96" s="205">
        <f t="shared" si="112"/>
        <v>0</v>
      </c>
      <c r="AJ96" s="205">
        <f t="shared" si="112"/>
        <v>0</v>
      </c>
      <c r="AK96" s="205">
        <f t="shared" si="112"/>
        <v>0</v>
      </c>
      <c r="AL96" s="205">
        <f t="shared" si="112"/>
        <v>0</v>
      </c>
      <c r="AM96" s="205">
        <f t="shared" si="112"/>
        <v>0</v>
      </c>
      <c r="AN96" s="205">
        <f t="shared" si="112"/>
        <v>0</v>
      </c>
      <c r="AO96" s="205">
        <f t="shared" si="112"/>
        <v>-8.8601604147583446E-2</v>
      </c>
      <c r="AP96" s="205">
        <f t="shared" si="112"/>
        <v>-3.6552829694152397E-2</v>
      </c>
      <c r="AQ96" s="205">
        <f t="shared" si="112"/>
        <v>-5.0834443144710272E-2</v>
      </c>
      <c r="AR96" s="205">
        <f t="shared" si="112"/>
        <v>-5.6764914795466762E-2</v>
      </c>
      <c r="AS96" s="205">
        <f t="shared" ref="AS96:AT96" si="113">+(AS95-AS94)/AS94</f>
        <v>0</v>
      </c>
      <c r="AT96" s="205">
        <f t="shared" si="113"/>
        <v>0</v>
      </c>
      <c r="AU96" s="205">
        <f t="shared" ref="AU96" si="114">+(AU95-AU94)/AU94</f>
        <v>0</v>
      </c>
      <c r="AV96" s="201" t="s">
        <v>78</v>
      </c>
      <c r="AW96" s="184"/>
      <c r="AX96" s="184"/>
      <c r="AY96" s="184"/>
    </row>
    <row r="97" spans="1:51" ht="44">
      <c r="A97" s="284"/>
      <c r="B97" s="201" t="s">
        <v>89</v>
      </c>
      <c r="C97" s="233">
        <v>7903.5</v>
      </c>
      <c r="D97" s="233">
        <v>8047.10009765625</v>
      </c>
      <c r="E97" s="233">
        <v>8047.10009765625</v>
      </c>
      <c r="F97" s="233">
        <v>8047.10009765625</v>
      </c>
      <c r="G97" s="233">
        <v>8047.10009765625</v>
      </c>
      <c r="H97" s="233">
        <v>8047.10009765625</v>
      </c>
      <c r="I97" s="233">
        <v>8047.10009765625</v>
      </c>
      <c r="J97" s="233">
        <v>8047.10009765625</v>
      </c>
      <c r="K97" s="233">
        <v>8047.10009765625</v>
      </c>
      <c r="L97" s="233">
        <v>8047.10009765625</v>
      </c>
      <c r="M97" s="233">
        <v>8047.10009765625</v>
      </c>
      <c r="N97" s="233">
        <v>8047.10009765625</v>
      </c>
      <c r="O97" s="233">
        <v>8047.10009765625</v>
      </c>
      <c r="P97" s="233">
        <v>8047.10009765625</v>
      </c>
      <c r="Q97" s="233">
        <v>8047.10009765625</v>
      </c>
      <c r="R97" s="233">
        <v>8200</v>
      </c>
      <c r="S97" s="233">
        <v>8474.400390625</v>
      </c>
      <c r="T97" s="233">
        <v>8474.400390625</v>
      </c>
      <c r="U97" s="233">
        <v>8474.400390625</v>
      </c>
      <c r="V97" s="233">
        <v>8474.400390625</v>
      </c>
      <c r="W97" s="233">
        <v>8474.400390625</v>
      </c>
      <c r="X97" s="233">
        <v>8474.400390625</v>
      </c>
      <c r="Y97" s="233">
        <v>8474.400390625</v>
      </c>
      <c r="Z97" s="233">
        <v>8474.400390625</v>
      </c>
      <c r="AA97" s="231">
        <v>8692.7998046875</v>
      </c>
      <c r="AB97" s="203">
        <v>8820.900390625</v>
      </c>
      <c r="AC97" s="203">
        <v>8820.900390625</v>
      </c>
      <c r="AD97" s="203">
        <v>8820.900390625</v>
      </c>
      <c r="AE97" s="203">
        <v>8824</v>
      </c>
      <c r="AF97" s="203">
        <v>8824</v>
      </c>
      <c r="AG97" s="203">
        <v>9190.7001953125</v>
      </c>
      <c r="AH97" s="203">
        <v>9357.5</v>
      </c>
      <c r="AI97" s="203">
        <v>9363.599609375</v>
      </c>
      <c r="AJ97" s="203">
        <v>9787.599609375</v>
      </c>
      <c r="AK97" s="203">
        <v>9930.099609375</v>
      </c>
      <c r="AL97" s="203">
        <v>9954.2998046875</v>
      </c>
      <c r="AM97" s="203">
        <v>10277.7001953125</v>
      </c>
      <c r="AN97" s="203">
        <v>10934.900390625</v>
      </c>
      <c r="AO97" s="203">
        <v>10934.900390625</v>
      </c>
      <c r="AP97" s="203">
        <v>10934.900390625</v>
      </c>
      <c r="AQ97" s="203">
        <v>10934.900390625</v>
      </c>
      <c r="AR97" s="203">
        <v>10934.900390625</v>
      </c>
      <c r="AS97" s="203">
        <v>10934.900390625</v>
      </c>
      <c r="AT97" s="203">
        <v>10934.900390625</v>
      </c>
      <c r="AU97" s="203">
        <v>10934.900390625</v>
      </c>
      <c r="AV97" s="201" t="s">
        <v>89</v>
      </c>
      <c r="AW97" s="184"/>
      <c r="AX97" s="184"/>
      <c r="AY97" s="184"/>
    </row>
    <row r="98" spans="1:51" ht="44">
      <c r="A98" s="284"/>
      <c r="B98" s="201" t="s">
        <v>90</v>
      </c>
      <c r="C98" s="233">
        <v>7771.7001953125</v>
      </c>
      <c r="D98" s="233">
        <v>8047.10009765625</v>
      </c>
      <c r="E98" s="233">
        <v>7631.7001953125</v>
      </c>
      <c r="F98" s="233">
        <v>7870.60009765625</v>
      </c>
      <c r="G98" s="233">
        <v>7446.10009765625</v>
      </c>
      <c r="H98" s="233">
        <v>7531.5</v>
      </c>
      <c r="I98" s="233">
        <v>7699.39990234375</v>
      </c>
      <c r="J98" s="233">
        <v>7439.10009765625</v>
      </c>
      <c r="K98" s="233">
        <v>7608.10009765625</v>
      </c>
      <c r="L98" s="233">
        <v>7321.7001953125</v>
      </c>
      <c r="M98" s="233">
        <v>7453.7998046875</v>
      </c>
      <c r="N98" s="233">
        <v>7733.2001953125</v>
      </c>
      <c r="O98" s="233">
        <v>7630.60009765625</v>
      </c>
      <c r="P98" s="233">
        <v>7630</v>
      </c>
      <c r="Q98" s="233">
        <v>7952.60009765625</v>
      </c>
      <c r="R98" s="233">
        <v>8200</v>
      </c>
      <c r="S98" s="233">
        <v>8474.400390625</v>
      </c>
      <c r="T98" s="233">
        <v>8164.10009765625</v>
      </c>
      <c r="U98" s="233">
        <v>8368</v>
      </c>
      <c r="V98" s="233">
        <v>8376.599609375</v>
      </c>
      <c r="W98" s="233">
        <v>8237</v>
      </c>
      <c r="X98" s="233">
        <v>8110.10009765625</v>
      </c>
      <c r="Y98" s="233">
        <v>8287.2998046875</v>
      </c>
      <c r="Z98" s="233">
        <v>8173</v>
      </c>
      <c r="AA98" s="231">
        <v>8692.7998046875</v>
      </c>
      <c r="AB98" s="203">
        <v>8820.900390625</v>
      </c>
      <c r="AC98" s="203">
        <v>8582.7998046875</v>
      </c>
      <c r="AD98" s="203">
        <v>8494.900390625</v>
      </c>
      <c r="AE98" s="203">
        <v>8824</v>
      </c>
      <c r="AF98" s="203">
        <v>8761</v>
      </c>
      <c r="AG98" s="203">
        <v>9190.7001953125</v>
      </c>
      <c r="AH98" s="203">
        <v>9357.5</v>
      </c>
      <c r="AI98" s="203">
        <v>9363.599609375</v>
      </c>
      <c r="AJ98" s="203">
        <v>9787.599609375</v>
      </c>
      <c r="AK98" s="203">
        <v>9930.099609375</v>
      </c>
      <c r="AL98" s="203">
        <v>9954.2998046875</v>
      </c>
      <c r="AM98" s="203">
        <v>10277.7001953125</v>
      </c>
      <c r="AN98" s="203">
        <v>10934.900390625</v>
      </c>
      <c r="AO98" s="203">
        <v>10176.5</v>
      </c>
      <c r="AP98" s="203">
        <v>10378.7998046875</v>
      </c>
      <c r="AQ98" s="203">
        <v>10409.2998046875</v>
      </c>
      <c r="AR98" s="203">
        <v>10497</v>
      </c>
      <c r="AS98" s="203">
        <v>10515</v>
      </c>
      <c r="AT98" s="203">
        <v>10515</v>
      </c>
      <c r="AU98" s="203">
        <v>10515</v>
      </c>
      <c r="AV98" s="201" t="s">
        <v>90</v>
      </c>
      <c r="AW98" s="184"/>
      <c r="AX98" s="184"/>
      <c r="AY98" s="184"/>
    </row>
    <row r="99" spans="1:51" ht="44">
      <c r="A99" s="284"/>
      <c r="B99" s="201" t="s">
        <v>79</v>
      </c>
      <c r="C99" s="230">
        <f t="shared" ref="C99:Z99" si="115">+(C98-C97)/C97</f>
        <v>-1.6676131421205796E-2</v>
      </c>
      <c r="D99" s="230">
        <f t="shared" si="115"/>
        <v>0</v>
      </c>
      <c r="E99" s="230">
        <f t="shared" si="115"/>
        <v>-5.162106812424725E-2</v>
      </c>
      <c r="F99" s="230">
        <f t="shared" si="115"/>
        <v>-2.1933367033846931E-2</v>
      </c>
      <c r="G99" s="230">
        <f t="shared" si="115"/>
        <v>-7.4685289446696904E-2</v>
      </c>
      <c r="H99" s="230">
        <f t="shared" si="115"/>
        <v>-6.407278291547791E-2</v>
      </c>
      <c r="I99" s="230">
        <f t="shared" si="115"/>
        <v>-4.3208135986001851E-2</v>
      </c>
      <c r="J99" s="230">
        <f t="shared" si="115"/>
        <v>-7.5555168025942962E-2</v>
      </c>
      <c r="K99" s="230">
        <f t="shared" si="115"/>
        <v>-5.455381375557395E-2</v>
      </c>
      <c r="L99" s="230">
        <f t="shared" si="115"/>
        <v>-9.0144262348001061E-2</v>
      </c>
      <c r="M99" s="230">
        <f t="shared" si="115"/>
        <v>-7.372845941627483E-2</v>
      </c>
      <c r="N99" s="230">
        <f t="shared" si="115"/>
        <v>-3.9007828725179473E-2</v>
      </c>
      <c r="O99" s="230">
        <f t="shared" si="115"/>
        <v>-5.1757775465140203E-2</v>
      </c>
      <c r="P99" s="230">
        <f t="shared" si="115"/>
        <v>-5.1832348621801298E-2</v>
      </c>
      <c r="Q99" s="230">
        <f t="shared" si="115"/>
        <v>-1.1743360819821727E-2</v>
      </c>
      <c r="R99" s="230">
        <f t="shared" si="115"/>
        <v>0</v>
      </c>
      <c r="S99" s="230">
        <f t="shared" si="115"/>
        <v>0</v>
      </c>
      <c r="T99" s="230">
        <f t="shared" si="115"/>
        <v>-3.6616194499380375E-2</v>
      </c>
      <c r="U99" s="230">
        <f t="shared" si="115"/>
        <v>-1.2555506669558342E-2</v>
      </c>
      <c r="V99" s="230">
        <f t="shared" si="115"/>
        <v>-1.1540731702763816E-2</v>
      </c>
      <c r="W99" s="230">
        <f t="shared" si="115"/>
        <v>-2.8013827490099435E-2</v>
      </c>
      <c r="X99" s="230">
        <f t="shared" si="115"/>
        <v>-4.2988326746015632E-2</v>
      </c>
      <c r="Y99" s="230">
        <f t="shared" si="115"/>
        <v>-2.2078327352161024E-2</v>
      </c>
      <c r="Z99" s="230">
        <f t="shared" si="115"/>
        <v>-3.556598422685233E-2</v>
      </c>
      <c r="AA99" s="230">
        <f>+(AA98-AA97)/AA97</f>
        <v>0</v>
      </c>
      <c r="AB99" s="205">
        <f t="shared" ref="AB99:AK99" si="116">+(AB98-AB97)/AB97</f>
        <v>0</v>
      </c>
      <c r="AC99" s="205">
        <f t="shared" si="116"/>
        <v>-2.6992775725090068E-2</v>
      </c>
      <c r="AD99" s="205">
        <f t="shared" si="116"/>
        <v>-3.6957678418688217E-2</v>
      </c>
      <c r="AE99" s="205">
        <f t="shared" si="116"/>
        <v>0</v>
      </c>
      <c r="AF99" s="205">
        <f t="shared" si="116"/>
        <v>-7.1396192203082506E-3</v>
      </c>
      <c r="AG99" s="205">
        <f t="shared" si="116"/>
        <v>0</v>
      </c>
      <c r="AH99" s="205">
        <f t="shared" si="116"/>
        <v>0</v>
      </c>
      <c r="AI99" s="205">
        <f t="shared" si="116"/>
        <v>0</v>
      </c>
      <c r="AJ99" s="205">
        <f t="shared" si="116"/>
        <v>0</v>
      </c>
      <c r="AK99" s="205">
        <f t="shared" si="116"/>
        <v>0</v>
      </c>
      <c r="AL99" s="205">
        <f t="shared" ref="AL99:AR99" si="117">+(AL98-AL97)/AL97</f>
        <v>0</v>
      </c>
      <c r="AM99" s="205">
        <f t="shared" si="117"/>
        <v>0</v>
      </c>
      <c r="AN99" s="205">
        <f t="shared" si="117"/>
        <v>0</v>
      </c>
      <c r="AO99" s="205">
        <f t="shared" si="117"/>
        <v>-6.9355948708523407E-2</v>
      </c>
      <c r="AP99" s="205">
        <f t="shared" si="117"/>
        <v>-5.0855569421946537E-2</v>
      </c>
      <c r="AQ99" s="205">
        <f t="shared" si="117"/>
        <v>-4.8066335052134715E-2</v>
      </c>
      <c r="AR99" s="205">
        <f t="shared" si="117"/>
        <v>-4.0046125248697502E-2</v>
      </c>
      <c r="AS99" s="205">
        <f t="shared" ref="AS99:AT99" si="118">+(AS98-AS97)/AS97</f>
        <v>-3.8400019718972493E-2</v>
      </c>
      <c r="AT99" s="205">
        <f t="shared" si="118"/>
        <v>-3.8400019718972493E-2</v>
      </c>
      <c r="AU99" s="205">
        <f t="shared" ref="AU99" si="119">+(AU98-AU97)/AU97</f>
        <v>-3.8400019718972493E-2</v>
      </c>
      <c r="AV99" s="201" t="s">
        <v>79</v>
      </c>
      <c r="AW99" s="184"/>
      <c r="AX99" s="184"/>
      <c r="AY99" s="184"/>
    </row>
    <row r="100" spans="1:51" ht="22">
      <c r="A100" s="284"/>
      <c r="B100" s="201" t="s">
        <v>80</v>
      </c>
      <c r="C100" s="230">
        <f t="shared" ref="C100:Z100" si="120">+C96-C99</f>
        <v>-5.6231632342314673E-2</v>
      </c>
      <c r="D100" s="230">
        <f t="shared" si="120"/>
        <v>-4.1413488447395293E-2</v>
      </c>
      <c r="E100" s="230">
        <f t="shared" si="120"/>
        <v>-1.6289825675318746E-2</v>
      </c>
      <c r="F100" s="230">
        <f t="shared" si="120"/>
        <v>2.1933367033846931E-2</v>
      </c>
      <c r="G100" s="230">
        <f t="shared" si="120"/>
        <v>2.061791704799075E-2</v>
      </c>
      <c r="H100" s="230">
        <f t="shared" si="120"/>
        <v>6.407278291547791E-2</v>
      </c>
      <c r="I100" s="230">
        <f t="shared" si="120"/>
        <v>4.3208135986001851E-2</v>
      </c>
      <c r="J100" s="230">
        <f t="shared" si="120"/>
        <v>4.7707225593762573E-2</v>
      </c>
      <c r="K100" s="230">
        <f t="shared" si="120"/>
        <v>5.455381375557395E-2</v>
      </c>
      <c r="L100" s="230">
        <f t="shared" si="120"/>
        <v>1.3036083198217099E-2</v>
      </c>
      <c r="M100" s="230">
        <f t="shared" si="120"/>
        <v>4.0600354362674451E-2</v>
      </c>
      <c r="N100" s="230">
        <f t="shared" si="120"/>
        <v>3.0675563867388206E-3</v>
      </c>
      <c r="O100" s="230">
        <f t="shared" si="120"/>
        <v>5.1757775465140203E-2</v>
      </c>
      <c r="P100" s="230">
        <f t="shared" si="120"/>
        <v>5.1832348621801298E-2</v>
      </c>
      <c r="Q100" s="230">
        <f t="shared" si="120"/>
        <v>1.1743360819821727E-2</v>
      </c>
      <c r="R100" s="230">
        <f t="shared" si="120"/>
        <v>0</v>
      </c>
      <c r="S100" s="230">
        <f t="shared" si="120"/>
        <v>0</v>
      </c>
      <c r="T100" s="230">
        <f t="shared" si="120"/>
        <v>3.6616194499380375E-2</v>
      </c>
      <c r="U100" s="230">
        <f t="shared" si="120"/>
        <v>-2.6316082283429722E-2</v>
      </c>
      <c r="V100" s="230">
        <f t="shared" si="120"/>
        <v>-4.623114087053766E-2</v>
      </c>
      <c r="W100" s="230">
        <f t="shared" si="120"/>
        <v>-4.9497061430102476E-2</v>
      </c>
      <c r="X100" s="230">
        <f t="shared" si="120"/>
        <v>-1.3360347972021618E-2</v>
      </c>
      <c r="Y100" s="230">
        <f t="shared" si="120"/>
        <v>-5.2017491930760294E-2</v>
      </c>
      <c r="Z100" s="230">
        <f t="shared" si="120"/>
        <v>-2.0773783709770503E-2</v>
      </c>
      <c r="AA100" s="230">
        <f t="shared" ref="AA100:AR100" si="121">+AA96-AA99</f>
        <v>0</v>
      </c>
      <c r="AB100" s="205">
        <f t="shared" si="121"/>
        <v>-3.3840862873729637E-2</v>
      </c>
      <c r="AC100" s="205">
        <f t="shared" si="121"/>
        <v>-8.9308804399779451E-3</v>
      </c>
      <c r="AD100" s="205">
        <f t="shared" si="121"/>
        <v>-2.2346616218896234E-2</v>
      </c>
      <c r="AE100" s="205">
        <f t="shared" si="121"/>
        <v>0</v>
      </c>
      <c r="AF100" s="205">
        <f t="shared" si="121"/>
        <v>7.1396192203082506E-3</v>
      </c>
      <c r="AG100" s="205">
        <f t="shared" si="121"/>
        <v>0</v>
      </c>
      <c r="AH100" s="205">
        <f t="shared" si="121"/>
        <v>0</v>
      </c>
      <c r="AI100" s="205">
        <f t="shared" si="121"/>
        <v>0</v>
      </c>
      <c r="AJ100" s="205">
        <f t="shared" si="121"/>
        <v>0</v>
      </c>
      <c r="AK100" s="205">
        <f t="shared" si="121"/>
        <v>0</v>
      </c>
      <c r="AL100" s="205">
        <f t="shared" si="121"/>
        <v>0</v>
      </c>
      <c r="AM100" s="205">
        <f t="shared" si="121"/>
        <v>0</v>
      </c>
      <c r="AN100" s="205">
        <f t="shared" si="121"/>
        <v>0</v>
      </c>
      <c r="AO100" s="205">
        <f t="shared" si="121"/>
        <v>-1.9245655439060039E-2</v>
      </c>
      <c r="AP100" s="205">
        <f t="shared" si="121"/>
        <v>1.4302739727794139E-2</v>
      </c>
      <c r="AQ100" s="205">
        <f t="shared" si="121"/>
        <v>-2.7681080925755566E-3</v>
      </c>
      <c r="AR100" s="205">
        <f t="shared" si="121"/>
        <v>-1.671878954676926E-2</v>
      </c>
      <c r="AS100" s="205">
        <f t="shared" ref="AS100:AT100" si="122">+AS96-AS99</f>
        <v>3.8400019718972493E-2</v>
      </c>
      <c r="AT100" s="205">
        <f t="shared" si="122"/>
        <v>3.8400019718972493E-2</v>
      </c>
      <c r="AU100" s="205">
        <f t="shared" ref="AU100" si="123">+AU96-AU99</f>
        <v>3.8400019718972493E-2</v>
      </c>
      <c r="AV100" s="201" t="s">
        <v>80</v>
      </c>
      <c r="AW100" s="184"/>
      <c r="AX100" s="184"/>
      <c r="AY100" s="184"/>
    </row>
    <row r="101" spans="1:51" ht="22">
      <c r="A101" s="285"/>
      <c r="B101" s="206" t="s">
        <v>25</v>
      </c>
      <c r="C101" s="232" cm="1">
        <f t="array" ref="C101">_xlfn.XLOOKUP(MIN(ABS($BJ$7:$BJ$29 - MEDIAN(MIN($BJ$7:$BJ$29), MAX($BJ$7:$BJ$29), C100))), ABS($BJ$7:$BJ$29 - MEDIAN(MIN($BJ$7:$BJ$29), MAX($BJ$7:$BJ$29), C100)), $BK$7:$BK$29, "Error", 0)</f>
        <v>-5</v>
      </c>
      <c r="D101" s="232" cm="1">
        <f t="array" ref="D101">_xlfn.XLOOKUP(MIN(ABS($BJ$7:$BJ$29 - MEDIAN(MIN($BJ$7:$BJ$29), MAX($BJ$7:$BJ$29), D100))), ABS($BJ$7:$BJ$29 - MEDIAN(MIN($BJ$7:$BJ$29), MAX($BJ$7:$BJ$29), D100)), $BK$7:$BK$29, "Error", 0)</f>
        <v>-3</v>
      </c>
      <c r="E101" s="232" cm="1">
        <f t="array" ref="E101">_xlfn.XLOOKUP(MIN(ABS($BJ$7:$BJ$29 - MEDIAN(MIN($BJ$7:$BJ$29), MAX($BJ$7:$BJ$29), E100))), ABS($BJ$7:$BJ$29 - MEDIAN(MIN($BJ$7:$BJ$29), MAX($BJ$7:$BJ$29), E100)), $BK$7:$BK$29, "Error", 0)</f>
        <v>-2</v>
      </c>
      <c r="F101" s="232" cm="1">
        <f t="array" ref="F101">_xlfn.XLOOKUP(MIN(ABS($BJ$7:$BJ$29 - MEDIAN(MIN($BJ$7:$BJ$29), MAX($BJ$7:$BJ$29), F100))), ABS($BJ$7:$BJ$29 - MEDIAN(MIN($BJ$7:$BJ$29), MAX($BJ$7:$BJ$29), F100)), $BK$7:$BK$29, "Error", 0)</f>
        <v>2</v>
      </c>
      <c r="G101" s="232" cm="1">
        <f t="array" ref="G101">_xlfn.XLOOKUP(MIN(ABS($BJ$7:$BJ$29 - MEDIAN(MIN($BJ$7:$BJ$29), MAX($BJ$7:$BJ$29), G100))), ABS($BJ$7:$BJ$29 - MEDIAN(MIN($BJ$7:$BJ$29), MAX($BJ$7:$BJ$29), G100)), $BK$7:$BK$29, "Error", 0)</f>
        <v>2</v>
      </c>
      <c r="H101" s="232" cm="1">
        <f t="array" ref="H101">_xlfn.XLOOKUP(MIN(ABS($BJ$7:$BJ$29 - MEDIAN(MIN($BJ$7:$BJ$29), MAX($BJ$7:$BJ$29), H100))), ABS($BJ$7:$BJ$29 - MEDIAN(MIN($BJ$7:$BJ$29), MAX($BJ$7:$BJ$29), H100)), $BK$7:$BK$29, "Error", 0)</f>
        <v>5</v>
      </c>
      <c r="I101" s="232" cm="1">
        <f t="array" ref="I101">_xlfn.XLOOKUP(MIN(ABS($BJ$7:$BJ$29 - MEDIAN(MIN($BJ$7:$BJ$29), MAX($BJ$7:$BJ$29), I100))), ABS($BJ$7:$BJ$29 - MEDIAN(MIN($BJ$7:$BJ$29), MAX($BJ$7:$BJ$29), I100)), $BK$7:$BK$29, "Error", 0)</f>
        <v>3</v>
      </c>
      <c r="J101" s="232" cm="1">
        <f t="array" ref="J101">_xlfn.XLOOKUP(MIN(ABS($BJ$7:$BJ$29 - MEDIAN(MIN($BJ$7:$BJ$29), MAX($BJ$7:$BJ$29), J100))), ABS($BJ$7:$BJ$29 - MEDIAN(MIN($BJ$7:$BJ$29), MAX($BJ$7:$BJ$29), J100)), $BK$7:$BK$29, "Error", 0)</f>
        <v>3</v>
      </c>
      <c r="K101" s="232" cm="1">
        <f t="array" ref="K101">_xlfn.XLOOKUP(MIN(ABS($BJ$7:$BJ$29 - MEDIAN(MIN($BJ$7:$BJ$29), MAX($BJ$7:$BJ$29), K100))), ABS($BJ$7:$BJ$29 - MEDIAN(MIN($BJ$7:$BJ$29), MAX($BJ$7:$BJ$29), K100)), $BK$7:$BK$29, "Error", 0)</f>
        <v>5</v>
      </c>
      <c r="L101" s="232" cm="1">
        <f t="array" ref="L101">_xlfn.XLOOKUP(MIN(ABS($BJ$7:$BJ$29 - MEDIAN(MIN($BJ$7:$BJ$29), MAX($BJ$7:$BJ$29), L100))), ABS($BJ$7:$BJ$29 - MEDIAN(MIN($BJ$7:$BJ$29), MAX($BJ$7:$BJ$29), L100)), $BK$7:$BK$29, "Error", 0)</f>
        <v>2</v>
      </c>
      <c r="M101" s="232" cm="1">
        <f t="array" ref="M101">_xlfn.XLOOKUP(MIN(ABS($BJ$7:$BJ$29 - MEDIAN(MIN($BJ$7:$BJ$29), MAX($BJ$7:$BJ$29), M100))), ABS($BJ$7:$BJ$29 - MEDIAN(MIN($BJ$7:$BJ$29), MAX($BJ$7:$BJ$29), M100)), $BK$7:$BK$29, "Error", 0)</f>
        <v>3</v>
      </c>
      <c r="N101" s="232" cm="1">
        <f t="array" ref="N101">_xlfn.XLOOKUP(MIN(ABS($BJ$7:$BJ$29 - MEDIAN(MIN($BJ$7:$BJ$29), MAX($BJ$7:$BJ$29), N100))), ABS($BJ$7:$BJ$29 - MEDIAN(MIN($BJ$7:$BJ$29), MAX($BJ$7:$BJ$29), N100)), $BK$7:$BK$29, "Error", 0)</f>
        <v>0</v>
      </c>
      <c r="O101" s="232" cm="1">
        <f t="array" ref="O101">_xlfn.XLOOKUP(MIN(ABS($BJ$7:$BJ$29 - MEDIAN(MIN($BJ$7:$BJ$29), MAX($BJ$7:$BJ$29), O100))), ABS($BJ$7:$BJ$29 - MEDIAN(MIN($BJ$7:$BJ$29), MAX($BJ$7:$BJ$29), O100)), $BK$7:$BK$29, "Error", 0)</f>
        <v>5</v>
      </c>
      <c r="P101" s="232" cm="1">
        <f t="array" ref="P101">_xlfn.XLOOKUP(MIN(ABS($BJ$7:$BJ$29 - MEDIAN(MIN($BJ$7:$BJ$29), MAX($BJ$7:$BJ$29), P100))), ABS($BJ$7:$BJ$29 - MEDIAN(MIN($BJ$7:$BJ$29), MAX($BJ$7:$BJ$29), P100)), $BK$7:$BK$29, "Error", 0)</f>
        <v>5</v>
      </c>
      <c r="Q101" s="232" cm="1">
        <f t="array" ref="Q101">_xlfn.XLOOKUP(MIN(ABS($BJ$7:$BJ$29 - MEDIAN(MIN($BJ$7:$BJ$29), MAX($BJ$7:$BJ$29), Q100))), ABS($BJ$7:$BJ$29 - MEDIAN(MIN($BJ$7:$BJ$29), MAX($BJ$7:$BJ$29), Q100)), $BK$7:$BK$29, "Error", 0)</f>
        <v>2</v>
      </c>
      <c r="R101" s="232" cm="1">
        <f t="array" ref="R101">_xlfn.XLOOKUP(MIN(ABS($BJ$7:$BJ$29 - MEDIAN(MIN($BJ$7:$BJ$29), MAX($BJ$7:$BJ$29), R100))), ABS($BJ$7:$BJ$29 - MEDIAN(MIN($BJ$7:$BJ$29), MAX($BJ$7:$BJ$29), R100)), $BK$7:$BK$29, "Error", 0)</f>
        <v>0</v>
      </c>
      <c r="S101" s="232" cm="1">
        <f t="array" ref="S101">_xlfn.XLOOKUP(MIN(ABS($BJ$7:$BJ$29 - MEDIAN(MIN($BJ$7:$BJ$29), MAX($BJ$7:$BJ$29), S100))), ABS($BJ$7:$BJ$29 - MEDIAN(MIN($BJ$7:$BJ$29), MAX($BJ$7:$BJ$29), S100)), $BK$7:$BK$29, "Error", 0)</f>
        <v>0</v>
      </c>
      <c r="T101" s="232" cm="1">
        <f t="array" ref="T101">_xlfn.XLOOKUP(MIN(ABS($BJ$7:$BJ$29 - MEDIAN(MIN($BJ$7:$BJ$29), MAX($BJ$7:$BJ$29), T100))), ABS($BJ$7:$BJ$29 - MEDIAN(MIN($BJ$7:$BJ$29), MAX($BJ$7:$BJ$29), T100)), $BK$7:$BK$29, "Error", 0)</f>
        <v>3</v>
      </c>
      <c r="U101" s="232" cm="1">
        <f t="array" ref="U101">_xlfn.XLOOKUP(MIN(ABS($BJ$7:$BJ$29 - MEDIAN(MIN($BJ$7:$BJ$29), MAX($BJ$7:$BJ$29), U100))), ABS($BJ$7:$BJ$29 - MEDIAN(MIN($BJ$7:$BJ$29), MAX($BJ$7:$BJ$29), U100)), $BK$7:$BK$29, "Error", 0)</f>
        <v>-2</v>
      </c>
      <c r="V101" s="232" cm="1">
        <f t="array" ref="V101">_xlfn.XLOOKUP(MIN(ABS($BJ$7:$BJ$29 - MEDIAN(MIN($BJ$7:$BJ$29), MAX($BJ$7:$BJ$29), V100))), ABS($BJ$7:$BJ$29 - MEDIAN(MIN($BJ$7:$BJ$29), MAX($BJ$7:$BJ$29), V100)), $BK$7:$BK$29, "Error", 0)</f>
        <v>-3</v>
      </c>
      <c r="W101" s="232" cm="1">
        <f t="array" ref="W101">_xlfn.XLOOKUP(MIN(ABS($BJ$7:$BJ$29 - MEDIAN(MIN($BJ$7:$BJ$29), MAX($BJ$7:$BJ$29), W100))), ABS($BJ$7:$BJ$29 - MEDIAN(MIN($BJ$7:$BJ$29), MAX($BJ$7:$BJ$29), W100)), $BK$7:$BK$29, "Error", 0)</f>
        <v>-3</v>
      </c>
      <c r="X101" s="232" cm="1">
        <f t="array" ref="X101">_xlfn.XLOOKUP(MIN(ABS($BJ$7:$BJ$29 - MEDIAN(MIN($BJ$7:$BJ$29), MAX($BJ$7:$BJ$29), X100))), ABS($BJ$7:$BJ$29 - MEDIAN(MIN($BJ$7:$BJ$29), MAX($BJ$7:$BJ$29), X100)), $BK$7:$BK$29, "Error", 0)</f>
        <v>-2</v>
      </c>
      <c r="Y101" s="232" cm="1">
        <f t="array" ref="Y101">_xlfn.XLOOKUP(MIN(ABS($BJ$7:$BJ$29 - MEDIAN(MIN($BJ$7:$BJ$29), MAX($BJ$7:$BJ$29), Y100))), ABS($BJ$7:$BJ$29 - MEDIAN(MIN($BJ$7:$BJ$29), MAX($BJ$7:$BJ$29), Y100)), $BK$7:$BK$29, "Error", 0)</f>
        <v>-5</v>
      </c>
      <c r="Z101" s="232" cm="1">
        <f t="array" ref="Z101">_xlfn.XLOOKUP(MIN(ABS($BJ$7:$BJ$29 - MEDIAN(MIN($BJ$7:$BJ$29), MAX($BJ$7:$BJ$29), Z100))), ABS($BJ$7:$BJ$29 - MEDIAN(MIN($BJ$7:$BJ$29), MAX($BJ$7:$BJ$29), Z100)), $BK$7:$BK$29, "Error", 0)</f>
        <v>-2</v>
      </c>
      <c r="AA101" s="232" cm="1">
        <f t="array" ref="AA101">_xlfn.XLOOKUP(MIN(ABS($BJ$7:$BJ$29 - MEDIAN(MIN($BJ$7:$BJ$29), MAX($BJ$7:$BJ$29), AA100))), ABS($BJ$7:$BJ$29 - MEDIAN(MIN($BJ$7:$BJ$29), MAX($BJ$7:$BJ$29), AA100)), $BK$7:$BK$29, "Error", 0)</f>
        <v>0</v>
      </c>
      <c r="AB101" s="171" cm="1">
        <f t="array" ref="AB101">_xlfn.XLOOKUP(MIN(ABS($BJ$7:$BJ$29 - MEDIAN(MIN($BJ$7:$BJ$29), MAX($BJ$7:$BJ$29), AB100))), ABS($BJ$7:$BJ$29 - MEDIAN(MIN($BJ$7:$BJ$29), MAX($BJ$7:$BJ$29), AB100)), $BK$7:$BK$29, "Error", 0)</f>
        <v>-3</v>
      </c>
      <c r="AC101" s="171" cm="1">
        <f t="array" ref="AC101">_xlfn.XLOOKUP(MIN(ABS($BJ$7:$BJ$29 - MEDIAN(MIN($BJ$7:$BJ$29), MAX($BJ$7:$BJ$29), AC100))), ABS($BJ$7:$BJ$29 - MEDIAN(MIN($BJ$7:$BJ$29), MAX($BJ$7:$BJ$29), AC100)), $BK$7:$BK$29, "Error", 0)</f>
        <v>0</v>
      </c>
      <c r="AD101" s="171" cm="1">
        <f t="array" ref="AD101">_xlfn.XLOOKUP(MIN(ABS($BJ$7:$BJ$29 - MEDIAN(MIN($BJ$7:$BJ$29), MAX($BJ$7:$BJ$29), AD100))), ABS($BJ$7:$BJ$29 - MEDIAN(MIN($BJ$7:$BJ$29), MAX($BJ$7:$BJ$29), AD100)), $BK$7:$BK$29, "Error", 0)</f>
        <v>-2</v>
      </c>
      <c r="AE101" s="171" cm="1">
        <f t="array" ref="AE101">_xlfn.XLOOKUP(MIN(ABS($BJ$7:$BJ$29 - MEDIAN(MIN($BJ$7:$BJ$29), MAX($BJ$7:$BJ$29), AE100))), ABS($BJ$7:$BJ$29 - MEDIAN(MIN($BJ$7:$BJ$29), MAX($BJ$7:$BJ$29), AE100)), $BK$7:$BK$29, "Error", 0)</f>
        <v>0</v>
      </c>
      <c r="AF101" s="171" cm="1">
        <f t="array" ref="AF101">_xlfn.XLOOKUP(MIN(ABS($BJ$7:$BJ$29 - MEDIAN(MIN($BJ$7:$BJ$29), MAX($BJ$7:$BJ$29), AF100))), ABS($BJ$7:$BJ$29 - MEDIAN(MIN($BJ$7:$BJ$29), MAX($BJ$7:$BJ$29), AF100)), $BK$7:$BK$29, "Error", 0)</f>
        <v>0</v>
      </c>
      <c r="AG101" s="171" cm="1">
        <f t="array" ref="AG101">_xlfn.XLOOKUP(MIN(ABS($BJ$7:$BJ$29 - MEDIAN(MIN($BJ$7:$BJ$29), MAX($BJ$7:$BJ$29), AG100))), ABS($BJ$7:$BJ$29 - MEDIAN(MIN($BJ$7:$BJ$29), MAX($BJ$7:$BJ$29), AG100)), $BK$7:$BK$29, "Error", 0)</f>
        <v>0</v>
      </c>
      <c r="AH101" s="171" cm="1">
        <f t="array" ref="AH101">_xlfn.XLOOKUP(MIN(ABS($BJ$7:$BJ$29 - MEDIAN(MIN($BJ$7:$BJ$29), MAX($BJ$7:$BJ$29), AH100))), ABS($BJ$7:$BJ$29 - MEDIAN(MIN($BJ$7:$BJ$29), MAX($BJ$7:$BJ$29), AH100)), $BK$7:$BK$29, "Error", 0)</f>
        <v>0</v>
      </c>
      <c r="AI101" s="171" cm="1">
        <f t="array" ref="AI101">_xlfn.XLOOKUP(MIN(ABS($BJ$7:$BJ$29 - MEDIAN(MIN($BJ$7:$BJ$29), MAX($BJ$7:$BJ$29), AI100))), ABS($BJ$7:$BJ$29 - MEDIAN(MIN($BJ$7:$BJ$29), MAX($BJ$7:$BJ$29), AI100)), $BK$7:$BK$29, "Error", 0)</f>
        <v>0</v>
      </c>
      <c r="AJ101" s="171" cm="1">
        <f t="array" ref="AJ101">_xlfn.XLOOKUP(MIN(ABS($BJ$7:$BJ$29 - MEDIAN(MIN($BJ$7:$BJ$29), MAX($BJ$7:$BJ$29), AJ100))), ABS($BJ$7:$BJ$29 - MEDIAN(MIN($BJ$7:$BJ$29), MAX($BJ$7:$BJ$29), AJ100)), $BK$7:$BK$29, "Error", 0)</f>
        <v>0</v>
      </c>
      <c r="AK101" s="171" cm="1">
        <f t="array" ref="AK101">_xlfn.XLOOKUP(MIN(ABS($BJ$7:$BJ$29 - MEDIAN(MIN($BJ$7:$BJ$29), MAX($BJ$7:$BJ$29), AK100))), ABS($BJ$7:$BJ$29 - MEDIAN(MIN($BJ$7:$BJ$29), MAX($BJ$7:$BJ$29), AK100)), $BK$7:$BK$29, "Error", 0)</f>
        <v>0</v>
      </c>
      <c r="AL101" s="171" cm="1">
        <f t="array" ref="AL101">_xlfn.XLOOKUP(MIN(ABS($BJ$7:$BJ$29 - MEDIAN(MIN($BJ$7:$BJ$29), MAX($BJ$7:$BJ$29), AL100))), ABS($BJ$7:$BJ$29 - MEDIAN(MIN($BJ$7:$BJ$29), MAX($BJ$7:$BJ$29), AL100)), $BK$7:$BK$29, "Error", 0)</f>
        <v>0</v>
      </c>
      <c r="AM101" s="171" cm="1">
        <f t="array" ref="AM101">_xlfn.XLOOKUP(MIN(ABS($BJ$7:$BJ$29 - MEDIAN(MIN($BJ$7:$BJ$29), MAX($BJ$7:$BJ$29), AM100))), ABS($BJ$7:$BJ$29 - MEDIAN(MIN($BJ$7:$BJ$29), MAX($BJ$7:$BJ$29), AM100)), $BK$7:$BK$29, "Error", 0)</f>
        <v>0</v>
      </c>
      <c r="AN101" s="171" cm="1">
        <f t="array" ref="AN101">_xlfn.XLOOKUP(MIN(ABS($BJ$7:$BJ$29 - MEDIAN(MIN($BJ$7:$BJ$29), MAX($BJ$7:$BJ$29), AN100))), ABS($BJ$7:$BJ$29 - MEDIAN(MIN($BJ$7:$BJ$29), MAX($BJ$7:$BJ$29), AN100)), $BK$7:$BK$29, "Error", 0)</f>
        <v>0</v>
      </c>
      <c r="AO101" s="171" cm="1">
        <f t="array" ref="AO101">_xlfn.XLOOKUP(MIN(ABS($BJ$7:$BJ$29 - MEDIAN(MIN($BJ$7:$BJ$29), MAX($BJ$7:$BJ$29), AO100))), ABS($BJ$7:$BJ$29 - MEDIAN(MIN($BJ$7:$BJ$29), MAX($BJ$7:$BJ$29), AO100)), $BK$7:$BK$29, "Error", 0)</f>
        <v>-2</v>
      </c>
      <c r="AP101" s="171" cm="1">
        <f t="array" ref="AP101">_xlfn.XLOOKUP(MIN(ABS($BJ$7:$BJ$29 - MEDIAN(MIN($BJ$7:$BJ$29), MAX($BJ$7:$BJ$29), AP100))), ABS($BJ$7:$BJ$29 - MEDIAN(MIN($BJ$7:$BJ$29), MAX($BJ$7:$BJ$29), AP100)), $BK$7:$BK$29, "Error", 0)</f>
        <v>2</v>
      </c>
      <c r="AQ101" s="171" cm="1">
        <f t="array" ref="AQ101">_xlfn.XLOOKUP(MIN(ABS($BJ$7:$BJ$29 - MEDIAN(MIN($BJ$7:$BJ$29), MAX($BJ$7:$BJ$29), AQ100))), ABS($BJ$7:$BJ$29 - MEDIAN(MIN($BJ$7:$BJ$29), MAX($BJ$7:$BJ$29), AQ100)), $BK$7:$BK$29, "Error", 0)</f>
        <v>0</v>
      </c>
      <c r="AR101" s="171" cm="1">
        <f t="array" ref="AR101">_xlfn.XLOOKUP(MIN(ABS($BJ$7:$BJ$29 - MEDIAN(MIN($BJ$7:$BJ$29), MAX($BJ$7:$BJ$29), AR100))), ABS($BJ$7:$BJ$29 - MEDIAN(MIN($BJ$7:$BJ$29), MAX($BJ$7:$BJ$29), AR100)), $BK$7:$BK$29, "Error", 0)</f>
        <v>-2</v>
      </c>
      <c r="AS101" s="171" cm="1">
        <f t="array" ref="AS101">_xlfn.XLOOKUP(MIN(ABS($BJ$7:$BJ$29 - MEDIAN(MIN($BJ$7:$BJ$29), MAX($BJ$7:$BJ$29), AS100))), ABS($BJ$7:$BJ$29 - MEDIAN(MIN($BJ$7:$BJ$29), MAX($BJ$7:$BJ$29), AS100)), $BK$7:$BK$29, "Error", 0)</f>
        <v>3</v>
      </c>
      <c r="AT101" s="171" cm="1">
        <f t="array" ref="AT101">_xlfn.XLOOKUP(MIN(ABS($BJ$7:$BJ$29 - MEDIAN(MIN($BJ$7:$BJ$29), MAX($BJ$7:$BJ$29), AT100))), ABS($BJ$7:$BJ$29 - MEDIAN(MIN($BJ$7:$BJ$29), MAX($BJ$7:$BJ$29), AT100)), $BK$7:$BK$29, "Error", 0)</f>
        <v>3</v>
      </c>
      <c r="AU101" s="171" cm="1">
        <f t="array" ref="AU101">_xlfn.XLOOKUP(MIN(ABS($BJ$7:$BJ$29 - MEDIAN(MIN($BJ$7:$BJ$29), MAX($BJ$7:$BJ$29), AU100))), ABS($BJ$7:$BJ$29 - MEDIAN(MIN($BJ$7:$BJ$29), MAX($BJ$7:$BJ$29), AU100)), $BK$7:$BK$29, "Error", 0)</f>
        <v>3</v>
      </c>
      <c r="AV101" s="206" t="s">
        <v>25</v>
      </c>
      <c r="AW101" s="184"/>
      <c r="AX101" s="184"/>
      <c r="AY101" s="184"/>
    </row>
    <row r="102" spans="1:51" ht="44">
      <c r="A102" s="283" t="s">
        <v>53</v>
      </c>
      <c r="B102" s="200" t="s">
        <v>76</v>
      </c>
      <c r="C102" s="233">
        <v>10610.375027349301</v>
      </c>
      <c r="D102" s="233">
        <v>10610.375027349301</v>
      </c>
      <c r="E102" s="233">
        <v>10610.375027349301</v>
      </c>
      <c r="F102" s="233">
        <v>10610.375027349301</v>
      </c>
      <c r="G102" s="233">
        <v>10610.375027349301</v>
      </c>
      <c r="H102" s="233">
        <v>10610.375027349301</v>
      </c>
      <c r="I102" s="233">
        <v>10610.375027349301</v>
      </c>
      <c r="J102" s="233">
        <v>10610.375027349301</v>
      </c>
      <c r="K102" s="233">
        <v>10610.375027349301</v>
      </c>
      <c r="L102" s="233">
        <v>10610.375027349301</v>
      </c>
      <c r="M102" s="233">
        <v>10610.375027349301</v>
      </c>
      <c r="N102" s="233">
        <v>10610.375027349301</v>
      </c>
      <c r="O102" s="233">
        <v>10610.375027349301</v>
      </c>
      <c r="P102" s="233">
        <v>10610.375027349301</v>
      </c>
      <c r="Q102" s="233">
        <v>10610.375027349301</v>
      </c>
      <c r="R102" s="233">
        <v>10610.375027349301</v>
      </c>
      <c r="S102" s="233">
        <v>10610.375027349301</v>
      </c>
      <c r="T102" s="233">
        <v>10610.375027349301</v>
      </c>
      <c r="U102" s="233">
        <v>10610.375027349301</v>
      </c>
      <c r="V102" s="233">
        <v>10610.375027349301</v>
      </c>
      <c r="W102" s="233">
        <v>10610.375027349301</v>
      </c>
      <c r="X102" s="233">
        <v>10610.375027349301</v>
      </c>
      <c r="Y102" s="233">
        <v>10610.375027349301</v>
      </c>
      <c r="Z102" s="233">
        <v>10610.375027349301</v>
      </c>
      <c r="AA102" s="204">
        <v>10610.375027349301</v>
      </c>
      <c r="AB102" s="204">
        <v>10610.375027349301</v>
      </c>
      <c r="AC102" s="204">
        <v>10610.375027349301</v>
      </c>
      <c r="AD102" s="204">
        <v>10610.375027349301</v>
      </c>
      <c r="AE102" s="204">
        <v>10610.375027349301</v>
      </c>
      <c r="AF102" s="204">
        <v>10610.375027349301</v>
      </c>
      <c r="AG102" s="204">
        <v>10610.375027349301</v>
      </c>
      <c r="AH102" s="204">
        <v>10610.375027349301</v>
      </c>
      <c r="AI102" s="204">
        <v>10610.375027349301</v>
      </c>
      <c r="AJ102" s="204">
        <v>10610.375027349301</v>
      </c>
      <c r="AK102" s="204">
        <v>10610.375027349301</v>
      </c>
      <c r="AL102" s="204">
        <v>10710.9260212022</v>
      </c>
      <c r="AM102" s="204">
        <v>11096.7299137311</v>
      </c>
      <c r="AN102" s="204">
        <v>11653.3239386184</v>
      </c>
      <c r="AO102" s="204">
        <v>11653.3239386184</v>
      </c>
      <c r="AP102" s="204">
        <v>11653.3239386184</v>
      </c>
      <c r="AQ102" s="204">
        <v>11653.3239386184</v>
      </c>
      <c r="AR102" s="204">
        <v>11653.3239386184</v>
      </c>
      <c r="AS102" s="204">
        <v>11701</v>
      </c>
      <c r="AT102" s="204">
        <v>11701</v>
      </c>
      <c r="AU102" s="204">
        <v>11701</v>
      </c>
      <c r="AV102" s="200" t="s">
        <v>76</v>
      </c>
      <c r="AW102" s="184"/>
      <c r="AX102" s="184"/>
      <c r="AY102" s="184"/>
    </row>
    <row r="103" spans="1:51" ht="22">
      <c r="A103" s="284"/>
      <c r="B103" s="201" t="s">
        <v>77</v>
      </c>
      <c r="C103" s="233">
        <v>8880.0998242817604</v>
      </c>
      <c r="D103" s="233">
        <v>8886.5141471336792</v>
      </c>
      <c r="E103" s="233">
        <v>8633.5138691869797</v>
      </c>
      <c r="F103" s="233">
        <v>8849.7029044280607</v>
      </c>
      <c r="G103" s="233">
        <v>8373.2143917797403</v>
      </c>
      <c r="H103" s="233">
        <v>8541.7755203247107</v>
      </c>
      <c r="I103" s="233">
        <v>8607.8522272280006</v>
      </c>
      <c r="J103" s="233">
        <v>8303.1517343342402</v>
      </c>
      <c r="K103" s="233">
        <v>8493.6829751437799</v>
      </c>
      <c r="L103" s="233">
        <v>8034.7609848336997</v>
      </c>
      <c r="M103" s="233">
        <v>8261.7916082617594</v>
      </c>
      <c r="N103" s="233">
        <v>8282.2572543056503</v>
      </c>
      <c r="O103" s="233">
        <v>8347.7235493169301</v>
      </c>
      <c r="P103" s="233">
        <v>8488.0699312686902</v>
      </c>
      <c r="Q103" s="233">
        <v>9055.6257979420498</v>
      </c>
      <c r="R103" s="233">
        <v>9315.1403047552994</v>
      </c>
      <c r="S103" s="233">
        <v>9515.1377635833305</v>
      </c>
      <c r="T103" s="233">
        <v>9328.30125742173</v>
      </c>
      <c r="U103" s="233">
        <v>9474.6675930023193</v>
      </c>
      <c r="V103" s="233">
        <v>9344.0966405784693</v>
      </c>
      <c r="W103" s="233">
        <v>9272.6383204460108</v>
      </c>
      <c r="X103" s="233">
        <v>9105.1279735931894</v>
      </c>
      <c r="Y103" s="233">
        <v>9295.03572491056</v>
      </c>
      <c r="Z103" s="233">
        <v>9262.8696700334604</v>
      </c>
      <c r="AA103" s="204">
        <v>9800.31915974617</v>
      </c>
      <c r="AB103" s="204">
        <v>9987.7336606486897</v>
      </c>
      <c r="AC103" s="204">
        <v>9780.7870989933108</v>
      </c>
      <c r="AD103" s="204">
        <v>9380.1541226834506</v>
      </c>
      <c r="AE103" s="204">
        <v>9703.41527855001</v>
      </c>
      <c r="AF103" s="204">
        <v>9593.99603807926</v>
      </c>
      <c r="AG103" s="204">
        <v>9845.5235359357903</v>
      </c>
      <c r="AH103" s="204">
        <v>9931.1039214080702</v>
      </c>
      <c r="AI103" s="204">
        <v>10017.0842166943</v>
      </c>
      <c r="AJ103" s="204">
        <v>10249.030878883201</v>
      </c>
      <c r="AK103" s="204">
        <v>10336.779992938</v>
      </c>
      <c r="AL103" s="204">
        <v>10710.9260212022</v>
      </c>
      <c r="AM103" s="204">
        <v>11096.7299137311</v>
      </c>
      <c r="AN103" s="204">
        <v>11653.3239386184</v>
      </c>
      <c r="AO103" s="204">
        <v>10720.5357097983</v>
      </c>
      <c r="AP103" s="204">
        <v>11257.551236027201</v>
      </c>
      <c r="AQ103" s="204">
        <v>10934.969812126201</v>
      </c>
      <c r="AR103" s="204">
        <v>11009.210599456001</v>
      </c>
      <c r="AS103" s="204">
        <v>11701</v>
      </c>
      <c r="AT103" s="204">
        <v>11701</v>
      </c>
      <c r="AU103" s="204">
        <v>11701</v>
      </c>
      <c r="AV103" s="201" t="s">
        <v>77</v>
      </c>
      <c r="AW103" s="184"/>
      <c r="AX103" s="184"/>
      <c r="AY103" s="184"/>
    </row>
    <row r="104" spans="1:51" ht="22">
      <c r="A104" s="284"/>
      <c r="B104" s="201" t="s">
        <v>78</v>
      </c>
      <c r="C104" s="230">
        <f t="shared" ref="C104:Z104" si="124">+(C103-C102)/C102</f>
        <v>-0.16307389687994844</v>
      </c>
      <c r="D104" s="230">
        <f t="shared" si="124"/>
        <v>-0.16246936378518176</v>
      </c>
      <c r="E104" s="230">
        <f t="shared" si="124"/>
        <v>-0.18631397599677335</v>
      </c>
      <c r="F104" s="230">
        <f t="shared" si="124"/>
        <v>-0.16593872680116695</v>
      </c>
      <c r="G104" s="230">
        <f t="shared" si="124"/>
        <v>-0.21084651860118567</v>
      </c>
      <c r="H104" s="230">
        <f t="shared" si="124"/>
        <v>-0.19496007461494699</v>
      </c>
      <c r="I104" s="230">
        <f t="shared" si="124"/>
        <v>-0.18873251840388278</v>
      </c>
      <c r="J104" s="230">
        <f t="shared" si="124"/>
        <v>-0.217449740189952</v>
      </c>
      <c r="K104" s="230">
        <f t="shared" si="124"/>
        <v>-0.19949267078209165</v>
      </c>
      <c r="L104" s="230">
        <f t="shared" si="124"/>
        <v>-0.24274486395407313</v>
      </c>
      <c r="M104" s="230">
        <f t="shared" si="124"/>
        <v>-0.22134782352497748</v>
      </c>
      <c r="N104" s="230">
        <f t="shared" si="124"/>
        <v>-0.21941899009626845</v>
      </c>
      <c r="O104" s="230">
        <f t="shared" si="124"/>
        <v>-0.21324896360403478</v>
      </c>
      <c r="P104" s="230">
        <f t="shared" si="124"/>
        <v>-0.20002168543620344</v>
      </c>
      <c r="Q104" s="230">
        <f t="shared" si="124"/>
        <v>-0.14653103452043209</v>
      </c>
      <c r="R104" s="230">
        <f t="shared" si="124"/>
        <v>-0.12207247333439246</v>
      </c>
      <c r="S104" s="230">
        <f t="shared" si="124"/>
        <v>-0.10322323772184175</v>
      </c>
      <c r="T104" s="230">
        <f t="shared" si="124"/>
        <v>-0.12083208808575545</v>
      </c>
      <c r="U104" s="230">
        <f t="shared" si="124"/>
        <v>-0.10703744508743394</v>
      </c>
      <c r="V104" s="230">
        <f t="shared" si="124"/>
        <v>-0.11934341467732029</v>
      </c>
      <c r="W104" s="230">
        <f t="shared" si="124"/>
        <v>-0.12607817381149489</v>
      </c>
      <c r="X104" s="230">
        <f t="shared" si="124"/>
        <v>-0.1418655843809655</v>
      </c>
      <c r="Y104" s="230">
        <f t="shared" si="124"/>
        <v>-0.12396727722142924</v>
      </c>
      <c r="Z104" s="230">
        <f t="shared" si="124"/>
        <v>-0.12699884347560861</v>
      </c>
      <c r="AA104" s="230">
        <f t="shared" ref="AA104:AR104" si="125">+(AA103-AA102)/AA102</f>
        <v>-7.6345639575899127E-2</v>
      </c>
      <c r="AB104" s="205">
        <f t="shared" si="125"/>
        <v>-5.8682314724568231E-2</v>
      </c>
      <c r="AC104" s="205">
        <f t="shared" si="125"/>
        <v>-7.8186485041070092E-2</v>
      </c>
      <c r="AD104" s="205">
        <f t="shared" si="125"/>
        <v>-0.1159450916197432</v>
      </c>
      <c r="AE104" s="205">
        <f t="shared" si="125"/>
        <v>-8.547857605989527E-2</v>
      </c>
      <c r="AF104" s="205">
        <f t="shared" si="125"/>
        <v>-9.5791052309670707E-2</v>
      </c>
      <c r="AG104" s="205">
        <f t="shared" si="125"/>
        <v>-7.2085245756349725E-2</v>
      </c>
      <c r="AH104" s="205">
        <f t="shared" si="125"/>
        <v>-6.4019519026456778E-2</v>
      </c>
      <c r="AI104" s="205">
        <f t="shared" si="125"/>
        <v>-5.5916101846139654E-2</v>
      </c>
      <c r="AJ104" s="205">
        <f t="shared" si="125"/>
        <v>-3.4055737665699769E-2</v>
      </c>
      <c r="AK104" s="205">
        <f t="shared" si="125"/>
        <v>-2.578561395860959E-2</v>
      </c>
      <c r="AL104" s="205">
        <f t="shared" si="125"/>
        <v>0</v>
      </c>
      <c r="AM104" s="205">
        <f t="shared" si="125"/>
        <v>0</v>
      </c>
      <c r="AN104" s="205">
        <f t="shared" si="125"/>
        <v>0</v>
      </c>
      <c r="AO104" s="205">
        <f t="shared" si="125"/>
        <v>-8.0044821008441805E-2</v>
      </c>
      <c r="AP104" s="205">
        <f t="shared" si="125"/>
        <v>-3.3962215817208395E-2</v>
      </c>
      <c r="AQ104" s="205">
        <f t="shared" si="125"/>
        <v>-6.1643710436265937E-2</v>
      </c>
      <c r="AR104" s="205">
        <f t="shared" si="125"/>
        <v>-5.5272928355475204E-2</v>
      </c>
      <c r="AS104" s="205">
        <f t="shared" ref="AS104:AT104" si="126">+(AS103-AS102)/AS102</f>
        <v>0</v>
      </c>
      <c r="AT104" s="205">
        <f t="shared" si="126"/>
        <v>0</v>
      </c>
      <c r="AU104" s="205">
        <f t="shared" ref="AU104" si="127">+(AU103-AU102)/AU102</f>
        <v>0</v>
      </c>
      <c r="AV104" s="201" t="s">
        <v>78</v>
      </c>
      <c r="AW104" s="184"/>
      <c r="AX104" s="184"/>
      <c r="AY104" s="184"/>
    </row>
    <row r="105" spans="1:51" ht="44">
      <c r="A105" s="284"/>
      <c r="B105" s="201" t="s">
        <v>89</v>
      </c>
      <c r="C105" s="233">
        <v>7903.5</v>
      </c>
      <c r="D105" s="233">
        <v>8047.10009765625</v>
      </c>
      <c r="E105" s="233">
        <v>8047.10009765625</v>
      </c>
      <c r="F105" s="233">
        <v>8047.10009765625</v>
      </c>
      <c r="G105" s="233">
        <v>8047.10009765625</v>
      </c>
      <c r="H105" s="233">
        <v>8047.10009765625</v>
      </c>
      <c r="I105" s="233">
        <v>8047.10009765625</v>
      </c>
      <c r="J105" s="233">
        <v>8047.10009765625</v>
      </c>
      <c r="K105" s="233">
        <v>8047.10009765625</v>
      </c>
      <c r="L105" s="233">
        <v>8047.10009765625</v>
      </c>
      <c r="M105" s="233">
        <v>8047.10009765625</v>
      </c>
      <c r="N105" s="233">
        <v>8047.10009765625</v>
      </c>
      <c r="O105" s="233">
        <v>8047.10009765625</v>
      </c>
      <c r="P105" s="233">
        <v>8047.10009765625</v>
      </c>
      <c r="Q105" s="233">
        <v>8047.10009765625</v>
      </c>
      <c r="R105" s="233">
        <v>8200</v>
      </c>
      <c r="S105" s="233">
        <v>8474.400390625</v>
      </c>
      <c r="T105" s="233">
        <v>8474.400390625</v>
      </c>
      <c r="U105" s="233">
        <v>8474.400390625</v>
      </c>
      <c r="V105" s="233">
        <v>8474.400390625</v>
      </c>
      <c r="W105" s="233">
        <v>8474.400390625</v>
      </c>
      <c r="X105" s="233">
        <v>8474.400390625</v>
      </c>
      <c r="Y105" s="233">
        <v>8474.400390625</v>
      </c>
      <c r="Z105" s="233">
        <v>8474.400390625</v>
      </c>
      <c r="AA105" s="231">
        <v>8692.7998046875</v>
      </c>
      <c r="AB105" s="203">
        <v>8820.900390625</v>
      </c>
      <c r="AC105" s="203">
        <v>8820.900390625</v>
      </c>
      <c r="AD105" s="203">
        <v>8820.900390625</v>
      </c>
      <c r="AE105" s="203">
        <v>8824</v>
      </c>
      <c r="AF105" s="203">
        <v>8824</v>
      </c>
      <c r="AG105" s="203">
        <v>9190.7001953125</v>
      </c>
      <c r="AH105" s="203">
        <v>9357.5</v>
      </c>
      <c r="AI105" s="203">
        <v>9363.599609375</v>
      </c>
      <c r="AJ105" s="203">
        <v>9787.599609375</v>
      </c>
      <c r="AK105" s="203">
        <v>9930.099609375</v>
      </c>
      <c r="AL105" s="203">
        <v>9954.2998046875</v>
      </c>
      <c r="AM105" s="203">
        <v>10277.7001953125</v>
      </c>
      <c r="AN105" s="203">
        <v>10934.900390625</v>
      </c>
      <c r="AO105" s="203">
        <v>10934.900390625</v>
      </c>
      <c r="AP105" s="203">
        <v>10934.900390625</v>
      </c>
      <c r="AQ105" s="203">
        <v>10934.900390625</v>
      </c>
      <c r="AR105" s="203">
        <v>10934.900390625</v>
      </c>
      <c r="AS105" s="203">
        <v>10934.900390625</v>
      </c>
      <c r="AT105" s="203">
        <v>10934.900390625</v>
      </c>
      <c r="AU105" s="203">
        <v>10934.900390625</v>
      </c>
      <c r="AV105" s="201" t="s">
        <v>89</v>
      </c>
      <c r="AW105" s="184"/>
      <c r="AX105" s="184"/>
      <c r="AY105" s="184"/>
    </row>
    <row r="106" spans="1:51" ht="44">
      <c r="A106" s="284"/>
      <c r="B106" s="201" t="s">
        <v>90</v>
      </c>
      <c r="C106" s="233">
        <v>7771.7001953125</v>
      </c>
      <c r="D106" s="233">
        <v>8047.10009765625</v>
      </c>
      <c r="E106" s="233">
        <v>7631.7001953125</v>
      </c>
      <c r="F106" s="233">
        <v>7870.60009765625</v>
      </c>
      <c r="G106" s="233">
        <v>7446.10009765625</v>
      </c>
      <c r="H106" s="233">
        <v>7531.5</v>
      </c>
      <c r="I106" s="233">
        <v>7699.39990234375</v>
      </c>
      <c r="J106" s="233">
        <v>7439.10009765625</v>
      </c>
      <c r="K106" s="233">
        <v>7608.10009765625</v>
      </c>
      <c r="L106" s="233">
        <v>7321.7001953125</v>
      </c>
      <c r="M106" s="233">
        <v>7453.7998046875</v>
      </c>
      <c r="N106" s="233">
        <v>7733.2001953125</v>
      </c>
      <c r="O106" s="233">
        <v>7630.60009765625</v>
      </c>
      <c r="P106" s="233">
        <v>7630</v>
      </c>
      <c r="Q106" s="233">
        <v>7952.60009765625</v>
      </c>
      <c r="R106" s="233">
        <v>8200</v>
      </c>
      <c r="S106" s="233">
        <v>8474.400390625</v>
      </c>
      <c r="T106" s="233">
        <v>8164.10009765625</v>
      </c>
      <c r="U106" s="233">
        <v>8368</v>
      </c>
      <c r="V106" s="233">
        <v>8376.599609375</v>
      </c>
      <c r="W106" s="233">
        <v>8237</v>
      </c>
      <c r="X106" s="233">
        <v>8110.10009765625</v>
      </c>
      <c r="Y106" s="233">
        <v>8287.2998046875</v>
      </c>
      <c r="Z106" s="233">
        <v>8173</v>
      </c>
      <c r="AA106" s="231">
        <v>8692.7998046875</v>
      </c>
      <c r="AB106" s="203">
        <v>8820.900390625</v>
      </c>
      <c r="AC106" s="203">
        <v>8582.7998046875</v>
      </c>
      <c r="AD106" s="203">
        <v>8494.900390625</v>
      </c>
      <c r="AE106" s="203">
        <v>8824</v>
      </c>
      <c r="AF106" s="203">
        <v>8761</v>
      </c>
      <c r="AG106" s="203">
        <v>9190.7001953125</v>
      </c>
      <c r="AH106" s="203">
        <v>9357.5</v>
      </c>
      <c r="AI106" s="203">
        <v>9363.599609375</v>
      </c>
      <c r="AJ106" s="203">
        <v>9787.599609375</v>
      </c>
      <c r="AK106" s="203">
        <v>9930.099609375</v>
      </c>
      <c r="AL106" s="203">
        <v>9954.2998046875</v>
      </c>
      <c r="AM106" s="203">
        <v>10277.7001953125</v>
      </c>
      <c r="AN106" s="203">
        <v>10934.900390625</v>
      </c>
      <c r="AO106" s="203">
        <v>10176.5</v>
      </c>
      <c r="AP106" s="203">
        <v>10378.7998046875</v>
      </c>
      <c r="AQ106" s="203">
        <v>10409.2998046875</v>
      </c>
      <c r="AR106" s="203">
        <v>10497</v>
      </c>
      <c r="AS106" s="203">
        <v>10515</v>
      </c>
      <c r="AT106" s="203">
        <v>10515</v>
      </c>
      <c r="AU106" s="203">
        <v>10515</v>
      </c>
      <c r="AV106" s="201" t="s">
        <v>90</v>
      </c>
      <c r="AW106" s="184"/>
      <c r="AX106" s="184"/>
      <c r="AY106" s="184"/>
    </row>
    <row r="107" spans="1:51" ht="44">
      <c r="A107" s="284"/>
      <c r="B107" s="201" t="s">
        <v>79</v>
      </c>
      <c r="C107" s="230">
        <f t="shared" ref="C107:Z107" si="128">+(C106-C105)/C105</f>
        <v>-1.6676131421205796E-2</v>
      </c>
      <c r="D107" s="230">
        <f t="shared" si="128"/>
        <v>0</v>
      </c>
      <c r="E107" s="230">
        <f t="shared" si="128"/>
        <v>-5.162106812424725E-2</v>
      </c>
      <c r="F107" s="230">
        <f t="shared" si="128"/>
        <v>-2.1933367033846931E-2</v>
      </c>
      <c r="G107" s="230">
        <f t="shared" si="128"/>
        <v>-7.4685289446696904E-2</v>
      </c>
      <c r="H107" s="230">
        <f t="shared" si="128"/>
        <v>-6.407278291547791E-2</v>
      </c>
      <c r="I107" s="230">
        <f t="shared" si="128"/>
        <v>-4.3208135986001851E-2</v>
      </c>
      <c r="J107" s="230">
        <f t="shared" si="128"/>
        <v>-7.5555168025942962E-2</v>
      </c>
      <c r="K107" s="230">
        <f t="shared" si="128"/>
        <v>-5.455381375557395E-2</v>
      </c>
      <c r="L107" s="230">
        <f t="shared" si="128"/>
        <v>-9.0144262348001061E-2</v>
      </c>
      <c r="M107" s="230">
        <f t="shared" si="128"/>
        <v>-7.372845941627483E-2</v>
      </c>
      <c r="N107" s="230">
        <f t="shared" si="128"/>
        <v>-3.9007828725179473E-2</v>
      </c>
      <c r="O107" s="230">
        <f t="shared" si="128"/>
        <v>-5.1757775465140203E-2</v>
      </c>
      <c r="P107" s="230">
        <f t="shared" si="128"/>
        <v>-5.1832348621801298E-2</v>
      </c>
      <c r="Q107" s="230">
        <f t="shared" si="128"/>
        <v>-1.1743360819821727E-2</v>
      </c>
      <c r="R107" s="230">
        <f t="shared" si="128"/>
        <v>0</v>
      </c>
      <c r="S107" s="230">
        <f t="shared" si="128"/>
        <v>0</v>
      </c>
      <c r="T107" s="230">
        <f t="shared" si="128"/>
        <v>-3.6616194499380375E-2</v>
      </c>
      <c r="U107" s="230">
        <f t="shared" si="128"/>
        <v>-1.2555506669558342E-2</v>
      </c>
      <c r="V107" s="230">
        <f t="shared" si="128"/>
        <v>-1.1540731702763816E-2</v>
      </c>
      <c r="W107" s="230">
        <f t="shared" si="128"/>
        <v>-2.8013827490099435E-2</v>
      </c>
      <c r="X107" s="230">
        <f t="shared" si="128"/>
        <v>-4.2988326746015632E-2</v>
      </c>
      <c r="Y107" s="230">
        <f t="shared" si="128"/>
        <v>-2.2078327352161024E-2</v>
      </c>
      <c r="Z107" s="230">
        <f t="shared" si="128"/>
        <v>-3.556598422685233E-2</v>
      </c>
      <c r="AA107" s="230">
        <f>+(AA106-AA105)/AA105</f>
        <v>0</v>
      </c>
      <c r="AB107" s="205">
        <f t="shared" ref="AB107:AP107" si="129">+(AB106-AB105)/AB105</f>
        <v>0</v>
      </c>
      <c r="AC107" s="205">
        <f t="shared" si="129"/>
        <v>-2.6992775725090068E-2</v>
      </c>
      <c r="AD107" s="205">
        <f t="shared" si="129"/>
        <v>-3.6957678418688217E-2</v>
      </c>
      <c r="AE107" s="205">
        <f t="shared" si="129"/>
        <v>0</v>
      </c>
      <c r="AF107" s="205">
        <f t="shared" si="129"/>
        <v>-7.1396192203082506E-3</v>
      </c>
      <c r="AG107" s="205">
        <f t="shared" si="129"/>
        <v>0</v>
      </c>
      <c r="AH107" s="205">
        <f t="shared" si="129"/>
        <v>0</v>
      </c>
      <c r="AI107" s="205">
        <f t="shared" si="129"/>
        <v>0</v>
      </c>
      <c r="AJ107" s="205">
        <f t="shared" si="129"/>
        <v>0</v>
      </c>
      <c r="AK107" s="205">
        <f t="shared" si="129"/>
        <v>0</v>
      </c>
      <c r="AL107" s="205">
        <f t="shared" si="129"/>
        <v>0</v>
      </c>
      <c r="AM107" s="205">
        <f t="shared" si="129"/>
        <v>0</v>
      </c>
      <c r="AN107" s="205">
        <f t="shared" si="129"/>
        <v>0</v>
      </c>
      <c r="AO107" s="205">
        <f t="shared" si="129"/>
        <v>-6.9355948708523407E-2</v>
      </c>
      <c r="AP107" s="205">
        <f t="shared" si="129"/>
        <v>-5.0855569421946537E-2</v>
      </c>
      <c r="AQ107" s="205">
        <f>+(AQ106-AQ105)/AQ105</f>
        <v>-4.8066335052134715E-2</v>
      </c>
      <c r="AR107" s="205">
        <f>+(AR106-AR105)/AR105</f>
        <v>-4.0046125248697502E-2</v>
      </c>
      <c r="AS107" s="205">
        <f>+(AS106-AS105)/AS105</f>
        <v>-3.8400019718972493E-2</v>
      </c>
      <c r="AT107" s="205">
        <f>+(AT106-AT105)/AT105</f>
        <v>-3.8400019718972493E-2</v>
      </c>
      <c r="AU107" s="205">
        <f>+(AU106-AU105)/AU105</f>
        <v>-3.8400019718972493E-2</v>
      </c>
      <c r="AV107" s="201" t="s">
        <v>79</v>
      </c>
      <c r="AW107" s="184"/>
      <c r="AX107" s="184"/>
      <c r="AY107" s="184"/>
    </row>
    <row r="108" spans="1:51" ht="22">
      <c r="A108" s="284"/>
      <c r="B108" s="201" t="s">
        <v>80</v>
      </c>
      <c r="C108" s="230">
        <f t="shared" ref="C108:Z108" si="130">+C104-C107</f>
        <v>-0.14639776545874264</v>
      </c>
      <c r="D108" s="230">
        <f t="shared" si="130"/>
        <v>-0.16246936378518176</v>
      </c>
      <c r="E108" s="230">
        <f t="shared" si="130"/>
        <v>-0.13469290787252611</v>
      </c>
      <c r="F108" s="230">
        <f t="shared" si="130"/>
        <v>-0.14400535976732001</v>
      </c>
      <c r="G108" s="230">
        <f t="shared" si="130"/>
        <v>-0.13616122915448875</v>
      </c>
      <c r="H108" s="230">
        <f t="shared" si="130"/>
        <v>-0.13088729169946908</v>
      </c>
      <c r="I108" s="230">
        <f t="shared" si="130"/>
        <v>-0.14552438241788093</v>
      </c>
      <c r="J108" s="230">
        <f t="shared" si="130"/>
        <v>-0.14189457216400903</v>
      </c>
      <c r="K108" s="230">
        <f t="shared" si="130"/>
        <v>-0.14493885702651771</v>
      </c>
      <c r="L108" s="230">
        <f t="shared" si="130"/>
        <v>-0.15260060160607208</v>
      </c>
      <c r="M108" s="230">
        <f t="shared" si="130"/>
        <v>-0.14761936410870263</v>
      </c>
      <c r="N108" s="230">
        <f t="shared" si="130"/>
        <v>-0.18041116137108898</v>
      </c>
      <c r="O108" s="230">
        <f t="shared" si="130"/>
        <v>-0.16149118813889457</v>
      </c>
      <c r="P108" s="230">
        <f t="shared" si="130"/>
        <v>-0.14818933681440213</v>
      </c>
      <c r="Q108" s="230">
        <f t="shared" si="130"/>
        <v>-0.13478767370061037</v>
      </c>
      <c r="R108" s="230">
        <f t="shared" si="130"/>
        <v>-0.12207247333439246</v>
      </c>
      <c r="S108" s="230">
        <f t="shared" si="130"/>
        <v>-0.10322323772184175</v>
      </c>
      <c r="T108" s="230">
        <f t="shared" si="130"/>
        <v>-8.4215893586375073E-2</v>
      </c>
      <c r="U108" s="230">
        <f t="shared" si="130"/>
        <v>-9.4481938417875597E-2</v>
      </c>
      <c r="V108" s="230">
        <f t="shared" si="130"/>
        <v>-0.10780268297455647</v>
      </c>
      <c r="W108" s="230">
        <f t="shared" si="130"/>
        <v>-9.8064346321395449E-2</v>
      </c>
      <c r="X108" s="230">
        <f t="shared" si="130"/>
        <v>-9.8877257634949867E-2</v>
      </c>
      <c r="Y108" s="230">
        <f t="shared" si="130"/>
        <v>-0.10188894986926822</v>
      </c>
      <c r="Z108" s="230">
        <f t="shared" si="130"/>
        <v>-9.1432859248756271E-2</v>
      </c>
      <c r="AA108" s="230">
        <f t="shared" ref="AA108:AR108" si="131">+AA104-AA107</f>
        <v>-7.6345639575899127E-2</v>
      </c>
      <c r="AB108" s="205">
        <f t="shared" si="131"/>
        <v>-5.8682314724568231E-2</v>
      </c>
      <c r="AC108" s="205">
        <f t="shared" si="131"/>
        <v>-5.1193709315980024E-2</v>
      </c>
      <c r="AD108" s="205">
        <f t="shared" si="131"/>
        <v>-7.8987413201054985E-2</v>
      </c>
      <c r="AE108" s="205">
        <f t="shared" si="131"/>
        <v>-8.547857605989527E-2</v>
      </c>
      <c r="AF108" s="205">
        <f t="shared" si="131"/>
        <v>-8.8651433089362464E-2</v>
      </c>
      <c r="AG108" s="205">
        <f t="shared" si="131"/>
        <v>-7.2085245756349725E-2</v>
      </c>
      <c r="AH108" s="205">
        <f t="shared" si="131"/>
        <v>-6.4019519026456778E-2</v>
      </c>
      <c r="AI108" s="205">
        <f t="shared" si="131"/>
        <v>-5.5916101846139654E-2</v>
      </c>
      <c r="AJ108" s="205">
        <f t="shared" si="131"/>
        <v>-3.4055737665699769E-2</v>
      </c>
      <c r="AK108" s="205">
        <f t="shared" si="131"/>
        <v>-2.578561395860959E-2</v>
      </c>
      <c r="AL108" s="205">
        <f t="shared" si="131"/>
        <v>0</v>
      </c>
      <c r="AM108" s="205">
        <f t="shared" si="131"/>
        <v>0</v>
      </c>
      <c r="AN108" s="205">
        <f t="shared" si="131"/>
        <v>0</v>
      </c>
      <c r="AO108" s="205">
        <f t="shared" si="131"/>
        <v>-1.0688872299918398E-2</v>
      </c>
      <c r="AP108" s="205">
        <f t="shared" si="131"/>
        <v>1.6893353604738141E-2</v>
      </c>
      <c r="AQ108" s="205">
        <f t="shared" si="131"/>
        <v>-1.3577375384131223E-2</v>
      </c>
      <c r="AR108" s="205">
        <f t="shared" si="131"/>
        <v>-1.5226803106777702E-2</v>
      </c>
      <c r="AS108" s="205">
        <f t="shared" ref="AS108:AT108" si="132">+AS104-AS107</f>
        <v>3.8400019718972493E-2</v>
      </c>
      <c r="AT108" s="205">
        <f t="shared" si="132"/>
        <v>3.8400019718972493E-2</v>
      </c>
      <c r="AU108" s="205">
        <f t="shared" ref="AU108" si="133">+AU104-AU107</f>
        <v>3.8400019718972493E-2</v>
      </c>
      <c r="AV108" s="201" t="s">
        <v>80</v>
      </c>
      <c r="AW108" s="184"/>
      <c r="AX108" s="184"/>
      <c r="AY108" s="184"/>
    </row>
    <row r="109" spans="1:51" ht="22">
      <c r="A109" s="285"/>
      <c r="B109" s="206" t="s">
        <v>25</v>
      </c>
      <c r="C109" s="232" cm="1">
        <f t="array" ref="C109">_xlfn.XLOOKUP(MIN(ABS($BJ$7:$BJ$29 - MEDIAN(MIN($BJ$7:$BJ$29), MAX($BJ$7:$BJ$29), C108))), ABS($BJ$7:$BJ$29 - MEDIAN(MIN($BJ$7:$BJ$29), MAX($BJ$7:$BJ$29), C108)), $BK$7:$BK$29, "Error", 0)</f>
        <v>-9</v>
      </c>
      <c r="D109" s="232" cm="1">
        <f t="array" ref="D109">_xlfn.XLOOKUP(MIN(ABS($BJ$7:$BJ$29 - MEDIAN(MIN($BJ$7:$BJ$29), MAX($BJ$7:$BJ$29), D108))), ABS($BJ$7:$BJ$29 - MEDIAN(MIN($BJ$7:$BJ$29), MAX($BJ$7:$BJ$29), D108)), $BK$7:$BK$29, "Error", 0)</f>
        <v>-7</v>
      </c>
      <c r="E109" s="232" cm="1">
        <f t="array" ref="E109">_xlfn.XLOOKUP(MIN(ABS($BJ$7:$BJ$29 - MEDIAN(MIN($BJ$7:$BJ$29), MAX($BJ$7:$BJ$29), E108))), ABS($BJ$7:$BJ$29 - MEDIAN(MIN($BJ$7:$BJ$29), MAX($BJ$7:$BJ$29), E108)), $BK$7:$BK$29, "Error", 0)</f>
        <v>-9</v>
      </c>
      <c r="F109" s="232" cm="1">
        <f t="array" ref="F109">_xlfn.XLOOKUP(MIN(ABS($BJ$7:$BJ$29 - MEDIAN(MIN($BJ$7:$BJ$29), MAX($BJ$7:$BJ$29), F108))), ABS($BJ$7:$BJ$29 - MEDIAN(MIN($BJ$7:$BJ$29), MAX($BJ$7:$BJ$29), F108)), $BK$7:$BK$29, "Error", 0)</f>
        <v>-9</v>
      </c>
      <c r="G109" s="232" cm="1">
        <f t="array" ref="G109">_xlfn.XLOOKUP(MIN(ABS($BJ$7:$BJ$29 - MEDIAN(MIN($BJ$7:$BJ$29), MAX($BJ$7:$BJ$29), G108))), ABS($BJ$7:$BJ$29 - MEDIAN(MIN($BJ$7:$BJ$29), MAX($BJ$7:$BJ$29), G108)), $BK$7:$BK$29, "Error", 0)</f>
        <v>-9</v>
      </c>
      <c r="H109" s="232" cm="1">
        <f t="array" ref="H109">_xlfn.XLOOKUP(MIN(ABS($BJ$7:$BJ$29 - MEDIAN(MIN($BJ$7:$BJ$29), MAX($BJ$7:$BJ$29), H108))), ABS($BJ$7:$BJ$29 - MEDIAN(MIN($BJ$7:$BJ$29), MAX($BJ$7:$BJ$29), H108)), $BK$7:$BK$29, "Error", 0)</f>
        <v>-9</v>
      </c>
      <c r="I109" s="232" cm="1">
        <f t="array" ref="I109">_xlfn.XLOOKUP(MIN(ABS($BJ$7:$BJ$29 - MEDIAN(MIN($BJ$7:$BJ$29), MAX($BJ$7:$BJ$29), I108))), ABS($BJ$7:$BJ$29 - MEDIAN(MIN($BJ$7:$BJ$29), MAX($BJ$7:$BJ$29), I108)), $BK$7:$BK$29, "Error", 0)</f>
        <v>-9</v>
      </c>
      <c r="J109" s="232" cm="1">
        <f t="array" ref="J109">_xlfn.XLOOKUP(MIN(ABS($BJ$7:$BJ$29 - MEDIAN(MIN($BJ$7:$BJ$29), MAX($BJ$7:$BJ$29), J108))), ABS($BJ$7:$BJ$29 - MEDIAN(MIN($BJ$7:$BJ$29), MAX($BJ$7:$BJ$29), J108)), $BK$7:$BK$29, "Error", 0)</f>
        <v>-9</v>
      </c>
      <c r="K109" s="232" cm="1">
        <f t="array" ref="K109">_xlfn.XLOOKUP(MIN(ABS($BJ$7:$BJ$29 - MEDIAN(MIN($BJ$7:$BJ$29), MAX($BJ$7:$BJ$29), K108))), ABS($BJ$7:$BJ$29 - MEDIAN(MIN($BJ$7:$BJ$29), MAX($BJ$7:$BJ$29), K108)), $BK$7:$BK$29, "Error", 0)</f>
        <v>-9</v>
      </c>
      <c r="L109" s="232" cm="1">
        <f t="array" ref="L109">_xlfn.XLOOKUP(MIN(ABS($BJ$7:$BJ$29 - MEDIAN(MIN($BJ$7:$BJ$29), MAX($BJ$7:$BJ$29), L108))), ABS($BJ$7:$BJ$29 - MEDIAN(MIN($BJ$7:$BJ$29), MAX($BJ$7:$BJ$29), L108)), $BK$7:$BK$29, "Error", 0)</f>
        <v>-7</v>
      </c>
      <c r="M109" s="232" cm="1">
        <f t="array" ref="M109">_xlfn.XLOOKUP(MIN(ABS($BJ$7:$BJ$29 - MEDIAN(MIN($BJ$7:$BJ$29), MAX($BJ$7:$BJ$29), M108))), ABS($BJ$7:$BJ$29 - MEDIAN(MIN($BJ$7:$BJ$29), MAX($BJ$7:$BJ$29), M108)), $BK$7:$BK$29, "Error", 0)</f>
        <v>-9</v>
      </c>
      <c r="N109" s="232" cm="1">
        <f t="array" ref="N109">_xlfn.XLOOKUP(MIN(ABS($BJ$7:$BJ$29 - MEDIAN(MIN($BJ$7:$BJ$29), MAX($BJ$7:$BJ$29), N108))), ABS($BJ$7:$BJ$29 - MEDIAN(MIN($BJ$7:$BJ$29), MAX($BJ$7:$BJ$29), N108)), $BK$7:$BK$29, "Error", 0)</f>
        <v>-5</v>
      </c>
      <c r="O109" s="232" cm="1">
        <f t="array" ref="O109">_xlfn.XLOOKUP(MIN(ABS($BJ$7:$BJ$29 - MEDIAN(MIN($BJ$7:$BJ$29), MAX($BJ$7:$BJ$29), O108))), ABS($BJ$7:$BJ$29 - MEDIAN(MIN($BJ$7:$BJ$29), MAX($BJ$7:$BJ$29), O108)), $BK$7:$BK$29, "Error", 0)</f>
        <v>-7</v>
      </c>
      <c r="P109" s="232" cm="1">
        <f t="array" ref="P109">_xlfn.XLOOKUP(MIN(ABS($BJ$7:$BJ$29 - MEDIAN(MIN($BJ$7:$BJ$29), MAX($BJ$7:$BJ$29), P108))), ABS($BJ$7:$BJ$29 - MEDIAN(MIN($BJ$7:$BJ$29), MAX($BJ$7:$BJ$29), P108)), $BK$7:$BK$29, "Error", 0)</f>
        <v>-9</v>
      </c>
      <c r="Q109" s="232" cm="1">
        <f t="array" ref="Q109">_xlfn.XLOOKUP(MIN(ABS($BJ$7:$BJ$29 - MEDIAN(MIN($BJ$7:$BJ$29), MAX($BJ$7:$BJ$29), Q108))), ABS($BJ$7:$BJ$29 - MEDIAN(MIN($BJ$7:$BJ$29), MAX($BJ$7:$BJ$29), Q108)), $BK$7:$BK$29, "Error", 0)</f>
        <v>-9</v>
      </c>
      <c r="R109" s="232" cm="1">
        <f t="array" ref="R109">_xlfn.XLOOKUP(MIN(ABS($BJ$7:$BJ$29 - MEDIAN(MIN($BJ$7:$BJ$29), MAX($BJ$7:$BJ$29), R108))), ABS($BJ$7:$BJ$29 - MEDIAN(MIN($BJ$7:$BJ$29), MAX($BJ$7:$BJ$29), R108)), $BK$7:$BK$29, "Error", 0)</f>
        <v>-10</v>
      </c>
      <c r="S109" s="232" cm="1">
        <f t="array" ref="S109">_xlfn.XLOOKUP(MIN(ABS($BJ$7:$BJ$29 - MEDIAN(MIN($BJ$7:$BJ$29), MAX($BJ$7:$BJ$29), S108))), ABS($BJ$7:$BJ$29 - MEDIAN(MIN($BJ$7:$BJ$29), MAX($BJ$7:$BJ$29), S108)), $BK$7:$BK$29, "Error", 0)</f>
        <v>-9</v>
      </c>
      <c r="T109" s="232" cm="1">
        <f t="array" ref="T109">_xlfn.XLOOKUP(MIN(ABS($BJ$7:$BJ$29 - MEDIAN(MIN($BJ$7:$BJ$29), MAX($BJ$7:$BJ$29), T108))), ABS($BJ$7:$BJ$29 - MEDIAN(MIN($BJ$7:$BJ$29), MAX($BJ$7:$BJ$29), T108)), $BK$7:$BK$29, "Error", 0)</f>
        <v>-7</v>
      </c>
      <c r="U109" s="232" cm="1">
        <f t="array" ref="U109">_xlfn.XLOOKUP(MIN(ABS($BJ$7:$BJ$29 - MEDIAN(MIN($BJ$7:$BJ$29), MAX($BJ$7:$BJ$29), U108))), ABS($BJ$7:$BJ$29 - MEDIAN(MIN($BJ$7:$BJ$29), MAX($BJ$7:$BJ$29), U108)), $BK$7:$BK$29, "Error", 0)</f>
        <v>-9</v>
      </c>
      <c r="V109" s="232" cm="1">
        <f t="array" ref="V109">_xlfn.XLOOKUP(MIN(ABS($BJ$7:$BJ$29 - MEDIAN(MIN($BJ$7:$BJ$29), MAX($BJ$7:$BJ$29), V108))), ABS($BJ$7:$BJ$29 - MEDIAN(MIN($BJ$7:$BJ$29), MAX($BJ$7:$BJ$29), V108)), $BK$7:$BK$29, "Error", 0)</f>
        <v>-9</v>
      </c>
      <c r="W109" s="232" cm="1">
        <f t="array" ref="W109">_xlfn.XLOOKUP(MIN(ABS($BJ$7:$BJ$29 - MEDIAN(MIN($BJ$7:$BJ$29), MAX($BJ$7:$BJ$29), W108))), ABS($BJ$7:$BJ$29 - MEDIAN(MIN($BJ$7:$BJ$29), MAX($BJ$7:$BJ$29), W108)), $BK$7:$BK$29, "Error", 0)</f>
        <v>-9</v>
      </c>
      <c r="X109" s="232" cm="1">
        <f t="array" ref="X109">_xlfn.XLOOKUP(MIN(ABS($BJ$7:$BJ$29 - MEDIAN(MIN($BJ$7:$BJ$29), MAX($BJ$7:$BJ$29), X108))), ABS($BJ$7:$BJ$29 - MEDIAN(MIN($BJ$7:$BJ$29), MAX($BJ$7:$BJ$29), X108)), $BK$7:$BK$29, "Error", 0)</f>
        <v>-9</v>
      </c>
      <c r="Y109" s="232" cm="1">
        <f t="array" ref="Y109">_xlfn.XLOOKUP(MIN(ABS($BJ$7:$BJ$29 - MEDIAN(MIN($BJ$7:$BJ$29), MAX($BJ$7:$BJ$29), Y108))), ABS($BJ$7:$BJ$29 - MEDIAN(MIN($BJ$7:$BJ$29), MAX($BJ$7:$BJ$29), Y108)), $BK$7:$BK$29, "Error", 0)</f>
        <v>-9</v>
      </c>
      <c r="Z109" s="232" cm="1">
        <f t="array" ref="Z109">_xlfn.XLOOKUP(MIN(ABS($BJ$7:$BJ$29 - MEDIAN(MIN($BJ$7:$BJ$29), MAX($BJ$7:$BJ$29), Z108))), ABS($BJ$7:$BJ$29 - MEDIAN(MIN($BJ$7:$BJ$29), MAX($BJ$7:$BJ$29), Z108)), $BK$7:$BK$29, "Error", 0)</f>
        <v>-9</v>
      </c>
      <c r="AA109" s="232" cm="1">
        <f t="array" ref="AA109">_xlfn.XLOOKUP(MIN(ABS($BJ$7:$BJ$29 - MEDIAN(MIN($BJ$7:$BJ$29), MAX($BJ$7:$BJ$29), AA108))), ABS($BJ$7:$BJ$29 - MEDIAN(MIN($BJ$7:$BJ$29), MAX($BJ$7:$BJ$29), AA108)), $BK$7:$BK$29, "Error", 0)</f>
        <v>-7</v>
      </c>
      <c r="AB109" s="171" cm="1">
        <f t="array" ref="AB109">_xlfn.XLOOKUP(MIN(ABS($BJ$7:$BJ$29 - MEDIAN(MIN($BJ$7:$BJ$29), MAX($BJ$7:$BJ$29), AB108))), ABS($BJ$7:$BJ$29 - MEDIAN(MIN($BJ$7:$BJ$29), MAX($BJ$7:$BJ$29), AB108)), $BK$7:$BK$29, "Error", 0)</f>
        <v>-5</v>
      </c>
      <c r="AC109" s="171" cm="1">
        <f t="array" ref="AC109">_xlfn.XLOOKUP(MIN(ABS($BJ$7:$BJ$29 - MEDIAN(MIN($BJ$7:$BJ$29), MAX($BJ$7:$BJ$29), AC108))), ABS($BJ$7:$BJ$29 - MEDIAN(MIN($BJ$7:$BJ$29), MAX($BJ$7:$BJ$29), AC108)), $BK$7:$BK$29, "Error", 0)</f>
        <v>-5</v>
      </c>
      <c r="AD109" s="171" cm="1">
        <f t="array" ref="AD109">_xlfn.XLOOKUP(MIN(ABS($BJ$7:$BJ$29 - MEDIAN(MIN($BJ$7:$BJ$29), MAX($BJ$7:$BJ$29), AD108))), ABS($BJ$7:$BJ$29 - MEDIAN(MIN($BJ$7:$BJ$29), MAX($BJ$7:$BJ$29), AD108)), $BK$7:$BK$29, "Error", 0)</f>
        <v>-7</v>
      </c>
      <c r="AE109" s="171" cm="1">
        <f t="array" ref="AE109">_xlfn.XLOOKUP(MIN(ABS($BJ$7:$BJ$29 - MEDIAN(MIN($BJ$7:$BJ$29), MAX($BJ$7:$BJ$29), AE108))), ABS($BJ$7:$BJ$29 - MEDIAN(MIN($BJ$7:$BJ$29), MAX($BJ$7:$BJ$29), AE108)), $BK$7:$BK$29, "Error", 0)</f>
        <v>-7</v>
      </c>
      <c r="AF109" s="171" cm="1">
        <f t="array" ref="AF109">_xlfn.XLOOKUP(MIN(ABS($BJ$7:$BJ$29 - MEDIAN(MIN($BJ$7:$BJ$29), MAX($BJ$7:$BJ$29), AF108))), ABS($BJ$7:$BJ$29 - MEDIAN(MIN($BJ$7:$BJ$29), MAX($BJ$7:$BJ$29), AF108)), $BK$7:$BK$29, "Error", 0)</f>
        <v>-7</v>
      </c>
      <c r="AG109" s="171" cm="1">
        <f t="array" ref="AG109">_xlfn.XLOOKUP(MIN(ABS($BJ$7:$BJ$29 - MEDIAN(MIN($BJ$7:$BJ$29), MAX($BJ$7:$BJ$29), AG108))), ABS($BJ$7:$BJ$29 - MEDIAN(MIN($BJ$7:$BJ$29), MAX($BJ$7:$BJ$29), AG108)), $BK$7:$BK$29, "Error", 0)</f>
        <v>-7</v>
      </c>
      <c r="AH109" s="171" cm="1">
        <f t="array" ref="AH109">_xlfn.XLOOKUP(MIN(ABS($BJ$7:$BJ$29 - MEDIAN(MIN($BJ$7:$BJ$29), MAX($BJ$7:$BJ$29), AH108))), ABS($BJ$7:$BJ$29 - MEDIAN(MIN($BJ$7:$BJ$29), MAX($BJ$7:$BJ$29), AH108)), $BK$7:$BK$29, "Error", 0)</f>
        <v>-5</v>
      </c>
      <c r="AI109" s="171" cm="1">
        <f t="array" ref="AI109">_xlfn.XLOOKUP(MIN(ABS($BJ$7:$BJ$29 - MEDIAN(MIN($BJ$7:$BJ$29), MAX($BJ$7:$BJ$29), AI108))), ABS($BJ$7:$BJ$29 - MEDIAN(MIN($BJ$7:$BJ$29), MAX($BJ$7:$BJ$29), AI108)), $BK$7:$BK$29, "Error", 0)</f>
        <v>-5</v>
      </c>
      <c r="AJ109" s="171" cm="1">
        <f t="array" ref="AJ109">_xlfn.XLOOKUP(MIN(ABS($BJ$7:$BJ$29 - MEDIAN(MIN($BJ$7:$BJ$29), MAX($BJ$7:$BJ$29), AJ108))), ABS($BJ$7:$BJ$29 - MEDIAN(MIN($BJ$7:$BJ$29), MAX($BJ$7:$BJ$29), AJ108)), $BK$7:$BK$29, "Error", 0)</f>
        <v>-3</v>
      </c>
      <c r="AK109" s="171" cm="1">
        <f t="array" ref="AK109">_xlfn.XLOOKUP(MIN(ABS($BJ$7:$BJ$29 - MEDIAN(MIN($BJ$7:$BJ$29), MAX($BJ$7:$BJ$29), AK108))), ABS($BJ$7:$BJ$29 - MEDIAN(MIN($BJ$7:$BJ$29), MAX($BJ$7:$BJ$29), AK108)), $BK$7:$BK$29, "Error", 0)</f>
        <v>-2</v>
      </c>
      <c r="AL109" s="171" cm="1">
        <f t="array" ref="AL109">_xlfn.XLOOKUP(MIN(ABS($BJ$7:$BJ$29 - MEDIAN(MIN($BJ$7:$BJ$29), MAX($BJ$7:$BJ$29), AL108))), ABS($BJ$7:$BJ$29 - MEDIAN(MIN($BJ$7:$BJ$29), MAX($BJ$7:$BJ$29), AL108)), $BK$7:$BK$29, "Error", 0)</f>
        <v>0</v>
      </c>
      <c r="AM109" s="171" cm="1">
        <f t="array" ref="AM109">_xlfn.XLOOKUP(MIN(ABS($BJ$7:$BJ$29 - MEDIAN(MIN($BJ$7:$BJ$29), MAX($BJ$7:$BJ$29), AM108))), ABS($BJ$7:$BJ$29 - MEDIAN(MIN($BJ$7:$BJ$29), MAX($BJ$7:$BJ$29), AM108)), $BK$7:$BK$29, "Error", 0)</f>
        <v>0</v>
      </c>
      <c r="AN109" s="171" cm="1">
        <f t="array" ref="AN109">_xlfn.XLOOKUP(MIN(ABS($BJ$7:$BJ$29 - MEDIAN(MIN($BJ$7:$BJ$29), MAX($BJ$7:$BJ$29), AN108))), ABS($BJ$7:$BJ$29 - MEDIAN(MIN($BJ$7:$BJ$29), MAX($BJ$7:$BJ$29), AN108)), $BK$7:$BK$29, "Error", 0)</f>
        <v>0</v>
      </c>
      <c r="AO109" s="171" cm="1">
        <f t="array" ref="AO109">_xlfn.XLOOKUP(MIN(ABS($BJ$7:$BJ$29 - MEDIAN(MIN($BJ$7:$BJ$29), MAX($BJ$7:$BJ$29), AO108))), ABS($BJ$7:$BJ$29 - MEDIAN(MIN($BJ$7:$BJ$29), MAX($BJ$7:$BJ$29), AO108)), $BK$7:$BK$29, "Error", 0)</f>
        <v>-2</v>
      </c>
      <c r="AP109" s="171" cm="1">
        <f t="array" ref="AP109">_xlfn.XLOOKUP(MIN(ABS($BJ$7:$BJ$29 - MEDIAN(MIN($BJ$7:$BJ$29), MAX($BJ$7:$BJ$29), AP108))), ABS($BJ$7:$BJ$29 - MEDIAN(MIN($BJ$7:$BJ$29), MAX($BJ$7:$BJ$29), AP108)), $BK$7:$BK$29, "Error", 0)</f>
        <v>2</v>
      </c>
      <c r="AQ109" s="171" cm="1">
        <f t="array" ref="AQ109">_xlfn.XLOOKUP(MIN(ABS($BJ$7:$BJ$29 - MEDIAN(MIN($BJ$7:$BJ$29), MAX($BJ$7:$BJ$29), AQ108))), ABS($BJ$7:$BJ$29 - MEDIAN(MIN($BJ$7:$BJ$29), MAX($BJ$7:$BJ$29), AQ108)), $BK$7:$BK$29, "Error", 0)</f>
        <v>-2</v>
      </c>
      <c r="AR109" s="171" cm="1">
        <f t="array" ref="AR109">_xlfn.XLOOKUP(MIN(ABS($BJ$7:$BJ$29 - MEDIAN(MIN($BJ$7:$BJ$29), MAX($BJ$7:$BJ$29), AR108))), ABS($BJ$7:$BJ$29 - MEDIAN(MIN($BJ$7:$BJ$29), MAX($BJ$7:$BJ$29), AR108)), $BK$7:$BK$29, "Error", 0)</f>
        <v>-2</v>
      </c>
      <c r="AS109" s="171" cm="1">
        <f t="array" ref="AS109">_xlfn.XLOOKUP(MIN(ABS($BJ$7:$BJ$29 - MEDIAN(MIN($BJ$7:$BJ$29), MAX($BJ$7:$BJ$29), AS108))), ABS($BJ$7:$BJ$29 - MEDIAN(MIN($BJ$7:$BJ$29), MAX($BJ$7:$BJ$29), AS108)), $BK$7:$BK$29, "Error", 0)</f>
        <v>3</v>
      </c>
      <c r="AT109" s="171" cm="1">
        <f t="array" ref="AT109">_xlfn.XLOOKUP(MIN(ABS($BJ$7:$BJ$29 - MEDIAN(MIN($BJ$7:$BJ$29), MAX($BJ$7:$BJ$29), AT108))), ABS($BJ$7:$BJ$29 - MEDIAN(MIN($BJ$7:$BJ$29), MAX($BJ$7:$BJ$29), AT108)), $BK$7:$BK$29, "Error", 0)</f>
        <v>3</v>
      </c>
      <c r="AU109" s="171" cm="1">
        <f t="array" ref="AU109">_xlfn.XLOOKUP(MIN(ABS($BJ$7:$BJ$29 - MEDIAN(MIN($BJ$7:$BJ$29), MAX($BJ$7:$BJ$29), AU108))), ABS($BJ$7:$BJ$29 - MEDIAN(MIN($BJ$7:$BJ$29), MAX($BJ$7:$BJ$29), AU108)), $BK$7:$BK$29, "Error", 0)</f>
        <v>3</v>
      </c>
      <c r="AV109" s="206" t="s">
        <v>25</v>
      </c>
      <c r="AW109" s="184"/>
      <c r="AX109" s="184"/>
      <c r="AY109" s="184"/>
    </row>
    <row r="110" spans="1:51" ht="44">
      <c r="A110" s="283" t="s">
        <v>54</v>
      </c>
      <c r="B110" s="200" t="s">
        <v>76</v>
      </c>
      <c r="C110" s="233">
        <v>13905.263126530601</v>
      </c>
      <c r="D110" s="233">
        <v>13905.263126530601</v>
      </c>
      <c r="E110" s="233">
        <v>13905.263126530601</v>
      </c>
      <c r="F110" s="233">
        <v>13905.263126530601</v>
      </c>
      <c r="G110" s="233">
        <v>13905.263126530601</v>
      </c>
      <c r="H110" s="233">
        <v>13905.263126530601</v>
      </c>
      <c r="I110" s="233">
        <v>13905.263126530601</v>
      </c>
      <c r="J110" s="233">
        <v>13905.263126530601</v>
      </c>
      <c r="K110" s="233">
        <v>13905.263126530601</v>
      </c>
      <c r="L110" s="233">
        <v>13905.263126530601</v>
      </c>
      <c r="M110" s="233">
        <v>13905.263126530601</v>
      </c>
      <c r="N110" s="233">
        <v>13905.263126530601</v>
      </c>
      <c r="O110" s="233">
        <v>13905.263126530601</v>
      </c>
      <c r="P110" s="233">
        <v>13905.263126530601</v>
      </c>
      <c r="Q110" s="233">
        <v>13905.263126530601</v>
      </c>
      <c r="R110" s="233">
        <v>14135.734319686901</v>
      </c>
      <c r="S110" s="233">
        <v>14789.6925913258</v>
      </c>
      <c r="T110" s="233">
        <v>14789.6925913258</v>
      </c>
      <c r="U110" s="233">
        <v>14994.830272469701</v>
      </c>
      <c r="V110" s="233">
        <v>14994.830272469701</v>
      </c>
      <c r="W110" s="233">
        <v>15206.151348948501</v>
      </c>
      <c r="X110" s="233">
        <v>15206.151348948501</v>
      </c>
      <c r="Y110" s="233">
        <v>15206.151348948501</v>
      </c>
      <c r="Z110" s="233">
        <v>15206.151348948501</v>
      </c>
      <c r="AA110" s="204">
        <v>15681.289781716399</v>
      </c>
      <c r="AB110" s="204">
        <v>16078.9131930848</v>
      </c>
      <c r="AC110" s="204">
        <v>16078.9131930848</v>
      </c>
      <c r="AD110" s="204">
        <v>16078.9131930848</v>
      </c>
      <c r="AE110" s="204">
        <v>16493.555643081701</v>
      </c>
      <c r="AF110" s="204">
        <v>16764.199612543001</v>
      </c>
      <c r="AG110" s="204">
        <v>17246.533076547399</v>
      </c>
      <c r="AH110" s="204">
        <v>17544.432369768601</v>
      </c>
      <c r="AI110" s="204">
        <v>17627.2569290311</v>
      </c>
      <c r="AJ110" s="204">
        <v>18512.950597051498</v>
      </c>
      <c r="AK110" s="204">
        <v>18512.950597051498</v>
      </c>
      <c r="AL110" s="204">
        <v>18583.681978806399</v>
      </c>
      <c r="AM110" s="204">
        <v>19327.4206289701</v>
      </c>
      <c r="AN110" s="204">
        <v>20492.4408110564</v>
      </c>
      <c r="AO110" s="204">
        <v>20492.4408110564</v>
      </c>
      <c r="AP110" s="204">
        <v>20492.4408110564</v>
      </c>
      <c r="AQ110" s="204">
        <v>20492.4408110564</v>
      </c>
      <c r="AR110" s="204">
        <v>20492.4408110564</v>
      </c>
      <c r="AS110" s="204">
        <v>20492.4408110564</v>
      </c>
      <c r="AT110" s="204">
        <v>20492.4408110564</v>
      </c>
      <c r="AU110" s="204">
        <v>20492.4408110564</v>
      </c>
      <c r="AV110" s="200" t="s">
        <v>76</v>
      </c>
      <c r="AW110" s="184"/>
      <c r="AX110" s="184"/>
      <c r="AY110" s="184"/>
    </row>
    <row r="111" spans="1:51" ht="22">
      <c r="A111" s="284"/>
      <c r="B111" s="201" t="s">
        <v>77</v>
      </c>
      <c r="C111" s="233">
        <v>12843.3564860567</v>
      </c>
      <c r="D111" s="233">
        <v>12893.1090914751</v>
      </c>
      <c r="E111" s="233">
        <v>12780.8849036747</v>
      </c>
      <c r="F111" s="233">
        <v>13330.1910939757</v>
      </c>
      <c r="G111" s="233">
        <v>12567.1553048974</v>
      </c>
      <c r="H111" s="233">
        <v>12587.396353661999</v>
      </c>
      <c r="I111" s="233">
        <v>13113.310303636899</v>
      </c>
      <c r="J111" s="233">
        <v>12798.3766118608</v>
      </c>
      <c r="K111" s="233">
        <v>12583.036959025299</v>
      </c>
      <c r="L111" s="233">
        <v>12316.417978928501</v>
      </c>
      <c r="M111" s="233">
        <v>12859.593516465</v>
      </c>
      <c r="N111" s="233">
        <v>13005.232448692699</v>
      </c>
      <c r="O111" s="233">
        <v>12980.7194020479</v>
      </c>
      <c r="P111" s="233">
        <v>13114.8256266117</v>
      </c>
      <c r="Q111" s="233">
        <v>13540.923621231899</v>
      </c>
      <c r="R111" s="233">
        <v>14135.734319686901</v>
      </c>
      <c r="S111" s="233">
        <v>14789.6925913258</v>
      </c>
      <c r="T111" s="233">
        <v>14111.0427089604</v>
      </c>
      <c r="U111" s="233">
        <v>14994.830272469701</v>
      </c>
      <c r="V111" s="233">
        <v>14808.990366333201</v>
      </c>
      <c r="W111" s="233">
        <v>15206.151348948501</v>
      </c>
      <c r="X111" s="233">
        <v>14616.1032807434</v>
      </c>
      <c r="Y111" s="233">
        <v>14762.6725335262</v>
      </c>
      <c r="Z111" s="233">
        <v>14716.6306136847</v>
      </c>
      <c r="AA111" s="204">
        <v>15681.289781716399</v>
      </c>
      <c r="AB111" s="204">
        <v>16078.9131930848</v>
      </c>
      <c r="AC111" s="204">
        <v>15889.165399129701</v>
      </c>
      <c r="AD111" s="204">
        <v>15751.1592869174</v>
      </c>
      <c r="AE111" s="204">
        <v>16493.555643081701</v>
      </c>
      <c r="AF111" s="204">
        <v>16764.199612543001</v>
      </c>
      <c r="AG111" s="204">
        <v>17246.533076547399</v>
      </c>
      <c r="AH111" s="204">
        <v>17544.432369768601</v>
      </c>
      <c r="AI111" s="204">
        <v>17627.2569290311</v>
      </c>
      <c r="AJ111" s="204">
        <v>18512.950597051498</v>
      </c>
      <c r="AK111" s="204">
        <v>17972.582015931599</v>
      </c>
      <c r="AL111" s="204">
        <v>18583.681978806399</v>
      </c>
      <c r="AM111" s="204">
        <v>19327.4206289701</v>
      </c>
      <c r="AN111" s="204">
        <v>20492.4408110564</v>
      </c>
      <c r="AO111" s="204">
        <v>18670.518721997702</v>
      </c>
      <c r="AP111" s="204">
        <v>19674.583621370599</v>
      </c>
      <c r="AQ111" s="204">
        <v>19305.919559382499</v>
      </c>
      <c r="AR111" s="204">
        <v>19354.245528777399</v>
      </c>
      <c r="AS111" s="204">
        <v>19796</v>
      </c>
      <c r="AT111" s="204">
        <v>19796</v>
      </c>
      <c r="AU111" s="204">
        <v>19796</v>
      </c>
      <c r="AV111" s="201" t="s">
        <v>77</v>
      </c>
      <c r="AW111" s="184"/>
      <c r="AX111" s="184"/>
      <c r="AY111" s="184"/>
    </row>
    <row r="112" spans="1:51" ht="22">
      <c r="A112" s="284"/>
      <c r="B112" s="201" t="s">
        <v>78</v>
      </c>
      <c r="C112" s="230">
        <f t="shared" ref="C112:Z112" si="134">+(C111-C110)/C110</f>
        <v>-7.6367245323666816E-2</v>
      </c>
      <c r="D112" s="230">
        <f t="shared" si="134"/>
        <v>-7.2789275963024203E-2</v>
      </c>
      <c r="E112" s="230">
        <f t="shared" si="134"/>
        <v>-8.0859902658773811E-2</v>
      </c>
      <c r="F112" s="230">
        <f t="shared" si="134"/>
        <v>-4.1356429383755423E-2</v>
      </c>
      <c r="G112" s="230">
        <f t="shared" si="134"/>
        <v>-9.6230312900742798E-2</v>
      </c>
      <c r="H112" s="230">
        <f t="shared" si="134"/>
        <v>-9.4774673508635179E-2</v>
      </c>
      <c r="I112" s="230">
        <f t="shared" si="134"/>
        <v>-5.6953458247236764E-2</v>
      </c>
      <c r="J112" s="230">
        <f t="shared" si="134"/>
        <v>-7.9601982687973194E-2</v>
      </c>
      <c r="K112" s="230">
        <f t="shared" si="134"/>
        <v>-9.5088180315161017E-2</v>
      </c>
      <c r="L112" s="230">
        <f t="shared" si="134"/>
        <v>-0.11426214183395471</v>
      </c>
      <c r="M112" s="230">
        <f t="shared" si="134"/>
        <v>-7.5199555776151505E-2</v>
      </c>
      <c r="N112" s="230">
        <f t="shared" si="134"/>
        <v>-6.4725900520406887E-2</v>
      </c>
      <c r="O112" s="230">
        <f t="shared" si="134"/>
        <v>-6.648876156242696E-2</v>
      </c>
      <c r="P112" s="230">
        <f t="shared" si="134"/>
        <v>-5.6844483468333803E-2</v>
      </c>
      <c r="Q112" s="230">
        <f t="shared" si="134"/>
        <v>-2.6201554187317653E-2</v>
      </c>
      <c r="R112" s="230">
        <f t="shared" si="134"/>
        <v>0</v>
      </c>
      <c r="S112" s="230">
        <f t="shared" si="134"/>
        <v>0</v>
      </c>
      <c r="T112" s="230">
        <f t="shared" si="134"/>
        <v>-4.5886679400181068E-2</v>
      </c>
      <c r="U112" s="230">
        <f t="shared" si="134"/>
        <v>0</v>
      </c>
      <c r="V112" s="230">
        <f t="shared" si="134"/>
        <v>-1.2393598510928085E-2</v>
      </c>
      <c r="W112" s="230">
        <f t="shared" si="134"/>
        <v>0</v>
      </c>
      <c r="X112" s="230">
        <f t="shared" si="134"/>
        <v>-3.8803248413406183E-2</v>
      </c>
      <c r="Y112" s="230">
        <f t="shared" si="134"/>
        <v>-2.9164435184512814E-2</v>
      </c>
      <c r="Z112" s="230">
        <f t="shared" si="134"/>
        <v>-3.2192283506217438E-2</v>
      </c>
      <c r="AA112" s="230">
        <f t="shared" ref="AA112:AR112" si="135">+(AA111-AA110)/AA110</f>
        <v>0</v>
      </c>
      <c r="AB112" s="205">
        <f t="shared" si="135"/>
        <v>0</v>
      </c>
      <c r="AC112" s="205">
        <f t="shared" si="135"/>
        <v>-1.1801033544773756E-2</v>
      </c>
      <c r="AD112" s="205">
        <f t="shared" si="135"/>
        <v>-2.0384083316549013E-2</v>
      </c>
      <c r="AE112" s="205">
        <f t="shared" si="135"/>
        <v>0</v>
      </c>
      <c r="AF112" s="205">
        <f t="shared" si="135"/>
        <v>0</v>
      </c>
      <c r="AG112" s="205">
        <f t="shared" si="135"/>
        <v>0</v>
      </c>
      <c r="AH112" s="205">
        <f t="shared" si="135"/>
        <v>0</v>
      </c>
      <c r="AI112" s="205">
        <f t="shared" si="135"/>
        <v>0</v>
      </c>
      <c r="AJ112" s="205">
        <f t="shared" si="135"/>
        <v>0</v>
      </c>
      <c r="AK112" s="205">
        <f t="shared" si="135"/>
        <v>-2.9188679475326974E-2</v>
      </c>
      <c r="AL112" s="205">
        <f t="shared" si="135"/>
        <v>0</v>
      </c>
      <c r="AM112" s="205">
        <f t="shared" si="135"/>
        <v>0</v>
      </c>
      <c r="AN112" s="205">
        <f t="shared" si="135"/>
        <v>0</v>
      </c>
      <c r="AO112" s="205">
        <f t="shared" si="135"/>
        <v>-8.8907031907868528E-2</v>
      </c>
      <c r="AP112" s="205">
        <f t="shared" si="135"/>
        <v>-3.9910189187641235E-2</v>
      </c>
      <c r="AQ112" s="205">
        <f t="shared" si="135"/>
        <v>-5.7900435707674745E-2</v>
      </c>
      <c r="AR112" s="205">
        <f t="shared" si="135"/>
        <v>-5.5542201769586373E-2</v>
      </c>
      <c r="AS112" s="205">
        <f t="shared" ref="AS112:AT112" si="136">+(AS111-AS110)/AS110</f>
        <v>-3.3985254244611282E-2</v>
      </c>
      <c r="AT112" s="205">
        <f t="shared" si="136"/>
        <v>-3.3985254244611282E-2</v>
      </c>
      <c r="AU112" s="205">
        <f t="shared" ref="AU112" si="137">+(AU111-AU110)/AU110</f>
        <v>-3.3985254244611282E-2</v>
      </c>
      <c r="AV112" s="201" t="s">
        <v>78</v>
      </c>
      <c r="AW112" s="184"/>
      <c r="AX112" s="184"/>
      <c r="AY112" s="184"/>
    </row>
    <row r="113" spans="1:51" ht="44">
      <c r="A113" s="284"/>
      <c r="B113" s="201" t="s">
        <v>89</v>
      </c>
      <c r="C113" s="233">
        <v>7903.5</v>
      </c>
      <c r="D113" s="233">
        <v>8047.10009765625</v>
      </c>
      <c r="E113" s="233">
        <v>8047.10009765625</v>
      </c>
      <c r="F113" s="233">
        <v>8047.10009765625</v>
      </c>
      <c r="G113" s="233">
        <v>8047.10009765625</v>
      </c>
      <c r="H113" s="233">
        <v>8047.10009765625</v>
      </c>
      <c r="I113" s="233">
        <v>8047.10009765625</v>
      </c>
      <c r="J113" s="233">
        <v>8047.10009765625</v>
      </c>
      <c r="K113" s="233">
        <v>8047.10009765625</v>
      </c>
      <c r="L113" s="233">
        <v>8047.10009765625</v>
      </c>
      <c r="M113" s="233">
        <v>8047.10009765625</v>
      </c>
      <c r="N113" s="233">
        <v>8047.10009765625</v>
      </c>
      <c r="O113" s="233">
        <v>8047.10009765625</v>
      </c>
      <c r="P113" s="233">
        <v>8047.10009765625</v>
      </c>
      <c r="Q113" s="233">
        <v>8047.10009765625</v>
      </c>
      <c r="R113" s="233">
        <v>8200</v>
      </c>
      <c r="S113" s="233">
        <v>8474.400390625</v>
      </c>
      <c r="T113" s="233">
        <v>8474.400390625</v>
      </c>
      <c r="U113" s="233">
        <v>8474.400390625</v>
      </c>
      <c r="V113" s="233">
        <v>8474.400390625</v>
      </c>
      <c r="W113" s="233">
        <v>8474.400390625</v>
      </c>
      <c r="X113" s="233">
        <v>8474.400390625</v>
      </c>
      <c r="Y113" s="233">
        <v>8474.400390625</v>
      </c>
      <c r="Z113" s="233">
        <v>8474.400390625</v>
      </c>
      <c r="AA113" s="231">
        <v>8692.7998046875</v>
      </c>
      <c r="AB113" s="203">
        <v>8820.900390625</v>
      </c>
      <c r="AC113" s="203">
        <v>8820.900390625</v>
      </c>
      <c r="AD113" s="203">
        <v>8820.900390625</v>
      </c>
      <c r="AE113" s="203">
        <v>8824</v>
      </c>
      <c r="AF113" s="203">
        <v>8824</v>
      </c>
      <c r="AG113" s="203">
        <v>9190.7001953125</v>
      </c>
      <c r="AH113" s="203">
        <v>9357.5</v>
      </c>
      <c r="AI113" s="203">
        <v>9363.599609375</v>
      </c>
      <c r="AJ113" s="203">
        <v>9787.599609375</v>
      </c>
      <c r="AK113" s="203">
        <v>9930.099609375</v>
      </c>
      <c r="AL113" s="203">
        <v>9954.2998046875</v>
      </c>
      <c r="AM113" s="203">
        <v>10277.7001953125</v>
      </c>
      <c r="AN113" s="203">
        <v>10934.900390625</v>
      </c>
      <c r="AO113" s="203">
        <v>10934.900390625</v>
      </c>
      <c r="AP113" s="203">
        <v>10934.900390625</v>
      </c>
      <c r="AQ113" s="203">
        <v>10934.900390625</v>
      </c>
      <c r="AR113" s="203">
        <v>10934.900390625</v>
      </c>
      <c r="AS113" s="203">
        <v>10934.900390625</v>
      </c>
      <c r="AT113" s="203">
        <v>10934.900390625</v>
      </c>
      <c r="AU113" s="203">
        <v>10934.900390625</v>
      </c>
      <c r="AV113" s="201" t="s">
        <v>89</v>
      </c>
      <c r="AW113" s="184"/>
      <c r="AX113" s="184"/>
      <c r="AY113" s="184"/>
    </row>
    <row r="114" spans="1:51" ht="44">
      <c r="A114" s="284"/>
      <c r="B114" s="201" t="s">
        <v>90</v>
      </c>
      <c r="C114" s="233">
        <v>7771.7001953125</v>
      </c>
      <c r="D114" s="233">
        <v>8047.10009765625</v>
      </c>
      <c r="E114" s="233">
        <v>7631.7001953125</v>
      </c>
      <c r="F114" s="233">
        <v>7870.60009765625</v>
      </c>
      <c r="G114" s="233">
        <v>7446.10009765625</v>
      </c>
      <c r="H114" s="233">
        <v>7531.5</v>
      </c>
      <c r="I114" s="233">
        <v>7699.39990234375</v>
      </c>
      <c r="J114" s="233">
        <v>7439.10009765625</v>
      </c>
      <c r="K114" s="233">
        <v>7608.10009765625</v>
      </c>
      <c r="L114" s="233">
        <v>7321.7001953125</v>
      </c>
      <c r="M114" s="233">
        <v>7453.7998046875</v>
      </c>
      <c r="N114" s="233">
        <v>7733.2001953125</v>
      </c>
      <c r="O114" s="233">
        <v>7630.60009765625</v>
      </c>
      <c r="P114" s="233">
        <v>7630</v>
      </c>
      <c r="Q114" s="233">
        <v>7952.60009765625</v>
      </c>
      <c r="R114" s="233">
        <v>8200</v>
      </c>
      <c r="S114" s="233">
        <v>8474.400390625</v>
      </c>
      <c r="T114" s="233">
        <v>8164.10009765625</v>
      </c>
      <c r="U114" s="233">
        <v>8368</v>
      </c>
      <c r="V114" s="233">
        <v>8376.599609375</v>
      </c>
      <c r="W114" s="233">
        <v>8237</v>
      </c>
      <c r="X114" s="233">
        <v>8110.10009765625</v>
      </c>
      <c r="Y114" s="233">
        <v>8287.2998046875</v>
      </c>
      <c r="Z114" s="233">
        <v>8173</v>
      </c>
      <c r="AA114" s="231">
        <v>8692.7998046875</v>
      </c>
      <c r="AB114" s="203">
        <v>8820.900390625</v>
      </c>
      <c r="AC114" s="203">
        <v>8582.7998046875</v>
      </c>
      <c r="AD114" s="203">
        <v>8494.900390625</v>
      </c>
      <c r="AE114" s="203">
        <v>8824</v>
      </c>
      <c r="AF114" s="203">
        <v>8761</v>
      </c>
      <c r="AG114" s="203">
        <v>9190.7001953125</v>
      </c>
      <c r="AH114" s="203">
        <v>9357.5</v>
      </c>
      <c r="AI114" s="203">
        <v>9363.599609375</v>
      </c>
      <c r="AJ114" s="203">
        <v>9787.599609375</v>
      </c>
      <c r="AK114" s="203">
        <v>9930.099609375</v>
      </c>
      <c r="AL114" s="203">
        <v>9954.2998046875</v>
      </c>
      <c r="AM114" s="203">
        <v>10277.7001953125</v>
      </c>
      <c r="AN114" s="203">
        <v>10934.900390625</v>
      </c>
      <c r="AO114" s="203">
        <v>10176.5</v>
      </c>
      <c r="AP114" s="203">
        <v>10378.7998046875</v>
      </c>
      <c r="AQ114" s="203">
        <v>10409.2998046875</v>
      </c>
      <c r="AR114" s="203">
        <v>10497</v>
      </c>
      <c r="AS114" s="203">
        <v>10515</v>
      </c>
      <c r="AT114" s="203">
        <v>10515</v>
      </c>
      <c r="AU114" s="203">
        <v>10515</v>
      </c>
      <c r="AV114" s="201" t="s">
        <v>90</v>
      </c>
      <c r="AW114" s="184"/>
      <c r="AX114" s="184"/>
      <c r="AY114" s="184"/>
    </row>
    <row r="115" spans="1:51" ht="44">
      <c r="A115" s="284"/>
      <c r="B115" s="201" t="s">
        <v>79</v>
      </c>
      <c r="C115" s="230">
        <f t="shared" ref="C115:Z115" si="138">+(C114-C113)/C113</f>
        <v>-1.6676131421205796E-2</v>
      </c>
      <c r="D115" s="230">
        <f t="shared" si="138"/>
        <v>0</v>
      </c>
      <c r="E115" s="230">
        <f t="shared" si="138"/>
        <v>-5.162106812424725E-2</v>
      </c>
      <c r="F115" s="230">
        <f t="shared" si="138"/>
        <v>-2.1933367033846931E-2</v>
      </c>
      <c r="G115" s="230">
        <f t="shared" si="138"/>
        <v>-7.4685289446696904E-2</v>
      </c>
      <c r="H115" s="230">
        <f t="shared" si="138"/>
        <v>-6.407278291547791E-2</v>
      </c>
      <c r="I115" s="230">
        <f t="shared" si="138"/>
        <v>-4.3208135986001851E-2</v>
      </c>
      <c r="J115" s="230">
        <f t="shared" si="138"/>
        <v>-7.5555168025942962E-2</v>
      </c>
      <c r="K115" s="230">
        <f t="shared" si="138"/>
        <v>-5.455381375557395E-2</v>
      </c>
      <c r="L115" s="230">
        <f t="shared" si="138"/>
        <v>-9.0144262348001061E-2</v>
      </c>
      <c r="M115" s="230">
        <f t="shared" si="138"/>
        <v>-7.372845941627483E-2</v>
      </c>
      <c r="N115" s="230">
        <f t="shared" si="138"/>
        <v>-3.9007828725179473E-2</v>
      </c>
      <c r="O115" s="230">
        <f t="shared" si="138"/>
        <v>-5.1757775465140203E-2</v>
      </c>
      <c r="P115" s="230">
        <f t="shared" si="138"/>
        <v>-5.1832348621801298E-2</v>
      </c>
      <c r="Q115" s="230">
        <f t="shared" si="138"/>
        <v>-1.1743360819821727E-2</v>
      </c>
      <c r="R115" s="230">
        <f t="shared" si="138"/>
        <v>0</v>
      </c>
      <c r="S115" s="230">
        <f t="shared" si="138"/>
        <v>0</v>
      </c>
      <c r="T115" s="230">
        <f t="shared" si="138"/>
        <v>-3.6616194499380375E-2</v>
      </c>
      <c r="U115" s="230">
        <f t="shared" si="138"/>
        <v>-1.2555506669558342E-2</v>
      </c>
      <c r="V115" s="230">
        <f t="shared" si="138"/>
        <v>-1.1540731702763816E-2</v>
      </c>
      <c r="W115" s="230">
        <f t="shared" si="138"/>
        <v>-2.8013827490099435E-2</v>
      </c>
      <c r="X115" s="230">
        <f t="shared" si="138"/>
        <v>-4.2988326746015632E-2</v>
      </c>
      <c r="Y115" s="230">
        <f t="shared" si="138"/>
        <v>-2.2078327352161024E-2</v>
      </c>
      <c r="Z115" s="230">
        <f t="shared" si="138"/>
        <v>-3.556598422685233E-2</v>
      </c>
      <c r="AA115" s="230">
        <f>+(AA114-AA113)/AA113</f>
        <v>0</v>
      </c>
      <c r="AB115" s="205">
        <f t="shared" ref="AB115:AP115" si="139">+(AB114-AB113)/AB113</f>
        <v>0</v>
      </c>
      <c r="AC115" s="205">
        <f t="shared" si="139"/>
        <v>-2.6992775725090068E-2</v>
      </c>
      <c r="AD115" s="205">
        <f t="shared" si="139"/>
        <v>-3.6957678418688217E-2</v>
      </c>
      <c r="AE115" s="205">
        <f t="shared" si="139"/>
        <v>0</v>
      </c>
      <c r="AF115" s="205">
        <f t="shared" si="139"/>
        <v>-7.1396192203082506E-3</v>
      </c>
      <c r="AG115" s="205">
        <f t="shared" si="139"/>
        <v>0</v>
      </c>
      <c r="AH115" s="205">
        <f t="shared" si="139"/>
        <v>0</v>
      </c>
      <c r="AI115" s="205">
        <f t="shared" si="139"/>
        <v>0</v>
      </c>
      <c r="AJ115" s="205">
        <f t="shared" si="139"/>
        <v>0</v>
      </c>
      <c r="AK115" s="205">
        <f t="shared" si="139"/>
        <v>0</v>
      </c>
      <c r="AL115" s="205">
        <f t="shared" si="139"/>
        <v>0</v>
      </c>
      <c r="AM115" s="205">
        <f t="shared" si="139"/>
        <v>0</v>
      </c>
      <c r="AN115" s="205">
        <f t="shared" si="139"/>
        <v>0</v>
      </c>
      <c r="AO115" s="205">
        <f t="shared" si="139"/>
        <v>-6.9355948708523407E-2</v>
      </c>
      <c r="AP115" s="205">
        <f t="shared" si="139"/>
        <v>-5.0855569421946537E-2</v>
      </c>
      <c r="AQ115" s="205">
        <f>+(AQ114-AQ113)/AQ113</f>
        <v>-4.8066335052134715E-2</v>
      </c>
      <c r="AR115" s="205">
        <f>+(AR114-AR113)/AR113</f>
        <v>-4.0046125248697502E-2</v>
      </c>
      <c r="AS115" s="205">
        <f>+(AS114-AS113)/AS113</f>
        <v>-3.8400019718972493E-2</v>
      </c>
      <c r="AT115" s="205">
        <f>+(AT114-AT113)/AT113</f>
        <v>-3.8400019718972493E-2</v>
      </c>
      <c r="AU115" s="205">
        <f>+(AU114-AU113)/AU113</f>
        <v>-3.8400019718972493E-2</v>
      </c>
      <c r="AV115" s="201" t="s">
        <v>79</v>
      </c>
      <c r="AW115" s="184"/>
      <c r="AX115" s="184"/>
      <c r="AY115" s="184"/>
    </row>
    <row r="116" spans="1:51" ht="22">
      <c r="A116" s="284"/>
      <c r="B116" s="201" t="s">
        <v>80</v>
      </c>
      <c r="C116" s="230">
        <f t="shared" ref="C116:Z116" si="140">+C112-C115</f>
        <v>-5.969111390246102E-2</v>
      </c>
      <c r="D116" s="230">
        <f t="shared" si="140"/>
        <v>-7.2789275963024203E-2</v>
      </c>
      <c r="E116" s="230">
        <f t="shared" si="140"/>
        <v>-2.923883453452656E-2</v>
      </c>
      <c r="F116" s="230">
        <f t="shared" si="140"/>
        <v>-1.9423062349908492E-2</v>
      </c>
      <c r="G116" s="230">
        <f t="shared" si="140"/>
        <v>-2.1545023454045895E-2</v>
      </c>
      <c r="H116" s="230">
        <f t="shared" si="140"/>
        <v>-3.0701890593157269E-2</v>
      </c>
      <c r="I116" s="230">
        <f t="shared" si="140"/>
        <v>-1.3745322261234913E-2</v>
      </c>
      <c r="J116" s="230">
        <f t="shared" si="140"/>
        <v>-4.046814662030232E-3</v>
      </c>
      <c r="K116" s="230">
        <f t="shared" si="140"/>
        <v>-4.0534366559587066E-2</v>
      </c>
      <c r="L116" s="230">
        <f t="shared" si="140"/>
        <v>-2.4117879485953647E-2</v>
      </c>
      <c r="M116" s="230">
        <f t="shared" si="140"/>
        <v>-1.4710963598766752E-3</v>
      </c>
      <c r="N116" s="230">
        <f t="shared" si="140"/>
        <v>-2.5718071795227414E-2</v>
      </c>
      <c r="O116" s="230">
        <f t="shared" si="140"/>
        <v>-1.4730986097286757E-2</v>
      </c>
      <c r="P116" s="230">
        <f t="shared" si="140"/>
        <v>-5.0121348465325052E-3</v>
      </c>
      <c r="Q116" s="230">
        <f t="shared" si="140"/>
        <v>-1.4458193367495925E-2</v>
      </c>
      <c r="R116" s="230">
        <f t="shared" si="140"/>
        <v>0</v>
      </c>
      <c r="S116" s="230">
        <f t="shared" si="140"/>
        <v>0</v>
      </c>
      <c r="T116" s="230">
        <f t="shared" si="140"/>
        <v>-9.2704849008006934E-3</v>
      </c>
      <c r="U116" s="230">
        <f t="shared" si="140"/>
        <v>1.2555506669558342E-2</v>
      </c>
      <c r="V116" s="230">
        <f t="shared" si="140"/>
        <v>-8.5286680816426888E-4</v>
      </c>
      <c r="W116" s="230">
        <f t="shared" si="140"/>
        <v>2.8013827490099435E-2</v>
      </c>
      <c r="X116" s="230">
        <f t="shared" si="140"/>
        <v>4.1850783326094487E-3</v>
      </c>
      <c r="Y116" s="230">
        <f t="shared" si="140"/>
        <v>-7.0861078323517894E-3</v>
      </c>
      <c r="Z116" s="230">
        <f t="shared" si="140"/>
        <v>3.3737007206348923E-3</v>
      </c>
      <c r="AA116" s="230">
        <f t="shared" ref="AA116:AR116" si="141">+AA112-AA115</f>
        <v>0</v>
      </c>
      <c r="AB116" s="205">
        <f t="shared" si="141"/>
        <v>0</v>
      </c>
      <c r="AC116" s="205">
        <f t="shared" si="141"/>
        <v>1.5191742180316312E-2</v>
      </c>
      <c r="AD116" s="205">
        <f t="shared" si="141"/>
        <v>1.6573595102139203E-2</v>
      </c>
      <c r="AE116" s="205">
        <f t="shared" si="141"/>
        <v>0</v>
      </c>
      <c r="AF116" s="205">
        <f t="shared" si="141"/>
        <v>7.1396192203082506E-3</v>
      </c>
      <c r="AG116" s="205">
        <f t="shared" si="141"/>
        <v>0</v>
      </c>
      <c r="AH116" s="205">
        <f t="shared" si="141"/>
        <v>0</v>
      </c>
      <c r="AI116" s="205">
        <f t="shared" si="141"/>
        <v>0</v>
      </c>
      <c r="AJ116" s="205">
        <f t="shared" si="141"/>
        <v>0</v>
      </c>
      <c r="AK116" s="205">
        <f t="shared" si="141"/>
        <v>-2.9188679475326974E-2</v>
      </c>
      <c r="AL116" s="205">
        <f t="shared" si="141"/>
        <v>0</v>
      </c>
      <c r="AM116" s="205">
        <f t="shared" si="141"/>
        <v>0</v>
      </c>
      <c r="AN116" s="205">
        <f t="shared" si="141"/>
        <v>0</v>
      </c>
      <c r="AO116" s="205">
        <f t="shared" si="141"/>
        <v>-1.9551083199345121E-2</v>
      </c>
      <c r="AP116" s="205">
        <f t="shared" si="141"/>
        <v>1.0945380234305302E-2</v>
      </c>
      <c r="AQ116" s="205">
        <f t="shared" si="141"/>
        <v>-9.8341006555400304E-3</v>
      </c>
      <c r="AR116" s="205">
        <f t="shared" si="141"/>
        <v>-1.5496076520888871E-2</v>
      </c>
      <c r="AS116" s="205">
        <f t="shared" ref="AS116:AT116" si="142">+AS112-AS115</f>
        <v>4.4147654743612111E-3</v>
      </c>
      <c r="AT116" s="205">
        <f t="shared" si="142"/>
        <v>4.4147654743612111E-3</v>
      </c>
      <c r="AU116" s="205">
        <f t="shared" ref="AU116" si="143">+AU112-AU115</f>
        <v>4.4147654743612111E-3</v>
      </c>
      <c r="AV116" s="201" t="s">
        <v>80</v>
      </c>
      <c r="AW116" s="184"/>
      <c r="AX116" s="184"/>
      <c r="AY116" s="184"/>
    </row>
    <row r="117" spans="1:51" ht="22">
      <c r="A117" s="285"/>
      <c r="B117" s="206" t="s">
        <v>25</v>
      </c>
      <c r="C117" s="232" cm="1">
        <f t="array" ref="C117">_xlfn.XLOOKUP(MIN(ABS($BJ$7:$BJ$29 - MEDIAN(MIN($BJ$7:$BJ$29), MAX($BJ$7:$BJ$29), C116))), ABS($BJ$7:$BJ$29 - MEDIAN(MIN($BJ$7:$BJ$29), MAX($BJ$7:$BJ$29), C116)), $BK$7:$BK$29, "Error", 0)</f>
        <v>-5</v>
      </c>
      <c r="D117" s="232" cm="1">
        <f t="array" ref="D117">_xlfn.XLOOKUP(MIN(ABS($BJ$7:$BJ$29 - MEDIAN(MIN($BJ$7:$BJ$29), MAX($BJ$7:$BJ$29), D116))), ABS($BJ$7:$BJ$29 - MEDIAN(MIN($BJ$7:$BJ$29), MAX($BJ$7:$BJ$29), D116)), $BK$7:$BK$29, "Error", 0)</f>
        <v>-7</v>
      </c>
      <c r="E117" s="232" cm="1">
        <f t="array" ref="E117">_xlfn.XLOOKUP(MIN(ABS($BJ$7:$BJ$29 - MEDIAN(MIN($BJ$7:$BJ$29), MAX($BJ$7:$BJ$29), E116))), ABS($BJ$7:$BJ$29 - MEDIAN(MIN($BJ$7:$BJ$29), MAX($BJ$7:$BJ$29), E116)), $BK$7:$BK$29, "Error", 0)</f>
        <v>-2</v>
      </c>
      <c r="F117" s="232" cm="1">
        <f t="array" ref="F117">_xlfn.XLOOKUP(MIN(ABS($BJ$7:$BJ$29 - MEDIAN(MIN($BJ$7:$BJ$29), MAX($BJ$7:$BJ$29), F116))), ABS($BJ$7:$BJ$29 - MEDIAN(MIN($BJ$7:$BJ$29), MAX($BJ$7:$BJ$29), F116)), $BK$7:$BK$29, "Error", 0)</f>
        <v>-2</v>
      </c>
      <c r="G117" s="232" cm="1">
        <f t="array" ref="G117">_xlfn.XLOOKUP(MIN(ABS($BJ$7:$BJ$29 - MEDIAN(MIN($BJ$7:$BJ$29), MAX($BJ$7:$BJ$29), G116))), ABS($BJ$7:$BJ$29 - MEDIAN(MIN($BJ$7:$BJ$29), MAX($BJ$7:$BJ$29), G116)), $BK$7:$BK$29, "Error", 0)</f>
        <v>-2</v>
      </c>
      <c r="H117" s="232" cm="1">
        <f t="array" ref="H117">_xlfn.XLOOKUP(MIN(ABS($BJ$7:$BJ$29 - MEDIAN(MIN($BJ$7:$BJ$29), MAX($BJ$7:$BJ$29), H116))), ABS($BJ$7:$BJ$29 - MEDIAN(MIN($BJ$7:$BJ$29), MAX($BJ$7:$BJ$29), H116)), $BK$7:$BK$29, "Error", 0)</f>
        <v>-3</v>
      </c>
      <c r="I117" s="232" cm="1">
        <f t="array" ref="I117">_xlfn.XLOOKUP(MIN(ABS($BJ$7:$BJ$29 - MEDIAN(MIN($BJ$7:$BJ$29), MAX($BJ$7:$BJ$29), I116))), ABS($BJ$7:$BJ$29 - MEDIAN(MIN($BJ$7:$BJ$29), MAX($BJ$7:$BJ$29), I116)), $BK$7:$BK$29, "Error", 0)</f>
        <v>-2</v>
      </c>
      <c r="J117" s="232" cm="1">
        <f t="array" ref="J117">_xlfn.XLOOKUP(MIN(ABS($BJ$7:$BJ$29 - MEDIAN(MIN($BJ$7:$BJ$29), MAX($BJ$7:$BJ$29), J116))), ABS($BJ$7:$BJ$29 - MEDIAN(MIN($BJ$7:$BJ$29), MAX($BJ$7:$BJ$29), J116)), $BK$7:$BK$29, "Error", 0)</f>
        <v>0</v>
      </c>
      <c r="K117" s="232" cm="1">
        <f t="array" ref="K117">_xlfn.XLOOKUP(MIN(ABS($BJ$7:$BJ$29 - MEDIAN(MIN($BJ$7:$BJ$29), MAX($BJ$7:$BJ$29), K116))), ABS($BJ$7:$BJ$29 - MEDIAN(MIN($BJ$7:$BJ$29), MAX($BJ$7:$BJ$29), K116)), $BK$7:$BK$29, "Error", 0)</f>
        <v>-3</v>
      </c>
      <c r="L117" s="232" cm="1">
        <f t="array" ref="L117">_xlfn.XLOOKUP(MIN(ABS($BJ$7:$BJ$29 - MEDIAN(MIN($BJ$7:$BJ$29), MAX($BJ$7:$BJ$29), L116))), ABS($BJ$7:$BJ$29 - MEDIAN(MIN($BJ$7:$BJ$29), MAX($BJ$7:$BJ$29), L116)), $BK$7:$BK$29, "Error", 0)</f>
        <v>-2</v>
      </c>
      <c r="M117" s="232" cm="1">
        <f t="array" ref="M117">_xlfn.XLOOKUP(MIN(ABS($BJ$7:$BJ$29 - MEDIAN(MIN($BJ$7:$BJ$29), MAX($BJ$7:$BJ$29), M116))), ABS($BJ$7:$BJ$29 - MEDIAN(MIN($BJ$7:$BJ$29), MAX($BJ$7:$BJ$29), M116)), $BK$7:$BK$29, "Error", 0)</f>
        <v>0</v>
      </c>
      <c r="N117" s="232" cm="1">
        <f t="array" ref="N117">_xlfn.XLOOKUP(MIN(ABS($BJ$7:$BJ$29 - MEDIAN(MIN($BJ$7:$BJ$29), MAX($BJ$7:$BJ$29), N116))), ABS($BJ$7:$BJ$29 - MEDIAN(MIN($BJ$7:$BJ$29), MAX($BJ$7:$BJ$29), N116)), $BK$7:$BK$29, "Error", 0)</f>
        <v>-2</v>
      </c>
      <c r="O117" s="232" cm="1">
        <f t="array" ref="O117">_xlfn.XLOOKUP(MIN(ABS($BJ$7:$BJ$29 - MEDIAN(MIN($BJ$7:$BJ$29), MAX($BJ$7:$BJ$29), O116))), ABS($BJ$7:$BJ$29 - MEDIAN(MIN($BJ$7:$BJ$29), MAX($BJ$7:$BJ$29), O116)), $BK$7:$BK$29, "Error", 0)</f>
        <v>-2</v>
      </c>
      <c r="P117" s="232" cm="1">
        <f t="array" ref="P117">_xlfn.XLOOKUP(MIN(ABS($BJ$7:$BJ$29 - MEDIAN(MIN($BJ$7:$BJ$29), MAX($BJ$7:$BJ$29), P116))), ABS($BJ$7:$BJ$29 - MEDIAN(MIN($BJ$7:$BJ$29), MAX($BJ$7:$BJ$29), P116)), $BK$7:$BK$29, "Error", 0)</f>
        <v>0</v>
      </c>
      <c r="Q117" s="232" cm="1">
        <f t="array" ref="Q117">_xlfn.XLOOKUP(MIN(ABS($BJ$7:$BJ$29 - MEDIAN(MIN($BJ$7:$BJ$29), MAX($BJ$7:$BJ$29), Q116))), ABS($BJ$7:$BJ$29 - MEDIAN(MIN($BJ$7:$BJ$29), MAX($BJ$7:$BJ$29), Q116)), $BK$7:$BK$29, "Error", 0)</f>
        <v>-2</v>
      </c>
      <c r="R117" s="232" cm="1">
        <f t="array" ref="R117">_xlfn.XLOOKUP(MIN(ABS($BJ$7:$BJ$29 - MEDIAN(MIN($BJ$7:$BJ$29), MAX($BJ$7:$BJ$29), R116))), ABS($BJ$7:$BJ$29 - MEDIAN(MIN($BJ$7:$BJ$29), MAX($BJ$7:$BJ$29), R116)), $BK$7:$BK$29, "Error", 0)</f>
        <v>0</v>
      </c>
      <c r="S117" s="232" cm="1">
        <f t="array" ref="S117">_xlfn.XLOOKUP(MIN(ABS($BJ$7:$BJ$29 - MEDIAN(MIN($BJ$7:$BJ$29), MAX($BJ$7:$BJ$29), S116))), ABS($BJ$7:$BJ$29 - MEDIAN(MIN($BJ$7:$BJ$29), MAX($BJ$7:$BJ$29), S116)), $BK$7:$BK$29, "Error", 0)</f>
        <v>0</v>
      </c>
      <c r="T117" s="232" cm="1">
        <f t="array" ref="T117">_xlfn.XLOOKUP(MIN(ABS($BJ$7:$BJ$29 - MEDIAN(MIN($BJ$7:$BJ$29), MAX($BJ$7:$BJ$29), T116))), ABS($BJ$7:$BJ$29 - MEDIAN(MIN($BJ$7:$BJ$29), MAX($BJ$7:$BJ$29), T116)), $BK$7:$BK$29, "Error", 0)</f>
        <v>0</v>
      </c>
      <c r="U117" s="232" cm="1">
        <f t="array" ref="U117">_xlfn.XLOOKUP(MIN(ABS($BJ$7:$BJ$29 - MEDIAN(MIN($BJ$7:$BJ$29), MAX($BJ$7:$BJ$29), U116))), ABS($BJ$7:$BJ$29 - MEDIAN(MIN($BJ$7:$BJ$29), MAX($BJ$7:$BJ$29), U116)), $BK$7:$BK$29, "Error", 0)</f>
        <v>2</v>
      </c>
      <c r="V117" s="232" cm="1">
        <f t="array" ref="V117">_xlfn.XLOOKUP(MIN(ABS($BJ$7:$BJ$29 - MEDIAN(MIN($BJ$7:$BJ$29), MAX($BJ$7:$BJ$29), V116))), ABS($BJ$7:$BJ$29 - MEDIAN(MIN($BJ$7:$BJ$29), MAX($BJ$7:$BJ$29), V116)), $BK$7:$BK$29, "Error", 0)</f>
        <v>0</v>
      </c>
      <c r="W117" s="232" cm="1">
        <f t="array" ref="W117">_xlfn.XLOOKUP(MIN(ABS($BJ$7:$BJ$29 - MEDIAN(MIN($BJ$7:$BJ$29), MAX($BJ$7:$BJ$29), W116))), ABS($BJ$7:$BJ$29 - MEDIAN(MIN($BJ$7:$BJ$29), MAX($BJ$7:$BJ$29), W116)), $BK$7:$BK$29, "Error", 0)</f>
        <v>2</v>
      </c>
      <c r="X117" s="232" cm="1">
        <f t="array" ref="X117">_xlfn.XLOOKUP(MIN(ABS($BJ$7:$BJ$29 - MEDIAN(MIN($BJ$7:$BJ$29), MAX($BJ$7:$BJ$29), X116))), ABS($BJ$7:$BJ$29 - MEDIAN(MIN($BJ$7:$BJ$29), MAX($BJ$7:$BJ$29), X116)), $BK$7:$BK$29, "Error", 0)</f>
        <v>0</v>
      </c>
      <c r="Y117" s="232" cm="1">
        <f t="array" ref="Y117">_xlfn.XLOOKUP(MIN(ABS($BJ$7:$BJ$29 - MEDIAN(MIN($BJ$7:$BJ$29), MAX($BJ$7:$BJ$29), Y116))), ABS($BJ$7:$BJ$29 - MEDIAN(MIN($BJ$7:$BJ$29), MAX($BJ$7:$BJ$29), Y116)), $BK$7:$BK$29, "Error", 0)</f>
        <v>0</v>
      </c>
      <c r="Z117" s="232" cm="1">
        <f t="array" ref="Z117">_xlfn.XLOOKUP(MIN(ABS($BJ$7:$BJ$29 - MEDIAN(MIN($BJ$7:$BJ$29), MAX($BJ$7:$BJ$29), Z116))), ABS($BJ$7:$BJ$29 - MEDIAN(MIN($BJ$7:$BJ$29), MAX($BJ$7:$BJ$29), Z116)), $BK$7:$BK$29, "Error", 0)</f>
        <v>0</v>
      </c>
      <c r="AA117" s="232" cm="1">
        <f t="array" ref="AA117">_xlfn.XLOOKUP(MIN(ABS($BJ$7:$BJ$29 - MEDIAN(MIN($BJ$7:$BJ$29), MAX($BJ$7:$BJ$29), AA116))), ABS($BJ$7:$BJ$29 - MEDIAN(MIN($BJ$7:$BJ$29), MAX($BJ$7:$BJ$29), AA116)), $BK$7:$BK$29, "Error", 0)</f>
        <v>0</v>
      </c>
      <c r="AB117" s="171" cm="1">
        <f t="array" ref="AB117">_xlfn.XLOOKUP(MIN(ABS($BJ$7:$BJ$29 - MEDIAN(MIN($BJ$7:$BJ$29), MAX($BJ$7:$BJ$29), AB116))), ABS($BJ$7:$BJ$29 - MEDIAN(MIN($BJ$7:$BJ$29), MAX($BJ$7:$BJ$29), AB116)), $BK$7:$BK$29, "Error", 0)</f>
        <v>0</v>
      </c>
      <c r="AC117" s="171" cm="1">
        <f t="array" ref="AC117">_xlfn.XLOOKUP(MIN(ABS($BJ$7:$BJ$29 - MEDIAN(MIN($BJ$7:$BJ$29), MAX($BJ$7:$BJ$29), AC116))), ABS($BJ$7:$BJ$29 - MEDIAN(MIN($BJ$7:$BJ$29), MAX($BJ$7:$BJ$29), AC116)), $BK$7:$BK$29, "Error", 0)</f>
        <v>2</v>
      </c>
      <c r="AD117" s="171" cm="1">
        <f t="array" ref="AD117">_xlfn.XLOOKUP(MIN(ABS($BJ$7:$BJ$29 - MEDIAN(MIN($BJ$7:$BJ$29), MAX($BJ$7:$BJ$29), AD116))), ABS($BJ$7:$BJ$29 - MEDIAN(MIN($BJ$7:$BJ$29), MAX($BJ$7:$BJ$29), AD116)), $BK$7:$BK$29, "Error", 0)</f>
        <v>2</v>
      </c>
      <c r="AE117" s="171" cm="1">
        <f t="array" ref="AE117">_xlfn.XLOOKUP(MIN(ABS($BJ$7:$BJ$29 - MEDIAN(MIN($BJ$7:$BJ$29), MAX($BJ$7:$BJ$29), AE116))), ABS($BJ$7:$BJ$29 - MEDIAN(MIN($BJ$7:$BJ$29), MAX($BJ$7:$BJ$29), AE116)), $BK$7:$BK$29, "Error", 0)</f>
        <v>0</v>
      </c>
      <c r="AF117" s="171" cm="1">
        <f t="array" ref="AF117">_xlfn.XLOOKUP(MIN(ABS($BJ$7:$BJ$29 - MEDIAN(MIN($BJ$7:$BJ$29), MAX($BJ$7:$BJ$29), AF116))), ABS($BJ$7:$BJ$29 - MEDIAN(MIN($BJ$7:$BJ$29), MAX($BJ$7:$BJ$29), AF116)), $BK$7:$BK$29, "Error", 0)</f>
        <v>0</v>
      </c>
      <c r="AG117" s="171" cm="1">
        <f t="array" ref="AG117">_xlfn.XLOOKUP(MIN(ABS($BJ$7:$BJ$29 - MEDIAN(MIN($BJ$7:$BJ$29), MAX($BJ$7:$BJ$29), AG116))), ABS($BJ$7:$BJ$29 - MEDIAN(MIN($BJ$7:$BJ$29), MAX($BJ$7:$BJ$29), AG116)), $BK$7:$BK$29, "Error", 0)</f>
        <v>0</v>
      </c>
      <c r="AH117" s="171" cm="1">
        <f t="array" ref="AH117">_xlfn.XLOOKUP(MIN(ABS($BJ$7:$BJ$29 - MEDIAN(MIN($BJ$7:$BJ$29), MAX($BJ$7:$BJ$29), AH116))), ABS($BJ$7:$BJ$29 - MEDIAN(MIN($BJ$7:$BJ$29), MAX($BJ$7:$BJ$29), AH116)), $BK$7:$BK$29, "Error", 0)</f>
        <v>0</v>
      </c>
      <c r="AI117" s="171" cm="1">
        <f t="array" ref="AI117">_xlfn.XLOOKUP(MIN(ABS($BJ$7:$BJ$29 - MEDIAN(MIN($BJ$7:$BJ$29), MAX($BJ$7:$BJ$29), AI116))), ABS($BJ$7:$BJ$29 - MEDIAN(MIN($BJ$7:$BJ$29), MAX($BJ$7:$BJ$29), AI116)), $BK$7:$BK$29, "Error", 0)</f>
        <v>0</v>
      </c>
      <c r="AJ117" s="171" cm="1">
        <f t="array" ref="AJ117">_xlfn.XLOOKUP(MIN(ABS($BJ$7:$BJ$29 - MEDIAN(MIN($BJ$7:$BJ$29), MAX($BJ$7:$BJ$29), AJ116))), ABS($BJ$7:$BJ$29 - MEDIAN(MIN($BJ$7:$BJ$29), MAX($BJ$7:$BJ$29), AJ116)), $BK$7:$BK$29, "Error", 0)</f>
        <v>0</v>
      </c>
      <c r="AK117" s="171" cm="1">
        <f t="array" ref="AK117">_xlfn.XLOOKUP(MIN(ABS($BJ$7:$BJ$29 - MEDIAN(MIN($BJ$7:$BJ$29), MAX($BJ$7:$BJ$29), AK116))), ABS($BJ$7:$BJ$29 - MEDIAN(MIN($BJ$7:$BJ$29), MAX($BJ$7:$BJ$29), AK116)), $BK$7:$BK$29, "Error", 0)</f>
        <v>-2</v>
      </c>
      <c r="AL117" s="171" cm="1">
        <f t="array" ref="AL117">_xlfn.XLOOKUP(MIN(ABS($BJ$7:$BJ$29 - MEDIAN(MIN($BJ$7:$BJ$29), MAX($BJ$7:$BJ$29), AL116))), ABS($BJ$7:$BJ$29 - MEDIAN(MIN($BJ$7:$BJ$29), MAX($BJ$7:$BJ$29), AL116)), $BK$7:$BK$29, "Error", 0)</f>
        <v>0</v>
      </c>
      <c r="AM117" s="171" cm="1">
        <f t="array" ref="AM117">_xlfn.XLOOKUP(MIN(ABS($BJ$7:$BJ$29 - MEDIAN(MIN($BJ$7:$BJ$29), MAX($BJ$7:$BJ$29), AM116))), ABS($BJ$7:$BJ$29 - MEDIAN(MIN($BJ$7:$BJ$29), MAX($BJ$7:$BJ$29), AM116)), $BK$7:$BK$29, "Error", 0)</f>
        <v>0</v>
      </c>
      <c r="AN117" s="171" cm="1">
        <f t="array" ref="AN117">_xlfn.XLOOKUP(MIN(ABS($BJ$7:$BJ$29 - MEDIAN(MIN($BJ$7:$BJ$29), MAX($BJ$7:$BJ$29), AN116))), ABS($BJ$7:$BJ$29 - MEDIAN(MIN($BJ$7:$BJ$29), MAX($BJ$7:$BJ$29), AN116)), $BK$7:$BK$29, "Error", 0)</f>
        <v>0</v>
      </c>
      <c r="AO117" s="171" cm="1">
        <f t="array" ref="AO117">_xlfn.XLOOKUP(MIN(ABS($BJ$7:$BJ$29 - MEDIAN(MIN($BJ$7:$BJ$29), MAX($BJ$7:$BJ$29), AO116))), ABS($BJ$7:$BJ$29 - MEDIAN(MIN($BJ$7:$BJ$29), MAX($BJ$7:$BJ$29), AO116)), $BK$7:$BK$29, "Error", 0)</f>
        <v>-2</v>
      </c>
      <c r="AP117" s="171" cm="1">
        <f t="array" ref="AP117">_xlfn.XLOOKUP(MIN(ABS($BJ$7:$BJ$29 - MEDIAN(MIN($BJ$7:$BJ$29), MAX($BJ$7:$BJ$29), AP116))), ABS($BJ$7:$BJ$29 - MEDIAN(MIN($BJ$7:$BJ$29), MAX($BJ$7:$BJ$29), AP116)), $BK$7:$BK$29, "Error", 0)</f>
        <v>2</v>
      </c>
      <c r="AQ117" s="171" cm="1">
        <f t="array" ref="AQ117">_xlfn.XLOOKUP(MIN(ABS($BJ$7:$BJ$29 - MEDIAN(MIN($BJ$7:$BJ$29), MAX($BJ$7:$BJ$29), AQ116))), ABS($BJ$7:$BJ$29 - MEDIAN(MIN($BJ$7:$BJ$29), MAX($BJ$7:$BJ$29), AQ116)), $BK$7:$BK$29, "Error", 0)</f>
        <v>0</v>
      </c>
      <c r="AR117" s="171" cm="1">
        <f t="array" ref="AR117">_xlfn.XLOOKUP(MIN(ABS($BJ$7:$BJ$29 - MEDIAN(MIN($BJ$7:$BJ$29), MAX($BJ$7:$BJ$29), AR116))), ABS($BJ$7:$BJ$29 - MEDIAN(MIN($BJ$7:$BJ$29), MAX($BJ$7:$BJ$29), AR116)), $BK$7:$BK$29, "Error", 0)</f>
        <v>-2</v>
      </c>
      <c r="AS117" s="171" cm="1">
        <f t="array" ref="AS117">_xlfn.XLOOKUP(MIN(ABS($BJ$7:$BJ$29 - MEDIAN(MIN($BJ$7:$BJ$29), MAX($BJ$7:$BJ$29), AS116))), ABS($BJ$7:$BJ$29 - MEDIAN(MIN($BJ$7:$BJ$29), MAX($BJ$7:$BJ$29), AS116)), $BK$7:$BK$29, "Error", 0)</f>
        <v>0</v>
      </c>
      <c r="AT117" s="171" cm="1">
        <f t="array" ref="AT117">_xlfn.XLOOKUP(MIN(ABS($BJ$7:$BJ$29 - MEDIAN(MIN($BJ$7:$BJ$29), MAX($BJ$7:$BJ$29), AT116))), ABS($BJ$7:$BJ$29 - MEDIAN(MIN($BJ$7:$BJ$29), MAX($BJ$7:$BJ$29), AT116)), $BK$7:$BK$29, "Error", 0)</f>
        <v>0</v>
      </c>
      <c r="AU117" s="171" cm="1">
        <f t="array" ref="AU117">_xlfn.XLOOKUP(MIN(ABS($BJ$7:$BJ$29 - MEDIAN(MIN($BJ$7:$BJ$29), MAX($BJ$7:$BJ$29), AU116))), ABS($BJ$7:$BJ$29 - MEDIAN(MIN($BJ$7:$BJ$29), MAX($BJ$7:$BJ$29), AU116)), $BK$7:$BK$29, "Error", 0)</f>
        <v>0</v>
      </c>
      <c r="AV117" s="206" t="s">
        <v>25</v>
      </c>
      <c r="AW117" s="184"/>
      <c r="AX117" s="184"/>
      <c r="AY117" s="184"/>
    </row>
    <row r="118" spans="1:51" ht="44">
      <c r="A118" s="283" t="s">
        <v>55</v>
      </c>
      <c r="B118" s="200" t="s">
        <v>76</v>
      </c>
      <c r="C118" s="233">
        <v>14959.4112320531</v>
      </c>
      <c r="D118" s="233">
        <v>14959.4112320531</v>
      </c>
      <c r="E118" s="233">
        <v>14959.4112320531</v>
      </c>
      <c r="F118" s="233">
        <v>15105.414492386501</v>
      </c>
      <c r="G118" s="233">
        <v>15105.414492386501</v>
      </c>
      <c r="H118" s="233">
        <v>15105.414492386501</v>
      </c>
      <c r="I118" s="233">
        <v>15105.414492386501</v>
      </c>
      <c r="J118" s="233">
        <v>15105.414492386501</v>
      </c>
      <c r="K118" s="233">
        <v>15105.414492386501</v>
      </c>
      <c r="L118" s="233">
        <v>15105.414492386501</v>
      </c>
      <c r="M118" s="233">
        <v>15105.414492386501</v>
      </c>
      <c r="N118" s="233">
        <v>15105.414492386501</v>
      </c>
      <c r="O118" s="233">
        <v>15105.414492386501</v>
      </c>
      <c r="P118" s="233">
        <v>15129.0275752915</v>
      </c>
      <c r="Q118" s="233">
        <v>15603.471023330199</v>
      </c>
      <c r="R118" s="233">
        <v>15968.597674369799</v>
      </c>
      <c r="S118" s="233">
        <v>16363.3892433213</v>
      </c>
      <c r="T118" s="233">
        <v>16363.3892433213</v>
      </c>
      <c r="U118" s="233">
        <v>16639.3630971448</v>
      </c>
      <c r="V118" s="233">
        <v>16639.3630971448</v>
      </c>
      <c r="W118" s="233">
        <v>16639.3630971448</v>
      </c>
      <c r="X118" s="233">
        <v>16690.787598894902</v>
      </c>
      <c r="Y118" s="233">
        <v>16690.787598894902</v>
      </c>
      <c r="Z118" s="233">
        <v>17164.3451896892</v>
      </c>
      <c r="AA118" s="204">
        <v>17575.538233494899</v>
      </c>
      <c r="AB118" s="204">
        <v>17913.659986423299</v>
      </c>
      <c r="AC118" s="204">
        <v>17913.659986423299</v>
      </c>
      <c r="AD118" s="204">
        <v>18758.967234747499</v>
      </c>
      <c r="AE118" s="204">
        <v>18758.967234747499</v>
      </c>
      <c r="AF118" s="204">
        <v>18758.967234747499</v>
      </c>
      <c r="AG118" s="204">
        <v>19264.167365261099</v>
      </c>
      <c r="AH118" s="204">
        <v>19264.167365261099</v>
      </c>
      <c r="AI118" s="204">
        <v>19378.250395317598</v>
      </c>
      <c r="AJ118" s="204">
        <v>20405.873776566699</v>
      </c>
      <c r="AK118" s="204">
        <v>20405.873776566699</v>
      </c>
      <c r="AL118" s="204">
        <v>20405.873776566699</v>
      </c>
      <c r="AM118" s="204">
        <v>20747.388813567799</v>
      </c>
      <c r="AN118" s="204">
        <v>21620.5948918965</v>
      </c>
      <c r="AO118" s="204">
        <v>21620.5948918965</v>
      </c>
      <c r="AP118" s="204">
        <v>21620.5948918965</v>
      </c>
      <c r="AQ118" s="204">
        <v>21620.5948918965</v>
      </c>
      <c r="AR118" s="204">
        <v>21620.5948918965</v>
      </c>
      <c r="AS118" s="204">
        <v>21620.5948918965</v>
      </c>
      <c r="AT118" s="204">
        <v>21620.5948918965</v>
      </c>
      <c r="AU118" s="204">
        <v>21620.5948918965</v>
      </c>
      <c r="AV118" s="200" t="s">
        <v>76</v>
      </c>
      <c r="AW118" s="184"/>
      <c r="AX118" s="184"/>
      <c r="AY118" s="184"/>
    </row>
    <row r="119" spans="1:51" ht="22">
      <c r="A119" s="284"/>
      <c r="B119" s="201" t="s">
        <v>77</v>
      </c>
      <c r="C119" s="233">
        <v>13596.822314516299</v>
      </c>
      <c r="D119" s="233">
        <v>14089.676250435799</v>
      </c>
      <c r="E119" s="233">
        <v>14074.7628086351</v>
      </c>
      <c r="F119" s="233">
        <v>15105.414492386501</v>
      </c>
      <c r="G119" s="233">
        <v>14177.8959597962</v>
      </c>
      <c r="H119" s="233">
        <v>14351.3481788635</v>
      </c>
      <c r="I119" s="233">
        <v>14856.9933501777</v>
      </c>
      <c r="J119" s="233">
        <v>14594.919434428801</v>
      </c>
      <c r="K119" s="233">
        <v>14430.4659406181</v>
      </c>
      <c r="L119" s="233">
        <v>13987.0097125551</v>
      </c>
      <c r="M119" s="233">
        <v>14298.6244084426</v>
      </c>
      <c r="N119" s="233">
        <v>14273.1834699152</v>
      </c>
      <c r="O119" s="233">
        <v>14687.150131627501</v>
      </c>
      <c r="P119" s="233">
        <v>15129.0275752915</v>
      </c>
      <c r="Q119" s="233">
        <v>15603.471023330199</v>
      </c>
      <c r="R119" s="233">
        <v>15968.597674369799</v>
      </c>
      <c r="S119" s="233">
        <v>16363.3892433213</v>
      </c>
      <c r="T119" s="233">
        <v>15438.256128430499</v>
      </c>
      <c r="U119" s="233">
        <v>16639.3630971448</v>
      </c>
      <c r="V119" s="233">
        <v>16251.440521893601</v>
      </c>
      <c r="W119" s="233">
        <v>15927.062778949699</v>
      </c>
      <c r="X119" s="233">
        <v>16690.787598894902</v>
      </c>
      <c r="Y119" s="233">
        <v>16206.6268961964</v>
      </c>
      <c r="Z119" s="233">
        <v>17164.3451896892</v>
      </c>
      <c r="AA119" s="204">
        <v>17575.538233494899</v>
      </c>
      <c r="AB119" s="204">
        <v>17913.659986423299</v>
      </c>
      <c r="AC119" s="204">
        <v>17673.787718175699</v>
      </c>
      <c r="AD119" s="204">
        <v>18758.967234747499</v>
      </c>
      <c r="AE119" s="204">
        <v>18350.985344259501</v>
      </c>
      <c r="AF119" s="204">
        <v>18395.471472740199</v>
      </c>
      <c r="AG119" s="204">
        <v>19264.167365261099</v>
      </c>
      <c r="AH119" s="204">
        <v>18678.790217823102</v>
      </c>
      <c r="AI119" s="204">
        <v>19378.250395317598</v>
      </c>
      <c r="AJ119" s="204">
        <v>20405.873776566699</v>
      </c>
      <c r="AK119" s="204">
        <v>19668.3630267382</v>
      </c>
      <c r="AL119" s="204">
        <v>19970.2576590842</v>
      </c>
      <c r="AM119" s="204">
        <v>20747.388813567799</v>
      </c>
      <c r="AN119" s="204">
        <v>21620.5948918965</v>
      </c>
      <c r="AO119" s="204">
        <v>19581.2142772675</v>
      </c>
      <c r="AP119" s="204">
        <v>19638.660990218599</v>
      </c>
      <c r="AQ119" s="204">
        <v>19459.582100618602</v>
      </c>
      <c r="AR119" s="204">
        <v>20213</v>
      </c>
      <c r="AS119" s="204">
        <v>20193</v>
      </c>
      <c r="AT119" s="204">
        <v>20193</v>
      </c>
      <c r="AU119" s="204">
        <v>20193</v>
      </c>
      <c r="AV119" s="201" t="s">
        <v>77</v>
      </c>
      <c r="AW119" s="184"/>
      <c r="AX119" s="184"/>
      <c r="AY119" s="184"/>
    </row>
    <row r="120" spans="1:51" ht="22">
      <c r="A120" s="284"/>
      <c r="B120" s="201" t="s">
        <v>78</v>
      </c>
      <c r="C120" s="230">
        <f t="shared" ref="C120:Z120" si="144">+(C119-C118)/C118</f>
        <v>-9.1085731677542289E-2</v>
      </c>
      <c r="D120" s="230">
        <f t="shared" si="144"/>
        <v>-5.8139653234062103E-2</v>
      </c>
      <c r="E120" s="230">
        <f t="shared" si="144"/>
        <v>-5.9136580290171444E-2</v>
      </c>
      <c r="F120" s="230">
        <f t="shared" si="144"/>
        <v>0</v>
      </c>
      <c r="G120" s="230">
        <f t="shared" si="144"/>
        <v>-6.1403050744340208E-2</v>
      </c>
      <c r="H120" s="230">
        <f t="shared" si="144"/>
        <v>-4.992026626631587E-2</v>
      </c>
      <c r="I120" s="230">
        <f t="shared" si="144"/>
        <v>-1.6445834196341411E-2</v>
      </c>
      <c r="J120" s="230">
        <f t="shared" si="144"/>
        <v>-3.3795501488224758E-2</v>
      </c>
      <c r="K120" s="230">
        <f t="shared" si="144"/>
        <v>-4.4682557509996911E-2</v>
      </c>
      <c r="L120" s="230">
        <f t="shared" si="144"/>
        <v>-7.4039992771804036E-2</v>
      </c>
      <c r="M120" s="230">
        <f t="shared" si="144"/>
        <v>-5.341065512307145E-2</v>
      </c>
      <c r="N120" s="230">
        <f t="shared" si="144"/>
        <v>-5.50948815665247E-2</v>
      </c>
      <c r="O120" s="230">
        <f t="shared" si="144"/>
        <v>-2.7689697688852915E-2</v>
      </c>
      <c r="P120" s="230">
        <f t="shared" si="144"/>
        <v>0</v>
      </c>
      <c r="Q120" s="230">
        <f t="shared" si="144"/>
        <v>0</v>
      </c>
      <c r="R120" s="230">
        <f t="shared" si="144"/>
        <v>0</v>
      </c>
      <c r="S120" s="230">
        <f t="shared" si="144"/>
        <v>0</v>
      </c>
      <c r="T120" s="230">
        <f t="shared" si="144"/>
        <v>-5.6536766383430817E-2</v>
      </c>
      <c r="U120" s="230">
        <f t="shared" si="144"/>
        <v>0</v>
      </c>
      <c r="V120" s="230">
        <f t="shared" si="144"/>
        <v>-2.3313547098311963E-2</v>
      </c>
      <c r="W120" s="230">
        <f t="shared" si="144"/>
        <v>-4.280814800641778E-2</v>
      </c>
      <c r="X120" s="230">
        <f t="shared" si="144"/>
        <v>0</v>
      </c>
      <c r="Y120" s="230">
        <f t="shared" si="144"/>
        <v>-2.9007660652907618E-2</v>
      </c>
      <c r="Z120" s="230">
        <f t="shared" si="144"/>
        <v>0</v>
      </c>
      <c r="AA120" s="230">
        <f t="shared" ref="AA120:AR120" si="145">+(AA119-AA118)/AA118</f>
        <v>0</v>
      </c>
      <c r="AB120" s="205">
        <f t="shared" si="145"/>
        <v>0</v>
      </c>
      <c r="AC120" s="205">
        <f t="shared" si="145"/>
        <v>-1.3390466740431511E-2</v>
      </c>
      <c r="AD120" s="205">
        <f t="shared" si="145"/>
        <v>0</v>
      </c>
      <c r="AE120" s="205">
        <f t="shared" si="145"/>
        <v>-2.1748632820909618E-2</v>
      </c>
      <c r="AF120" s="205">
        <f t="shared" si="145"/>
        <v>-1.9377173458354987E-2</v>
      </c>
      <c r="AG120" s="205">
        <f t="shared" si="145"/>
        <v>0</v>
      </c>
      <c r="AH120" s="205">
        <f t="shared" si="145"/>
        <v>-3.0386838752948269E-2</v>
      </c>
      <c r="AI120" s="205">
        <f t="shared" si="145"/>
        <v>0</v>
      </c>
      <c r="AJ120" s="205">
        <f t="shared" si="145"/>
        <v>0</v>
      </c>
      <c r="AK120" s="205">
        <f t="shared" si="145"/>
        <v>-3.6142081339120502E-2</v>
      </c>
      <c r="AL120" s="205">
        <f t="shared" si="145"/>
        <v>-2.1347584634319537E-2</v>
      </c>
      <c r="AM120" s="205">
        <f t="shared" si="145"/>
        <v>0</v>
      </c>
      <c r="AN120" s="205">
        <f t="shared" si="145"/>
        <v>0</v>
      </c>
      <c r="AO120" s="205">
        <f t="shared" si="145"/>
        <v>-9.4325832606639792E-2</v>
      </c>
      <c r="AP120" s="205">
        <f t="shared" si="145"/>
        <v>-9.1668795959945551E-2</v>
      </c>
      <c r="AQ120" s="205">
        <f t="shared" si="145"/>
        <v>-9.9951587922673515E-2</v>
      </c>
      <c r="AR120" s="205">
        <f t="shared" si="145"/>
        <v>-6.5104355311891696E-2</v>
      </c>
      <c r="AS120" s="205">
        <f t="shared" ref="AS120:AT120" si="146">+(AS119-AS118)/AS118</f>
        <v>-6.6029399238758668E-2</v>
      </c>
      <c r="AT120" s="205">
        <f t="shared" si="146"/>
        <v>-6.6029399238758668E-2</v>
      </c>
      <c r="AU120" s="205">
        <f t="shared" ref="AU120" si="147">+(AU119-AU118)/AU118</f>
        <v>-6.6029399238758668E-2</v>
      </c>
      <c r="AV120" s="201" t="s">
        <v>78</v>
      </c>
      <c r="AW120" s="184"/>
      <c r="AX120" s="184"/>
      <c r="AY120" s="184"/>
    </row>
    <row r="121" spans="1:51" ht="44">
      <c r="A121" s="284"/>
      <c r="B121" s="201" t="s">
        <v>89</v>
      </c>
      <c r="C121" s="233">
        <v>7903.5</v>
      </c>
      <c r="D121" s="233">
        <v>8047.10009765625</v>
      </c>
      <c r="E121" s="233">
        <v>8047.10009765625</v>
      </c>
      <c r="F121" s="233">
        <v>8047.10009765625</v>
      </c>
      <c r="G121" s="233">
        <v>8047.10009765625</v>
      </c>
      <c r="H121" s="233">
        <v>8047.10009765625</v>
      </c>
      <c r="I121" s="233">
        <v>8047.10009765625</v>
      </c>
      <c r="J121" s="233">
        <v>8047.10009765625</v>
      </c>
      <c r="K121" s="233">
        <v>8047.10009765625</v>
      </c>
      <c r="L121" s="233">
        <v>8047.10009765625</v>
      </c>
      <c r="M121" s="233">
        <v>8047.10009765625</v>
      </c>
      <c r="N121" s="233">
        <v>8047.10009765625</v>
      </c>
      <c r="O121" s="233">
        <v>8047.10009765625</v>
      </c>
      <c r="P121" s="233">
        <v>8047.10009765625</v>
      </c>
      <c r="Q121" s="233">
        <v>8047.10009765625</v>
      </c>
      <c r="R121" s="233">
        <v>8200</v>
      </c>
      <c r="S121" s="233">
        <v>8474.400390625</v>
      </c>
      <c r="T121" s="233">
        <v>8474.400390625</v>
      </c>
      <c r="U121" s="233">
        <v>8474.400390625</v>
      </c>
      <c r="V121" s="233">
        <v>8474.400390625</v>
      </c>
      <c r="W121" s="233">
        <v>8474.400390625</v>
      </c>
      <c r="X121" s="233">
        <v>8474.400390625</v>
      </c>
      <c r="Y121" s="233">
        <v>8474.400390625</v>
      </c>
      <c r="Z121" s="233">
        <v>8474.400390625</v>
      </c>
      <c r="AA121" s="231">
        <v>8692.7998046875</v>
      </c>
      <c r="AB121" s="203">
        <v>8820.900390625</v>
      </c>
      <c r="AC121" s="203">
        <v>8820.900390625</v>
      </c>
      <c r="AD121" s="203">
        <v>8820.900390625</v>
      </c>
      <c r="AE121" s="203">
        <v>8824</v>
      </c>
      <c r="AF121" s="203">
        <v>8824</v>
      </c>
      <c r="AG121" s="203">
        <v>9190.7001953125</v>
      </c>
      <c r="AH121" s="203">
        <v>9357.5</v>
      </c>
      <c r="AI121" s="203">
        <v>9363.599609375</v>
      </c>
      <c r="AJ121" s="203">
        <v>9787.599609375</v>
      </c>
      <c r="AK121" s="203">
        <v>9930.099609375</v>
      </c>
      <c r="AL121" s="203">
        <v>9954.2998046875</v>
      </c>
      <c r="AM121" s="203">
        <v>10277.7001953125</v>
      </c>
      <c r="AN121" s="203">
        <v>10934.900390625</v>
      </c>
      <c r="AO121" s="203">
        <v>10934.900390625</v>
      </c>
      <c r="AP121" s="203">
        <v>10934.900390625</v>
      </c>
      <c r="AQ121" s="203">
        <v>10934.900390625</v>
      </c>
      <c r="AR121" s="203">
        <v>10934.900390625</v>
      </c>
      <c r="AS121" s="203">
        <v>10934.900390625</v>
      </c>
      <c r="AT121" s="203">
        <v>10934.900390625</v>
      </c>
      <c r="AU121" s="203">
        <v>10934.900390625</v>
      </c>
      <c r="AV121" s="201" t="s">
        <v>89</v>
      </c>
      <c r="AW121" s="184"/>
      <c r="AX121" s="184"/>
      <c r="AY121" s="184"/>
    </row>
    <row r="122" spans="1:51" ht="44">
      <c r="A122" s="284"/>
      <c r="B122" s="201" t="s">
        <v>90</v>
      </c>
      <c r="C122" s="233">
        <v>7771.7001953125</v>
      </c>
      <c r="D122" s="233">
        <v>8047.10009765625</v>
      </c>
      <c r="E122" s="233">
        <v>7631.7001953125</v>
      </c>
      <c r="F122" s="233">
        <v>7870.60009765625</v>
      </c>
      <c r="G122" s="233">
        <v>7446.10009765625</v>
      </c>
      <c r="H122" s="233">
        <v>7531.5</v>
      </c>
      <c r="I122" s="233">
        <v>7699.39990234375</v>
      </c>
      <c r="J122" s="233">
        <v>7439.10009765625</v>
      </c>
      <c r="K122" s="233">
        <v>7608.10009765625</v>
      </c>
      <c r="L122" s="233">
        <v>7321.7001953125</v>
      </c>
      <c r="M122" s="233">
        <v>7453.7998046875</v>
      </c>
      <c r="N122" s="233">
        <v>7733.2001953125</v>
      </c>
      <c r="O122" s="233">
        <v>7630.60009765625</v>
      </c>
      <c r="P122" s="233">
        <v>7630</v>
      </c>
      <c r="Q122" s="233">
        <v>7952.60009765625</v>
      </c>
      <c r="R122" s="233">
        <v>8200</v>
      </c>
      <c r="S122" s="233">
        <v>8474.400390625</v>
      </c>
      <c r="T122" s="233">
        <v>8164.10009765625</v>
      </c>
      <c r="U122" s="233">
        <v>8368</v>
      </c>
      <c r="V122" s="233">
        <v>8376.599609375</v>
      </c>
      <c r="W122" s="233">
        <v>8237</v>
      </c>
      <c r="X122" s="233">
        <v>8110.10009765625</v>
      </c>
      <c r="Y122" s="233">
        <v>8287.2998046875</v>
      </c>
      <c r="Z122" s="233">
        <v>8173</v>
      </c>
      <c r="AA122" s="231">
        <v>8692.7998046875</v>
      </c>
      <c r="AB122" s="203">
        <v>8820.900390625</v>
      </c>
      <c r="AC122" s="203">
        <v>8582.7998046875</v>
      </c>
      <c r="AD122" s="203">
        <v>8494.900390625</v>
      </c>
      <c r="AE122" s="203">
        <v>8824</v>
      </c>
      <c r="AF122" s="203">
        <v>8761</v>
      </c>
      <c r="AG122" s="203">
        <v>9190.7001953125</v>
      </c>
      <c r="AH122" s="203">
        <v>9357.5</v>
      </c>
      <c r="AI122" s="203">
        <v>9363.599609375</v>
      </c>
      <c r="AJ122" s="203">
        <v>9787.599609375</v>
      </c>
      <c r="AK122" s="203">
        <v>9930.099609375</v>
      </c>
      <c r="AL122" s="203">
        <v>9954.2998046875</v>
      </c>
      <c r="AM122" s="203">
        <v>10277.7001953125</v>
      </c>
      <c r="AN122" s="203">
        <v>10934.900390625</v>
      </c>
      <c r="AO122" s="203">
        <v>10176.5</v>
      </c>
      <c r="AP122" s="203">
        <v>10378.7998046875</v>
      </c>
      <c r="AQ122" s="203">
        <v>10409.2998046875</v>
      </c>
      <c r="AR122" s="203">
        <v>10497</v>
      </c>
      <c r="AS122" s="203">
        <v>10515</v>
      </c>
      <c r="AT122" s="203">
        <v>10515</v>
      </c>
      <c r="AU122" s="203">
        <v>10515</v>
      </c>
      <c r="AV122" s="201" t="s">
        <v>90</v>
      </c>
      <c r="AW122" s="184"/>
      <c r="AX122" s="184"/>
      <c r="AY122" s="184"/>
    </row>
    <row r="123" spans="1:51" ht="44">
      <c r="A123" s="284"/>
      <c r="B123" s="201" t="s">
        <v>79</v>
      </c>
      <c r="C123" s="230">
        <f t="shared" ref="C123:Z123" si="148">+(C122-C121)/C121</f>
        <v>-1.6676131421205796E-2</v>
      </c>
      <c r="D123" s="230">
        <f t="shared" si="148"/>
        <v>0</v>
      </c>
      <c r="E123" s="230">
        <f t="shared" si="148"/>
        <v>-5.162106812424725E-2</v>
      </c>
      <c r="F123" s="230">
        <f t="shared" si="148"/>
        <v>-2.1933367033846931E-2</v>
      </c>
      <c r="G123" s="230">
        <f t="shared" si="148"/>
        <v>-7.4685289446696904E-2</v>
      </c>
      <c r="H123" s="230">
        <f t="shared" si="148"/>
        <v>-6.407278291547791E-2</v>
      </c>
      <c r="I123" s="230">
        <f t="shared" si="148"/>
        <v>-4.3208135986001851E-2</v>
      </c>
      <c r="J123" s="230">
        <f t="shared" si="148"/>
        <v>-7.5555168025942962E-2</v>
      </c>
      <c r="K123" s="230">
        <f t="shared" si="148"/>
        <v>-5.455381375557395E-2</v>
      </c>
      <c r="L123" s="230">
        <f t="shared" si="148"/>
        <v>-9.0144262348001061E-2</v>
      </c>
      <c r="M123" s="230">
        <f t="shared" si="148"/>
        <v>-7.372845941627483E-2</v>
      </c>
      <c r="N123" s="230">
        <f t="shared" si="148"/>
        <v>-3.9007828725179473E-2</v>
      </c>
      <c r="O123" s="230">
        <f t="shared" si="148"/>
        <v>-5.1757775465140203E-2</v>
      </c>
      <c r="P123" s="230">
        <f t="shared" si="148"/>
        <v>-5.1832348621801298E-2</v>
      </c>
      <c r="Q123" s="230">
        <f t="shared" si="148"/>
        <v>-1.1743360819821727E-2</v>
      </c>
      <c r="R123" s="230">
        <f t="shared" si="148"/>
        <v>0</v>
      </c>
      <c r="S123" s="230">
        <f t="shared" si="148"/>
        <v>0</v>
      </c>
      <c r="T123" s="230">
        <f t="shared" si="148"/>
        <v>-3.6616194499380375E-2</v>
      </c>
      <c r="U123" s="230">
        <f t="shared" si="148"/>
        <v>-1.2555506669558342E-2</v>
      </c>
      <c r="V123" s="230">
        <f t="shared" si="148"/>
        <v>-1.1540731702763816E-2</v>
      </c>
      <c r="W123" s="230">
        <f t="shared" si="148"/>
        <v>-2.8013827490099435E-2</v>
      </c>
      <c r="X123" s="230">
        <f t="shared" si="148"/>
        <v>-4.2988326746015632E-2</v>
      </c>
      <c r="Y123" s="230">
        <f t="shared" si="148"/>
        <v>-2.2078327352161024E-2</v>
      </c>
      <c r="Z123" s="230">
        <f t="shared" si="148"/>
        <v>-3.556598422685233E-2</v>
      </c>
      <c r="AA123" s="230">
        <f>+(AA122-AA121)/AA121</f>
        <v>0</v>
      </c>
      <c r="AB123" s="205">
        <f t="shared" ref="AB123:AP123" si="149">+(AB122-AB121)/AB121</f>
        <v>0</v>
      </c>
      <c r="AC123" s="205">
        <f t="shared" si="149"/>
        <v>-2.6992775725090068E-2</v>
      </c>
      <c r="AD123" s="205">
        <f t="shared" si="149"/>
        <v>-3.6957678418688217E-2</v>
      </c>
      <c r="AE123" s="205">
        <f t="shared" si="149"/>
        <v>0</v>
      </c>
      <c r="AF123" s="205">
        <f t="shared" si="149"/>
        <v>-7.1396192203082506E-3</v>
      </c>
      <c r="AG123" s="205">
        <f t="shared" si="149"/>
        <v>0</v>
      </c>
      <c r="AH123" s="205">
        <f t="shared" si="149"/>
        <v>0</v>
      </c>
      <c r="AI123" s="205">
        <f t="shared" si="149"/>
        <v>0</v>
      </c>
      <c r="AJ123" s="205">
        <f t="shared" si="149"/>
        <v>0</v>
      </c>
      <c r="AK123" s="205">
        <f t="shared" si="149"/>
        <v>0</v>
      </c>
      <c r="AL123" s="205">
        <f t="shared" si="149"/>
        <v>0</v>
      </c>
      <c r="AM123" s="205">
        <f t="shared" si="149"/>
        <v>0</v>
      </c>
      <c r="AN123" s="205">
        <f t="shared" si="149"/>
        <v>0</v>
      </c>
      <c r="AO123" s="205">
        <f t="shared" si="149"/>
        <v>-6.9355948708523407E-2</v>
      </c>
      <c r="AP123" s="205">
        <f t="shared" si="149"/>
        <v>-5.0855569421946537E-2</v>
      </c>
      <c r="AQ123" s="205">
        <f>+(AQ122-AQ121)/AQ121</f>
        <v>-4.8066335052134715E-2</v>
      </c>
      <c r="AR123" s="205">
        <f>+(AR122-AR121)/AR121</f>
        <v>-4.0046125248697502E-2</v>
      </c>
      <c r="AS123" s="205">
        <f>+(AS122-AS121)/AS121</f>
        <v>-3.8400019718972493E-2</v>
      </c>
      <c r="AT123" s="205">
        <f>+(AT122-AT121)/AT121</f>
        <v>-3.8400019718972493E-2</v>
      </c>
      <c r="AU123" s="205">
        <f>+(AU122-AU121)/AU121</f>
        <v>-3.8400019718972493E-2</v>
      </c>
      <c r="AV123" s="201" t="s">
        <v>79</v>
      </c>
      <c r="AW123" s="184"/>
      <c r="AX123" s="184"/>
      <c r="AY123" s="184"/>
    </row>
    <row r="124" spans="1:51" ht="22">
      <c r="A124" s="284"/>
      <c r="B124" s="201" t="s">
        <v>80</v>
      </c>
      <c r="C124" s="230">
        <f t="shared" ref="C124:Z124" si="150">+C120-C123</f>
        <v>-7.44096002563365E-2</v>
      </c>
      <c r="D124" s="230">
        <f t="shared" si="150"/>
        <v>-5.8139653234062103E-2</v>
      </c>
      <c r="E124" s="230">
        <f t="shared" si="150"/>
        <v>-7.515512165924193E-3</v>
      </c>
      <c r="F124" s="230">
        <f t="shared" si="150"/>
        <v>2.1933367033846931E-2</v>
      </c>
      <c r="G124" s="230">
        <f t="shared" si="150"/>
        <v>1.3282238702356695E-2</v>
      </c>
      <c r="H124" s="230">
        <f t="shared" si="150"/>
        <v>1.415251664916204E-2</v>
      </c>
      <c r="I124" s="230">
        <f t="shared" si="150"/>
        <v>2.676230178966044E-2</v>
      </c>
      <c r="J124" s="230">
        <f t="shared" si="150"/>
        <v>4.1759666537718204E-2</v>
      </c>
      <c r="K124" s="230">
        <f t="shared" si="150"/>
        <v>9.8712562455770397E-3</v>
      </c>
      <c r="L124" s="230">
        <f t="shared" si="150"/>
        <v>1.6104269576197025E-2</v>
      </c>
      <c r="M124" s="230">
        <f t="shared" si="150"/>
        <v>2.031780429320338E-2</v>
      </c>
      <c r="N124" s="230">
        <f t="shared" si="150"/>
        <v>-1.6087052841345227E-2</v>
      </c>
      <c r="O124" s="230">
        <f t="shared" si="150"/>
        <v>2.4068077776287288E-2</v>
      </c>
      <c r="P124" s="230">
        <f t="shared" si="150"/>
        <v>5.1832348621801298E-2</v>
      </c>
      <c r="Q124" s="230">
        <f t="shared" si="150"/>
        <v>1.1743360819821727E-2</v>
      </c>
      <c r="R124" s="230">
        <f t="shared" si="150"/>
        <v>0</v>
      </c>
      <c r="S124" s="230">
        <f t="shared" si="150"/>
        <v>0</v>
      </c>
      <c r="T124" s="230">
        <f t="shared" si="150"/>
        <v>-1.9920571884050442E-2</v>
      </c>
      <c r="U124" s="230">
        <f t="shared" si="150"/>
        <v>1.2555506669558342E-2</v>
      </c>
      <c r="V124" s="230">
        <f t="shared" si="150"/>
        <v>-1.1772815395548147E-2</v>
      </c>
      <c r="W124" s="230">
        <f t="shared" si="150"/>
        <v>-1.4794320516318345E-2</v>
      </c>
      <c r="X124" s="230">
        <f t="shared" si="150"/>
        <v>4.2988326746015632E-2</v>
      </c>
      <c r="Y124" s="230">
        <f t="shared" si="150"/>
        <v>-6.9293333007465936E-3</v>
      </c>
      <c r="Z124" s="230">
        <f t="shared" si="150"/>
        <v>3.556598422685233E-2</v>
      </c>
      <c r="AA124" s="230">
        <f t="shared" ref="AA124:AR124" si="151">+AA120-AA123</f>
        <v>0</v>
      </c>
      <c r="AB124" s="205">
        <f t="shared" si="151"/>
        <v>0</v>
      </c>
      <c r="AC124" s="205">
        <f t="shared" si="151"/>
        <v>1.3602308984658557E-2</v>
      </c>
      <c r="AD124" s="205">
        <f t="shared" si="151"/>
        <v>3.6957678418688217E-2</v>
      </c>
      <c r="AE124" s="205">
        <f t="shared" si="151"/>
        <v>-2.1748632820909618E-2</v>
      </c>
      <c r="AF124" s="205">
        <f t="shared" si="151"/>
        <v>-1.2237554238046736E-2</v>
      </c>
      <c r="AG124" s="205">
        <f t="shared" si="151"/>
        <v>0</v>
      </c>
      <c r="AH124" s="205">
        <f t="shared" si="151"/>
        <v>-3.0386838752948269E-2</v>
      </c>
      <c r="AI124" s="205">
        <f t="shared" si="151"/>
        <v>0</v>
      </c>
      <c r="AJ124" s="205">
        <f t="shared" si="151"/>
        <v>0</v>
      </c>
      <c r="AK124" s="205">
        <f t="shared" si="151"/>
        <v>-3.6142081339120502E-2</v>
      </c>
      <c r="AL124" s="205">
        <f t="shared" si="151"/>
        <v>-2.1347584634319537E-2</v>
      </c>
      <c r="AM124" s="205">
        <f t="shared" si="151"/>
        <v>0</v>
      </c>
      <c r="AN124" s="205">
        <f t="shared" si="151"/>
        <v>0</v>
      </c>
      <c r="AO124" s="205">
        <f t="shared" si="151"/>
        <v>-2.4969883898116385E-2</v>
      </c>
      <c r="AP124" s="205">
        <f t="shared" si="151"/>
        <v>-4.0813226537999014E-2</v>
      </c>
      <c r="AQ124" s="205">
        <f t="shared" si="151"/>
        <v>-5.1885252870538801E-2</v>
      </c>
      <c r="AR124" s="205">
        <f t="shared" si="151"/>
        <v>-2.5058230063194194E-2</v>
      </c>
      <c r="AS124" s="205">
        <f t="shared" ref="AS124:AT124" si="152">+AS120-AS123</f>
        <v>-2.7629379519786175E-2</v>
      </c>
      <c r="AT124" s="205">
        <f t="shared" si="152"/>
        <v>-2.7629379519786175E-2</v>
      </c>
      <c r="AU124" s="205">
        <f t="shared" ref="AU124" si="153">+AU120-AU123</f>
        <v>-2.7629379519786175E-2</v>
      </c>
      <c r="AV124" s="201" t="s">
        <v>80</v>
      </c>
      <c r="AW124" s="184"/>
      <c r="AX124" s="184"/>
      <c r="AY124" s="184"/>
    </row>
    <row r="125" spans="1:51" ht="22">
      <c r="A125" s="285"/>
      <c r="B125" s="206" t="s">
        <v>25</v>
      </c>
      <c r="C125" s="232" cm="1">
        <f t="array" ref="C125">_xlfn.XLOOKUP(MIN(ABS($BJ$7:$BJ$29 - MEDIAN(MIN($BJ$7:$BJ$29), MAX($BJ$7:$BJ$29), C124))), ABS($BJ$7:$BJ$29 - MEDIAN(MIN($BJ$7:$BJ$29), MAX($BJ$7:$BJ$29), C124)), $BK$7:$BK$29, "Error", 0)</f>
        <v>-7</v>
      </c>
      <c r="D125" s="232" cm="1">
        <f t="array" ref="D125">_xlfn.XLOOKUP(MIN(ABS($BJ$7:$BJ$29 - MEDIAN(MIN($BJ$7:$BJ$29), MAX($BJ$7:$BJ$29), D124))), ABS($BJ$7:$BJ$29 - MEDIAN(MIN($BJ$7:$BJ$29), MAX($BJ$7:$BJ$29), D124)), $BK$7:$BK$29, "Error", 0)</f>
        <v>-5</v>
      </c>
      <c r="E125" s="232" cm="1">
        <f t="array" ref="E125">_xlfn.XLOOKUP(MIN(ABS($BJ$7:$BJ$29 - MEDIAN(MIN($BJ$7:$BJ$29), MAX($BJ$7:$BJ$29), E124))), ABS($BJ$7:$BJ$29 - MEDIAN(MIN($BJ$7:$BJ$29), MAX($BJ$7:$BJ$29), E124)), $BK$7:$BK$29, "Error", 0)</f>
        <v>0</v>
      </c>
      <c r="F125" s="232" cm="1">
        <f t="array" ref="F125">_xlfn.XLOOKUP(MIN(ABS($BJ$7:$BJ$29 - MEDIAN(MIN($BJ$7:$BJ$29), MAX($BJ$7:$BJ$29), F124))), ABS($BJ$7:$BJ$29 - MEDIAN(MIN($BJ$7:$BJ$29), MAX($BJ$7:$BJ$29), F124)), $BK$7:$BK$29, "Error", 0)</f>
        <v>2</v>
      </c>
      <c r="G125" s="232" cm="1">
        <f t="array" ref="G125">_xlfn.XLOOKUP(MIN(ABS($BJ$7:$BJ$29 - MEDIAN(MIN($BJ$7:$BJ$29), MAX($BJ$7:$BJ$29), G124))), ABS($BJ$7:$BJ$29 - MEDIAN(MIN($BJ$7:$BJ$29), MAX($BJ$7:$BJ$29), G124)), $BK$7:$BK$29, "Error", 0)</f>
        <v>2</v>
      </c>
      <c r="H125" s="232" cm="1">
        <f t="array" ref="H125">_xlfn.XLOOKUP(MIN(ABS($BJ$7:$BJ$29 - MEDIAN(MIN($BJ$7:$BJ$29), MAX($BJ$7:$BJ$29), H124))), ABS($BJ$7:$BJ$29 - MEDIAN(MIN($BJ$7:$BJ$29), MAX($BJ$7:$BJ$29), H124)), $BK$7:$BK$29, "Error", 0)</f>
        <v>2</v>
      </c>
      <c r="I125" s="232" cm="1">
        <f t="array" ref="I125">_xlfn.XLOOKUP(MIN(ABS($BJ$7:$BJ$29 - MEDIAN(MIN($BJ$7:$BJ$29), MAX($BJ$7:$BJ$29), I124))), ABS($BJ$7:$BJ$29 - MEDIAN(MIN($BJ$7:$BJ$29), MAX($BJ$7:$BJ$29), I124)), $BK$7:$BK$29, "Error", 0)</f>
        <v>2</v>
      </c>
      <c r="J125" s="232" cm="1">
        <f t="array" ref="J125">_xlfn.XLOOKUP(MIN(ABS($BJ$7:$BJ$29 - MEDIAN(MIN($BJ$7:$BJ$29), MAX($BJ$7:$BJ$29), J124))), ABS($BJ$7:$BJ$29 - MEDIAN(MIN($BJ$7:$BJ$29), MAX($BJ$7:$BJ$29), J124)), $BK$7:$BK$29, "Error", 0)</f>
        <v>3</v>
      </c>
      <c r="K125" s="232" cm="1">
        <f t="array" ref="K125">_xlfn.XLOOKUP(MIN(ABS($BJ$7:$BJ$29 - MEDIAN(MIN($BJ$7:$BJ$29), MAX($BJ$7:$BJ$29), K124))), ABS($BJ$7:$BJ$29 - MEDIAN(MIN($BJ$7:$BJ$29), MAX($BJ$7:$BJ$29), K124)), $BK$7:$BK$29, "Error", 0)</f>
        <v>0</v>
      </c>
      <c r="L125" s="232" cm="1">
        <f t="array" ref="L125">_xlfn.XLOOKUP(MIN(ABS($BJ$7:$BJ$29 - MEDIAN(MIN($BJ$7:$BJ$29), MAX($BJ$7:$BJ$29), L124))), ABS($BJ$7:$BJ$29 - MEDIAN(MIN($BJ$7:$BJ$29), MAX($BJ$7:$BJ$29), L124)), $BK$7:$BK$29, "Error", 0)</f>
        <v>2</v>
      </c>
      <c r="M125" s="232" cm="1">
        <f t="array" ref="M125">_xlfn.XLOOKUP(MIN(ABS($BJ$7:$BJ$29 - MEDIAN(MIN($BJ$7:$BJ$29), MAX($BJ$7:$BJ$29), M124))), ABS($BJ$7:$BJ$29 - MEDIAN(MIN($BJ$7:$BJ$29), MAX($BJ$7:$BJ$29), M124)), $BK$7:$BK$29, "Error", 0)</f>
        <v>2</v>
      </c>
      <c r="N125" s="232" cm="1">
        <f t="array" ref="N125">_xlfn.XLOOKUP(MIN(ABS($BJ$7:$BJ$29 - MEDIAN(MIN($BJ$7:$BJ$29), MAX($BJ$7:$BJ$29), N124))), ABS($BJ$7:$BJ$29 - MEDIAN(MIN($BJ$7:$BJ$29), MAX($BJ$7:$BJ$29), N124)), $BK$7:$BK$29, "Error", 0)</f>
        <v>-2</v>
      </c>
      <c r="O125" s="232" cm="1">
        <f t="array" ref="O125">_xlfn.XLOOKUP(MIN(ABS($BJ$7:$BJ$29 - MEDIAN(MIN($BJ$7:$BJ$29), MAX($BJ$7:$BJ$29), O124))), ABS($BJ$7:$BJ$29 - MEDIAN(MIN($BJ$7:$BJ$29), MAX($BJ$7:$BJ$29), O124)), $BK$7:$BK$29, "Error", 0)</f>
        <v>2</v>
      </c>
      <c r="P125" s="232" cm="1">
        <f t="array" ref="P125">_xlfn.XLOOKUP(MIN(ABS($BJ$7:$BJ$29 - MEDIAN(MIN($BJ$7:$BJ$29), MAX($BJ$7:$BJ$29), P124))), ABS($BJ$7:$BJ$29 - MEDIAN(MIN($BJ$7:$BJ$29), MAX($BJ$7:$BJ$29), P124)), $BK$7:$BK$29, "Error", 0)</f>
        <v>5</v>
      </c>
      <c r="Q125" s="232" cm="1">
        <f t="array" ref="Q125">_xlfn.XLOOKUP(MIN(ABS($BJ$7:$BJ$29 - MEDIAN(MIN($BJ$7:$BJ$29), MAX($BJ$7:$BJ$29), Q124))), ABS($BJ$7:$BJ$29 - MEDIAN(MIN($BJ$7:$BJ$29), MAX($BJ$7:$BJ$29), Q124)), $BK$7:$BK$29, "Error", 0)</f>
        <v>2</v>
      </c>
      <c r="R125" s="232" cm="1">
        <f t="array" ref="R125">_xlfn.XLOOKUP(MIN(ABS($BJ$7:$BJ$29 - MEDIAN(MIN($BJ$7:$BJ$29), MAX($BJ$7:$BJ$29), R124))), ABS($BJ$7:$BJ$29 - MEDIAN(MIN($BJ$7:$BJ$29), MAX($BJ$7:$BJ$29), R124)), $BK$7:$BK$29, "Error", 0)</f>
        <v>0</v>
      </c>
      <c r="S125" s="232" cm="1">
        <f t="array" ref="S125">_xlfn.XLOOKUP(MIN(ABS($BJ$7:$BJ$29 - MEDIAN(MIN($BJ$7:$BJ$29), MAX($BJ$7:$BJ$29), S124))), ABS($BJ$7:$BJ$29 - MEDIAN(MIN($BJ$7:$BJ$29), MAX($BJ$7:$BJ$29), S124)), $BK$7:$BK$29, "Error", 0)</f>
        <v>0</v>
      </c>
      <c r="T125" s="232" cm="1">
        <f t="array" ref="T125">_xlfn.XLOOKUP(MIN(ABS($BJ$7:$BJ$29 - MEDIAN(MIN($BJ$7:$BJ$29), MAX($BJ$7:$BJ$29), T124))), ABS($BJ$7:$BJ$29 - MEDIAN(MIN($BJ$7:$BJ$29), MAX($BJ$7:$BJ$29), T124)), $BK$7:$BK$29, "Error", 0)</f>
        <v>-2</v>
      </c>
      <c r="U125" s="232" cm="1">
        <f t="array" ref="U125">_xlfn.XLOOKUP(MIN(ABS($BJ$7:$BJ$29 - MEDIAN(MIN($BJ$7:$BJ$29), MAX($BJ$7:$BJ$29), U124))), ABS($BJ$7:$BJ$29 - MEDIAN(MIN($BJ$7:$BJ$29), MAX($BJ$7:$BJ$29), U124)), $BK$7:$BK$29, "Error", 0)</f>
        <v>2</v>
      </c>
      <c r="V125" s="232" cm="1">
        <f t="array" ref="V125">_xlfn.XLOOKUP(MIN(ABS($BJ$7:$BJ$29 - MEDIAN(MIN($BJ$7:$BJ$29), MAX($BJ$7:$BJ$29), V124))), ABS($BJ$7:$BJ$29 - MEDIAN(MIN($BJ$7:$BJ$29), MAX($BJ$7:$BJ$29), V124)), $BK$7:$BK$29, "Error", 0)</f>
        <v>-2</v>
      </c>
      <c r="W125" s="232" cm="1">
        <f t="array" ref="W125">_xlfn.XLOOKUP(MIN(ABS($BJ$7:$BJ$29 - MEDIAN(MIN($BJ$7:$BJ$29), MAX($BJ$7:$BJ$29), W124))), ABS($BJ$7:$BJ$29 - MEDIAN(MIN($BJ$7:$BJ$29), MAX($BJ$7:$BJ$29), W124)), $BK$7:$BK$29, "Error", 0)</f>
        <v>-2</v>
      </c>
      <c r="X125" s="232" cm="1">
        <f t="array" ref="X125">_xlfn.XLOOKUP(MIN(ABS($BJ$7:$BJ$29 - MEDIAN(MIN($BJ$7:$BJ$29), MAX($BJ$7:$BJ$29), X124))), ABS($BJ$7:$BJ$29 - MEDIAN(MIN($BJ$7:$BJ$29), MAX($BJ$7:$BJ$29), X124)), $BK$7:$BK$29, "Error", 0)</f>
        <v>3</v>
      </c>
      <c r="Y125" s="232" cm="1">
        <f t="array" ref="Y125">_xlfn.XLOOKUP(MIN(ABS($BJ$7:$BJ$29 - MEDIAN(MIN($BJ$7:$BJ$29), MAX($BJ$7:$BJ$29), Y124))), ABS($BJ$7:$BJ$29 - MEDIAN(MIN($BJ$7:$BJ$29), MAX($BJ$7:$BJ$29), Y124)), $BK$7:$BK$29, "Error", 0)</f>
        <v>0</v>
      </c>
      <c r="Z125" s="232" cm="1">
        <f t="array" ref="Z125">_xlfn.XLOOKUP(MIN(ABS($BJ$7:$BJ$29 - MEDIAN(MIN($BJ$7:$BJ$29), MAX($BJ$7:$BJ$29), Z124))), ABS($BJ$7:$BJ$29 - MEDIAN(MIN($BJ$7:$BJ$29), MAX($BJ$7:$BJ$29), Z124)), $BK$7:$BK$29, "Error", 0)</f>
        <v>3</v>
      </c>
      <c r="AA125" s="232" cm="1">
        <f t="array" ref="AA125">_xlfn.XLOOKUP(MIN(ABS($BJ$7:$BJ$29 - MEDIAN(MIN($BJ$7:$BJ$29), MAX($BJ$7:$BJ$29), AA124))), ABS($BJ$7:$BJ$29 - MEDIAN(MIN($BJ$7:$BJ$29), MAX($BJ$7:$BJ$29), AA124)), $BK$7:$BK$29, "Error", 0)</f>
        <v>0</v>
      </c>
      <c r="AB125" s="171" cm="1">
        <f t="array" ref="AB125">_xlfn.XLOOKUP(MIN(ABS($BJ$7:$BJ$29 - MEDIAN(MIN($BJ$7:$BJ$29), MAX($BJ$7:$BJ$29), AB124))), ABS($BJ$7:$BJ$29 - MEDIAN(MIN($BJ$7:$BJ$29), MAX($BJ$7:$BJ$29), AB124)), $BK$7:$BK$29, "Error", 0)</f>
        <v>0</v>
      </c>
      <c r="AC125" s="171" cm="1">
        <f t="array" ref="AC125">_xlfn.XLOOKUP(MIN(ABS($BJ$7:$BJ$29 - MEDIAN(MIN($BJ$7:$BJ$29), MAX($BJ$7:$BJ$29), AC124))), ABS($BJ$7:$BJ$29 - MEDIAN(MIN($BJ$7:$BJ$29), MAX($BJ$7:$BJ$29), AC124)), $BK$7:$BK$29, "Error", 0)</f>
        <v>2</v>
      </c>
      <c r="AD125" s="171" cm="1">
        <f t="array" ref="AD125">_xlfn.XLOOKUP(MIN(ABS($BJ$7:$BJ$29 - MEDIAN(MIN($BJ$7:$BJ$29), MAX($BJ$7:$BJ$29), AD124))), ABS($BJ$7:$BJ$29 - MEDIAN(MIN($BJ$7:$BJ$29), MAX($BJ$7:$BJ$29), AD124)), $BK$7:$BK$29, "Error", 0)</f>
        <v>3</v>
      </c>
      <c r="AE125" s="171" cm="1">
        <f t="array" ref="AE125">_xlfn.XLOOKUP(MIN(ABS($BJ$7:$BJ$29 - MEDIAN(MIN($BJ$7:$BJ$29), MAX($BJ$7:$BJ$29), AE124))), ABS($BJ$7:$BJ$29 - MEDIAN(MIN($BJ$7:$BJ$29), MAX($BJ$7:$BJ$29), AE124)), $BK$7:$BK$29, "Error", 0)</f>
        <v>-2</v>
      </c>
      <c r="AF125" s="171" cm="1">
        <f t="array" ref="AF125">_xlfn.XLOOKUP(MIN(ABS($BJ$7:$BJ$29 - MEDIAN(MIN($BJ$7:$BJ$29), MAX($BJ$7:$BJ$29), AF124))), ABS($BJ$7:$BJ$29 - MEDIAN(MIN($BJ$7:$BJ$29), MAX($BJ$7:$BJ$29), AF124)), $BK$7:$BK$29, "Error", 0)</f>
        <v>-2</v>
      </c>
      <c r="AG125" s="171" cm="1">
        <f t="array" ref="AG125">_xlfn.XLOOKUP(MIN(ABS($BJ$7:$BJ$29 - MEDIAN(MIN($BJ$7:$BJ$29), MAX($BJ$7:$BJ$29), AG124))), ABS($BJ$7:$BJ$29 - MEDIAN(MIN($BJ$7:$BJ$29), MAX($BJ$7:$BJ$29), AG124)), $BK$7:$BK$29, "Error", 0)</f>
        <v>0</v>
      </c>
      <c r="AH125" s="171" cm="1">
        <f t="array" ref="AH125">_xlfn.XLOOKUP(MIN(ABS($BJ$7:$BJ$29 - MEDIAN(MIN($BJ$7:$BJ$29), MAX($BJ$7:$BJ$29), AH124))), ABS($BJ$7:$BJ$29 - MEDIAN(MIN($BJ$7:$BJ$29), MAX($BJ$7:$BJ$29), AH124)), $BK$7:$BK$29, "Error", 0)</f>
        <v>-3</v>
      </c>
      <c r="AI125" s="171" cm="1">
        <f t="array" ref="AI125">_xlfn.XLOOKUP(MIN(ABS($BJ$7:$BJ$29 - MEDIAN(MIN($BJ$7:$BJ$29), MAX($BJ$7:$BJ$29), AI124))), ABS($BJ$7:$BJ$29 - MEDIAN(MIN($BJ$7:$BJ$29), MAX($BJ$7:$BJ$29), AI124)), $BK$7:$BK$29, "Error", 0)</f>
        <v>0</v>
      </c>
      <c r="AJ125" s="171" cm="1">
        <f t="array" ref="AJ125">_xlfn.XLOOKUP(MIN(ABS($BJ$7:$BJ$29 - MEDIAN(MIN($BJ$7:$BJ$29), MAX($BJ$7:$BJ$29), AJ124))), ABS($BJ$7:$BJ$29 - MEDIAN(MIN($BJ$7:$BJ$29), MAX($BJ$7:$BJ$29), AJ124)), $BK$7:$BK$29, "Error", 0)</f>
        <v>0</v>
      </c>
      <c r="AK125" s="171" cm="1">
        <f t="array" ref="AK125">_xlfn.XLOOKUP(MIN(ABS($BJ$7:$BJ$29 - MEDIAN(MIN($BJ$7:$BJ$29), MAX($BJ$7:$BJ$29), AK124))), ABS($BJ$7:$BJ$29 - MEDIAN(MIN($BJ$7:$BJ$29), MAX($BJ$7:$BJ$29), AK124)), $BK$7:$BK$29, "Error", 0)</f>
        <v>-3</v>
      </c>
      <c r="AL125" s="171" cm="1">
        <f t="array" ref="AL125">_xlfn.XLOOKUP(MIN(ABS($BJ$7:$BJ$29 - MEDIAN(MIN($BJ$7:$BJ$29), MAX($BJ$7:$BJ$29), AL124))), ABS($BJ$7:$BJ$29 - MEDIAN(MIN($BJ$7:$BJ$29), MAX($BJ$7:$BJ$29), AL124)), $BK$7:$BK$29, "Error", 0)</f>
        <v>-2</v>
      </c>
      <c r="AM125" s="171" cm="1">
        <f t="array" ref="AM125">_xlfn.XLOOKUP(MIN(ABS($BJ$7:$BJ$29 - MEDIAN(MIN($BJ$7:$BJ$29), MAX($BJ$7:$BJ$29), AM124))), ABS($BJ$7:$BJ$29 - MEDIAN(MIN($BJ$7:$BJ$29), MAX($BJ$7:$BJ$29), AM124)), $BK$7:$BK$29, "Error", 0)</f>
        <v>0</v>
      </c>
      <c r="AN125" s="171" cm="1">
        <f t="array" ref="AN125">_xlfn.XLOOKUP(MIN(ABS($BJ$7:$BJ$29 - MEDIAN(MIN($BJ$7:$BJ$29), MAX($BJ$7:$BJ$29), AN124))), ABS($BJ$7:$BJ$29 - MEDIAN(MIN($BJ$7:$BJ$29), MAX($BJ$7:$BJ$29), AN124)), $BK$7:$BK$29, "Error", 0)</f>
        <v>0</v>
      </c>
      <c r="AO125" s="171" cm="1">
        <f t="array" ref="AO125">_xlfn.XLOOKUP(MIN(ABS($BJ$7:$BJ$29 - MEDIAN(MIN($BJ$7:$BJ$29), MAX($BJ$7:$BJ$29), AO124))), ABS($BJ$7:$BJ$29 - MEDIAN(MIN($BJ$7:$BJ$29), MAX($BJ$7:$BJ$29), AO124)), $BK$7:$BK$29, "Error", 0)</f>
        <v>-2</v>
      </c>
      <c r="AP125" s="171" cm="1">
        <f t="array" ref="AP125">_xlfn.XLOOKUP(MIN(ABS($BJ$7:$BJ$29 - MEDIAN(MIN($BJ$7:$BJ$29), MAX($BJ$7:$BJ$29), AP124))), ABS($BJ$7:$BJ$29 - MEDIAN(MIN($BJ$7:$BJ$29), MAX($BJ$7:$BJ$29), AP124)), $BK$7:$BK$29, "Error", 0)</f>
        <v>-3</v>
      </c>
      <c r="AQ125" s="171" cm="1">
        <f t="array" ref="AQ125">_xlfn.XLOOKUP(MIN(ABS($BJ$7:$BJ$29 - MEDIAN(MIN($BJ$7:$BJ$29), MAX($BJ$7:$BJ$29), AQ124))), ABS($BJ$7:$BJ$29 - MEDIAN(MIN($BJ$7:$BJ$29), MAX($BJ$7:$BJ$29), AQ124)), $BK$7:$BK$29, "Error", 0)</f>
        <v>-5</v>
      </c>
      <c r="AR125" s="171" cm="1">
        <f t="array" ref="AR125">_xlfn.XLOOKUP(MIN(ABS($BJ$7:$BJ$29 - MEDIAN(MIN($BJ$7:$BJ$29), MAX($BJ$7:$BJ$29), AR124))), ABS($BJ$7:$BJ$29 - MEDIAN(MIN($BJ$7:$BJ$29), MAX($BJ$7:$BJ$29), AR124)), $BK$7:$BK$29, "Error", 0)</f>
        <v>-2</v>
      </c>
      <c r="AS125" s="171" cm="1">
        <f t="array" ref="AS125">_xlfn.XLOOKUP(MIN(ABS($BJ$7:$BJ$29 - MEDIAN(MIN($BJ$7:$BJ$29), MAX($BJ$7:$BJ$29), AS124))), ABS($BJ$7:$BJ$29 - MEDIAN(MIN($BJ$7:$BJ$29), MAX($BJ$7:$BJ$29), AS124)), $BK$7:$BK$29, "Error", 0)</f>
        <v>-2</v>
      </c>
      <c r="AT125" s="171" cm="1">
        <f t="array" ref="AT125">_xlfn.XLOOKUP(MIN(ABS($BJ$7:$BJ$29 - MEDIAN(MIN($BJ$7:$BJ$29), MAX($BJ$7:$BJ$29), AT124))), ABS($BJ$7:$BJ$29 - MEDIAN(MIN($BJ$7:$BJ$29), MAX($BJ$7:$BJ$29), AT124)), $BK$7:$BK$29, "Error", 0)</f>
        <v>-2</v>
      </c>
      <c r="AU125" s="171" cm="1">
        <f t="array" ref="AU125">_xlfn.XLOOKUP(MIN(ABS($BJ$7:$BJ$29 - MEDIAN(MIN($BJ$7:$BJ$29), MAX($BJ$7:$BJ$29), AU124))), ABS($BJ$7:$BJ$29 - MEDIAN(MIN($BJ$7:$BJ$29), MAX($BJ$7:$BJ$29), AU124)), $BK$7:$BK$29, "Error", 0)</f>
        <v>-2</v>
      </c>
      <c r="AV125" s="206" t="s">
        <v>25</v>
      </c>
      <c r="AW125" s="184"/>
      <c r="AX125" s="184"/>
      <c r="AY125" s="184"/>
    </row>
    <row r="126" spans="1:51" ht="44">
      <c r="A126" s="283" t="s">
        <v>56</v>
      </c>
      <c r="B126" s="200" t="s">
        <v>76</v>
      </c>
      <c r="C126" s="233">
        <v>16365.5133214372</v>
      </c>
      <c r="D126" s="233">
        <v>16365.5133214372</v>
      </c>
      <c r="E126" s="233">
        <v>16365.5133214372</v>
      </c>
      <c r="F126" s="233">
        <v>16365.5133214372</v>
      </c>
      <c r="G126" s="233">
        <v>16365.5133214372</v>
      </c>
      <c r="H126" s="233">
        <v>16365.5133214372</v>
      </c>
      <c r="I126" s="233">
        <v>16365.5133214372</v>
      </c>
      <c r="J126" s="233">
        <v>16365.5133214372</v>
      </c>
      <c r="K126" s="233">
        <v>16365.5133214372</v>
      </c>
      <c r="L126" s="233">
        <v>16365.5133214372</v>
      </c>
      <c r="M126" s="233">
        <v>16365.5133214372</v>
      </c>
      <c r="N126" s="233">
        <v>16365.5133214372</v>
      </c>
      <c r="O126" s="233">
        <v>16365.5133214372</v>
      </c>
      <c r="P126" s="233">
        <v>16365.5133214372</v>
      </c>
      <c r="Q126" s="233">
        <v>16886.234618653802</v>
      </c>
      <c r="R126" s="233">
        <v>17384.902286529501</v>
      </c>
      <c r="S126" s="233">
        <v>17384.902286529501</v>
      </c>
      <c r="T126" s="233">
        <v>17384.902286529501</v>
      </c>
      <c r="U126" s="233">
        <v>18400.486660364601</v>
      </c>
      <c r="V126" s="233">
        <v>18400.486660364601</v>
      </c>
      <c r="W126" s="233">
        <v>18400.486660364601</v>
      </c>
      <c r="X126" s="233">
        <v>18400.486660364601</v>
      </c>
      <c r="Y126" s="233">
        <v>18400.486660364601</v>
      </c>
      <c r="Z126" s="233">
        <v>18957.196817366901</v>
      </c>
      <c r="AA126" s="204">
        <v>19440.663564284601</v>
      </c>
      <c r="AB126" s="204">
        <v>19855.934468759198</v>
      </c>
      <c r="AC126" s="204">
        <v>19855.934468759198</v>
      </c>
      <c r="AD126" s="204">
        <v>19855.934468759198</v>
      </c>
      <c r="AE126" s="204">
        <v>20091.3660678864</v>
      </c>
      <c r="AF126" s="204">
        <v>20240.587576361399</v>
      </c>
      <c r="AG126" s="204">
        <v>20882.741845215201</v>
      </c>
      <c r="AH126" s="204">
        <v>21717.2591948509</v>
      </c>
      <c r="AI126" s="204">
        <v>21772.521625982099</v>
      </c>
      <c r="AJ126" s="204">
        <v>23019.5545158936</v>
      </c>
      <c r="AK126" s="204">
        <v>23380.914891268101</v>
      </c>
      <c r="AL126" s="204">
        <v>23380.914891268101</v>
      </c>
      <c r="AM126" s="204">
        <v>24101.7218349373</v>
      </c>
      <c r="AN126" s="204">
        <v>24939.664964691299</v>
      </c>
      <c r="AO126" s="204">
        <v>24939.664964691299</v>
      </c>
      <c r="AP126" s="204">
        <v>24939.664964691299</v>
      </c>
      <c r="AQ126" s="204">
        <v>24939.664964691299</v>
      </c>
      <c r="AR126" s="204">
        <v>24939.664964691299</v>
      </c>
      <c r="AS126" s="204">
        <v>24939.664964691299</v>
      </c>
      <c r="AT126" s="204">
        <v>24939.664964691299</v>
      </c>
      <c r="AU126" s="204">
        <v>24939.664964691299</v>
      </c>
      <c r="AV126" s="200" t="s">
        <v>76</v>
      </c>
      <c r="AW126" s="184"/>
      <c r="AX126" s="184"/>
      <c r="AY126" s="184"/>
    </row>
    <row r="127" spans="1:51" ht="22">
      <c r="A127" s="284"/>
      <c r="B127" s="201" t="s">
        <v>77</v>
      </c>
      <c r="C127" s="233">
        <v>14836.175976730099</v>
      </c>
      <c r="D127" s="233">
        <v>15410.295529425701</v>
      </c>
      <c r="E127" s="233">
        <v>15072.608067696099</v>
      </c>
      <c r="F127" s="233">
        <v>16009.0364067885</v>
      </c>
      <c r="G127" s="233">
        <v>15282.673148722501</v>
      </c>
      <c r="H127" s="233">
        <v>15659.117934823</v>
      </c>
      <c r="I127" s="233">
        <v>16064.643155760201</v>
      </c>
      <c r="J127" s="233">
        <v>15883.9667044587</v>
      </c>
      <c r="K127" s="233">
        <v>15479.5167910281</v>
      </c>
      <c r="L127" s="233">
        <v>15247.4405170879</v>
      </c>
      <c r="M127" s="233">
        <v>15371.002557055999</v>
      </c>
      <c r="N127" s="233">
        <v>15569.251504825401</v>
      </c>
      <c r="O127" s="233">
        <v>15790.000295969299</v>
      </c>
      <c r="P127" s="233">
        <v>15845.1443839073</v>
      </c>
      <c r="Q127" s="233">
        <v>16886.234618653802</v>
      </c>
      <c r="R127" s="233">
        <v>17384.902286529501</v>
      </c>
      <c r="S127" s="233">
        <v>17221.687046438499</v>
      </c>
      <c r="T127" s="233">
        <v>16949.489119022001</v>
      </c>
      <c r="U127" s="233">
        <v>18400.486660364601</v>
      </c>
      <c r="V127" s="233">
        <v>17588.765381281301</v>
      </c>
      <c r="W127" s="233">
        <v>17353.7122535706</v>
      </c>
      <c r="X127" s="233">
        <v>17599.890430732001</v>
      </c>
      <c r="Y127" s="233">
        <v>18082.4745738856</v>
      </c>
      <c r="Z127" s="233">
        <v>18957.196817366901</v>
      </c>
      <c r="AA127" s="204">
        <v>19440.663564284601</v>
      </c>
      <c r="AB127" s="204">
        <v>19855.934468759198</v>
      </c>
      <c r="AC127" s="204">
        <v>19452.058325329999</v>
      </c>
      <c r="AD127" s="204">
        <v>19188.7916413108</v>
      </c>
      <c r="AE127" s="204">
        <v>20091.3660678864</v>
      </c>
      <c r="AF127" s="204">
        <v>20240.587576361399</v>
      </c>
      <c r="AG127" s="204">
        <v>20882.741845215201</v>
      </c>
      <c r="AH127" s="204">
        <v>21717.2591948509</v>
      </c>
      <c r="AI127" s="204">
        <v>21772.521625982099</v>
      </c>
      <c r="AJ127" s="204">
        <v>23019.5545158936</v>
      </c>
      <c r="AK127" s="204">
        <v>23380.914891268101</v>
      </c>
      <c r="AL127" s="204">
        <v>23092.4929914493</v>
      </c>
      <c r="AM127" s="204">
        <v>24101.7218349373</v>
      </c>
      <c r="AN127" s="204">
        <v>24939.664964691299</v>
      </c>
      <c r="AO127" s="204">
        <v>23438.514865994501</v>
      </c>
      <c r="AP127" s="204">
        <v>24333.4115180115</v>
      </c>
      <c r="AQ127" s="204">
        <v>23392.714275627201</v>
      </c>
      <c r="AR127" s="204">
        <v>24618</v>
      </c>
      <c r="AS127" s="204">
        <v>24234</v>
      </c>
      <c r="AT127" s="204">
        <v>24234</v>
      </c>
      <c r="AU127" s="204">
        <v>24234</v>
      </c>
      <c r="AV127" s="201" t="s">
        <v>77</v>
      </c>
      <c r="AW127" s="184"/>
      <c r="AX127" s="184"/>
      <c r="AY127" s="184"/>
    </row>
    <row r="128" spans="1:51" ht="22">
      <c r="A128" s="284"/>
      <c r="B128" s="201" t="s">
        <v>78</v>
      </c>
      <c r="C128" s="230">
        <f t="shared" ref="C128:Z128" si="154">+(C127-C126)/C126</f>
        <v>-9.3448785544894608E-2</v>
      </c>
      <c r="D128" s="230">
        <f t="shared" si="154"/>
        <v>-5.8367725671046228E-2</v>
      </c>
      <c r="E128" s="230">
        <f t="shared" si="154"/>
        <v>-7.9001814874179538E-2</v>
      </c>
      <c r="F128" s="230">
        <f t="shared" si="154"/>
        <v>-2.1782201856250377E-2</v>
      </c>
      <c r="G128" s="230">
        <f t="shared" si="154"/>
        <v>-6.6165976675860577E-2</v>
      </c>
      <c r="H128" s="230">
        <f t="shared" si="154"/>
        <v>-4.3163655959932046E-2</v>
      </c>
      <c r="I128" s="230">
        <f t="shared" si="154"/>
        <v>-1.8384401379142132E-2</v>
      </c>
      <c r="J128" s="230">
        <f t="shared" si="154"/>
        <v>-2.9424473740626345E-2</v>
      </c>
      <c r="K128" s="230">
        <f t="shared" si="154"/>
        <v>-5.4138022621541146E-2</v>
      </c>
      <c r="L128" s="230">
        <f t="shared" si="154"/>
        <v>-6.831883500316091E-2</v>
      </c>
      <c r="M128" s="230">
        <f t="shared" si="154"/>
        <v>-6.0768687473951102E-2</v>
      </c>
      <c r="N128" s="230">
        <f t="shared" si="154"/>
        <v>-4.8654863490824637E-2</v>
      </c>
      <c r="O128" s="230">
        <f t="shared" si="154"/>
        <v>-3.516620677666344E-2</v>
      </c>
      <c r="P128" s="230">
        <f t="shared" si="154"/>
        <v>-3.1796676786683388E-2</v>
      </c>
      <c r="Q128" s="230">
        <f t="shared" si="154"/>
        <v>0</v>
      </c>
      <c r="R128" s="230">
        <f t="shared" si="154"/>
        <v>0</v>
      </c>
      <c r="S128" s="230">
        <f t="shared" si="154"/>
        <v>-9.3883323242758328E-3</v>
      </c>
      <c r="T128" s="230">
        <f t="shared" si="154"/>
        <v>-2.5045476835660763E-2</v>
      </c>
      <c r="U128" s="230">
        <f t="shared" si="154"/>
        <v>0</v>
      </c>
      <c r="V128" s="230">
        <f t="shared" si="154"/>
        <v>-4.4114120135299507E-2</v>
      </c>
      <c r="W128" s="230">
        <f t="shared" si="154"/>
        <v>-5.6888408775013277E-2</v>
      </c>
      <c r="X128" s="230">
        <f t="shared" si="154"/>
        <v>-4.3509513873734473E-2</v>
      </c>
      <c r="Y128" s="230">
        <f t="shared" si="154"/>
        <v>-1.7282808457670395E-2</v>
      </c>
      <c r="Z128" s="230">
        <f t="shared" si="154"/>
        <v>0</v>
      </c>
      <c r="AA128" s="230">
        <f t="shared" ref="AA128:AR128" si="155">+(AA127-AA126)/AA126</f>
        <v>0</v>
      </c>
      <c r="AB128" s="205">
        <f t="shared" si="155"/>
        <v>0</v>
      </c>
      <c r="AC128" s="205">
        <f t="shared" si="155"/>
        <v>-2.0340324151686094E-2</v>
      </c>
      <c r="AD128" s="205">
        <f t="shared" si="155"/>
        <v>-3.3599165453434769E-2</v>
      </c>
      <c r="AE128" s="205">
        <f t="shared" si="155"/>
        <v>0</v>
      </c>
      <c r="AF128" s="205">
        <f t="shared" si="155"/>
        <v>0</v>
      </c>
      <c r="AG128" s="205">
        <f t="shared" si="155"/>
        <v>0</v>
      </c>
      <c r="AH128" s="205">
        <f t="shared" si="155"/>
        <v>0</v>
      </c>
      <c r="AI128" s="205">
        <f t="shared" si="155"/>
        <v>0</v>
      </c>
      <c r="AJ128" s="205">
        <f t="shared" si="155"/>
        <v>0</v>
      </c>
      <c r="AK128" s="205">
        <f t="shared" si="155"/>
        <v>0</v>
      </c>
      <c r="AL128" s="205">
        <f t="shared" si="155"/>
        <v>-1.2335783315584265E-2</v>
      </c>
      <c r="AM128" s="205">
        <f t="shared" si="155"/>
        <v>0</v>
      </c>
      <c r="AN128" s="205">
        <f t="shared" si="155"/>
        <v>0</v>
      </c>
      <c r="AO128" s="205">
        <f t="shared" si="155"/>
        <v>-6.0191269643039474E-2</v>
      </c>
      <c r="AP128" s="205">
        <f t="shared" si="155"/>
        <v>-2.4308804770958675E-2</v>
      </c>
      <c r="AQ128" s="205">
        <f t="shared" si="155"/>
        <v>-6.2027725362558683E-2</v>
      </c>
      <c r="AR128" s="205">
        <f t="shared" si="155"/>
        <v>-1.2897725977742733E-2</v>
      </c>
      <c r="AS128" s="205">
        <f t="shared" ref="AS128:AT128" si="156">+(AS127-AS126)/AS126</f>
        <v>-2.8294885504290251E-2</v>
      </c>
      <c r="AT128" s="205">
        <f t="shared" si="156"/>
        <v>-2.8294885504290251E-2</v>
      </c>
      <c r="AU128" s="205">
        <f t="shared" ref="AU128" si="157">+(AU127-AU126)/AU126</f>
        <v>-2.8294885504290251E-2</v>
      </c>
      <c r="AV128" s="201" t="s">
        <v>78</v>
      </c>
      <c r="AW128" s="184"/>
      <c r="AX128" s="184"/>
      <c r="AY128" s="184"/>
    </row>
    <row r="129" spans="1:51" ht="44">
      <c r="A129" s="284"/>
      <c r="B129" s="201" t="s">
        <v>89</v>
      </c>
      <c r="C129" s="233">
        <v>7903.5</v>
      </c>
      <c r="D129" s="233">
        <v>8047.10009765625</v>
      </c>
      <c r="E129" s="233">
        <v>8047.10009765625</v>
      </c>
      <c r="F129" s="233">
        <v>8047.10009765625</v>
      </c>
      <c r="G129" s="233">
        <v>8047.10009765625</v>
      </c>
      <c r="H129" s="233">
        <v>8047.10009765625</v>
      </c>
      <c r="I129" s="233">
        <v>8047.10009765625</v>
      </c>
      <c r="J129" s="233">
        <v>8047.10009765625</v>
      </c>
      <c r="K129" s="233">
        <v>8047.10009765625</v>
      </c>
      <c r="L129" s="233">
        <v>8047.10009765625</v>
      </c>
      <c r="M129" s="233">
        <v>8047.10009765625</v>
      </c>
      <c r="N129" s="233">
        <v>8047.10009765625</v>
      </c>
      <c r="O129" s="233">
        <v>8047.10009765625</v>
      </c>
      <c r="P129" s="233">
        <v>8047.10009765625</v>
      </c>
      <c r="Q129" s="233">
        <v>8047.10009765625</v>
      </c>
      <c r="R129" s="233">
        <v>8200</v>
      </c>
      <c r="S129" s="233">
        <v>8474.400390625</v>
      </c>
      <c r="T129" s="233">
        <v>8474.400390625</v>
      </c>
      <c r="U129" s="233">
        <v>8474.400390625</v>
      </c>
      <c r="V129" s="233">
        <v>8474.400390625</v>
      </c>
      <c r="W129" s="233">
        <v>8474.400390625</v>
      </c>
      <c r="X129" s="233">
        <v>8474.400390625</v>
      </c>
      <c r="Y129" s="233">
        <v>8474.400390625</v>
      </c>
      <c r="Z129" s="233">
        <v>8474.400390625</v>
      </c>
      <c r="AA129" s="231">
        <v>8692.7998046875</v>
      </c>
      <c r="AB129" s="203">
        <v>8820.900390625</v>
      </c>
      <c r="AC129" s="203">
        <v>8820.900390625</v>
      </c>
      <c r="AD129" s="203">
        <v>8820.900390625</v>
      </c>
      <c r="AE129" s="203">
        <v>8824</v>
      </c>
      <c r="AF129" s="203">
        <v>8824</v>
      </c>
      <c r="AG129" s="203">
        <v>9190.7001953125</v>
      </c>
      <c r="AH129" s="203">
        <v>9357.5</v>
      </c>
      <c r="AI129" s="203">
        <v>9363.599609375</v>
      </c>
      <c r="AJ129" s="203">
        <v>9787.599609375</v>
      </c>
      <c r="AK129" s="203">
        <v>9930.099609375</v>
      </c>
      <c r="AL129" s="203">
        <v>9954.2998046875</v>
      </c>
      <c r="AM129" s="203">
        <v>10277.7001953125</v>
      </c>
      <c r="AN129" s="203">
        <v>10934.900390625</v>
      </c>
      <c r="AO129" s="203">
        <v>10934.900390625</v>
      </c>
      <c r="AP129" s="203">
        <v>10934.900390625</v>
      </c>
      <c r="AQ129" s="203">
        <v>10934.900390625</v>
      </c>
      <c r="AR129" s="203">
        <v>10934.900390625</v>
      </c>
      <c r="AS129" s="203">
        <v>10934.900390625</v>
      </c>
      <c r="AT129" s="203">
        <v>10934.900390625</v>
      </c>
      <c r="AU129" s="203">
        <v>10934.900390625</v>
      </c>
      <c r="AV129" s="201" t="s">
        <v>89</v>
      </c>
      <c r="AW129" s="184"/>
      <c r="AX129" s="184"/>
      <c r="AY129" s="184"/>
    </row>
    <row r="130" spans="1:51" ht="44">
      <c r="A130" s="284"/>
      <c r="B130" s="201" t="s">
        <v>90</v>
      </c>
      <c r="C130" s="233">
        <v>7771.7001953125</v>
      </c>
      <c r="D130" s="233">
        <v>8047.10009765625</v>
      </c>
      <c r="E130" s="233">
        <v>7631.7001953125</v>
      </c>
      <c r="F130" s="233">
        <v>7870.60009765625</v>
      </c>
      <c r="G130" s="233">
        <v>7446.10009765625</v>
      </c>
      <c r="H130" s="233">
        <v>7531.5</v>
      </c>
      <c r="I130" s="233">
        <v>7699.39990234375</v>
      </c>
      <c r="J130" s="233">
        <v>7439.10009765625</v>
      </c>
      <c r="K130" s="233">
        <v>7608.10009765625</v>
      </c>
      <c r="L130" s="233">
        <v>7321.7001953125</v>
      </c>
      <c r="M130" s="233">
        <v>7453.7998046875</v>
      </c>
      <c r="N130" s="233">
        <v>7733.2001953125</v>
      </c>
      <c r="O130" s="233">
        <v>7630.60009765625</v>
      </c>
      <c r="P130" s="233">
        <v>7630</v>
      </c>
      <c r="Q130" s="233">
        <v>7952.60009765625</v>
      </c>
      <c r="R130" s="233">
        <v>8200</v>
      </c>
      <c r="S130" s="233">
        <v>8474.400390625</v>
      </c>
      <c r="T130" s="233">
        <v>8164.10009765625</v>
      </c>
      <c r="U130" s="233">
        <v>8368</v>
      </c>
      <c r="V130" s="233">
        <v>8376.599609375</v>
      </c>
      <c r="W130" s="233">
        <v>8237</v>
      </c>
      <c r="X130" s="233">
        <v>8110.10009765625</v>
      </c>
      <c r="Y130" s="233">
        <v>8287.2998046875</v>
      </c>
      <c r="Z130" s="233">
        <v>8173</v>
      </c>
      <c r="AA130" s="231">
        <v>8692.7998046875</v>
      </c>
      <c r="AB130" s="203">
        <v>8820.900390625</v>
      </c>
      <c r="AC130" s="203">
        <v>8582.7998046875</v>
      </c>
      <c r="AD130" s="203">
        <v>8494.900390625</v>
      </c>
      <c r="AE130" s="203">
        <v>8824</v>
      </c>
      <c r="AF130" s="203">
        <v>8761</v>
      </c>
      <c r="AG130" s="203">
        <v>9190.7001953125</v>
      </c>
      <c r="AH130" s="203">
        <v>9357.5</v>
      </c>
      <c r="AI130" s="203">
        <v>9363.599609375</v>
      </c>
      <c r="AJ130" s="203">
        <v>9787.599609375</v>
      </c>
      <c r="AK130" s="203">
        <v>9930.099609375</v>
      </c>
      <c r="AL130" s="203">
        <v>9954.2998046875</v>
      </c>
      <c r="AM130" s="203">
        <v>10277.7001953125</v>
      </c>
      <c r="AN130" s="203">
        <v>10934.900390625</v>
      </c>
      <c r="AO130" s="203">
        <v>10176.5</v>
      </c>
      <c r="AP130" s="203">
        <v>10378.7998046875</v>
      </c>
      <c r="AQ130" s="203">
        <v>10409.2998046875</v>
      </c>
      <c r="AR130" s="203">
        <v>10497</v>
      </c>
      <c r="AS130" s="203">
        <v>10498</v>
      </c>
      <c r="AT130" s="203">
        <v>10498</v>
      </c>
      <c r="AU130" s="203">
        <v>10498</v>
      </c>
      <c r="AV130" s="201" t="s">
        <v>90</v>
      </c>
      <c r="AW130" s="184"/>
      <c r="AX130" s="184"/>
      <c r="AY130" s="184"/>
    </row>
    <row r="131" spans="1:51" ht="44">
      <c r="A131" s="284"/>
      <c r="B131" s="201" t="s">
        <v>79</v>
      </c>
      <c r="C131" s="230">
        <f t="shared" ref="C131:Z131" si="158">+(C130-C129)/C129</f>
        <v>-1.6676131421205796E-2</v>
      </c>
      <c r="D131" s="230">
        <f t="shared" si="158"/>
        <v>0</v>
      </c>
      <c r="E131" s="230">
        <f t="shared" si="158"/>
        <v>-5.162106812424725E-2</v>
      </c>
      <c r="F131" s="230">
        <f t="shared" si="158"/>
        <v>-2.1933367033846931E-2</v>
      </c>
      <c r="G131" s="230">
        <f t="shared" si="158"/>
        <v>-7.4685289446696904E-2</v>
      </c>
      <c r="H131" s="230">
        <f t="shared" si="158"/>
        <v>-6.407278291547791E-2</v>
      </c>
      <c r="I131" s="230">
        <f t="shared" si="158"/>
        <v>-4.3208135986001851E-2</v>
      </c>
      <c r="J131" s="230">
        <f t="shared" si="158"/>
        <v>-7.5555168025942962E-2</v>
      </c>
      <c r="K131" s="230">
        <f t="shared" si="158"/>
        <v>-5.455381375557395E-2</v>
      </c>
      <c r="L131" s="230">
        <f t="shared" si="158"/>
        <v>-9.0144262348001061E-2</v>
      </c>
      <c r="M131" s="230">
        <f t="shared" si="158"/>
        <v>-7.372845941627483E-2</v>
      </c>
      <c r="N131" s="230">
        <f t="shared" si="158"/>
        <v>-3.9007828725179473E-2</v>
      </c>
      <c r="O131" s="230">
        <f t="shared" si="158"/>
        <v>-5.1757775465140203E-2</v>
      </c>
      <c r="P131" s="230">
        <f t="shared" si="158"/>
        <v>-5.1832348621801298E-2</v>
      </c>
      <c r="Q131" s="230">
        <f t="shared" si="158"/>
        <v>-1.1743360819821727E-2</v>
      </c>
      <c r="R131" s="230">
        <f t="shared" si="158"/>
        <v>0</v>
      </c>
      <c r="S131" s="230">
        <f t="shared" si="158"/>
        <v>0</v>
      </c>
      <c r="T131" s="230">
        <f t="shared" si="158"/>
        <v>-3.6616194499380375E-2</v>
      </c>
      <c r="U131" s="230">
        <f t="shared" si="158"/>
        <v>-1.2555506669558342E-2</v>
      </c>
      <c r="V131" s="230">
        <f t="shared" si="158"/>
        <v>-1.1540731702763816E-2</v>
      </c>
      <c r="W131" s="230">
        <f t="shared" si="158"/>
        <v>-2.8013827490099435E-2</v>
      </c>
      <c r="X131" s="230">
        <f t="shared" si="158"/>
        <v>-4.2988326746015632E-2</v>
      </c>
      <c r="Y131" s="230">
        <f t="shared" si="158"/>
        <v>-2.2078327352161024E-2</v>
      </c>
      <c r="Z131" s="230">
        <f t="shared" si="158"/>
        <v>-3.556598422685233E-2</v>
      </c>
      <c r="AA131" s="230">
        <f>+(AA130-AA129)/AA129</f>
        <v>0</v>
      </c>
      <c r="AB131" s="205">
        <f t="shared" ref="AB131:AK131" si="159">+(AB130-AB129)/AB129</f>
        <v>0</v>
      </c>
      <c r="AC131" s="205">
        <f t="shared" si="159"/>
        <v>-2.6992775725090068E-2</v>
      </c>
      <c r="AD131" s="205">
        <f t="shared" si="159"/>
        <v>-3.6957678418688217E-2</v>
      </c>
      <c r="AE131" s="205">
        <f t="shared" si="159"/>
        <v>0</v>
      </c>
      <c r="AF131" s="205">
        <f t="shared" si="159"/>
        <v>-7.1396192203082506E-3</v>
      </c>
      <c r="AG131" s="205">
        <f t="shared" si="159"/>
        <v>0</v>
      </c>
      <c r="AH131" s="205">
        <f t="shared" si="159"/>
        <v>0</v>
      </c>
      <c r="AI131" s="205">
        <f t="shared" si="159"/>
        <v>0</v>
      </c>
      <c r="AJ131" s="205">
        <f t="shared" si="159"/>
        <v>0</v>
      </c>
      <c r="AK131" s="205">
        <f t="shared" si="159"/>
        <v>0</v>
      </c>
      <c r="AL131" s="205">
        <f t="shared" ref="AL131:AR131" si="160">+(AL130-AL129)/AL129</f>
        <v>0</v>
      </c>
      <c r="AM131" s="205">
        <f t="shared" si="160"/>
        <v>0</v>
      </c>
      <c r="AN131" s="205">
        <f t="shared" si="160"/>
        <v>0</v>
      </c>
      <c r="AO131" s="205">
        <f t="shared" si="160"/>
        <v>-6.9355948708523407E-2</v>
      </c>
      <c r="AP131" s="205">
        <f t="shared" si="160"/>
        <v>-5.0855569421946537E-2</v>
      </c>
      <c r="AQ131" s="205">
        <f t="shared" si="160"/>
        <v>-4.8066335052134715E-2</v>
      </c>
      <c r="AR131" s="205">
        <f t="shared" si="160"/>
        <v>-4.0046125248697502E-2</v>
      </c>
      <c r="AS131" s="205">
        <f t="shared" ref="AS131:AT131" si="161">+(AS130-AS129)/AS129</f>
        <v>-3.9954674941490555E-2</v>
      </c>
      <c r="AT131" s="205">
        <f t="shared" si="161"/>
        <v>-3.9954674941490555E-2</v>
      </c>
      <c r="AU131" s="205">
        <f t="shared" ref="AU131" si="162">+(AU130-AU129)/AU129</f>
        <v>-3.9954674941490555E-2</v>
      </c>
      <c r="AV131" s="201" t="s">
        <v>79</v>
      </c>
      <c r="AW131" s="184"/>
      <c r="AX131" s="184"/>
      <c r="AY131" s="184"/>
    </row>
    <row r="132" spans="1:51" ht="22">
      <c r="A132" s="284"/>
      <c r="B132" s="201" t="s">
        <v>80</v>
      </c>
      <c r="C132" s="230">
        <f t="shared" ref="C132:Z132" si="163">+C128-C131</f>
        <v>-7.6772654123688805E-2</v>
      </c>
      <c r="D132" s="230">
        <f t="shared" si="163"/>
        <v>-5.8367725671046228E-2</v>
      </c>
      <c r="E132" s="230">
        <f t="shared" si="163"/>
        <v>-2.7380746749932287E-2</v>
      </c>
      <c r="F132" s="230">
        <f t="shared" si="163"/>
        <v>1.5116517759655376E-4</v>
      </c>
      <c r="G132" s="230">
        <f t="shared" si="163"/>
        <v>8.5193127708363264E-3</v>
      </c>
      <c r="H132" s="230">
        <f t="shared" si="163"/>
        <v>2.0909126955545865E-2</v>
      </c>
      <c r="I132" s="230">
        <f t="shared" si="163"/>
        <v>2.4823734606859719E-2</v>
      </c>
      <c r="J132" s="230">
        <f t="shared" si="163"/>
        <v>4.6130694285316617E-2</v>
      </c>
      <c r="K132" s="230">
        <f t="shared" si="163"/>
        <v>4.1579113403280438E-4</v>
      </c>
      <c r="L132" s="230">
        <f t="shared" si="163"/>
        <v>2.1825427344840151E-2</v>
      </c>
      <c r="M132" s="230">
        <f t="shared" si="163"/>
        <v>1.2959771942323728E-2</v>
      </c>
      <c r="N132" s="230">
        <f t="shared" si="163"/>
        <v>-9.6470347656451641E-3</v>
      </c>
      <c r="O132" s="230">
        <f t="shared" si="163"/>
        <v>1.6591568688476763E-2</v>
      </c>
      <c r="P132" s="230">
        <f t="shared" si="163"/>
        <v>2.003567183511791E-2</v>
      </c>
      <c r="Q132" s="230">
        <f t="shared" si="163"/>
        <v>1.1743360819821727E-2</v>
      </c>
      <c r="R132" s="230">
        <f t="shared" si="163"/>
        <v>0</v>
      </c>
      <c r="S132" s="230">
        <f t="shared" si="163"/>
        <v>-9.3883323242758328E-3</v>
      </c>
      <c r="T132" s="230">
        <f t="shared" si="163"/>
        <v>1.1570717663719612E-2</v>
      </c>
      <c r="U132" s="230">
        <f t="shared" si="163"/>
        <v>1.2555506669558342E-2</v>
      </c>
      <c r="V132" s="230">
        <f t="shared" si="163"/>
        <v>-3.257338843253569E-2</v>
      </c>
      <c r="W132" s="230">
        <f t="shared" si="163"/>
        <v>-2.8874581284913842E-2</v>
      </c>
      <c r="X132" s="230">
        <f t="shared" si="163"/>
        <v>-5.2118712771884179E-4</v>
      </c>
      <c r="Y132" s="230">
        <f t="shared" si="163"/>
        <v>4.7955188944906295E-3</v>
      </c>
      <c r="Z132" s="230">
        <f t="shared" si="163"/>
        <v>3.556598422685233E-2</v>
      </c>
      <c r="AA132" s="230">
        <f t="shared" ref="AA132:AR132" si="164">+AA128-AA131</f>
        <v>0</v>
      </c>
      <c r="AB132" s="205">
        <f t="shared" si="164"/>
        <v>0</v>
      </c>
      <c r="AC132" s="205">
        <f t="shared" si="164"/>
        <v>6.6524515734039738E-3</v>
      </c>
      <c r="AD132" s="205">
        <f t="shared" si="164"/>
        <v>3.3585129652534476E-3</v>
      </c>
      <c r="AE132" s="205">
        <f t="shared" si="164"/>
        <v>0</v>
      </c>
      <c r="AF132" s="205">
        <f t="shared" si="164"/>
        <v>7.1396192203082506E-3</v>
      </c>
      <c r="AG132" s="205">
        <f t="shared" si="164"/>
        <v>0</v>
      </c>
      <c r="AH132" s="205">
        <f t="shared" si="164"/>
        <v>0</v>
      </c>
      <c r="AI132" s="205">
        <f t="shared" si="164"/>
        <v>0</v>
      </c>
      <c r="AJ132" s="205">
        <f t="shared" si="164"/>
        <v>0</v>
      </c>
      <c r="AK132" s="205">
        <f t="shared" si="164"/>
        <v>0</v>
      </c>
      <c r="AL132" s="205">
        <f t="shared" si="164"/>
        <v>-1.2335783315584265E-2</v>
      </c>
      <c r="AM132" s="205">
        <f t="shared" si="164"/>
        <v>0</v>
      </c>
      <c r="AN132" s="205">
        <f t="shared" si="164"/>
        <v>0</v>
      </c>
      <c r="AO132" s="205">
        <f t="shared" si="164"/>
        <v>9.1646790654839327E-3</v>
      </c>
      <c r="AP132" s="205">
        <f t="shared" si="164"/>
        <v>2.6546764650987861E-2</v>
      </c>
      <c r="AQ132" s="205">
        <f t="shared" si="164"/>
        <v>-1.3961390310423968E-2</v>
      </c>
      <c r="AR132" s="205">
        <f t="shared" si="164"/>
        <v>2.7148399270954769E-2</v>
      </c>
      <c r="AS132" s="205">
        <f t="shared" ref="AS132:AT132" si="165">+AS128-AS131</f>
        <v>1.1659789437200304E-2</v>
      </c>
      <c r="AT132" s="205">
        <f t="shared" si="165"/>
        <v>1.1659789437200304E-2</v>
      </c>
      <c r="AU132" s="205">
        <f t="shared" ref="AU132" si="166">+AU128-AU131</f>
        <v>1.1659789437200304E-2</v>
      </c>
      <c r="AV132" s="201" t="s">
        <v>80</v>
      </c>
      <c r="AW132" s="184"/>
      <c r="AX132" s="184"/>
      <c r="AY132" s="184"/>
    </row>
    <row r="133" spans="1:51" ht="22">
      <c r="A133" s="285"/>
      <c r="B133" s="206" t="s">
        <v>25</v>
      </c>
      <c r="C133" s="232" cm="1">
        <f t="array" ref="C133">_xlfn.XLOOKUP(MIN(ABS($BJ$7:$BJ$29 - MEDIAN(MIN($BJ$7:$BJ$29), MAX($BJ$7:$BJ$29), C132))), ABS($BJ$7:$BJ$29 - MEDIAN(MIN($BJ$7:$BJ$29), MAX($BJ$7:$BJ$29), C132)), $BK$7:$BK$29, "Error", 0)</f>
        <v>-7</v>
      </c>
      <c r="D133" s="232" cm="1">
        <f t="array" ref="D133">_xlfn.XLOOKUP(MIN(ABS($BJ$7:$BJ$29 - MEDIAN(MIN($BJ$7:$BJ$29), MAX($BJ$7:$BJ$29), D132))), ABS($BJ$7:$BJ$29 - MEDIAN(MIN($BJ$7:$BJ$29), MAX($BJ$7:$BJ$29), D132)), $BK$7:$BK$29, "Error", 0)</f>
        <v>-5</v>
      </c>
      <c r="E133" s="232" cm="1">
        <f t="array" ref="E133">_xlfn.XLOOKUP(MIN(ABS($BJ$7:$BJ$29 - MEDIAN(MIN($BJ$7:$BJ$29), MAX($BJ$7:$BJ$29), E132))), ABS($BJ$7:$BJ$29 - MEDIAN(MIN($BJ$7:$BJ$29), MAX($BJ$7:$BJ$29), E132)), $BK$7:$BK$29, "Error", 0)</f>
        <v>-2</v>
      </c>
      <c r="F133" s="232" cm="1">
        <f t="array" ref="F133">_xlfn.XLOOKUP(MIN(ABS($BJ$7:$BJ$29 - MEDIAN(MIN($BJ$7:$BJ$29), MAX($BJ$7:$BJ$29), F132))), ABS($BJ$7:$BJ$29 - MEDIAN(MIN($BJ$7:$BJ$29), MAX($BJ$7:$BJ$29), F132)), $BK$7:$BK$29, "Error", 0)</f>
        <v>0</v>
      </c>
      <c r="G133" s="232" cm="1">
        <f t="array" ref="G133">_xlfn.XLOOKUP(MIN(ABS($BJ$7:$BJ$29 - MEDIAN(MIN($BJ$7:$BJ$29), MAX($BJ$7:$BJ$29), G132))), ABS($BJ$7:$BJ$29 - MEDIAN(MIN($BJ$7:$BJ$29), MAX($BJ$7:$BJ$29), G132)), $BK$7:$BK$29, "Error", 0)</f>
        <v>0</v>
      </c>
      <c r="H133" s="232" cm="1">
        <f t="array" ref="H133">_xlfn.XLOOKUP(MIN(ABS($BJ$7:$BJ$29 - MEDIAN(MIN($BJ$7:$BJ$29), MAX($BJ$7:$BJ$29), H132))), ABS($BJ$7:$BJ$29 - MEDIAN(MIN($BJ$7:$BJ$29), MAX($BJ$7:$BJ$29), H132)), $BK$7:$BK$29, "Error", 0)</f>
        <v>2</v>
      </c>
      <c r="I133" s="232" cm="1">
        <f t="array" ref="I133">_xlfn.XLOOKUP(MIN(ABS($BJ$7:$BJ$29 - MEDIAN(MIN($BJ$7:$BJ$29), MAX($BJ$7:$BJ$29), I132))), ABS($BJ$7:$BJ$29 - MEDIAN(MIN($BJ$7:$BJ$29), MAX($BJ$7:$BJ$29), I132)), $BK$7:$BK$29, "Error", 0)</f>
        <v>2</v>
      </c>
      <c r="J133" s="232" cm="1">
        <f t="array" ref="J133">_xlfn.XLOOKUP(MIN(ABS($BJ$7:$BJ$29 - MEDIAN(MIN($BJ$7:$BJ$29), MAX($BJ$7:$BJ$29), J132))), ABS($BJ$7:$BJ$29 - MEDIAN(MIN($BJ$7:$BJ$29), MAX($BJ$7:$BJ$29), J132)), $BK$7:$BK$29, "Error", 0)</f>
        <v>3</v>
      </c>
      <c r="K133" s="232" cm="1">
        <f t="array" ref="K133">_xlfn.XLOOKUP(MIN(ABS($BJ$7:$BJ$29 - MEDIAN(MIN($BJ$7:$BJ$29), MAX($BJ$7:$BJ$29), K132))), ABS($BJ$7:$BJ$29 - MEDIAN(MIN($BJ$7:$BJ$29), MAX($BJ$7:$BJ$29), K132)), $BK$7:$BK$29, "Error", 0)</f>
        <v>0</v>
      </c>
      <c r="L133" s="232" cm="1">
        <f t="array" ref="L133">_xlfn.XLOOKUP(MIN(ABS($BJ$7:$BJ$29 - MEDIAN(MIN($BJ$7:$BJ$29), MAX($BJ$7:$BJ$29), L132))), ABS($BJ$7:$BJ$29 - MEDIAN(MIN($BJ$7:$BJ$29), MAX($BJ$7:$BJ$29), L132)), $BK$7:$BK$29, "Error", 0)</f>
        <v>2</v>
      </c>
      <c r="M133" s="232" cm="1">
        <f t="array" ref="M133">_xlfn.XLOOKUP(MIN(ABS($BJ$7:$BJ$29 - MEDIAN(MIN($BJ$7:$BJ$29), MAX($BJ$7:$BJ$29), M132))), ABS($BJ$7:$BJ$29 - MEDIAN(MIN($BJ$7:$BJ$29), MAX($BJ$7:$BJ$29), M132)), $BK$7:$BK$29, "Error", 0)</f>
        <v>2</v>
      </c>
      <c r="N133" s="232" cm="1">
        <f t="array" ref="N133">_xlfn.XLOOKUP(MIN(ABS($BJ$7:$BJ$29 - MEDIAN(MIN($BJ$7:$BJ$29), MAX($BJ$7:$BJ$29), N132))), ABS($BJ$7:$BJ$29 - MEDIAN(MIN($BJ$7:$BJ$29), MAX($BJ$7:$BJ$29), N132)), $BK$7:$BK$29, "Error", 0)</f>
        <v>0</v>
      </c>
      <c r="O133" s="232" cm="1">
        <f t="array" ref="O133">_xlfn.XLOOKUP(MIN(ABS($BJ$7:$BJ$29 - MEDIAN(MIN($BJ$7:$BJ$29), MAX($BJ$7:$BJ$29), O132))), ABS($BJ$7:$BJ$29 - MEDIAN(MIN($BJ$7:$BJ$29), MAX($BJ$7:$BJ$29), O132)), $BK$7:$BK$29, "Error", 0)</f>
        <v>2</v>
      </c>
      <c r="P133" s="232" cm="1">
        <f t="array" ref="P133">_xlfn.XLOOKUP(MIN(ABS($BJ$7:$BJ$29 - MEDIAN(MIN($BJ$7:$BJ$29), MAX($BJ$7:$BJ$29), P132))), ABS($BJ$7:$BJ$29 - MEDIAN(MIN($BJ$7:$BJ$29), MAX($BJ$7:$BJ$29), P132)), $BK$7:$BK$29, "Error", 0)</f>
        <v>2</v>
      </c>
      <c r="Q133" s="232" cm="1">
        <f t="array" ref="Q133">_xlfn.XLOOKUP(MIN(ABS($BJ$7:$BJ$29 - MEDIAN(MIN($BJ$7:$BJ$29), MAX($BJ$7:$BJ$29), Q132))), ABS($BJ$7:$BJ$29 - MEDIAN(MIN($BJ$7:$BJ$29), MAX($BJ$7:$BJ$29), Q132)), $BK$7:$BK$29, "Error", 0)</f>
        <v>2</v>
      </c>
      <c r="R133" s="232" cm="1">
        <f t="array" ref="R133">_xlfn.XLOOKUP(MIN(ABS($BJ$7:$BJ$29 - MEDIAN(MIN($BJ$7:$BJ$29), MAX($BJ$7:$BJ$29), R132))), ABS($BJ$7:$BJ$29 - MEDIAN(MIN($BJ$7:$BJ$29), MAX($BJ$7:$BJ$29), R132)), $BK$7:$BK$29, "Error", 0)</f>
        <v>0</v>
      </c>
      <c r="S133" s="232" cm="1">
        <f t="array" ref="S133">_xlfn.XLOOKUP(MIN(ABS($BJ$7:$BJ$29 - MEDIAN(MIN($BJ$7:$BJ$29), MAX($BJ$7:$BJ$29), S132))), ABS($BJ$7:$BJ$29 - MEDIAN(MIN($BJ$7:$BJ$29), MAX($BJ$7:$BJ$29), S132)), $BK$7:$BK$29, "Error", 0)</f>
        <v>0</v>
      </c>
      <c r="T133" s="232" cm="1">
        <f t="array" ref="T133">_xlfn.XLOOKUP(MIN(ABS($BJ$7:$BJ$29 - MEDIAN(MIN($BJ$7:$BJ$29), MAX($BJ$7:$BJ$29), T132))), ABS($BJ$7:$BJ$29 - MEDIAN(MIN($BJ$7:$BJ$29), MAX($BJ$7:$BJ$29), T132)), $BK$7:$BK$29, "Error", 0)</f>
        <v>2</v>
      </c>
      <c r="U133" s="232" cm="1">
        <f t="array" ref="U133">_xlfn.XLOOKUP(MIN(ABS($BJ$7:$BJ$29 - MEDIAN(MIN($BJ$7:$BJ$29), MAX($BJ$7:$BJ$29), U132))), ABS($BJ$7:$BJ$29 - MEDIAN(MIN($BJ$7:$BJ$29), MAX($BJ$7:$BJ$29), U132)), $BK$7:$BK$29, "Error", 0)</f>
        <v>2</v>
      </c>
      <c r="V133" s="232" cm="1">
        <f t="array" ref="V133">_xlfn.XLOOKUP(MIN(ABS($BJ$7:$BJ$29 - MEDIAN(MIN($BJ$7:$BJ$29), MAX($BJ$7:$BJ$29), V132))), ABS($BJ$7:$BJ$29 - MEDIAN(MIN($BJ$7:$BJ$29), MAX($BJ$7:$BJ$29), V132)), $BK$7:$BK$29, "Error", 0)</f>
        <v>-3</v>
      </c>
      <c r="W133" s="232" cm="1">
        <f t="array" ref="W133">_xlfn.XLOOKUP(MIN(ABS($BJ$7:$BJ$29 - MEDIAN(MIN($BJ$7:$BJ$29), MAX($BJ$7:$BJ$29), W132))), ABS($BJ$7:$BJ$29 - MEDIAN(MIN($BJ$7:$BJ$29), MAX($BJ$7:$BJ$29), W132)), $BK$7:$BK$29, "Error", 0)</f>
        <v>-2</v>
      </c>
      <c r="X133" s="232" cm="1">
        <f t="array" ref="X133">_xlfn.XLOOKUP(MIN(ABS($BJ$7:$BJ$29 - MEDIAN(MIN($BJ$7:$BJ$29), MAX($BJ$7:$BJ$29), X132))), ABS($BJ$7:$BJ$29 - MEDIAN(MIN($BJ$7:$BJ$29), MAX($BJ$7:$BJ$29), X132)), $BK$7:$BK$29, "Error", 0)</f>
        <v>0</v>
      </c>
      <c r="Y133" s="232" cm="1">
        <f t="array" ref="Y133">_xlfn.XLOOKUP(MIN(ABS($BJ$7:$BJ$29 - MEDIAN(MIN($BJ$7:$BJ$29), MAX($BJ$7:$BJ$29), Y132))), ABS($BJ$7:$BJ$29 - MEDIAN(MIN($BJ$7:$BJ$29), MAX($BJ$7:$BJ$29), Y132)), $BK$7:$BK$29, "Error", 0)</f>
        <v>0</v>
      </c>
      <c r="Z133" s="232" cm="1">
        <f t="array" ref="Z133">_xlfn.XLOOKUP(MIN(ABS($BJ$7:$BJ$29 - MEDIAN(MIN($BJ$7:$BJ$29), MAX($BJ$7:$BJ$29), Z132))), ABS($BJ$7:$BJ$29 - MEDIAN(MIN($BJ$7:$BJ$29), MAX($BJ$7:$BJ$29), Z132)), $BK$7:$BK$29, "Error", 0)</f>
        <v>3</v>
      </c>
      <c r="AA133" s="232" cm="1">
        <f t="array" ref="AA133">_xlfn.XLOOKUP(MIN(ABS($BJ$7:$BJ$29 - MEDIAN(MIN($BJ$7:$BJ$29), MAX($BJ$7:$BJ$29), AA132))), ABS($BJ$7:$BJ$29 - MEDIAN(MIN($BJ$7:$BJ$29), MAX($BJ$7:$BJ$29), AA132)), $BK$7:$BK$29, "Error", 0)</f>
        <v>0</v>
      </c>
      <c r="AB133" s="171" cm="1">
        <f t="array" ref="AB133">_xlfn.XLOOKUP(MIN(ABS($BJ$7:$BJ$29 - MEDIAN(MIN($BJ$7:$BJ$29), MAX($BJ$7:$BJ$29), AB132))), ABS($BJ$7:$BJ$29 - MEDIAN(MIN($BJ$7:$BJ$29), MAX($BJ$7:$BJ$29), AB132)), $BK$7:$BK$29, "Error", 0)</f>
        <v>0</v>
      </c>
      <c r="AC133" s="171" cm="1">
        <f t="array" ref="AC133">_xlfn.XLOOKUP(MIN(ABS($BJ$7:$BJ$29 - MEDIAN(MIN($BJ$7:$BJ$29), MAX($BJ$7:$BJ$29), AC132))), ABS($BJ$7:$BJ$29 - MEDIAN(MIN($BJ$7:$BJ$29), MAX($BJ$7:$BJ$29), AC132)), $BK$7:$BK$29, "Error", 0)</f>
        <v>0</v>
      </c>
      <c r="AD133" s="171" cm="1">
        <f t="array" ref="AD133">_xlfn.XLOOKUP(MIN(ABS($BJ$7:$BJ$29 - MEDIAN(MIN($BJ$7:$BJ$29), MAX($BJ$7:$BJ$29), AD132))), ABS($BJ$7:$BJ$29 - MEDIAN(MIN($BJ$7:$BJ$29), MAX($BJ$7:$BJ$29), AD132)), $BK$7:$BK$29, "Error", 0)</f>
        <v>0</v>
      </c>
      <c r="AE133" s="171" cm="1">
        <f t="array" ref="AE133">_xlfn.XLOOKUP(MIN(ABS($BJ$7:$BJ$29 - MEDIAN(MIN($BJ$7:$BJ$29), MAX($BJ$7:$BJ$29), AE132))), ABS($BJ$7:$BJ$29 - MEDIAN(MIN($BJ$7:$BJ$29), MAX($BJ$7:$BJ$29), AE132)), $BK$7:$BK$29, "Error", 0)</f>
        <v>0</v>
      </c>
      <c r="AF133" s="171" cm="1">
        <f t="array" ref="AF133">_xlfn.XLOOKUP(MIN(ABS($BJ$7:$BJ$29 - MEDIAN(MIN($BJ$7:$BJ$29), MAX($BJ$7:$BJ$29), AF132))), ABS($BJ$7:$BJ$29 - MEDIAN(MIN($BJ$7:$BJ$29), MAX($BJ$7:$BJ$29), AF132)), $BK$7:$BK$29, "Error", 0)</f>
        <v>0</v>
      </c>
      <c r="AG133" s="171" cm="1">
        <f t="array" ref="AG133">_xlfn.XLOOKUP(MIN(ABS($BJ$7:$BJ$29 - MEDIAN(MIN($BJ$7:$BJ$29), MAX($BJ$7:$BJ$29), AG132))), ABS($BJ$7:$BJ$29 - MEDIAN(MIN($BJ$7:$BJ$29), MAX($BJ$7:$BJ$29), AG132)), $BK$7:$BK$29, "Error", 0)</f>
        <v>0</v>
      </c>
      <c r="AH133" s="171" cm="1">
        <f t="array" ref="AH133">_xlfn.XLOOKUP(MIN(ABS($BJ$7:$BJ$29 - MEDIAN(MIN($BJ$7:$BJ$29), MAX($BJ$7:$BJ$29), AH132))), ABS($BJ$7:$BJ$29 - MEDIAN(MIN($BJ$7:$BJ$29), MAX($BJ$7:$BJ$29), AH132)), $BK$7:$BK$29, "Error", 0)</f>
        <v>0</v>
      </c>
      <c r="AI133" s="171" cm="1">
        <f t="array" ref="AI133">_xlfn.XLOOKUP(MIN(ABS($BJ$7:$BJ$29 - MEDIAN(MIN($BJ$7:$BJ$29), MAX($BJ$7:$BJ$29), AI132))), ABS($BJ$7:$BJ$29 - MEDIAN(MIN($BJ$7:$BJ$29), MAX($BJ$7:$BJ$29), AI132)), $BK$7:$BK$29, "Error", 0)</f>
        <v>0</v>
      </c>
      <c r="AJ133" s="171" cm="1">
        <f t="array" ref="AJ133">_xlfn.XLOOKUP(MIN(ABS($BJ$7:$BJ$29 - MEDIAN(MIN($BJ$7:$BJ$29), MAX($BJ$7:$BJ$29), AJ132))), ABS($BJ$7:$BJ$29 - MEDIAN(MIN($BJ$7:$BJ$29), MAX($BJ$7:$BJ$29), AJ132)), $BK$7:$BK$29, "Error", 0)</f>
        <v>0</v>
      </c>
      <c r="AK133" s="171" cm="1">
        <f t="array" ref="AK133">_xlfn.XLOOKUP(MIN(ABS($BJ$7:$BJ$29 - MEDIAN(MIN($BJ$7:$BJ$29), MAX($BJ$7:$BJ$29), AK132))), ABS($BJ$7:$BJ$29 - MEDIAN(MIN($BJ$7:$BJ$29), MAX($BJ$7:$BJ$29), AK132)), $BK$7:$BK$29, "Error", 0)</f>
        <v>0</v>
      </c>
      <c r="AL133" s="171" cm="1">
        <f t="array" ref="AL133">_xlfn.XLOOKUP(MIN(ABS($BJ$7:$BJ$29 - MEDIAN(MIN($BJ$7:$BJ$29), MAX($BJ$7:$BJ$29), AL132))), ABS($BJ$7:$BJ$29 - MEDIAN(MIN($BJ$7:$BJ$29), MAX($BJ$7:$BJ$29), AL132)), $BK$7:$BK$29, "Error", 0)</f>
        <v>-2</v>
      </c>
      <c r="AM133" s="171" cm="1">
        <f t="array" ref="AM133">_xlfn.XLOOKUP(MIN(ABS($BJ$7:$BJ$29 - MEDIAN(MIN($BJ$7:$BJ$29), MAX($BJ$7:$BJ$29), AM132))), ABS($BJ$7:$BJ$29 - MEDIAN(MIN($BJ$7:$BJ$29), MAX($BJ$7:$BJ$29), AM132)), $BK$7:$BK$29, "Error", 0)</f>
        <v>0</v>
      </c>
      <c r="AN133" s="171" cm="1">
        <f t="array" ref="AN133">_xlfn.XLOOKUP(MIN(ABS($BJ$7:$BJ$29 - MEDIAN(MIN($BJ$7:$BJ$29), MAX($BJ$7:$BJ$29), AN132))), ABS($BJ$7:$BJ$29 - MEDIAN(MIN($BJ$7:$BJ$29), MAX($BJ$7:$BJ$29), AN132)), $BK$7:$BK$29, "Error", 0)</f>
        <v>0</v>
      </c>
      <c r="AO133" s="171" cm="1">
        <f t="array" ref="AO133">_xlfn.XLOOKUP(MIN(ABS($BJ$7:$BJ$29 - MEDIAN(MIN($BJ$7:$BJ$29), MAX($BJ$7:$BJ$29), AO132))), ABS($BJ$7:$BJ$29 - MEDIAN(MIN($BJ$7:$BJ$29), MAX($BJ$7:$BJ$29), AO132)), $BK$7:$BK$29, "Error", 0)</f>
        <v>0</v>
      </c>
      <c r="AP133" s="171" cm="1">
        <f t="array" ref="AP133">_xlfn.XLOOKUP(MIN(ABS($BJ$7:$BJ$29 - MEDIAN(MIN($BJ$7:$BJ$29), MAX($BJ$7:$BJ$29), AP132))), ABS($BJ$7:$BJ$29 - MEDIAN(MIN($BJ$7:$BJ$29), MAX($BJ$7:$BJ$29), AP132)), $BK$7:$BK$29, "Error", 0)</f>
        <v>2</v>
      </c>
      <c r="AQ133" s="171" cm="1">
        <f t="array" ref="AQ133">_xlfn.XLOOKUP(MIN(ABS($BJ$7:$BJ$29 - MEDIAN(MIN($BJ$7:$BJ$29), MAX($BJ$7:$BJ$29), AQ132))), ABS($BJ$7:$BJ$29 - MEDIAN(MIN($BJ$7:$BJ$29), MAX($BJ$7:$BJ$29), AQ132)), $BK$7:$BK$29, "Error", 0)</f>
        <v>-2</v>
      </c>
      <c r="AR133" s="171" cm="1">
        <f t="array" ref="AR133">_xlfn.XLOOKUP(MIN(ABS($BJ$7:$BJ$29 - MEDIAN(MIN($BJ$7:$BJ$29), MAX($BJ$7:$BJ$29), AR132))), ABS($BJ$7:$BJ$29 - MEDIAN(MIN($BJ$7:$BJ$29), MAX($BJ$7:$BJ$29), AR132)), $BK$7:$BK$29, "Error", 0)</f>
        <v>2</v>
      </c>
      <c r="AS133" s="171" cm="1">
        <f t="array" ref="AS133">_xlfn.XLOOKUP(MIN(ABS($BJ$7:$BJ$29 - MEDIAN(MIN($BJ$7:$BJ$29), MAX($BJ$7:$BJ$29), AS132))), ABS($BJ$7:$BJ$29 - MEDIAN(MIN($BJ$7:$BJ$29), MAX($BJ$7:$BJ$29), AS132)), $BK$7:$BK$29, "Error", 0)</f>
        <v>2</v>
      </c>
      <c r="AT133" s="171" cm="1">
        <f t="array" ref="AT133">_xlfn.XLOOKUP(MIN(ABS($BJ$7:$BJ$29 - MEDIAN(MIN($BJ$7:$BJ$29), MAX($BJ$7:$BJ$29), AT132))), ABS($BJ$7:$BJ$29 - MEDIAN(MIN($BJ$7:$BJ$29), MAX($BJ$7:$BJ$29), AT132)), $BK$7:$BK$29, "Error", 0)</f>
        <v>2</v>
      </c>
      <c r="AU133" s="171" cm="1">
        <f t="array" ref="AU133">_xlfn.XLOOKUP(MIN(ABS($BJ$7:$BJ$29 - MEDIAN(MIN($BJ$7:$BJ$29), MAX($BJ$7:$BJ$29), AU132))), ABS($BJ$7:$BJ$29 - MEDIAN(MIN($BJ$7:$BJ$29), MAX($BJ$7:$BJ$29), AU132)), $BK$7:$BK$29, "Error", 0)</f>
        <v>2</v>
      </c>
      <c r="AV133" s="206" t="s">
        <v>25</v>
      </c>
      <c r="AW133" s="184"/>
      <c r="AX133" s="184"/>
      <c r="AY133" s="184"/>
    </row>
    <row r="134" spans="1:51" ht="44">
      <c r="A134" s="283" t="s">
        <v>57</v>
      </c>
      <c r="B134" s="200" t="s">
        <v>76</v>
      </c>
      <c r="C134" s="233">
        <v>1676538.0394965999</v>
      </c>
      <c r="D134" s="233">
        <v>1676538.0394965999</v>
      </c>
      <c r="E134" s="233">
        <v>1676538.0394965999</v>
      </c>
      <c r="F134" s="233">
        <v>1777490.1447725601</v>
      </c>
      <c r="G134" s="233">
        <v>1777490.1447725601</v>
      </c>
      <c r="H134" s="233">
        <v>1857081.4649999901</v>
      </c>
      <c r="I134" s="233">
        <v>1869409.7717359399</v>
      </c>
      <c r="J134" s="233">
        <v>1873109.6163007</v>
      </c>
      <c r="K134" s="233">
        <v>1873109.6163007</v>
      </c>
      <c r="L134" s="233">
        <v>1873109.6163007</v>
      </c>
      <c r="M134" s="233">
        <v>1873109.6163007</v>
      </c>
      <c r="N134" s="233">
        <v>1921789.1925782</v>
      </c>
      <c r="O134" s="233">
        <v>1971186.5509843801</v>
      </c>
      <c r="P134" s="233">
        <v>1978294.77621235</v>
      </c>
      <c r="Q134" s="233">
        <v>2015318.4598173499</v>
      </c>
      <c r="R134" s="233">
        <v>2015318.4598173499</v>
      </c>
      <c r="S134" s="233">
        <v>2099280.9247362898</v>
      </c>
      <c r="T134" s="233">
        <v>2206202.60967839</v>
      </c>
      <c r="U134" s="233">
        <v>2206202.60967839</v>
      </c>
      <c r="V134" s="233">
        <v>2206202.60967839</v>
      </c>
      <c r="W134" s="233">
        <v>2206202.60967839</v>
      </c>
      <c r="X134" s="233">
        <v>2206202.60967839</v>
      </c>
      <c r="Y134" s="233">
        <v>2206202.60967839</v>
      </c>
      <c r="Z134" s="233">
        <v>2206202.60967839</v>
      </c>
      <c r="AA134" s="204">
        <v>2222491.8396591502</v>
      </c>
      <c r="AB134" s="204">
        <v>2240596.12890705</v>
      </c>
      <c r="AC134" s="204">
        <v>2240596.12890705</v>
      </c>
      <c r="AD134" s="204">
        <v>2240596.12890705</v>
      </c>
      <c r="AE134" s="204">
        <v>2240596.12890705</v>
      </c>
      <c r="AF134" s="204">
        <v>2263742.50531939</v>
      </c>
      <c r="AG134" s="204">
        <v>2263742.50531939</v>
      </c>
      <c r="AH134" s="204">
        <v>2286579.73841399</v>
      </c>
      <c r="AI134" s="204">
        <v>2333592.33174098</v>
      </c>
      <c r="AJ134" s="204">
        <v>2451794.7017838699</v>
      </c>
      <c r="AK134" s="204">
        <v>2515274.0808818601</v>
      </c>
      <c r="AL134" s="204">
        <v>2638481.9665436698</v>
      </c>
      <c r="AM134" s="204">
        <v>2723018.6685368102</v>
      </c>
      <c r="AN134" s="204">
        <v>2863658.2403188199</v>
      </c>
      <c r="AO134" s="204">
        <v>2863658.2403188199</v>
      </c>
      <c r="AP134" s="204">
        <v>2863658.2403188199</v>
      </c>
      <c r="AQ134" s="204">
        <v>2863658.2403188199</v>
      </c>
      <c r="AR134" s="204">
        <v>2912923</v>
      </c>
      <c r="AS134" s="204">
        <v>2915653</v>
      </c>
      <c r="AT134" s="204">
        <v>2915653</v>
      </c>
      <c r="AU134" s="204">
        <v>2915653</v>
      </c>
      <c r="AV134" s="200" t="s">
        <v>76</v>
      </c>
      <c r="AW134" s="184"/>
      <c r="AX134" s="184"/>
      <c r="AY134" s="184"/>
    </row>
    <row r="135" spans="1:51" ht="22">
      <c r="A135" s="284"/>
      <c r="B135" s="201" t="s">
        <v>77</v>
      </c>
      <c r="C135" s="233">
        <v>1591019.4868097301</v>
      </c>
      <c r="D135" s="233">
        <v>1616363.63033548</v>
      </c>
      <c r="E135" s="233">
        <v>1619378.66118059</v>
      </c>
      <c r="F135" s="233">
        <v>1777490.1447725601</v>
      </c>
      <c r="G135" s="233">
        <v>1730527.73976935</v>
      </c>
      <c r="H135" s="233">
        <v>1857081.4649999901</v>
      </c>
      <c r="I135" s="233">
        <v>1869409.7717359399</v>
      </c>
      <c r="J135" s="233">
        <v>1873109.6163007</v>
      </c>
      <c r="K135" s="233">
        <v>1788870.9468841599</v>
      </c>
      <c r="L135" s="233">
        <v>1717388.62522775</v>
      </c>
      <c r="M135" s="233">
        <v>1827303.52539074</v>
      </c>
      <c r="N135" s="233">
        <v>1921789.1925782</v>
      </c>
      <c r="O135" s="233">
        <v>1971186.5509843801</v>
      </c>
      <c r="P135" s="233">
        <v>1978294.77621235</v>
      </c>
      <c r="Q135" s="233">
        <v>2015318.4598173499</v>
      </c>
      <c r="R135" s="233">
        <v>1930889.0335189099</v>
      </c>
      <c r="S135" s="233">
        <v>2099280.9247362898</v>
      </c>
      <c r="T135" s="233">
        <v>2206202.60967839</v>
      </c>
      <c r="U135" s="233">
        <v>2130633.9548534001</v>
      </c>
      <c r="V135" s="233">
        <v>2138471.58567935</v>
      </c>
      <c r="W135" s="233">
        <v>2065252.0024014099</v>
      </c>
      <c r="X135" s="233">
        <v>2085306.6020801701</v>
      </c>
      <c r="Y135" s="233">
        <v>1997561.22906555</v>
      </c>
      <c r="Z135" s="233">
        <v>2016190.1451824601</v>
      </c>
      <c r="AA135" s="204">
        <v>2222491.8396591502</v>
      </c>
      <c r="AB135" s="204">
        <v>2240596.12890705</v>
      </c>
      <c r="AC135" s="204">
        <v>2139573.1721080798</v>
      </c>
      <c r="AD135" s="204">
        <v>2093659.32378179</v>
      </c>
      <c r="AE135" s="204">
        <v>2140228.0147840101</v>
      </c>
      <c r="AF135" s="204">
        <v>2263742.50531939</v>
      </c>
      <c r="AG135" s="204">
        <v>2171444.3786621098</v>
      </c>
      <c r="AH135" s="204">
        <v>2286579.73841399</v>
      </c>
      <c r="AI135" s="204">
        <v>2333592.33174098</v>
      </c>
      <c r="AJ135" s="204">
        <v>2451794.7017838699</v>
      </c>
      <c r="AK135" s="204">
        <v>2515274.0808818601</v>
      </c>
      <c r="AL135" s="204">
        <v>2638481.9665436698</v>
      </c>
      <c r="AM135" s="204">
        <v>2723018.6685368102</v>
      </c>
      <c r="AN135" s="204">
        <v>2863658.2403188199</v>
      </c>
      <c r="AO135" s="204">
        <v>2552917.7142193802</v>
      </c>
      <c r="AP135" s="204">
        <v>2652001.4122372302</v>
      </c>
      <c r="AQ135" s="204">
        <v>2652001.4122372302</v>
      </c>
      <c r="AR135" s="204">
        <v>2912923</v>
      </c>
      <c r="AS135" s="204">
        <v>2915653</v>
      </c>
      <c r="AT135" s="204">
        <v>2915653</v>
      </c>
      <c r="AU135" s="204">
        <v>2915653</v>
      </c>
      <c r="AV135" s="201" t="s">
        <v>77</v>
      </c>
      <c r="AW135" s="184"/>
      <c r="AX135" s="184"/>
      <c r="AY135" s="184"/>
    </row>
    <row r="136" spans="1:51" ht="22">
      <c r="A136" s="284"/>
      <c r="B136" s="201" t="s">
        <v>78</v>
      </c>
      <c r="C136" s="230">
        <f t="shared" ref="C136:Z136" si="167">+(C135-C134)/C134</f>
        <v>-5.1009014213926104E-2</v>
      </c>
      <c r="D136" s="230">
        <f t="shared" si="167"/>
        <v>-3.5892063134569864E-2</v>
      </c>
      <c r="E136" s="230">
        <f t="shared" si="167"/>
        <v>-3.4093696038756539E-2</v>
      </c>
      <c r="F136" s="230">
        <f t="shared" si="167"/>
        <v>0</v>
      </c>
      <c r="G136" s="230">
        <f t="shared" si="167"/>
        <v>-2.6420627501830211E-2</v>
      </c>
      <c r="H136" s="230">
        <f t="shared" si="167"/>
        <v>0</v>
      </c>
      <c r="I136" s="230">
        <f t="shared" si="167"/>
        <v>0</v>
      </c>
      <c r="J136" s="230">
        <f t="shared" si="167"/>
        <v>0</v>
      </c>
      <c r="K136" s="230">
        <f t="shared" si="167"/>
        <v>-4.4972631971698124E-2</v>
      </c>
      <c r="L136" s="230">
        <f t="shared" si="167"/>
        <v>-8.3135012344067352E-2</v>
      </c>
      <c r="M136" s="230">
        <f t="shared" si="167"/>
        <v>-2.4454570363278992E-2</v>
      </c>
      <c r="N136" s="230">
        <f t="shared" si="167"/>
        <v>0</v>
      </c>
      <c r="O136" s="230">
        <f t="shared" si="167"/>
        <v>0</v>
      </c>
      <c r="P136" s="230">
        <f t="shared" si="167"/>
        <v>0</v>
      </c>
      <c r="Q136" s="230">
        <f t="shared" si="167"/>
        <v>0</v>
      </c>
      <c r="R136" s="230">
        <f t="shared" si="167"/>
        <v>-4.18938386075677E-2</v>
      </c>
      <c r="S136" s="230">
        <f t="shared" si="167"/>
        <v>0</v>
      </c>
      <c r="T136" s="230">
        <f t="shared" si="167"/>
        <v>0</v>
      </c>
      <c r="U136" s="230">
        <f t="shared" si="167"/>
        <v>-3.4252817258704042E-2</v>
      </c>
      <c r="V136" s="230">
        <f t="shared" si="167"/>
        <v>-3.0700273720061247E-2</v>
      </c>
      <c r="W136" s="230">
        <f t="shared" si="167"/>
        <v>-6.3888333128899341E-2</v>
      </c>
      <c r="X136" s="230">
        <f t="shared" si="167"/>
        <v>-5.4798234336167144E-2</v>
      </c>
      <c r="Y136" s="230">
        <f t="shared" si="167"/>
        <v>-9.4570362530418145E-2</v>
      </c>
      <c r="Z136" s="230">
        <f t="shared" si="167"/>
        <v>-8.6126479799436481E-2</v>
      </c>
      <c r="AA136" s="230">
        <f t="shared" ref="AA136:AR136" si="168">+(AA135-AA134)/AA134</f>
        <v>0</v>
      </c>
      <c r="AB136" s="205">
        <f t="shared" si="168"/>
        <v>0</v>
      </c>
      <c r="AC136" s="205">
        <f t="shared" si="168"/>
        <v>-4.5087535185668937E-2</v>
      </c>
      <c r="AD136" s="205">
        <f t="shared" si="168"/>
        <v>-6.5579335440936859E-2</v>
      </c>
      <c r="AE136" s="205">
        <f t="shared" si="168"/>
        <v>-4.4795272484916264E-2</v>
      </c>
      <c r="AF136" s="205">
        <f t="shared" si="168"/>
        <v>0</v>
      </c>
      <c r="AG136" s="205">
        <f t="shared" si="168"/>
        <v>-4.0772361008549363E-2</v>
      </c>
      <c r="AH136" s="205">
        <f t="shared" si="168"/>
        <v>0</v>
      </c>
      <c r="AI136" s="205">
        <f t="shared" si="168"/>
        <v>0</v>
      </c>
      <c r="AJ136" s="205">
        <f t="shared" si="168"/>
        <v>0</v>
      </c>
      <c r="AK136" s="205">
        <f t="shared" si="168"/>
        <v>0</v>
      </c>
      <c r="AL136" s="205">
        <f t="shared" si="168"/>
        <v>0</v>
      </c>
      <c r="AM136" s="205">
        <f t="shared" si="168"/>
        <v>0</v>
      </c>
      <c r="AN136" s="205">
        <f t="shared" si="168"/>
        <v>0</v>
      </c>
      <c r="AO136" s="205">
        <f t="shared" si="168"/>
        <v>-0.1085117356968002</v>
      </c>
      <c r="AP136" s="205">
        <f t="shared" si="168"/>
        <v>-7.3911343575001898E-2</v>
      </c>
      <c r="AQ136" s="205">
        <f t="shared" si="168"/>
        <v>-7.3911343575001898E-2</v>
      </c>
      <c r="AR136" s="205">
        <f t="shared" si="168"/>
        <v>0</v>
      </c>
      <c r="AS136" s="205">
        <f t="shared" ref="AS136:AT136" si="169">+(AS135-AS134)/AS134</f>
        <v>0</v>
      </c>
      <c r="AT136" s="205">
        <f t="shared" si="169"/>
        <v>0</v>
      </c>
      <c r="AU136" s="205">
        <f t="shared" ref="AU136" si="170">+(AU135-AU134)/AU134</f>
        <v>0</v>
      </c>
      <c r="AV136" s="201" t="s">
        <v>78</v>
      </c>
      <c r="AW136" s="184"/>
      <c r="AX136" s="184"/>
      <c r="AY136" s="184"/>
    </row>
    <row r="137" spans="1:51" ht="44">
      <c r="A137" s="284"/>
      <c r="B137" s="201" t="s">
        <v>85</v>
      </c>
      <c r="C137" s="233">
        <v>12980.1396484375</v>
      </c>
      <c r="D137" s="233">
        <v>12980.1396484375</v>
      </c>
      <c r="E137" s="233">
        <v>12980.1396484375</v>
      </c>
      <c r="F137" s="233">
        <v>12980.1396484375</v>
      </c>
      <c r="G137" s="233">
        <v>12980.1396484375</v>
      </c>
      <c r="H137" s="233">
        <v>12980.1396484375</v>
      </c>
      <c r="I137" s="233">
        <v>12980.1396484375</v>
      </c>
      <c r="J137" s="233">
        <v>12980.1396484375</v>
      </c>
      <c r="K137" s="233">
        <v>12980.1396484375</v>
      </c>
      <c r="L137" s="233">
        <v>12980.1396484375</v>
      </c>
      <c r="M137" s="233">
        <v>12980.1396484375</v>
      </c>
      <c r="N137" s="233">
        <v>12980.1396484375</v>
      </c>
      <c r="O137" s="233">
        <v>12980.1396484375</v>
      </c>
      <c r="P137" s="233">
        <v>12980.1396484375</v>
      </c>
      <c r="Q137" s="233">
        <v>12980.1396484375</v>
      </c>
      <c r="R137" s="233">
        <v>12980.1396484375</v>
      </c>
      <c r="S137" s="233">
        <v>12980.1396484375</v>
      </c>
      <c r="T137" s="233">
        <v>12980.1396484375</v>
      </c>
      <c r="U137" s="233">
        <v>12980.1396484375</v>
      </c>
      <c r="V137" s="233">
        <v>12980.1396484375</v>
      </c>
      <c r="W137" s="233">
        <v>12980.1396484375</v>
      </c>
      <c r="X137" s="233">
        <v>12980.1396484375</v>
      </c>
      <c r="Y137" s="233">
        <v>12980.1396484375</v>
      </c>
      <c r="Z137" s="233">
        <v>12980.1396484375</v>
      </c>
      <c r="AA137" s="231">
        <v>12980.1396484375</v>
      </c>
      <c r="AB137" s="203">
        <v>13100.2197265625</v>
      </c>
      <c r="AC137" s="203">
        <v>13100.2197265625</v>
      </c>
      <c r="AD137" s="203">
        <v>13100.2197265625</v>
      </c>
      <c r="AE137" s="203">
        <v>13100.2197265625</v>
      </c>
      <c r="AF137" s="203">
        <v>13100.2197265625</v>
      </c>
      <c r="AG137" s="203">
        <v>13100.2197265625</v>
      </c>
      <c r="AH137" s="203">
        <v>13100.2197265625</v>
      </c>
      <c r="AI137" s="203">
        <v>13100.2197265625</v>
      </c>
      <c r="AJ137" s="203">
        <v>13100.2197265625</v>
      </c>
      <c r="AK137" s="203">
        <v>13100.2197265625</v>
      </c>
      <c r="AL137" s="203">
        <v>13288.66015625</v>
      </c>
      <c r="AM137" s="203">
        <v>13288.66015625</v>
      </c>
      <c r="AN137" s="203">
        <v>14063.5302734375</v>
      </c>
      <c r="AO137" s="203">
        <v>14063.5302734375</v>
      </c>
      <c r="AP137" s="203">
        <v>14063.5302734375</v>
      </c>
      <c r="AQ137" s="203">
        <v>14063.5302734375</v>
      </c>
      <c r="AR137" s="203">
        <v>14287</v>
      </c>
      <c r="AS137" s="203">
        <v>14464</v>
      </c>
      <c r="AT137" s="203">
        <v>14464</v>
      </c>
      <c r="AU137" s="203">
        <v>14464</v>
      </c>
      <c r="AV137" s="201" t="s">
        <v>85</v>
      </c>
      <c r="AW137" s="184"/>
      <c r="AX137" s="184"/>
      <c r="AY137" s="184"/>
    </row>
    <row r="138" spans="1:51" ht="44">
      <c r="A138" s="284"/>
      <c r="B138" s="201" t="s">
        <v>86</v>
      </c>
      <c r="C138" s="233">
        <v>11285.7802734375</v>
      </c>
      <c r="D138" s="233">
        <v>11098.349609375</v>
      </c>
      <c r="E138" s="233">
        <v>11106.240234375</v>
      </c>
      <c r="F138" s="233">
        <v>11437.1396484375</v>
      </c>
      <c r="G138" s="233">
        <v>11217.8896484375</v>
      </c>
      <c r="H138" s="233">
        <v>11280.2900390625</v>
      </c>
      <c r="I138" s="233">
        <v>11309.25</v>
      </c>
      <c r="J138" s="233">
        <v>11125.9501953125</v>
      </c>
      <c r="K138" s="233">
        <v>10963.5</v>
      </c>
      <c r="L138" s="233">
        <v>10391.16015625</v>
      </c>
      <c r="M138" s="233">
        <v>10854.3203125</v>
      </c>
      <c r="N138" s="233">
        <v>11137.7900390625</v>
      </c>
      <c r="O138" s="233">
        <v>11333.3798828125</v>
      </c>
      <c r="P138" s="233">
        <v>11438.8603515625</v>
      </c>
      <c r="Q138" s="233">
        <v>11730.4296875</v>
      </c>
      <c r="R138" s="233">
        <v>11260.91015625</v>
      </c>
      <c r="S138" s="233">
        <v>12000.8603515625</v>
      </c>
      <c r="T138" s="233">
        <v>11993.830078125</v>
      </c>
      <c r="U138" s="233">
        <v>12317.4404296875</v>
      </c>
      <c r="V138" s="233">
        <v>12436.58984375</v>
      </c>
      <c r="W138" s="233">
        <v>12168.8701171875</v>
      </c>
      <c r="X138" s="233">
        <v>11792.919921875</v>
      </c>
      <c r="Y138" s="233">
        <v>11764.2001953125</v>
      </c>
      <c r="Z138" s="233">
        <v>11600.900390625</v>
      </c>
      <c r="AA138" s="231">
        <v>12597.08984375</v>
      </c>
      <c r="AB138" s="203">
        <v>13100.2197265625</v>
      </c>
      <c r="AC138" s="203">
        <v>12598.1201171875</v>
      </c>
      <c r="AD138" s="203">
        <v>12116.98046875</v>
      </c>
      <c r="AE138" s="203">
        <v>12227.080078125</v>
      </c>
      <c r="AF138" s="203">
        <v>11921.4599609375</v>
      </c>
      <c r="AG138" s="203">
        <v>11836</v>
      </c>
      <c r="AH138" s="203">
        <v>12187.580078125</v>
      </c>
      <c r="AI138" s="203">
        <v>12109.419921875</v>
      </c>
      <c r="AJ138" s="203">
        <v>12234.5</v>
      </c>
      <c r="AK138" s="203">
        <v>12833.9599609375</v>
      </c>
      <c r="AL138" s="203">
        <v>13288.66015625</v>
      </c>
      <c r="AM138" s="203">
        <v>13188.259765625</v>
      </c>
      <c r="AN138" s="203">
        <v>14063.5302734375</v>
      </c>
      <c r="AO138" s="203">
        <v>12776.7900390625</v>
      </c>
      <c r="AP138" s="203">
        <v>13136.26953125</v>
      </c>
      <c r="AQ138" s="203">
        <v>13542.66015625</v>
      </c>
      <c r="AR138" s="203">
        <v>14287</v>
      </c>
      <c r="AS138" s="203">
        <v>14464</v>
      </c>
      <c r="AT138" s="203">
        <v>14464</v>
      </c>
      <c r="AU138" s="203">
        <v>14464</v>
      </c>
      <c r="AV138" s="201" t="s">
        <v>86</v>
      </c>
      <c r="AW138" s="184"/>
      <c r="AX138" s="184"/>
      <c r="AY138" s="184"/>
    </row>
    <row r="139" spans="1:51" ht="44">
      <c r="A139" s="284"/>
      <c r="B139" s="201" t="s">
        <v>79</v>
      </c>
      <c r="C139" s="230">
        <f t="shared" ref="C139:Z139" si="171">+(C138-C137)/C137</f>
        <v>-0.13053475701272294</v>
      </c>
      <c r="D139" s="230">
        <f t="shared" si="171"/>
        <v>-0.14497456036915771</v>
      </c>
      <c r="E139" s="230">
        <f t="shared" si="171"/>
        <v>-0.14436666051494082</v>
      </c>
      <c r="F139" s="230">
        <f t="shared" si="171"/>
        <v>-0.11887391367054671</v>
      </c>
      <c r="G139" s="230">
        <f t="shared" si="171"/>
        <v>-0.1357651032831633</v>
      </c>
      <c r="H139" s="230">
        <f t="shared" si="171"/>
        <v>-0.13095772891623869</v>
      </c>
      <c r="I139" s="230">
        <f t="shared" si="171"/>
        <v>-0.12872663112208005</v>
      </c>
      <c r="J139" s="230">
        <f t="shared" si="171"/>
        <v>-0.14284818987661665</v>
      </c>
      <c r="K139" s="230">
        <f t="shared" si="171"/>
        <v>-0.15536347859556776</v>
      </c>
      <c r="L139" s="230">
        <f t="shared" si="171"/>
        <v>-0.19945698292230249</v>
      </c>
      <c r="M139" s="230">
        <f t="shared" si="171"/>
        <v>-0.16377476618238063</v>
      </c>
      <c r="N139" s="230">
        <f t="shared" si="171"/>
        <v>-0.14193603915476943</v>
      </c>
      <c r="O139" s="230">
        <f t="shared" si="171"/>
        <v>-0.12686764628323785</v>
      </c>
      <c r="P139" s="230">
        <f t="shared" si="171"/>
        <v>-0.11874134937065438</v>
      </c>
      <c r="Q139" s="230">
        <f t="shared" si="171"/>
        <v>-9.6278622170905173E-2</v>
      </c>
      <c r="R139" s="230">
        <f t="shared" si="171"/>
        <v>-0.13245077008046321</v>
      </c>
      <c r="S139" s="230">
        <f t="shared" si="171"/>
        <v>-7.5444434605361266E-2</v>
      </c>
      <c r="T139" s="230">
        <f t="shared" si="171"/>
        <v>-7.5986052309631985E-2</v>
      </c>
      <c r="U139" s="230">
        <f t="shared" si="171"/>
        <v>-5.1054860479083766E-2</v>
      </c>
      <c r="V139" s="230">
        <f t="shared" si="171"/>
        <v>-4.1875497445278291E-2</v>
      </c>
      <c r="W139" s="230">
        <f t="shared" si="171"/>
        <v>-6.2500832288630848E-2</v>
      </c>
      <c r="X139" s="230">
        <f t="shared" si="171"/>
        <v>-9.1464326171977126E-2</v>
      </c>
      <c r="Y139" s="230">
        <f t="shared" si="171"/>
        <v>-9.3676916124039555E-2</v>
      </c>
      <c r="Z139" s="230">
        <f t="shared" si="171"/>
        <v>-0.10625765940650166</v>
      </c>
      <c r="AA139" s="230">
        <f>+(AA138-AA137)/AA137</f>
        <v>-2.9510453281880528E-2</v>
      </c>
      <c r="AB139" s="205">
        <f t="shared" ref="AB139:AP139" si="172">+(AB138-AB137)/AB137</f>
        <v>0</v>
      </c>
      <c r="AC139" s="205">
        <f t="shared" si="172"/>
        <v>-3.8327571586980629E-2</v>
      </c>
      <c r="AD139" s="205">
        <f t="shared" si="172"/>
        <v>-7.505517299216341E-2</v>
      </c>
      <c r="AE139" s="205">
        <f t="shared" si="172"/>
        <v>-6.6650763625520651E-2</v>
      </c>
      <c r="AF139" s="205">
        <f t="shared" si="172"/>
        <v>-8.9980152259194729E-2</v>
      </c>
      <c r="AG139" s="205">
        <f t="shared" si="172"/>
        <v>-9.6503703979798169E-2</v>
      </c>
      <c r="AH139" s="205">
        <f t="shared" si="172"/>
        <v>-6.9665980226804702E-2</v>
      </c>
      <c r="AI139" s="205">
        <f t="shared" si="172"/>
        <v>-7.5632304294752928E-2</v>
      </c>
      <c r="AJ139" s="205">
        <f t="shared" si="172"/>
        <v>-6.6084366875704695E-2</v>
      </c>
      <c r="AK139" s="205">
        <f t="shared" si="172"/>
        <v>-2.0324832039658208E-2</v>
      </c>
      <c r="AL139" s="205">
        <f t="shared" si="172"/>
        <v>0</v>
      </c>
      <c r="AM139" s="205">
        <f t="shared" si="172"/>
        <v>-7.5553433863517917E-3</v>
      </c>
      <c r="AN139" s="205">
        <f t="shared" si="172"/>
        <v>0</v>
      </c>
      <c r="AO139" s="205">
        <f t="shared" si="172"/>
        <v>-9.1494824511120884E-2</v>
      </c>
      <c r="AP139" s="205">
        <f t="shared" si="172"/>
        <v>-6.5933711106582124E-2</v>
      </c>
      <c r="AQ139" s="205">
        <f>+(AQ138-AQ137)/AQ137</f>
        <v>-3.7036939307571563E-2</v>
      </c>
      <c r="AR139" s="205">
        <f>+(AR138-AR137)/AR137</f>
        <v>0</v>
      </c>
      <c r="AS139" s="205">
        <f>+(AS138-AS137)/AS137</f>
        <v>0</v>
      </c>
      <c r="AT139" s="205">
        <f>+(AT138-AT137)/AT137</f>
        <v>0</v>
      </c>
      <c r="AU139" s="205">
        <f>+(AU138-AU137)/AU137</f>
        <v>0</v>
      </c>
      <c r="AV139" s="201" t="s">
        <v>79</v>
      </c>
      <c r="AW139" s="184"/>
      <c r="AX139" s="184"/>
      <c r="AY139" s="184"/>
    </row>
    <row r="140" spans="1:51" ht="22">
      <c r="A140" s="284"/>
      <c r="B140" s="201" t="s">
        <v>80</v>
      </c>
      <c r="C140" s="230">
        <f t="shared" ref="C140:Z140" si="173">+C136-C139</f>
        <v>7.9525742798796831E-2</v>
      </c>
      <c r="D140" s="230">
        <f t="shared" si="173"/>
        <v>0.10908249723458785</v>
      </c>
      <c r="E140" s="230">
        <f t="shared" si="173"/>
        <v>0.11027296447618429</v>
      </c>
      <c r="F140" s="230">
        <f t="shared" si="173"/>
        <v>0.11887391367054671</v>
      </c>
      <c r="G140" s="230">
        <f t="shared" si="173"/>
        <v>0.10934447578133308</v>
      </c>
      <c r="H140" s="230">
        <f t="shared" si="173"/>
        <v>0.13095772891623869</v>
      </c>
      <c r="I140" s="230">
        <f t="shared" si="173"/>
        <v>0.12872663112208005</v>
      </c>
      <c r="J140" s="230">
        <f t="shared" si="173"/>
        <v>0.14284818987661665</v>
      </c>
      <c r="K140" s="230">
        <f t="shared" si="173"/>
        <v>0.11039084662386964</v>
      </c>
      <c r="L140" s="230">
        <f t="shared" si="173"/>
        <v>0.11632197057823514</v>
      </c>
      <c r="M140" s="230">
        <f t="shared" si="173"/>
        <v>0.13932019581910163</v>
      </c>
      <c r="N140" s="230">
        <f t="shared" si="173"/>
        <v>0.14193603915476943</v>
      </c>
      <c r="O140" s="230">
        <f t="shared" si="173"/>
        <v>0.12686764628323785</v>
      </c>
      <c r="P140" s="230">
        <f t="shared" si="173"/>
        <v>0.11874134937065438</v>
      </c>
      <c r="Q140" s="230">
        <f t="shared" si="173"/>
        <v>9.6278622170905173E-2</v>
      </c>
      <c r="R140" s="230">
        <f t="shared" si="173"/>
        <v>9.0556931472895508E-2</v>
      </c>
      <c r="S140" s="230">
        <f t="shared" si="173"/>
        <v>7.5444434605361266E-2</v>
      </c>
      <c r="T140" s="230">
        <f t="shared" si="173"/>
        <v>7.5986052309631985E-2</v>
      </c>
      <c r="U140" s="230">
        <f t="shared" si="173"/>
        <v>1.6802043220379724E-2</v>
      </c>
      <c r="V140" s="230">
        <f t="shared" si="173"/>
        <v>1.1175223725217044E-2</v>
      </c>
      <c r="W140" s="230">
        <f t="shared" si="173"/>
        <v>-1.3875008402684935E-3</v>
      </c>
      <c r="X140" s="230">
        <f t="shared" si="173"/>
        <v>3.6666091835809982E-2</v>
      </c>
      <c r="Y140" s="230">
        <f t="shared" si="173"/>
        <v>-8.9344640637858963E-4</v>
      </c>
      <c r="Z140" s="230">
        <f t="shared" si="173"/>
        <v>2.0131179607065175E-2</v>
      </c>
      <c r="AA140" s="230">
        <f t="shared" ref="AA140:AR140" si="174">+AA136-AA139</f>
        <v>2.9510453281880528E-2</v>
      </c>
      <c r="AB140" s="205">
        <f t="shared" si="174"/>
        <v>0</v>
      </c>
      <c r="AC140" s="205">
        <f t="shared" si="174"/>
        <v>-6.759963598688308E-3</v>
      </c>
      <c r="AD140" s="205">
        <f t="shared" si="174"/>
        <v>9.4758375512265514E-3</v>
      </c>
      <c r="AE140" s="205">
        <f t="shared" si="174"/>
        <v>2.1855491140604387E-2</v>
      </c>
      <c r="AF140" s="205">
        <f t="shared" si="174"/>
        <v>8.9980152259194729E-2</v>
      </c>
      <c r="AG140" s="205">
        <f t="shared" si="174"/>
        <v>5.5731342971248807E-2</v>
      </c>
      <c r="AH140" s="205">
        <f t="shared" si="174"/>
        <v>6.9665980226804702E-2</v>
      </c>
      <c r="AI140" s="205">
        <f t="shared" si="174"/>
        <v>7.5632304294752928E-2</v>
      </c>
      <c r="AJ140" s="205">
        <f t="shared" si="174"/>
        <v>6.6084366875704695E-2</v>
      </c>
      <c r="AK140" s="205">
        <f t="shared" si="174"/>
        <v>2.0324832039658208E-2</v>
      </c>
      <c r="AL140" s="205">
        <f t="shared" si="174"/>
        <v>0</v>
      </c>
      <c r="AM140" s="205">
        <f t="shared" si="174"/>
        <v>7.5553433863517917E-3</v>
      </c>
      <c r="AN140" s="205">
        <f t="shared" si="174"/>
        <v>0</v>
      </c>
      <c r="AO140" s="205">
        <f t="shared" si="174"/>
        <v>-1.7016911185679315E-2</v>
      </c>
      <c r="AP140" s="205">
        <f t="shared" si="174"/>
        <v>-7.9776324684197736E-3</v>
      </c>
      <c r="AQ140" s="205">
        <f t="shared" si="174"/>
        <v>-3.6874404267430334E-2</v>
      </c>
      <c r="AR140" s="205">
        <f t="shared" si="174"/>
        <v>0</v>
      </c>
      <c r="AS140" s="205">
        <f t="shared" ref="AS140:AT140" si="175">+AS136-AS139</f>
        <v>0</v>
      </c>
      <c r="AT140" s="205">
        <f t="shared" si="175"/>
        <v>0</v>
      </c>
      <c r="AU140" s="205">
        <f t="shared" ref="AU140" si="176">+AU136-AU139</f>
        <v>0</v>
      </c>
      <c r="AV140" s="201" t="s">
        <v>80</v>
      </c>
      <c r="AW140" s="184"/>
      <c r="AX140" s="184"/>
      <c r="AY140" s="184"/>
    </row>
    <row r="141" spans="1:51" ht="22">
      <c r="A141" s="285"/>
      <c r="B141" s="206" t="s">
        <v>25</v>
      </c>
      <c r="C141" s="232" cm="1">
        <f t="array" ref="C141">_xlfn.XLOOKUP(MIN(ABS($BJ$7:$BJ$29 - MEDIAN(MIN($BJ$7:$BJ$29), MAX($BJ$7:$BJ$29), C140))), ABS($BJ$7:$BJ$29 - MEDIAN(MIN($BJ$7:$BJ$29), MAX($BJ$7:$BJ$29), C140)), $BK$7:$BK$29, "Error", 0)</f>
        <v>7</v>
      </c>
      <c r="D141" s="232" cm="1">
        <f t="array" ref="D141">_xlfn.XLOOKUP(MIN(ABS($BJ$7:$BJ$29 - MEDIAN(MIN($BJ$7:$BJ$29), MAX($BJ$7:$BJ$29), D140))), ABS($BJ$7:$BJ$29 - MEDIAN(MIN($BJ$7:$BJ$29), MAX($BJ$7:$BJ$29), D140)), $BK$7:$BK$29, "Error", 0)</f>
        <v>9</v>
      </c>
      <c r="E141" s="232" cm="1">
        <f t="array" ref="E141">_xlfn.XLOOKUP(MIN(ABS($BJ$7:$BJ$29 - MEDIAN(MIN($BJ$7:$BJ$29), MAX($BJ$7:$BJ$29), E140))), ABS($BJ$7:$BJ$29 - MEDIAN(MIN($BJ$7:$BJ$29), MAX($BJ$7:$BJ$29), E140)), $BK$7:$BK$29, "Error", 0)</f>
        <v>10</v>
      </c>
      <c r="F141" s="232" cm="1">
        <f t="array" ref="F141">_xlfn.XLOOKUP(MIN(ABS($BJ$7:$BJ$29 - MEDIAN(MIN($BJ$7:$BJ$29), MAX($BJ$7:$BJ$29), F140))), ABS($BJ$7:$BJ$29 - MEDIAN(MIN($BJ$7:$BJ$29), MAX($BJ$7:$BJ$29), F140)), $BK$7:$BK$29, "Error", 0)</f>
        <v>10</v>
      </c>
      <c r="G141" s="232" cm="1">
        <f t="array" ref="G141">_xlfn.XLOOKUP(MIN(ABS($BJ$7:$BJ$29 - MEDIAN(MIN($BJ$7:$BJ$29), MAX($BJ$7:$BJ$29), G140))), ABS($BJ$7:$BJ$29 - MEDIAN(MIN($BJ$7:$BJ$29), MAX($BJ$7:$BJ$29), G140)), $BK$7:$BK$29, "Error", 0)</f>
        <v>9</v>
      </c>
      <c r="H141" s="232" cm="1">
        <f t="array" ref="H141">_xlfn.XLOOKUP(MIN(ABS($BJ$7:$BJ$29 - MEDIAN(MIN($BJ$7:$BJ$29), MAX($BJ$7:$BJ$29), H140))), ABS($BJ$7:$BJ$29 - MEDIAN(MIN($BJ$7:$BJ$29), MAX($BJ$7:$BJ$29), H140)), $BK$7:$BK$29, "Error", 0)</f>
        <v>9</v>
      </c>
      <c r="I141" s="232" cm="1">
        <f t="array" ref="I141">_xlfn.XLOOKUP(MIN(ABS($BJ$7:$BJ$29 - MEDIAN(MIN($BJ$7:$BJ$29), MAX($BJ$7:$BJ$29), I140))), ABS($BJ$7:$BJ$29 - MEDIAN(MIN($BJ$7:$BJ$29), MAX($BJ$7:$BJ$29), I140)), $BK$7:$BK$29, "Error", 0)</f>
        <v>10</v>
      </c>
      <c r="J141" s="232" cm="1">
        <f t="array" ref="J141">_xlfn.XLOOKUP(MIN(ABS($BJ$7:$BJ$29 - MEDIAN(MIN($BJ$7:$BJ$29), MAX($BJ$7:$BJ$29), J140))), ABS($BJ$7:$BJ$29 - MEDIAN(MIN($BJ$7:$BJ$29), MAX($BJ$7:$BJ$29), J140)), $BK$7:$BK$29, "Error", 0)</f>
        <v>9</v>
      </c>
      <c r="K141" s="232" cm="1">
        <f t="array" ref="K141">_xlfn.XLOOKUP(MIN(ABS($BJ$7:$BJ$29 - MEDIAN(MIN($BJ$7:$BJ$29), MAX($BJ$7:$BJ$29), K140))), ABS($BJ$7:$BJ$29 - MEDIAN(MIN($BJ$7:$BJ$29), MAX($BJ$7:$BJ$29), K140)), $BK$7:$BK$29, "Error", 0)</f>
        <v>10</v>
      </c>
      <c r="L141" s="232" cm="1">
        <f t="array" ref="L141">_xlfn.XLOOKUP(MIN(ABS($BJ$7:$BJ$29 - MEDIAN(MIN($BJ$7:$BJ$29), MAX($BJ$7:$BJ$29), L140))), ABS($BJ$7:$BJ$29 - MEDIAN(MIN($BJ$7:$BJ$29), MAX($BJ$7:$BJ$29), L140)), $BK$7:$BK$29, "Error", 0)</f>
        <v>10</v>
      </c>
      <c r="M141" s="232" cm="1">
        <f t="array" ref="M141">_xlfn.XLOOKUP(MIN(ABS($BJ$7:$BJ$29 - MEDIAN(MIN($BJ$7:$BJ$29), MAX($BJ$7:$BJ$29), M140))), ABS($BJ$7:$BJ$29 - MEDIAN(MIN($BJ$7:$BJ$29), MAX($BJ$7:$BJ$29), M140)), $BK$7:$BK$29, "Error", 0)</f>
        <v>9</v>
      </c>
      <c r="N141" s="232" cm="1">
        <f t="array" ref="N141">_xlfn.XLOOKUP(MIN(ABS($BJ$7:$BJ$29 - MEDIAN(MIN($BJ$7:$BJ$29), MAX($BJ$7:$BJ$29), N140))), ABS($BJ$7:$BJ$29 - MEDIAN(MIN($BJ$7:$BJ$29), MAX($BJ$7:$BJ$29), N140)), $BK$7:$BK$29, "Error", 0)</f>
        <v>9</v>
      </c>
      <c r="O141" s="232" cm="1">
        <f t="array" ref="O141">_xlfn.XLOOKUP(MIN(ABS($BJ$7:$BJ$29 - MEDIAN(MIN($BJ$7:$BJ$29), MAX($BJ$7:$BJ$29), O140))), ABS($BJ$7:$BJ$29 - MEDIAN(MIN($BJ$7:$BJ$29), MAX($BJ$7:$BJ$29), O140)), $BK$7:$BK$29, "Error", 0)</f>
        <v>10</v>
      </c>
      <c r="P141" s="232" cm="1">
        <f t="array" ref="P141">_xlfn.XLOOKUP(MIN(ABS($BJ$7:$BJ$29 - MEDIAN(MIN($BJ$7:$BJ$29), MAX($BJ$7:$BJ$29), P140))), ABS($BJ$7:$BJ$29 - MEDIAN(MIN($BJ$7:$BJ$29), MAX($BJ$7:$BJ$29), P140)), $BK$7:$BK$29, "Error", 0)</f>
        <v>10</v>
      </c>
      <c r="Q141" s="232" cm="1">
        <f t="array" ref="Q141">_xlfn.XLOOKUP(MIN(ABS($BJ$7:$BJ$29 - MEDIAN(MIN($BJ$7:$BJ$29), MAX($BJ$7:$BJ$29), Q140))), ABS($BJ$7:$BJ$29 - MEDIAN(MIN($BJ$7:$BJ$29), MAX($BJ$7:$BJ$29), Q140)), $BK$7:$BK$29, "Error", 0)</f>
        <v>9</v>
      </c>
      <c r="R141" s="232" cm="1">
        <f t="array" ref="R141">_xlfn.XLOOKUP(MIN(ABS($BJ$7:$BJ$29 - MEDIAN(MIN($BJ$7:$BJ$29), MAX($BJ$7:$BJ$29), R140))), ABS($BJ$7:$BJ$29 - MEDIAN(MIN($BJ$7:$BJ$29), MAX($BJ$7:$BJ$29), R140)), $BK$7:$BK$29, "Error", 0)</f>
        <v>9</v>
      </c>
      <c r="S141" s="232" cm="1">
        <f t="array" ref="S141">_xlfn.XLOOKUP(MIN(ABS($BJ$7:$BJ$29 - MEDIAN(MIN($BJ$7:$BJ$29), MAX($BJ$7:$BJ$29), S140))), ABS($BJ$7:$BJ$29 - MEDIAN(MIN($BJ$7:$BJ$29), MAX($BJ$7:$BJ$29), S140)), $BK$7:$BK$29, "Error", 0)</f>
        <v>7</v>
      </c>
      <c r="T141" s="232" cm="1">
        <f t="array" ref="T141">_xlfn.XLOOKUP(MIN(ABS($BJ$7:$BJ$29 - MEDIAN(MIN($BJ$7:$BJ$29), MAX($BJ$7:$BJ$29), T140))), ABS($BJ$7:$BJ$29 - MEDIAN(MIN($BJ$7:$BJ$29), MAX($BJ$7:$BJ$29), T140)), $BK$7:$BK$29, "Error", 0)</f>
        <v>7</v>
      </c>
      <c r="U141" s="232" cm="1">
        <f t="array" ref="U141">_xlfn.XLOOKUP(MIN(ABS($BJ$7:$BJ$29 - MEDIAN(MIN($BJ$7:$BJ$29), MAX($BJ$7:$BJ$29), U140))), ABS($BJ$7:$BJ$29 - MEDIAN(MIN($BJ$7:$BJ$29), MAX($BJ$7:$BJ$29), U140)), $BK$7:$BK$29, "Error", 0)</f>
        <v>2</v>
      </c>
      <c r="V141" s="232" cm="1">
        <f t="array" ref="V141">_xlfn.XLOOKUP(MIN(ABS($BJ$7:$BJ$29 - MEDIAN(MIN($BJ$7:$BJ$29), MAX($BJ$7:$BJ$29), V140))), ABS($BJ$7:$BJ$29 - MEDIAN(MIN($BJ$7:$BJ$29), MAX($BJ$7:$BJ$29), V140)), $BK$7:$BK$29, "Error", 0)</f>
        <v>2</v>
      </c>
      <c r="W141" s="232" cm="1">
        <f t="array" ref="W141">_xlfn.XLOOKUP(MIN(ABS($BJ$7:$BJ$29 - MEDIAN(MIN($BJ$7:$BJ$29), MAX($BJ$7:$BJ$29), W140))), ABS($BJ$7:$BJ$29 - MEDIAN(MIN($BJ$7:$BJ$29), MAX($BJ$7:$BJ$29), W140)), $BK$7:$BK$29, "Error", 0)</f>
        <v>0</v>
      </c>
      <c r="X141" s="232" cm="1">
        <f t="array" ref="X141">_xlfn.XLOOKUP(MIN(ABS($BJ$7:$BJ$29 - MEDIAN(MIN($BJ$7:$BJ$29), MAX($BJ$7:$BJ$29), X140))), ABS($BJ$7:$BJ$29 - MEDIAN(MIN($BJ$7:$BJ$29), MAX($BJ$7:$BJ$29), X140)), $BK$7:$BK$29, "Error", 0)</f>
        <v>3</v>
      </c>
      <c r="Y141" s="232" cm="1">
        <f t="array" ref="Y141">_xlfn.XLOOKUP(MIN(ABS($BJ$7:$BJ$29 - MEDIAN(MIN($BJ$7:$BJ$29), MAX($BJ$7:$BJ$29), Y140))), ABS($BJ$7:$BJ$29 - MEDIAN(MIN($BJ$7:$BJ$29), MAX($BJ$7:$BJ$29), Y140)), $BK$7:$BK$29, "Error", 0)</f>
        <v>0</v>
      </c>
      <c r="Z141" s="232" cm="1">
        <f t="array" ref="Z141">_xlfn.XLOOKUP(MIN(ABS($BJ$7:$BJ$29 - MEDIAN(MIN($BJ$7:$BJ$29), MAX($BJ$7:$BJ$29), Z140))), ABS($BJ$7:$BJ$29 - MEDIAN(MIN($BJ$7:$BJ$29), MAX($BJ$7:$BJ$29), Z140)), $BK$7:$BK$29, "Error", 0)</f>
        <v>2</v>
      </c>
      <c r="AA141" s="232" cm="1">
        <f t="array" ref="AA141">_xlfn.XLOOKUP(MIN(ABS($BJ$7:$BJ$29 - MEDIAN(MIN($BJ$7:$BJ$29), MAX($BJ$7:$BJ$29), AA140))), ABS($BJ$7:$BJ$29 - MEDIAN(MIN($BJ$7:$BJ$29), MAX($BJ$7:$BJ$29), AA140)), $BK$7:$BK$29, "Error", 0)</f>
        <v>2</v>
      </c>
      <c r="AB141" s="171" cm="1">
        <f t="array" ref="AB141">_xlfn.XLOOKUP(MIN(ABS($BJ$7:$BJ$29 - MEDIAN(MIN($BJ$7:$BJ$29), MAX($BJ$7:$BJ$29), AB140))), ABS($BJ$7:$BJ$29 - MEDIAN(MIN($BJ$7:$BJ$29), MAX($BJ$7:$BJ$29), AB140)), $BK$7:$BK$29, "Error", 0)</f>
        <v>0</v>
      </c>
      <c r="AC141" s="171" cm="1">
        <f t="array" ref="AC141">_xlfn.XLOOKUP(MIN(ABS($BJ$7:$BJ$29 - MEDIAN(MIN($BJ$7:$BJ$29), MAX($BJ$7:$BJ$29), AC140))), ABS($BJ$7:$BJ$29 - MEDIAN(MIN($BJ$7:$BJ$29), MAX($BJ$7:$BJ$29), AC140)), $BK$7:$BK$29, "Error", 0)</f>
        <v>0</v>
      </c>
      <c r="AD141" s="171" cm="1">
        <f t="array" ref="AD141">_xlfn.XLOOKUP(MIN(ABS($BJ$7:$BJ$29 - MEDIAN(MIN($BJ$7:$BJ$29), MAX($BJ$7:$BJ$29), AD140))), ABS($BJ$7:$BJ$29 - MEDIAN(MIN($BJ$7:$BJ$29), MAX($BJ$7:$BJ$29), AD140)), $BK$7:$BK$29, "Error", 0)</f>
        <v>0</v>
      </c>
      <c r="AE141" s="171" cm="1">
        <f t="array" ref="AE141">_xlfn.XLOOKUP(MIN(ABS($BJ$7:$BJ$29 - MEDIAN(MIN($BJ$7:$BJ$29), MAX($BJ$7:$BJ$29), AE140))), ABS($BJ$7:$BJ$29 - MEDIAN(MIN($BJ$7:$BJ$29), MAX($BJ$7:$BJ$29), AE140)), $BK$7:$BK$29, "Error", 0)</f>
        <v>2</v>
      </c>
      <c r="AF141" s="171" cm="1">
        <f t="array" ref="AF141">_xlfn.XLOOKUP(MIN(ABS($BJ$7:$BJ$29 - MEDIAN(MIN($BJ$7:$BJ$29), MAX($BJ$7:$BJ$29), AF140))), ABS($BJ$7:$BJ$29 - MEDIAN(MIN($BJ$7:$BJ$29), MAX($BJ$7:$BJ$29), AF140)), $BK$7:$BK$29, "Error", 0)</f>
        <v>7</v>
      </c>
      <c r="AG141" s="171" cm="1">
        <f t="array" ref="AG141">_xlfn.XLOOKUP(MIN(ABS($BJ$7:$BJ$29 - MEDIAN(MIN($BJ$7:$BJ$29), MAX($BJ$7:$BJ$29), AG140))), ABS($BJ$7:$BJ$29 - MEDIAN(MIN($BJ$7:$BJ$29), MAX($BJ$7:$BJ$29), AG140)), $BK$7:$BK$29, "Error", 0)</f>
        <v>5</v>
      </c>
      <c r="AH141" s="171" cm="1">
        <f t="array" ref="AH141">_xlfn.XLOOKUP(MIN(ABS($BJ$7:$BJ$29 - MEDIAN(MIN($BJ$7:$BJ$29), MAX($BJ$7:$BJ$29), AH140))), ABS($BJ$7:$BJ$29 - MEDIAN(MIN($BJ$7:$BJ$29), MAX($BJ$7:$BJ$29), AH140)), $BK$7:$BK$29, "Error", 0)</f>
        <v>5</v>
      </c>
      <c r="AI141" s="171" cm="1">
        <f t="array" ref="AI141">_xlfn.XLOOKUP(MIN(ABS($BJ$7:$BJ$29 - MEDIAN(MIN($BJ$7:$BJ$29), MAX($BJ$7:$BJ$29), AI140))), ABS($BJ$7:$BJ$29 - MEDIAN(MIN($BJ$7:$BJ$29), MAX($BJ$7:$BJ$29), AI140)), $BK$7:$BK$29, "Error", 0)</f>
        <v>7</v>
      </c>
      <c r="AJ141" s="171" cm="1">
        <f t="array" ref="AJ141">_xlfn.XLOOKUP(MIN(ABS($BJ$7:$BJ$29 - MEDIAN(MIN($BJ$7:$BJ$29), MAX($BJ$7:$BJ$29), AJ140))), ABS($BJ$7:$BJ$29 - MEDIAN(MIN($BJ$7:$BJ$29), MAX($BJ$7:$BJ$29), AJ140)), $BK$7:$BK$29, "Error", 0)</f>
        <v>5</v>
      </c>
      <c r="AK141" s="171" cm="1">
        <f t="array" ref="AK141">_xlfn.XLOOKUP(MIN(ABS($BJ$7:$BJ$29 - MEDIAN(MIN($BJ$7:$BJ$29), MAX($BJ$7:$BJ$29), AK140))), ABS($BJ$7:$BJ$29 - MEDIAN(MIN($BJ$7:$BJ$29), MAX($BJ$7:$BJ$29), AK140)), $BK$7:$BK$29, "Error", 0)</f>
        <v>2</v>
      </c>
      <c r="AL141" s="171" cm="1">
        <f t="array" ref="AL141">_xlfn.XLOOKUP(MIN(ABS($BJ$7:$BJ$29 - MEDIAN(MIN($BJ$7:$BJ$29), MAX($BJ$7:$BJ$29), AL140))), ABS($BJ$7:$BJ$29 - MEDIAN(MIN($BJ$7:$BJ$29), MAX($BJ$7:$BJ$29), AL140)), $BK$7:$BK$29, "Error", 0)</f>
        <v>0</v>
      </c>
      <c r="AM141" s="171" cm="1">
        <f t="array" ref="AM141">_xlfn.XLOOKUP(MIN(ABS($BJ$7:$BJ$29 - MEDIAN(MIN($BJ$7:$BJ$29), MAX($BJ$7:$BJ$29), AM140))), ABS($BJ$7:$BJ$29 - MEDIAN(MIN($BJ$7:$BJ$29), MAX($BJ$7:$BJ$29), AM140)), $BK$7:$BK$29, "Error", 0)</f>
        <v>0</v>
      </c>
      <c r="AN141" s="171" cm="1">
        <f t="array" ref="AN141">_xlfn.XLOOKUP(MIN(ABS($BJ$7:$BJ$29 - MEDIAN(MIN($BJ$7:$BJ$29), MAX($BJ$7:$BJ$29), AN140))), ABS($BJ$7:$BJ$29 - MEDIAN(MIN($BJ$7:$BJ$29), MAX($BJ$7:$BJ$29), AN140)), $BK$7:$BK$29, "Error", 0)</f>
        <v>0</v>
      </c>
      <c r="AO141" s="171" cm="1">
        <f t="array" ref="AO141">_xlfn.XLOOKUP(MIN(ABS($BJ$7:$BJ$29 - MEDIAN(MIN($BJ$7:$BJ$29), MAX($BJ$7:$BJ$29), AO140))), ABS($BJ$7:$BJ$29 - MEDIAN(MIN($BJ$7:$BJ$29), MAX($BJ$7:$BJ$29), AO140)), $BK$7:$BK$29, "Error", 0)</f>
        <v>-2</v>
      </c>
      <c r="AP141" s="171" cm="1">
        <f t="array" ref="AP141">_xlfn.XLOOKUP(MIN(ABS($BJ$7:$BJ$29 - MEDIAN(MIN($BJ$7:$BJ$29), MAX($BJ$7:$BJ$29), AP140))), ABS($BJ$7:$BJ$29 - MEDIAN(MIN($BJ$7:$BJ$29), MAX($BJ$7:$BJ$29), AP140)), $BK$7:$BK$29, "Error", 0)</f>
        <v>0</v>
      </c>
      <c r="AQ141" s="171" cm="1">
        <f t="array" ref="AQ141">_xlfn.XLOOKUP(MIN(ABS($BJ$7:$BJ$29 - MEDIAN(MIN($BJ$7:$BJ$29), MAX($BJ$7:$BJ$29), AQ140))), ABS($BJ$7:$BJ$29 - MEDIAN(MIN($BJ$7:$BJ$29), MAX($BJ$7:$BJ$29), AQ140)), $BK$7:$BK$29, "Error", 0)</f>
        <v>-3</v>
      </c>
      <c r="AR141" s="171" cm="1">
        <f t="array" ref="AR141">_xlfn.XLOOKUP(MIN(ABS($BJ$7:$BJ$29 - MEDIAN(MIN($BJ$7:$BJ$29), MAX($BJ$7:$BJ$29), AR140))), ABS($BJ$7:$BJ$29 - MEDIAN(MIN($BJ$7:$BJ$29), MAX($BJ$7:$BJ$29), AR140)), $BK$7:$BK$29, "Error", 0)</f>
        <v>0</v>
      </c>
      <c r="AS141" s="171" cm="1">
        <f t="array" ref="AS141">_xlfn.XLOOKUP(MIN(ABS($BJ$7:$BJ$29 - MEDIAN(MIN($BJ$7:$BJ$29), MAX($BJ$7:$BJ$29), AS140))), ABS($BJ$7:$BJ$29 - MEDIAN(MIN($BJ$7:$BJ$29), MAX($BJ$7:$BJ$29), AS140)), $BK$7:$BK$29, "Error", 0)</f>
        <v>0</v>
      </c>
      <c r="AT141" s="171" cm="1">
        <f t="array" ref="AT141">_xlfn.XLOOKUP(MIN(ABS($BJ$7:$BJ$29 - MEDIAN(MIN($BJ$7:$BJ$29), MAX($BJ$7:$BJ$29), AT140))), ABS($BJ$7:$BJ$29 - MEDIAN(MIN($BJ$7:$BJ$29), MAX($BJ$7:$BJ$29), AT140)), $BK$7:$BK$29, "Error", 0)</f>
        <v>0</v>
      </c>
      <c r="AU141" s="171" cm="1">
        <f t="array" ref="AU141">_xlfn.XLOOKUP(MIN(ABS($BJ$7:$BJ$29 - MEDIAN(MIN($BJ$7:$BJ$29), MAX($BJ$7:$BJ$29), AU140))), ABS($BJ$7:$BJ$29 - MEDIAN(MIN($BJ$7:$BJ$29), MAX($BJ$7:$BJ$29), AU140)), $BK$7:$BK$29, "Error", 0)</f>
        <v>0</v>
      </c>
      <c r="AV141" s="206" t="s">
        <v>25</v>
      </c>
      <c r="AW141" s="184"/>
      <c r="AX141" s="184"/>
      <c r="AY141" s="184"/>
    </row>
    <row r="142" spans="1:51" ht="44">
      <c r="A142" s="283" t="s">
        <v>10</v>
      </c>
      <c r="B142" s="200" t="s">
        <v>76</v>
      </c>
      <c r="C142" s="233">
        <v>5697.5044788549103</v>
      </c>
      <c r="D142" s="233">
        <v>5697.5044788549103</v>
      </c>
      <c r="E142" s="233">
        <v>5697.5044788549103</v>
      </c>
      <c r="F142" s="233">
        <v>5697.5044788549103</v>
      </c>
      <c r="G142" s="233">
        <v>5697.5044788549103</v>
      </c>
      <c r="H142" s="233">
        <v>5697.5044788549103</v>
      </c>
      <c r="I142" s="233">
        <v>5697.5044788549103</v>
      </c>
      <c r="J142" s="233">
        <v>5697.5044788549103</v>
      </c>
      <c r="K142" s="233">
        <v>5697.5044788549103</v>
      </c>
      <c r="L142" s="233">
        <v>5697.5044788549103</v>
      </c>
      <c r="M142" s="233">
        <v>5697.5044788549103</v>
      </c>
      <c r="N142" s="233">
        <v>5697.5044788549103</v>
      </c>
      <c r="O142" s="233">
        <v>5697.5044788549103</v>
      </c>
      <c r="P142" s="233">
        <v>5697.5044788549103</v>
      </c>
      <c r="Q142" s="233">
        <v>5697.5044788549103</v>
      </c>
      <c r="R142" s="233">
        <v>5697.5044788549103</v>
      </c>
      <c r="S142" s="233">
        <v>5697.5044788549103</v>
      </c>
      <c r="T142" s="233">
        <v>5697.5044788549103</v>
      </c>
      <c r="U142" s="233">
        <v>5697.5044788549103</v>
      </c>
      <c r="V142" s="233">
        <v>5697.5044788549103</v>
      </c>
      <c r="W142" s="233">
        <v>5751.1866722619197</v>
      </c>
      <c r="X142" s="233">
        <v>5751.1866722619197</v>
      </c>
      <c r="Y142" s="233">
        <v>5751.1866722619197</v>
      </c>
      <c r="Z142" s="233">
        <v>5751.1866722619197</v>
      </c>
      <c r="AA142" s="204">
        <v>5751.1866722619197</v>
      </c>
      <c r="AB142" s="204">
        <v>5751.1866722619197</v>
      </c>
      <c r="AC142" s="204">
        <v>5751.1866722619197</v>
      </c>
      <c r="AD142" s="204">
        <v>5751.1866722619197</v>
      </c>
      <c r="AE142" s="204">
        <v>5751.1866722619197</v>
      </c>
      <c r="AF142" s="204">
        <v>5751.1866722619197</v>
      </c>
      <c r="AG142" s="204">
        <v>5845.9605211587595</v>
      </c>
      <c r="AH142" s="204">
        <v>5946.9035996496696</v>
      </c>
      <c r="AI142" s="204">
        <v>5946.9035996496696</v>
      </c>
      <c r="AJ142" s="204">
        <v>5946.9035996496696</v>
      </c>
      <c r="AK142" s="204">
        <v>5946.9035996496696</v>
      </c>
      <c r="AL142" s="204">
        <v>5946.9035996496696</v>
      </c>
      <c r="AM142" s="204">
        <v>6369.3478837311304</v>
      </c>
      <c r="AN142" s="204">
        <v>6577.5875745626399</v>
      </c>
      <c r="AO142" s="204">
        <v>6577.5875745626399</v>
      </c>
      <c r="AP142" s="204">
        <v>6577.5875745626399</v>
      </c>
      <c r="AQ142" s="204">
        <v>6577.5875745626399</v>
      </c>
      <c r="AR142" s="204">
        <v>6577.5875745626399</v>
      </c>
      <c r="AS142" s="204">
        <v>6577.5875745626399</v>
      </c>
      <c r="AT142" s="204">
        <v>6577.5875745626399</v>
      </c>
      <c r="AU142" s="204">
        <v>6577.5875745626399</v>
      </c>
      <c r="AV142" s="200" t="s">
        <v>76</v>
      </c>
      <c r="AW142" s="184"/>
      <c r="AX142" s="184"/>
      <c r="AY142" s="184"/>
    </row>
    <row r="143" spans="1:51" ht="22">
      <c r="A143" s="284"/>
      <c r="B143" s="201" t="s">
        <v>77</v>
      </c>
      <c r="C143" s="233">
        <v>5277.1293972133399</v>
      </c>
      <c r="D143" s="233">
        <v>4894.3404607311804</v>
      </c>
      <c r="E143" s="233">
        <v>4821.1980739016999</v>
      </c>
      <c r="F143" s="233">
        <v>4836.3662745117899</v>
      </c>
      <c r="G143" s="233">
        <v>4621.9674524335396</v>
      </c>
      <c r="H143" s="233">
        <v>4768.3762393267798</v>
      </c>
      <c r="I143" s="233">
        <v>4935.9231275018301</v>
      </c>
      <c r="J143" s="233">
        <v>4732.9447042901902</v>
      </c>
      <c r="K143" s="233">
        <v>4530.8223104691097</v>
      </c>
      <c r="L143" s="233">
        <v>4319.9847760110897</v>
      </c>
      <c r="M143" s="233">
        <v>4691.0908079077499</v>
      </c>
      <c r="N143" s="233">
        <v>5181.7094994281097</v>
      </c>
      <c r="O143" s="233">
        <v>5065.2688937773901</v>
      </c>
      <c r="P143" s="233">
        <v>5000.0750565220997</v>
      </c>
      <c r="Q143" s="233">
        <v>5147.1991733426403</v>
      </c>
      <c r="R143" s="233">
        <v>5029.1052185953604</v>
      </c>
      <c r="S143" s="233">
        <v>5106.4594169030897</v>
      </c>
      <c r="T143" s="233">
        <v>5194.9048978090304</v>
      </c>
      <c r="U143" s="233">
        <v>5293.5794383395096</v>
      </c>
      <c r="V143" s="233">
        <v>5499.0936012551801</v>
      </c>
      <c r="W143" s="233">
        <v>5751.1866722619197</v>
      </c>
      <c r="X143" s="233">
        <v>5363.4035682678204</v>
      </c>
      <c r="Y143" s="233">
        <v>5492.6755200071502</v>
      </c>
      <c r="Z143" s="233">
        <v>5074.9600895574604</v>
      </c>
      <c r="AA143" s="204">
        <v>5302.8259844999402</v>
      </c>
      <c r="AB143" s="204">
        <v>5093.2023094246697</v>
      </c>
      <c r="AC143" s="204">
        <v>4927.9353156810103</v>
      </c>
      <c r="AD143" s="204">
        <v>5190.1387444416196</v>
      </c>
      <c r="AE143" s="204">
        <v>5437.0065224125901</v>
      </c>
      <c r="AF143" s="204">
        <v>5580.8681610820404</v>
      </c>
      <c r="AG143" s="204">
        <v>5845.9605211587595</v>
      </c>
      <c r="AH143" s="204">
        <v>5946.9035996496696</v>
      </c>
      <c r="AI143" s="204">
        <v>5824.2612701426297</v>
      </c>
      <c r="AJ143" s="204">
        <v>5825.9047692300501</v>
      </c>
      <c r="AK143" s="204">
        <v>5616.3945718915202</v>
      </c>
      <c r="AL143" s="204">
        <v>5836.8378654062399</v>
      </c>
      <c r="AM143" s="204">
        <v>6369.3478837311304</v>
      </c>
      <c r="AN143" s="204">
        <v>6577.5875745626399</v>
      </c>
      <c r="AO143" s="204">
        <v>5806.5561870059501</v>
      </c>
      <c r="AP143" s="204">
        <v>6340.2500101369797</v>
      </c>
      <c r="AQ143" s="204">
        <v>6289.4458965289496</v>
      </c>
      <c r="AR143" s="204">
        <v>6041</v>
      </c>
      <c r="AS143" s="204">
        <v>6167</v>
      </c>
      <c r="AT143" s="204">
        <v>6167</v>
      </c>
      <c r="AU143" s="204">
        <v>6167</v>
      </c>
      <c r="AV143" s="201" t="s">
        <v>77</v>
      </c>
      <c r="AW143" s="184"/>
      <c r="AX143" s="184"/>
      <c r="AY143" s="184"/>
    </row>
    <row r="144" spans="1:51" ht="22">
      <c r="A144" s="284"/>
      <c r="B144" s="201" t="s">
        <v>78</v>
      </c>
      <c r="C144" s="230">
        <f t="shared" ref="C144:Z144" si="177">+(C143-C142)/C142</f>
        <v>-7.3782317012949114E-2</v>
      </c>
      <c r="D144" s="230">
        <f t="shared" si="177"/>
        <v>-0.14096768525667758</v>
      </c>
      <c r="E144" s="230">
        <f t="shared" si="177"/>
        <v>-0.15380530339299203</v>
      </c>
      <c r="F144" s="230">
        <f t="shared" si="177"/>
        <v>-0.15114305000356801</v>
      </c>
      <c r="G144" s="230">
        <f t="shared" si="177"/>
        <v>-0.18877335338883894</v>
      </c>
      <c r="H144" s="230">
        <f t="shared" si="177"/>
        <v>-0.16307635087894964</v>
      </c>
      <c r="I144" s="230">
        <f t="shared" si="177"/>
        <v>-0.1336692852422546</v>
      </c>
      <c r="J144" s="230">
        <f t="shared" si="177"/>
        <v>-0.16929513230651785</v>
      </c>
      <c r="K144" s="230">
        <f t="shared" si="177"/>
        <v>-0.20477073299647172</v>
      </c>
      <c r="L144" s="230">
        <f t="shared" si="177"/>
        <v>-0.24177597542155435</v>
      </c>
      <c r="M144" s="230">
        <f t="shared" si="177"/>
        <v>-0.1766411373053331</v>
      </c>
      <c r="N144" s="230">
        <f t="shared" si="177"/>
        <v>-9.05299822652295E-2</v>
      </c>
      <c r="O144" s="230">
        <f t="shared" si="177"/>
        <v>-0.11096710628731046</v>
      </c>
      <c r="P144" s="230">
        <f t="shared" si="177"/>
        <v>-0.12240963125543354</v>
      </c>
      <c r="Q144" s="230">
        <f t="shared" si="177"/>
        <v>-9.6587077299300494E-2</v>
      </c>
      <c r="R144" s="230">
        <f t="shared" si="177"/>
        <v>-0.11731438961393943</v>
      </c>
      <c r="S144" s="230">
        <f t="shared" si="177"/>
        <v>-0.10373753353689497</v>
      </c>
      <c r="T144" s="230">
        <f t="shared" si="177"/>
        <v>-8.8213986125183844E-2</v>
      </c>
      <c r="U144" s="230">
        <f t="shared" si="177"/>
        <v>-7.0895080822574785E-2</v>
      </c>
      <c r="V144" s="230">
        <f t="shared" si="177"/>
        <v>-3.4824172290884615E-2</v>
      </c>
      <c r="W144" s="230">
        <f t="shared" si="177"/>
        <v>0</v>
      </c>
      <c r="X144" s="230">
        <f t="shared" si="177"/>
        <v>-6.7426624467674542E-2</v>
      </c>
      <c r="Y144" s="230">
        <f t="shared" si="177"/>
        <v>-4.4949184748527396E-2</v>
      </c>
      <c r="Z144" s="230">
        <f t="shared" si="177"/>
        <v>-0.11758035710541491</v>
      </c>
      <c r="AA144" s="230">
        <f t="shared" ref="AA144:AR144" si="178">+(AA143-AA142)/AA142</f>
        <v>-7.795968263809476E-2</v>
      </c>
      <c r="AB144" s="205">
        <f t="shared" si="178"/>
        <v>-0.11440845173931162</v>
      </c>
      <c r="AC144" s="205">
        <f t="shared" si="178"/>
        <v>-0.14314460710368976</v>
      </c>
      <c r="AD144" s="205">
        <f t="shared" si="178"/>
        <v>-9.75534198057324E-2</v>
      </c>
      <c r="AE144" s="205">
        <f t="shared" si="178"/>
        <v>-5.4628751899955939E-2</v>
      </c>
      <c r="AF144" s="205">
        <f t="shared" si="178"/>
        <v>-2.9614498865308737E-2</v>
      </c>
      <c r="AG144" s="205">
        <f t="shared" si="178"/>
        <v>0</v>
      </c>
      <c r="AH144" s="205">
        <f t="shared" si="178"/>
        <v>0</v>
      </c>
      <c r="AI144" s="205">
        <f t="shared" si="178"/>
        <v>-2.0622888441350341E-2</v>
      </c>
      <c r="AJ144" s="205">
        <f t="shared" si="178"/>
        <v>-2.0346526287520029E-2</v>
      </c>
      <c r="AK144" s="205">
        <f t="shared" si="178"/>
        <v>-5.5576658040601093E-2</v>
      </c>
      <c r="AL144" s="205">
        <f t="shared" si="178"/>
        <v>-1.8508074395205201E-2</v>
      </c>
      <c r="AM144" s="205">
        <f t="shared" si="178"/>
        <v>0</v>
      </c>
      <c r="AN144" s="205">
        <f t="shared" si="178"/>
        <v>0</v>
      </c>
      <c r="AO144" s="205">
        <f t="shared" si="178"/>
        <v>-0.11722099916061668</v>
      </c>
      <c r="AP144" s="205">
        <f t="shared" si="178"/>
        <v>-3.608276769183745E-2</v>
      </c>
      <c r="AQ144" s="205">
        <f t="shared" si="178"/>
        <v>-4.3806589386664249E-2</v>
      </c>
      <c r="AR144" s="205">
        <f t="shared" si="178"/>
        <v>-8.1578172617233297E-2</v>
      </c>
      <c r="AS144" s="205">
        <f t="shared" ref="AS144:AT144" si="179">+(AS143-AS142)/AS142</f>
        <v>-6.2422213297546388E-2</v>
      </c>
      <c r="AT144" s="205">
        <f t="shared" si="179"/>
        <v>-6.2422213297546388E-2</v>
      </c>
      <c r="AU144" s="205">
        <f t="shared" ref="AU144" si="180">+(AU143-AU142)/AU142</f>
        <v>-6.2422213297546388E-2</v>
      </c>
      <c r="AV144" s="201" t="s">
        <v>78</v>
      </c>
      <c r="AW144" s="184"/>
      <c r="AX144" s="184"/>
      <c r="AY144" s="184"/>
    </row>
    <row r="145" spans="1:51" ht="44">
      <c r="A145" s="284"/>
      <c r="B145" s="201" t="s">
        <v>93</v>
      </c>
      <c r="C145" s="233">
        <v>7632.7998046875</v>
      </c>
      <c r="D145" s="233">
        <v>7632.7998046875</v>
      </c>
      <c r="E145" s="233">
        <v>7632.7998046875</v>
      </c>
      <c r="F145" s="233">
        <v>7632.7998046875</v>
      </c>
      <c r="G145" s="233">
        <v>7632.7998046875</v>
      </c>
      <c r="H145" s="233">
        <v>7632.7998046875</v>
      </c>
      <c r="I145" s="233">
        <v>7632.7998046875</v>
      </c>
      <c r="J145" s="233">
        <v>7632.7998046875</v>
      </c>
      <c r="K145" s="233">
        <v>7632.7998046875</v>
      </c>
      <c r="L145" s="233">
        <v>7632.7998046875</v>
      </c>
      <c r="M145" s="233">
        <v>7632.7998046875</v>
      </c>
      <c r="N145" s="233">
        <v>7632.7998046875</v>
      </c>
      <c r="O145" s="233">
        <v>7682.2998046875</v>
      </c>
      <c r="P145" s="233">
        <v>7703.7998046875</v>
      </c>
      <c r="Q145" s="233">
        <v>7901.2001953125</v>
      </c>
      <c r="R145" s="233">
        <v>7901.2001953125</v>
      </c>
      <c r="S145" s="233">
        <v>7901.2001953125</v>
      </c>
      <c r="T145" s="233">
        <v>7901.2001953125</v>
      </c>
      <c r="U145" s="233">
        <v>8092.2998046875</v>
      </c>
      <c r="V145" s="233">
        <v>8092.2998046875</v>
      </c>
      <c r="W145" s="233">
        <v>8285.7001953125</v>
      </c>
      <c r="X145" s="233">
        <v>8285.7001953125</v>
      </c>
      <c r="Y145" s="233">
        <v>8477.099609375</v>
      </c>
      <c r="Z145" s="233">
        <v>8477.099609375</v>
      </c>
      <c r="AA145" s="231">
        <v>8566.900390625</v>
      </c>
      <c r="AB145" s="203">
        <v>8566.900390625</v>
      </c>
      <c r="AC145" s="203">
        <v>8566.900390625</v>
      </c>
      <c r="AD145" s="203">
        <v>8566.900390625</v>
      </c>
      <c r="AE145" s="203">
        <v>8566.900390625</v>
      </c>
      <c r="AF145" s="203">
        <v>8639.099609375</v>
      </c>
      <c r="AG145" s="203">
        <v>8776.400390625</v>
      </c>
      <c r="AH145" s="203">
        <v>9054.5</v>
      </c>
      <c r="AI145" s="203">
        <v>9054.5</v>
      </c>
      <c r="AJ145" s="203">
        <v>9115.2001953125</v>
      </c>
      <c r="AK145" s="203">
        <v>9115.2001953125</v>
      </c>
      <c r="AL145" s="203">
        <v>9115.2001953125</v>
      </c>
      <c r="AM145" s="203">
        <v>9115.2001953125</v>
      </c>
      <c r="AN145" s="203">
        <v>9202.900390625</v>
      </c>
      <c r="AO145" s="203">
        <v>9202.900390625</v>
      </c>
      <c r="AP145" s="203">
        <v>9202.900390625</v>
      </c>
      <c r="AQ145" s="203">
        <v>9202.900390625</v>
      </c>
      <c r="AR145" s="203">
        <v>9202.900390625</v>
      </c>
      <c r="AS145" s="203">
        <v>9202.900390625</v>
      </c>
      <c r="AT145" s="203">
        <v>9202.900390625</v>
      </c>
      <c r="AU145" s="203">
        <v>9202.900390625</v>
      </c>
      <c r="AV145" s="201" t="s">
        <v>93</v>
      </c>
      <c r="AW145" s="184"/>
      <c r="AX145" s="184"/>
      <c r="AY145" s="184"/>
    </row>
    <row r="146" spans="1:51" ht="44">
      <c r="A146" s="284"/>
      <c r="B146" s="201" t="s">
        <v>94</v>
      </c>
      <c r="C146" s="233">
        <v>7476.7001953125</v>
      </c>
      <c r="D146" s="233">
        <v>7258.39990234375</v>
      </c>
      <c r="E146" s="233">
        <v>7177.7998046875</v>
      </c>
      <c r="F146" s="233">
        <v>7309.2001953125</v>
      </c>
      <c r="G146" s="233">
        <v>7091.2998046875</v>
      </c>
      <c r="H146" s="233">
        <v>7203.2998046875</v>
      </c>
      <c r="I146" s="233">
        <v>7410.39990234375</v>
      </c>
      <c r="J146" s="233">
        <v>7305.2998046875</v>
      </c>
      <c r="K146" s="233">
        <v>7048.60009765625</v>
      </c>
      <c r="L146" s="233">
        <v>6780.7001953125</v>
      </c>
      <c r="M146" s="233">
        <v>7087.2998046875</v>
      </c>
      <c r="N146" s="233">
        <v>7590.7998046875</v>
      </c>
      <c r="O146" s="233">
        <v>7682.2998046875</v>
      </c>
      <c r="P146" s="233">
        <v>7703.7998046875</v>
      </c>
      <c r="Q146" s="233">
        <v>7901.2001953125</v>
      </c>
      <c r="R146" s="233">
        <v>7664.10009765625</v>
      </c>
      <c r="S146" s="233">
        <v>7701.7001953125</v>
      </c>
      <c r="T146" s="233">
        <v>7767.5</v>
      </c>
      <c r="U146" s="233">
        <v>8092.2998046875</v>
      </c>
      <c r="V146" s="233">
        <v>8091.89990234375</v>
      </c>
      <c r="W146" s="233">
        <v>8285.7001953125</v>
      </c>
      <c r="X146" s="233">
        <v>8160</v>
      </c>
      <c r="Y146" s="233">
        <v>8477.099609375</v>
      </c>
      <c r="Z146" s="233">
        <v>8159.10009765625</v>
      </c>
      <c r="AA146" s="231">
        <v>8566.900390625</v>
      </c>
      <c r="AB146" s="203">
        <v>8172.39990234375</v>
      </c>
      <c r="AC146" s="203">
        <v>7843.39990234375</v>
      </c>
      <c r="AD146" s="203">
        <v>8126.2001953125</v>
      </c>
      <c r="AE146" s="203">
        <v>8434.7001953125</v>
      </c>
      <c r="AF146" s="203">
        <v>8639.099609375</v>
      </c>
      <c r="AG146" s="203">
        <v>8776.400390625</v>
      </c>
      <c r="AH146" s="203">
        <v>9054.5</v>
      </c>
      <c r="AI146" s="203">
        <v>8848.7998046875</v>
      </c>
      <c r="AJ146" s="203">
        <v>9115.2001953125</v>
      </c>
      <c r="AK146" s="203">
        <v>8614.099609375</v>
      </c>
      <c r="AL146" s="203">
        <v>8714.2998046875</v>
      </c>
      <c r="AM146" s="203">
        <v>8869.099609375</v>
      </c>
      <c r="AN146" s="203">
        <v>9202.900390625</v>
      </c>
      <c r="AO146" s="203">
        <v>8481.7998046875</v>
      </c>
      <c r="AP146" s="203">
        <v>8665.7998046875</v>
      </c>
      <c r="AQ146" s="203">
        <v>8731.7001953125</v>
      </c>
      <c r="AR146" s="203">
        <v>8778</v>
      </c>
      <c r="AS146" s="203">
        <v>8841</v>
      </c>
      <c r="AT146" s="203">
        <v>8841</v>
      </c>
      <c r="AU146" s="203">
        <v>8841</v>
      </c>
      <c r="AV146" s="201" t="s">
        <v>94</v>
      </c>
      <c r="AW146" s="184"/>
      <c r="AX146" s="184"/>
      <c r="AY146" s="184"/>
    </row>
    <row r="147" spans="1:51" ht="44">
      <c r="A147" s="284"/>
      <c r="B147" s="201" t="s">
        <v>79</v>
      </c>
      <c r="C147" s="230">
        <f t="shared" ref="C147:Z147" si="181">+(C146-C145)/C145</f>
        <v>-2.0451159911089922E-2</v>
      </c>
      <c r="D147" s="230">
        <f t="shared" si="181"/>
        <v>-4.9051450571757603E-2</v>
      </c>
      <c r="E147" s="230">
        <f t="shared" si="181"/>
        <v>-5.9611153396237737E-2</v>
      </c>
      <c r="F147" s="230">
        <f t="shared" si="181"/>
        <v>-4.239592517234228E-2</v>
      </c>
      <c r="G147" s="230">
        <f t="shared" si="181"/>
        <v>-7.0943823217720289E-2</v>
      </c>
      <c r="H147" s="230">
        <f t="shared" si="181"/>
        <v>-5.6270308535569469E-2</v>
      </c>
      <c r="I147" s="230">
        <f t="shared" si="181"/>
        <v>-2.9137394931695766E-2</v>
      </c>
      <c r="J147" s="230">
        <f t="shared" si="181"/>
        <v>-4.2906929092896395E-2</v>
      </c>
      <c r="K147" s="230">
        <f t="shared" si="181"/>
        <v>-7.6538062307421953E-2</v>
      </c>
      <c r="L147" s="230">
        <f t="shared" si="181"/>
        <v>-0.11163657257874149</v>
      </c>
      <c r="M147" s="230">
        <f t="shared" si="181"/>
        <v>-7.1467877313511396E-2</v>
      </c>
      <c r="N147" s="230">
        <f t="shared" si="181"/>
        <v>-5.5025680058065603E-3</v>
      </c>
      <c r="O147" s="230">
        <f t="shared" si="181"/>
        <v>0</v>
      </c>
      <c r="P147" s="230">
        <f t="shared" si="181"/>
        <v>0</v>
      </c>
      <c r="Q147" s="230">
        <f t="shared" si="181"/>
        <v>0</v>
      </c>
      <c r="R147" s="230">
        <f t="shared" si="181"/>
        <v>-3.000811165332996E-2</v>
      </c>
      <c r="S147" s="230">
        <f t="shared" si="181"/>
        <v>-2.5249328591668417E-2</v>
      </c>
      <c r="T147" s="230">
        <f t="shared" si="181"/>
        <v>-1.6921504582534126E-2</v>
      </c>
      <c r="U147" s="230">
        <f t="shared" si="181"/>
        <v>0</v>
      </c>
      <c r="V147" s="230">
        <f t="shared" si="181"/>
        <v>-4.9417638174793627E-5</v>
      </c>
      <c r="W147" s="230">
        <f t="shared" si="181"/>
        <v>0</v>
      </c>
      <c r="X147" s="230">
        <f t="shared" si="181"/>
        <v>-1.5170739026209619E-2</v>
      </c>
      <c r="Y147" s="230">
        <f t="shared" si="181"/>
        <v>0</v>
      </c>
      <c r="Z147" s="230">
        <f t="shared" si="181"/>
        <v>-3.7512772808174596E-2</v>
      </c>
      <c r="AA147" s="230">
        <f>+(AA146-AA145)/AA145</f>
        <v>0</v>
      </c>
      <c r="AB147" s="205">
        <f t="shared" ref="AB147:AP147" si="182">+(AB146-AB145)/AB145</f>
        <v>-4.6049384292242146E-2</v>
      </c>
      <c r="AC147" s="205">
        <f t="shared" si="182"/>
        <v>-8.4453005788767771E-2</v>
      </c>
      <c r="AD147" s="205">
        <f t="shared" si="182"/>
        <v>-5.1442199070596245E-2</v>
      </c>
      <c r="AE147" s="205">
        <f t="shared" si="182"/>
        <v>-1.5431508396802464E-2</v>
      </c>
      <c r="AF147" s="205">
        <f t="shared" si="182"/>
        <v>0</v>
      </c>
      <c r="AG147" s="205">
        <f t="shared" si="182"/>
        <v>0</v>
      </c>
      <c r="AH147" s="205">
        <f t="shared" si="182"/>
        <v>0</v>
      </c>
      <c r="AI147" s="205">
        <f t="shared" si="182"/>
        <v>-2.2718007102821802E-2</v>
      </c>
      <c r="AJ147" s="205">
        <f t="shared" si="182"/>
        <v>0</v>
      </c>
      <c r="AK147" s="205">
        <f t="shared" si="182"/>
        <v>-5.4974172283697227E-2</v>
      </c>
      <c r="AL147" s="205">
        <f t="shared" si="182"/>
        <v>-4.398152339332749E-2</v>
      </c>
      <c r="AM147" s="205">
        <f t="shared" si="182"/>
        <v>-2.6998922751478069E-2</v>
      </c>
      <c r="AN147" s="205">
        <f t="shared" si="182"/>
        <v>0</v>
      </c>
      <c r="AO147" s="205">
        <f t="shared" si="182"/>
        <v>-7.8355796034920211E-2</v>
      </c>
      <c r="AP147" s="205">
        <f t="shared" si="182"/>
        <v>-5.8362099244782077E-2</v>
      </c>
      <c r="AQ147" s="205">
        <f>+(AQ146-AQ145)/AQ145</f>
        <v>-5.1201270828978213E-2</v>
      </c>
      <c r="AR147" s="205">
        <f>+(AR146-AR145)/AR145</f>
        <v>-4.6170269435692933E-2</v>
      </c>
      <c r="AS147" s="205">
        <f>+(AS146-AS145)/AS145</f>
        <v>-3.9324601512982595E-2</v>
      </c>
      <c r="AT147" s="205">
        <f>+(AT146-AT145)/AT145</f>
        <v>-3.9324601512982595E-2</v>
      </c>
      <c r="AU147" s="205">
        <f>+(AU146-AU145)/AU145</f>
        <v>-3.9324601512982595E-2</v>
      </c>
      <c r="AV147" s="201" t="s">
        <v>79</v>
      </c>
      <c r="AW147" s="184"/>
      <c r="AX147" s="184"/>
      <c r="AY147" s="184"/>
    </row>
    <row r="148" spans="1:51" ht="22">
      <c r="A148" s="284"/>
      <c r="B148" s="201" t="s">
        <v>80</v>
      </c>
      <c r="C148" s="230">
        <f t="shared" ref="C148:Z148" si="183">+C144-C147</f>
        <v>-5.3331157101859192E-2</v>
      </c>
      <c r="D148" s="230">
        <f t="shared" si="183"/>
        <v>-9.1916234684919967E-2</v>
      </c>
      <c r="E148" s="230">
        <f t="shared" si="183"/>
        <v>-9.4194149996754295E-2</v>
      </c>
      <c r="F148" s="230">
        <f t="shared" si="183"/>
        <v>-0.10874712483122573</v>
      </c>
      <c r="G148" s="230">
        <f t="shared" si="183"/>
        <v>-0.11782953017111865</v>
      </c>
      <c r="H148" s="230">
        <f t="shared" si="183"/>
        <v>-0.10680604234338018</v>
      </c>
      <c r="I148" s="230">
        <f t="shared" si="183"/>
        <v>-0.10453189031055884</v>
      </c>
      <c r="J148" s="230">
        <f t="shared" si="183"/>
        <v>-0.12638820321362146</v>
      </c>
      <c r="K148" s="230">
        <f t="shared" si="183"/>
        <v>-0.12823267068904975</v>
      </c>
      <c r="L148" s="230">
        <f t="shared" si="183"/>
        <v>-0.13013940284281286</v>
      </c>
      <c r="M148" s="230">
        <f t="shared" si="183"/>
        <v>-0.1051732599918217</v>
      </c>
      <c r="N148" s="230">
        <f t="shared" si="183"/>
        <v>-8.5027414259422937E-2</v>
      </c>
      <c r="O148" s="230">
        <f t="shared" si="183"/>
        <v>-0.11096710628731046</v>
      </c>
      <c r="P148" s="230">
        <f t="shared" si="183"/>
        <v>-0.12240963125543354</v>
      </c>
      <c r="Q148" s="230">
        <f t="shared" si="183"/>
        <v>-9.6587077299300494E-2</v>
      </c>
      <c r="R148" s="230">
        <f t="shared" si="183"/>
        <v>-8.7306277960609469E-2</v>
      </c>
      <c r="S148" s="230">
        <f t="shared" si="183"/>
        <v>-7.8488204945226542E-2</v>
      </c>
      <c r="T148" s="230">
        <f t="shared" si="183"/>
        <v>-7.1292481542649722E-2</v>
      </c>
      <c r="U148" s="230">
        <f t="shared" si="183"/>
        <v>-7.0895080822574785E-2</v>
      </c>
      <c r="V148" s="230">
        <f t="shared" si="183"/>
        <v>-3.4774754652709822E-2</v>
      </c>
      <c r="W148" s="230">
        <f t="shared" si="183"/>
        <v>0</v>
      </c>
      <c r="X148" s="230">
        <f t="shared" si="183"/>
        <v>-5.2255885441464922E-2</v>
      </c>
      <c r="Y148" s="230">
        <f t="shared" si="183"/>
        <v>-4.4949184748527396E-2</v>
      </c>
      <c r="Z148" s="230">
        <f t="shared" si="183"/>
        <v>-8.0067584297240313E-2</v>
      </c>
      <c r="AA148" s="230">
        <f t="shared" ref="AA148:AR148" si="184">+AA144-AA147</f>
        <v>-7.795968263809476E-2</v>
      </c>
      <c r="AB148" s="205">
        <f t="shared" si="184"/>
        <v>-6.8359067447069474E-2</v>
      </c>
      <c r="AC148" s="205">
        <f t="shared" si="184"/>
        <v>-5.8691601314921987E-2</v>
      </c>
      <c r="AD148" s="205">
        <f t="shared" si="184"/>
        <v>-4.6111220735136155E-2</v>
      </c>
      <c r="AE148" s="205">
        <f t="shared" si="184"/>
        <v>-3.9197243503153477E-2</v>
      </c>
      <c r="AF148" s="205">
        <f t="shared" si="184"/>
        <v>-2.9614498865308737E-2</v>
      </c>
      <c r="AG148" s="205">
        <f t="shared" si="184"/>
        <v>0</v>
      </c>
      <c r="AH148" s="205">
        <f t="shared" si="184"/>
        <v>0</v>
      </c>
      <c r="AI148" s="205">
        <f t="shared" si="184"/>
        <v>2.0951186614714609E-3</v>
      </c>
      <c r="AJ148" s="205">
        <f t="shared" si="184"/>
        <v>-2.0346526287520029E-2</v>
      </c>
      <c r="AK148" s="205">
        <f t="shared" si="184"/>
        <v>-6.024857569038658E-4</v>
      </c>
      <c r="AL148" s="205">
        <f t="shared" si="184"/>
        <v>2.5473448998122289E-2</v>
      </c>
      <c r="AM148" s="205">
        <f t="shared" si="184"/>
        <v>2.6998922751478069E-2</v>
      </c>
      <c r="AN148" s="205">
        <f t="shared" si="184"/>
        <v>0</v>
      </c>
      <c r="AO148" s="205">
        <f t="shared" si="184"/>
        <v>-3.8865203125696468E-2</v>
      </c>
      <c r="AP148" s="205">
        <f t="shared" si="184"/>
        <v>2.2279331552944627E-2</v>
      </c>
      <c r="AQ148" s="205">
        <f t="shared" si="184"/>
        <v>7.3946814423139634E-3</v>
      </c>
      <c r="AR148" s="205">
        <f t="shared" si="184"/>
        <v>-3.5407903181540364E-2</v>
      </c>
      <c r="AS148" s="205">
        <f t="shared" ref="AS148:AT148" si="185">+AS144-AS147</f>
        <v>-2.3097611784563793E-2</v>
      </c>
      <c r="AT148" s="205">
        <f t="shared" si="185"/>
        <v>-2.3097611784563793E-2</v>
      </c>
      <c r="AU148" s="205">
        <f t="shared" ref="AU148" si="186">+AU144-AU147</f>
        <v>-2.3097611784563793E-2</v>
      </c>
      <c r="AV148" s="201" t="s">
        <v>80</v>
      </c>
      <c r="AW148" s="184"/>
      <c r="AX148" s="184"/>
      <c r="AY148" s="184"/>
    </row>
    <row r="149" spans="1:51" ht="22">
      <c r="A149" s="285"/>
      <c r="B149" s="206" t="s">
        <v>25</v>
      </c>
      <c r="C149" s="232" cm="1">
        <f t="array" ref="C149">_xlfn.XLOOKUP(MIN(ABS($BJ$7:$BJ$29 - MEDIAN(MIN($BJ$7:$BJ$29), MAX($BJ$7:$BJ$29), C148))), ABS($BJ$7:$BJ$29 - MEDIAN(MIN($BJ$7:$BJ$29), MAX($BJ$7:$BJ$29), C148)), $BK$7:$BK$29, "Error", 0)</f>
        <v>-5</v>
      </c>
      <c r="D149" s="232" cm="1">
        <f t="array" ref="D149">_xlfn.XLOOKUP(MIN(ABS($BJ$7:$BJ$29 - MEDIAN(MIN($BJ$7:$BJ$29), MAX($BJ$7:$BJ$29), D148))), ABS($BJ$7:$BJ$29 - MEDIAN(MIN($BJ$7:$BJ$29), MAX($BJ$7:$BJ$29), D148)), $BK$7:$BK$29, "Error", 0)</f>
        <v>-9</v>
      </c>
      <c r="E149" s="232" cm="1">
        <f t="array" ref="E149">_xlfn.XLOOKUP(MIN(ABS($BJ$7:$BJ$29 - MEDIAN(MIN($BJ$7:$BJ$29), MAX($BJ$7:$BJ$29), E148))), ABS($BJ$7:$BJ$29 - MEDIAN(MIN($BJ$7:$BJ$29), MAX($BJ$7:$BJ$29), E148)), $BK$7:$BK$29, "Error", 0)</f>
        <v>-9</v>
      </c>
      <c r="F149" s="232" cm="1">
        <f t="array" ref="F149">_xlfn.XLOOKUP(MIN(ABS($BJ$7:$BJ$29 - MEDIAN(MIN($BJ$7:$BJ$29), MAX($BJ$7:$BJ$29), F148))), ABS($BJ$7:$BJ$29 - MEDIAN(MIN($BJ$7:$BJ$29), MAX($BJ$7:$BJ$29), F148)), $BK$7:$BK$29, "Error", 0)</f>
        <v>-9</v>
      </c>
      <c r="G149" s="232" cm="1">
        <f t="array" ref="G149">_xlfn.XLOOKUP(MIN(ABS($BJ$7:$BJ$29 - MEDIAN(MIN($BJ$7:$BJ$29), MAX($BJ$7:$BJ$29), G148))), ABS($BJ$7:$BJ$29 - MEDIAN(MIN($BJ$7:$BJ$29), MAX($BJ$7:$BJ$29), G148)), $BK$7:$BK$29, "Error", 0)</f>
        <v>-10</v>
      </c>
      <c r="H149" s="232" cm="1">
        <f t="array" ref="H149">_xlfn.XLOOKUP(MIN(ABS($BJ$7:$BJ$29 - MEDIAN(MIN($BJ$7:$BJ$29), MAX($BJ$7:$BJ$29), H148))), ABS($BJ$7:$BJ$29 - MEDIAN(MIN($BJ$7:$BJ$29), MAX($BJ$7:$BJ$29), H148)), $BK$7:$BK$29, "Error", 0)</f>
        <v>-9</v>
      </c>
      <c r="I149" s="232" cm="1">
        <f t="array" ref="I149">_xlfn.XLOOKUP(MIN(ABS($BJ$7:$BJ$29 - MEDIAN(MIN($BJ$7:$BJ$29), MAX($BJ$7:$BJ$29), I148))), ABS($BJ$7:$BJ$29 - MEDIAN(MIN($BJ$7:$BJ$29), MAX($BJ$7:$BJ$29), I148)), $BK$7:$BK$29, "Error", 0)</f>
        <v>-9</v>
      </c>
      <c r="J149" s="232" cm="1">
        <f t="array" ref="J149">_xlfn.XLOOKUP(MIN(ABS($BJ$7:$BJ$29 - MEDIAN(MIN($BJ$7:$BJ$29), MAX($BJ$7:$BJ$29), J148))), ABS($BJ$7:$BJ$29 - MEDIAN(MIN($BJ$7:$BJ$29), MAX($BJ$7:$BJ$29), J148)), $BK$7:$BK$29, "Error", 0)</f>
        <v>-10</v>
      </c>
      <c r="K149" s="232" cm="1">
        <f t="array" ref="K149">_xlfn.XLOOKUP(MIN(ABS($BJ$7:$BJ$29 - MEDIAN(MIN($BJ$7:$BJ$29), MAX($BJ$7:$BJ$29), K148))), ABS($BJ$7:$BJ$29 - MEDIAN(MIN($BJ$7:$BJ$29), MAX($BJ$7:$BJ$29), K148)), $BK$7:$BK$29, "Error", 0)</f>
        <v>-10</v>
      </c>
      <c r="L149" s="232" cm="1">
        <f t="array" ref="L149">_xlfn.XLOOKUP(MIN(ABS($BJ$7:$BJ$29 - MEDIAN(MIN($BJ$7:$BJ$29), MAX($BJ$7:$BJ$29), L148))), ABS($BJ$7:$BJ$29 - MEDIAN(MIN($BJ$7:$BJ$29), MAX($BJ$7:$BJ$29), L148)), $BK$7:$BK$29, "Error", 0)</f>
        <v>-9</v>
      </c>
      <c r="M149" s="232" cm="1">
        <f t="array" ref="M149">_xlfn.XLOOKUP(MIN(ABS($BJ$7:$BJ$29 - MEDIAN(MIN($BJ$7:$BJ$29), MAX($BJ$7:$BJ$29), M148))), ABS($BJ$7:$BJ$29 - MEDIAN(MIN($BJ$7:$BJ$29), MAX($BJ$7:$BJ$29), M148)), $BK$7:$BK$29, "Error", 0)</f>
        <v>-9</v>
      </c>
      <c r="N149" s="232" cm="1">
        <f t="array" ref="N149">_xlfn.XLOOKUP(MIN(ABS($BJ$7:$BJ$29 - MEDIAN(MIN($BJ$7:$BJ$29), MAX($BJ$7:$BJ$29), N148))), ABS($BJ$7:$BJ$29 - MEDIAN(MIN($BJ$7:$BJ$29), MAX($BJ$7:$BJ$29), N148)), $BK$7:$BK$29, "Error", 0)</f>
        <v>-7</v>
      </c>
      <c r="O149" s="232" cm="1">
        <f t="array" ref="O149">_xlfn.XLOOKUP(MIN(ABS($BJ$7:$BJ$29 - MEDIAN(MIN($BJ$7:$BJ$29), MAX($BJ$7:$BJ$29), O148))), ABS($BJ$7:$BJ$29 - MEDIAN(MIN($BJ$7:$BJ$29), MAX($BJ$7:$BJ$29), O148)), $BK$7:$BK$29, "Error", 0)</f>
        <v>-10</v>
      </c>
      <c r="P149" s="232" cm="1">
        <f t="array" ref="P149">_xlfn.XLOOKUP(MIN(ABS($BJ$7:$BJ$29 - MEDIAN(MIN($BJ$7:$BJ$29), MAX($BJ$7:$BJ$29), P148))), ABS($BJ$7:$BJ$29 - MEDIAN(MIN($BJ$7:$BJ$29), MAX($BJ$7:$BJ$29), P148)), $BK$7:$BK$29, "Error", 0)</f>
        <v>-10</v>
      </c>
      <c r="Q149" s="232" cm="1">
        <f t="array" ref="Q149">_xlfn.XLOOKUP(MIN(ABS($BJ$7:$BJ$29 - MEDIAN(MIN($BJ$7:$BJ$29), MAX($BJ$7:$BJ$29), Q148))), ABS($BJ$7:$BJ$29 - MEDIAN(MIN($BJ$7:$BJ$29), MAX($BJ$7:$BJ$29), Q148)), $BK$7:$BK$29, "Error", 0)</f>
        <v>-9</v>
      </c>
      <c r="R149" s="232" cm="1">
        <f t="array" ref="R149">_xlfn.XLOOKUP(MIN(ABS($BJ$7:$BJ$29 - MEDIAN(MIN($BJ$7:$BJ$29), MAX($BJ$7:$BJ$29), R148))), ABS($BJ$7:$BJ$29 - MEDIAN(MIN($BJ$7:$BJ$29), MAX($BJ$7:$BJ$29), R148)), $BK$7:$BK$29, "Error", 0)</f>
        <v>-7</v>
      </c>
      <c r="S149" s="232" cm="1">
        <f t="array" ref="S149">_xlfn.XLOOKUP(MIN(ABS($BJ$7:$BJ$29 - MEDIAN(MIN($BJ$7:$BJ$29), MAX($BJ$7:$BJ$29), S148))), ABS($BJ$7:$BJ$29 - MEDIAN(MIN($BJ$7:$BJ$29), MAX($BJ$7:$BJ$29), S148)), $BK$7:$BK$29, "Error", 0)</f>
        <v>-7</v>
      </c>
      <c r="T149" s="232" cm="1">
        <f t="array" ref="T149">_xlfn.XLOOKUP(MIN(ABS($BJ$7:$BJ$29 - MEDIAN(MIN($BJ$7:$BJ$29), MAX($BJ$7:$BJ$29), T148))), ABS($BJ$7:$BJ$29 - MEDIAN(MIN($BJ$7:$BJ$29), MAX($BJ$7:$BJ$29), T148)), $BK$7:$BK$29, "Error", 0)</f>
        <v>-7</v>
      </c>
      <c r="U149" s="232" cm="1">
        <f t="array" ref="U149">_xlfn.XLOOKUP(MIN(ABS($BJ$7:$BJ$29 - MEDIAN(MIN($BJ$7:$BJ$29), MAX($BJ$7:$BJ$29), U148))), ABS($BJ$7:$BJ$29 - MEDIAN(MIN($BJ$7:$BJ$29), MAX($BJ$7:$BJ$29), U148)), $BK$7:$BK$29, "Error", 0)</f>
        <v>-7</v>
      </c>
      <c r="V149" s="232" cm="1">
        <f t="array" ref="V149">_xlfn.XLOOKUP(MIN(ABS($BJ$7:$BJ$29 - MEDIAN(MIN($BJ$7:$BJ$29), MAX($BJ$7:$BJ$29), V148))), ABS($BJ$7:$BJ$29 - MEDIAN(MIN($BJ$7:$BJ$29), MAX($BJ$7:$BJ$29), V148)), $BK$7:$BK$29, "Error", 0)</f>
        <v>-3</v>
      </c>
      <c r="W149" s="232" cm="1">
        <f t="array" ref="W149">_xlfn.XLOOKUP(MIN(ABS($BJ$7:$BJ$29 - MEDIAN(MIN($BJ$7:$BJ$29), MAX($BJ$7:$BJ$29), W148))), ABS($BJ$7:$BJ$29 - MEDIAN(MIN($BJ$7:$BJ$29), MAX($BJ$7:$BJ$29), W148)), $BK$7:$BK$29, "Error", 0)</f>
        <v>0</v>
      </c>
      <c r="X149" s="232" cm="1">
        <f t="array" ref="X149">_xlfn.XLOOKUP(MIN(ABS($BJ$7:$BJ$29 - MEDIAN(MIN($BJ$7:$BJ$29), MAX($BJ$7:$BJ$29), X148))), ABS($BJ$7:$BJ$29 - MEDIAN(MIN($BJ$7:$BJ$29), MAX($BJ$7:$BJ$29), X148)), $BK$7:$BK$29, "Error", 0)</f>
        <v>-5</v>
      </c>
      <c r="Y149" s="232" cm="1">
        <f t="array" ref="Y149">_xlfn.XLOOKUP(MIN(ABS($BJ$7:$BJ$29 - MEDIAN(MIN($BJ$7:$BJ$29), MAX($BJ$7:$BJ$29), Y148))), ABS($BJ$7:$BJ$29 - MEDIAN(MIN($BJ$7:$BJ$29), MAX($BJ$7:$BJ$29), Y148)), $BK$7:$BK$29, "Error", 0)</f>
        <v>-3</v>
      </c>
      <c r="Z149" s="232" cm="1">
        <f t="array" ref="Z149">_xlfn.XLOOKUP(MIN(ABS($BJ$7:$BJ$29 - MEDIAN(MIN($BJ$7:$BJ$29), MAX($BJ$7:$BJ$29), Z148))), ABS($BJ$7:$BJ$29 - MEDIAN(MIN($BJ$7:$BJ$29), MAX($BJ$7:$BJ$29), Z148)), $BK$7:$BK$29, "Error", 0)</f>
        <v>-7</v>
      </c>
      <c r="AA149" s="232" cm="1">
        <f t="array" ref="AA149">_xlfn.XLOOKUP(MIN(ABS($BJ$7:$BJ$29 - MEDIAN(MIN($BJ$7:$BJ$29), MAX($BJ$7:$BJ$29), AA148))), ABS($BJ$7:$BJ$29 - MEDIAN(MIN($BJ$7:$BJ$29), MAX($BJ$7:$BJ$29), AA148)), $BK$7:$BK$29, "Error", 0)</f>
        <v>-7</v>
      </c>
      <c r="AB149" s="171" cm="1">
        <f t="array" ref="AB149">_xlfn.XLOOKUP(MIN(ABS($BJ$7:$BJ$29 - MEDIAN(MIN($BJ$7:$BJ$29), MAX($BJ$7:$BJ$29), AB148))), ABS($BJ$7:$BJ$29 - MEDIAN(MIN($BJ$7:$BJ$29), MAX($BJ$7:$BJ$29), AB148)), $BK$7:$BK$29, "Error", 0)</f>
        <v>-5</v>
      </c>
      <c r="AC149" s="171" cm="1">
        <f t="array" ref="AC149">_xlfn.XLOOKUP(MIN(ABS($BJ$7:$BJ$29 - MEDIAN(MIN($BJ$7:$BJ$29), MAX($BJ$7:$BJ$29), AC148))), ABS($BJ$7:$BJ$29 - MEDIAN(MIN($BJ$7:$BJ$29), MAX($BJ$7:$BJ$29), AC148)), $BK$7:$BK$29, "Error", 0)</f>
        <v>-5</v>
      </c>
      <c r="AD149" s="171" cm="1">
        <f t="array" ref="AD149">_xlfn.XLOOKUP(MIN(ABS($BJ$7:$BJ$29 - MEDIAN(MIN($BJ$7:$BJ$29), MAX($BJ$7:$BJ$29), AD148))), ABS($BJ$7:$BJ$29 - MEDIAN(MIN($BJ$7:$BJ$29), MAX($BJ$7:$BJ$29), AD148)), $BK$7:$BK$29, "Error", 0)</f>
        <v>-3</v>
      </c>
      <c r="AE149" s="171" cm="1">
        <f t="array" ref="AE149">_xlfn.XLOOKUP(MIN(ABS($BJ$7:$BJ$29 - MEDIAN(MIN($BJ$7:$BJ$29), MAX($BJ$7:$BJ$29), AE148))), ABS($BJ$7:$BJ$29 - MEDIAN(MIN($BJ$7:$BJ$29), MAX($BJ$7:$BJ$29), AE148)), $BK$7:$BK$29, "Error", 0)</f>
        <v>-3</v>
      </c>
      <c r="AF149" s="171" cm="1">
        <f t="array" ref="AF149">_xlfn.XLOOKUP(MIN(ABS($BJ$7:$BJ$29 - MEDIAN(MIN($BJ$7:$BJ$29), MAX($BJ$7:$BJ$29), AF148))), ABS($BJ$7:$BJ$29 - MEDIAN(MIN($BJ$7:$BJ$29), MAX($BJ$7:$BJ$29), AF148)), $BK$7:$BK$29, "Error", 0)</f>
        <v>-2</v>
      </c>
      <c r="AG149" s="171" cm="1">
        <f t="array" ref="AG149">_xlfn.XLOOKUP(MIN(ABS($BJ$7:$BJ$29 - MEDIAN(MIN($BJ$7:$BJ$29), MAX($BJ$7:$BJ$29), AG148))), ABS($BJ$7:$BJ$29 - MEDIAN(MIN($BJ$7:$BJ$29), MAX($BJ$7:$BJ$29), AG148)), $BK$7:$BK$29, "Error", 0)</f>
        <v>0</v>
      </c>
      <c r="AH149" s="171" cm="1">
        <f t="array" ref="AH149">_xlfn.XLOOKUP(MIN(ABS($BJ$7:$BJ$29 - MEDIAN(MIN($BJ$7:$BJ$29), MAX($BJ$7:$BJ$29), AH148))), ABS($BJ$7:$BJ$29 - MEDIAN(MIN($BJ$7:$BJ$29), MAX($BJ$7:$BJ$29), AH148)), $BK$7:$BK$29, "Error", 0)</f>
        <v>0</v>
      </c>
      <c r="AI149" s="171" cm="1">
        <f t="array" ref="AI149">_xlfn.XLOOKUP(MIN(ABS($BJ$7:$BJ$29 - MEDIAN(MIN($BJ$7:$BJ$29), MAX($BJ$7:$BJ$29), AI148))), ABS($BJ$7:$BJ$29 - MEDIAN(MIN($BJ$7:$BJ$29), MAX($BJ$7:$BJ$29), AI148)), $BK$7:$BK$29, "Error", 0)</f>
        <v>0</v>
      </c>
      <c r="AJ149" s="171" cm="1">
        <f t="array" ref="AJ149">_xlfn.XLOOKUP(MIN(ABS($BJ$7:$BJ$29 - MEDIAN(MIN($BJ$7:$BJ$29), MAX($BJ$7:$BJ$29), AJ148))), ABS($BJ$7:$BJ$29 - MEDIAN(MIN($BJ$7:$BJ$29), MAX($BJ$7:$BJ$29), AJ148)), $BK$7:$BK$29, "Error", 0)</f>
        <v>-2</v>
      </c>
      <c r="AK149" s="171" cm="1">
        <f t="array" ref="AK149">_xlfn.XLOOKUP(MIN(ABS($BJ$7:$BJ$29 - MEDIAN(MIN($BJ$7:$BJ$29), MAX($BJ$7:$BJ$29), AK148))), ABS($BJ$7:$BJ$29 - MEDIAN(MIN($BJ$7:$BJ$29), MAX($BJ$7:$BJ$29), AK148)), $BK$7:$BK$29, "Error", 0)</f>
        <v>0</v>
      </c>
      <c r="AL149" s="171" cm="1">
        <f t="array" ref="AL149">_xlfn.XLOOKUP(MIN(ABS($BJ$7:$BJ$29 - MEDIAN(MIN($BJ$7:$BJ$29), MAX($BJ$7:$BJ$29), AL148))), ABS($BJ$7:$BJ$29 - MEDIAN(MIN($BJ$7:$BJ$29), MAX($BJ$7:$BJ$29), AL148)), $BK$7:$BK$29, "Error", 0)</f>
        <v>2</v>
      </c>
      <c r="AM149" s="171" cm="1">
        <f t="array" ref="AM149">_xlfn.XLOOKUP(MIN(ABS($BJ$7:$BJ$29 - MEDIAN(MIN($BJ$7:$BJ$29), MAX($BJ$7:$BJ$29), AM148))), ABS($BJ$7:$BJ$29 - MEDIAN(MIN($BJ$7:$BJ$29), MAX($BJ$7:$BJ$29), AM148)), $BK$7:$BK$29, "Error", 0)</f>
        <v>2</v>
      </c>
      <c r="AN149" s="171" cm="1">
        <f t="array" ref="AN149">_xlfn.XLOOKUP(MIN(ABS($BJ$7:$BJ$29 - MEDIAN(MIN($BJ$7:$BJ$29), MAX($BJ$7:$BJ$29), AN148))), ABS($BJ$7:$BJ$29 - MEDIAN(MIN($BJ$7:$BJ$29), MAX($BJ$7:$BJ$29), AN148)), $BK$7:$BK$29, "Error", 0)</f>
        <v>0</v>
      </c>
      <c r="AO149" s="171" cm="1">
        <f t="array" ref="AO149">_xlfn.XLOOKUP(MIN(ABS($BJ$7:$BJ$29 - MEDIAN(MIN($BJ$7:$BJ$29), MAX($BJ$7:$BJ$29), AO148))), ABS($BJ$7:$BJ$29 - MEDIAN(MIN($BJ$7:$BJ$29), MAX($BJ$7:$BJ$29), AO148)), $BK$7:$BK$29, "Error", 0)</f>
        <v>-3</v>
      </c>
      <c r="AP149" s="171" cm="1">
        <f t="array" ref="AP149">_xlfn.XLOOKUP(MIN(ABS($BJ$7:$BJ$29 - MEDIAN(MIN($BJ$7:$BJ$29), MAX($BJ$7:$BJ$29), AP148))), ABS($BJ$7:$BJ$29 - MEDIAN(MIN($BJ$7:$BJ$29), MAX($BJ$7:$BJ$29), AP148)), $BK$7:$BK$29, "Error", 0)</f>
        <v>2</v>
      </c>
      <c r="AQ149" s="171" cm="1">
        <f t="array" ref="AQ149">_xlfn.XLOOKUP(MIN(ABS($BJ$7:$BJ$29 - MEDIAN(MIN($BJ$7:$BJ$29), MAX($BJ$7:$BJ$29), AQ148))), ABS($BJ$7:$BJ$29 - MEDIAN(MIN($BJ$7:$BJ$29), MAX($BJ$7:$BJ$29), AQ148)), $BK$7:$BK$29, "Error", 0)</f>
        <v>0</v>
      </c>
      <c r="AR149" s="171" cm="1">
        <f t="array" ref="AR149">_xlfn.XLOOKUP(MIN(ABS($BJ$7:$BJ$29 - MEDIAN(MIN($BJ$7:$BJ$29), MAX($BJ$7:$BJ$29), AR148))), ABS($BJ$7:$BJ$29 - MEDIAN(MIN($BJ$7:$BJ$29), MAX($BJ$7:$BJ$29), AR148)), $BK$7:$BK$29, "Error", 0)</f>
        <v>-3</v>
      </c>
      <c r="AS149" s="171" cm="1">
        <f t="array" ref="AS149">_xlfn.XLOOKUP(MIN(ABS($BJ$7:$BJ$29 - MEDIAN(MIN($BJ$7:$BJ$29), MAX($BJ$7:$BJ$29), AS148))), ABS($BJ$7:$BJ$29 - MEDIAN(MIN($BJ$7:$BJ$29), MAX($BJ$7:$BJ$29), AS148)), $BK$7:$BK$29, "Error", 0)</f>
        <v>-2</v>
      </c>
      <c r="AT149" s="171" cm="1">
        <f t="array" ref="AT149">_xlfn.XLOOKUP(MIN(ABS($BJ$7:$BJ$29 - MEDIAN(MIN($BJ$7:$BJ$29), MAX($BJ$7:$BJ$29), AT148))), ABS($BJ$7:$BJ$29 - MEDIAN(MIN($BJ$7:$BJ$29), MAX($BJ$7:$BJ$29), AT148)), $BK$7:$BK$29, "Error", 0)</f>
        <v>-2</v>
      </c>
      <c r="AU149" s="171" cm="1">
        <f t="array" ref="AU149">_xlfn.XLOOKUP(MIN(ABS($BJ$7:$BJ$29 - MEDIAN(MIN($BJ$7:$BJ$29), MAX($BJ$7:$BJ$29), AU148))), ABS($BJ$7:$BJ$29 - MEDIAN(MIN($BJ$7:$BJ$29), MAX($BJ$7:$BJ$29), AU148)), $BK$7:$BK$29, "Error", 0)</f>
        <v>-2</v>
      </c>
      <c r="AV149" s="206" t="s">
        <v>25</v>
      </c>
      <c r="AW149" s="184"/>
      <c r="AX149" s="184"/>
      <c r="AY149" s="184"/>
    </row>
    <row r="150" spans="1:51" ht="44">
      <c r="A150" s="283" t="s">
        <v>58</v>
      </c>
      <c r="B150" s="200" t="s">
        <v>76</v>
      </c>
      <c r="C150" s="233">
        <v>5340.7026038739396</v>
      </c>
      <c r="D150" s="233">
        <v>5340.7026038739396</v>
      </c>
      <c r="E150" s="233">
        <v>5340.7026038739396</v>
      </c>
      <c r="F150" s="233">
        <v>5340.7026038739396</v>
      </c>
      <c r="G150" s="233">
        <v>5340.7026038739396</v>
      </c>
      <c r="H150" s="233">
        <v>5340.7026038739396</v>
      </c>
      <c r="I150" s="233">
        <v>5340.7026038739396</v>
      </c>
      <c r="J150" s="233">
        <v>5340.7026038739396</v>
      </c>
      <c r="K150" s="233">
        <v>5340.7026038739396</v>
      </c>
      <c r="L150" s="233">
        <v>5340.7026038739396</v>
      </c>
      <c r="M150" s="233">
        <v>5340.7026038739396</v>
      </c>
      <c r="N150" s="233">
        <v>5340.7026038739396</v>
      </c>
      <c r="O150" s="233">
        <v>5340.7026038739396</v>
      </c>
      <c r="P150" s="233">
        <v>5340.7026038739396</v>
      </c>
      <c r="Q150" s="233">
        <v>5340.7026038739396</v>
      </c>
      <c r="R150" s="233">
        <v>5340.7026038739396</v>
      </c>
      <c r="S150" s="233">
        <v>5340.7026038739396</v>
      </c>
      <c r="T150" s="233">
        <v>5340.7026038739396</v>
      </c>
      <c r="U150" s="233">
        <v>5340.7026038739396</v>
      </c>
      <c r="V150" s="233">
        <v>5340.7026038739396</v>
      </c>
      <c r="W150" s="233">
        <v>5340.7026038739396</v>
      </c>
      <c r="X150" s="233">
        <v>5340.7026038739396</v>
      </c>
      <c r="Y150" s="233">
        <v>5340.7026038739396</v>
      </c>
      <c r="Z150" s="233">
        <v>5340.7026038739396</v>
      </c>
      <c r="AA150" s="204">
        <v>5340.7026038739396</v>
      </c>
      <c r="AB150" s="204">
        <v>5340.7026038739396</v>
      </c>
      <c r="AC150" s="204">
        <v>5340.7026038739396</v>
      </c>
      <c r="AD150" s="204">
        <v>5340.7026038739396</v>
      </c>
      <c r="AE150" s="204">
        <v>5340.7026038739396</v>
      </c>
      <c r="AF150" s="204">
        <v>5340.7026038739396</v>
      </c>
      <c r="AG150" s="204">
        <v>5340.7026038739396</v>
      </c>
      <c r="AH150" s="204">
        <v>5340.7026038739396</v>
      </c>
      <c r="AI150" s="204">
        <v>5340.7026038739396</v>
      </c>
      <c r="AJ150" s="204">
        <v>5340.7026038739396</v>
      </c>
      <c r="AK150" s="204">
        <v>5340.7026038739396</v>
      </c>
      <c r="AL150" s="204">
        <v>5340.7026038739396</v>
      </c>
      <c r="AM150" s="204">
        <v>5340.7026038739396</v>
      </c>
      <c r="AN150" s="204">
        <v>5340.7026038739396</v>
      </c>
      <c r="AO150" s="204">
        <v>5340.7026038739396</v>
      </c>
      <c r="AP150" s="204">
        <v>5340.7026038739396</v>
      </c>
      <c r="AQ150" s="204">
        <v>5340.7026038739396</v>
      </c>
      <c r="AR150" s="204">
        <v>5340.7026038739396</v>
      </c>
      <c r="AS150" s="204">
        <v>5340.7026038739396</v>
      </c>
      <c r="AT150" s="204">
        <v>5340.7026038739396</v>
      </c>
      <c r="AU150" s="204">
        <v>5340.7026038739396</v>
      </c>
      <c r="AV150" s="200" t="s">
        <v>76</v>
      </c>
      <c r="AW150" s="184"/>
      <c r="AX150" s="184"/>
      <c r="AY150" s="184"/>
    </row>
    <row r="151" spans="1:51" ht="22">
      <c r="A151" s="284"/>
      <c r="B151" s="201" t="s">
        <v>77</v>
      </c>
      <c r="C151" s="233">
        <v>4882.8832631595396</v>
      </c>
      <c r="D151" s="233">
        <v>4577.6040957165796</v>
      </c>
      <c r="E151" s="233">
        <v>4402.9414228305104</v>
      </c>
      <c r="F151" s="233">
        <v>4324.9122618740103</v>
      </c>
      <c r="G151" s="233">
        <v>4187.3131858942197</v>
      </c>
      <c r="H151" s="233">
        <v>4287.04383479431</v>
      </c>
      <c r="I151" s="233">
        <v>4293.0671762720203</v>
      </c>
      <c r="J151" s="233">
        <v>4153.7934612817498</v>
      </c>
      <c r="K151" s="233">
        <v>4144.5768540608397</v>
      </c>
      <c r="L151" s="233">
        <v>3894.9021436528401</v>
      </c>
      <c r="M151" s="233">
        <v>4095.46704918554</v>
      </c>
      <c r="N151" s="233">
        <v>4347.2512276754696</v>
      </c>
      <c r="O151" s="233">
        <v>4365.0953531963196</v>
      </c>
      <c r="P151" s="233">
        <v>4392.4164935735198</v>
      </c>
      <c r="Q151" s="233">
        <v>4640.0051019442299</v>
      </c>
      <c r="R151" s="233">
        <v>4579.7595662082604</v>
      </c>
      <c r="S151" s="233">
        <v>4612.7021860802797</v>
      </c>
      <c r="T151" s="233">
        <v>4664.3836537003499</v>
      </c>
      <c r="U151" s="233">
        <v>4668.9817494331501</v>
      </c>
      <c r="V151" s="233">
        <v>4647.1780421475696</v>
      </c>
      <c r="W151" s="233">
        <v>4812.8580076794597</v>
      </c>
      <c r="X151" s="233">
        <v>4646.90769195557</v>
      </c>
      <c r="Y151" s="233">
        <v>4834.7860857447404</v>
      </c>
      <c r="Z151" s="233">
        <v>4581.3348098791603</v>
      </c>
      <c r="AA151" s="204">
        <v>4822.6264816097701</v>
      </c>
      <c r="AB151" s="204">
        <v>4583.1716241817103</v>
      </c>
      <c r="AC151" s="204">
        <v>4340.3021955823097</v>
      </c>
      <c r="AD151" s="204">
        <v>4272.1059688496198</v>
      </c>
      <c r="AE151" s="204">
        <v>4457.7392261677296</v>
      </c>
      <c r="AF151" s="204">
        <v>4454.2115201102597</v>
      </c>
      <c r="AG151" s="204">
        <v>4583.1504242322399</v>
      </c>
      <c r="AH151" s="204">
        <v>4695.6138623063498</v>
      </c>
      <c r="AI151" s="204">
        <v>4641.3722961695803</v>
      </c>
      <c r="AJ151" s="204">
        <v>4669.4816153540696</v>
      </c>
      <c r="AK151" s="204">
        <v>4523.7200909171997</v>
      </c>
      <c r="AL151" s="204">
        <v>4620.01690105529</v>
      </c>
      <c r="AM151" s="204">
        <v>4766.2541943606902</v>
      </c>
      <c r="AN151" s="204">
        <v>5050.5829825687697</v>
      </c>
      <c r="AO151" s="204">
        <v>4644.3284801091104</v>
      </c>
      <c r="AP151" s="204">
        <v>5013.1866444860398</v>
      </c>
      <c r="AQ151" s="204">
        <v>4904.5001186813497</v>
      </c>
      <c r="AR151" s="204">
        <v>4880</v>
      </c>
      <c r="AS151" s="204">
        <v>4989</v>
      </c>
      <c r="AT151" s="204">
        <v>4989</v>
      </c>
      <c r="AU151" s="204">
        <v>4989</v>
      </c>
      <c r="AV151" s="201" t="s">
        <v>77</v>
      </c>
      <c r="AW151" s="184"/>
      <c r="AX151" s="184"/>
      <c r="AY151" s="184"/>
    </row>
    <row r="152" spans="1:51" ht="22">
      <c r="A152" s="284"/>
      <c r="B152" s="201" t="s">
        <v>78</v>
      </c>
      <c r="C152" s="230">
        <f t="shared" ref="C152:Z152" si="187">+(C151-C150)/C150</f>
        <v>-8.5722680080017086E-2</v>
      </c>
      <c r="D152" s="230">
        <f t="shared" si="187"/>
        <v>-0.14288354262673936</v>
      </c>
      <c r="E152" s="230">
        <f t="shared" si="187"/>
        <v>-0.17558760533927004</v>
      </c>
      <c r="F152" s="230">
        <f t="shared" si="187"/>
        <v>-0.19019788543610613</v>
      </c>
      <c r="G152" s="230">
        <f t="shared" si="187"/>
        <v>-0.21596211276454444</v>
      </c>
      <c r="H152" s="230">
        <f t="shared" si="187"/>
        <v>-0.19728841825331112</v>
      </c>
      <c r="I152" s="230">
        <f t="shared" si="187"/>
        <v>-0.19616060007572877</v>
      </c>
      <c r="J152" s="230">
        <f t="shared" si="187"/>
        <v>-0.22223838895864592</v>
      </c>
      <c r="K152" s="230">
        <f t="shared" si="187"/>
        <v>-0.22396411830635851</v>
      </c>
      <c r="L152" s="230">
        <f t="shared" si="187"/>
        <v>-0.27071353105720053</v>
      </c>
      <c r="M152" s="230">
        <f t="shared" si="187"/>
        <v>-0.23315950110855335</v>
      </c>
      <c r="N152" s="230">
        <f t="shared" si="187"/>
        <v>-0.18601510885063299</v>
      </c>
      <c r="O152" s="230">
        <f t="shared" si="187"/>
        <v>-0.18267395191972535</v>
      </c>
      <c r="P152" s="230">
        <f t="shared" si="187"/>
        <v>-0.17755830658171634</v>
      </c>
      <c r="Q152" s="230">
        <f t="shared" si="187"/>
        <v>-0.13119949824980906</v>
      </c>
      <c r="R152" s="230">
        <f t="shared" si="187"/>
        <v>-0.1424799495695043</v>
      </c>
      <c r="S152" s="230">
        <f t="shared" si="187"/>
        <v>-0.13631173120660126</v>
      </c>
      <c r="T152" s="230">
        <f t="shared" si="187"/>
        <v>-0.12663482697632591</v>
      </c>
      <c r="U152" s="230">
        <f t="shared" si="187"/>
        <v>-0.12577387363856379</v>
      </c>
      <c r="V152" s="230">
        <f t="shared" si="187"/>
        <v>-0.12985642773355588</v>
      </c>
      <c r="W152" s="230">
        <f t="shared" si="187"/>
        <v>-9.8834298657933473E-2</v>
      </c>
      <c r="X152" s="230">
        <f t="shared" si="187"/>
        <v>-0.12990704844997689</v>
      </c>
      <c r="Y152" s="230">
        <f t="shared" si="187"/>
        <v>-9.4728457218761233E-2</v>
      </c>
      <c r="Z152" s="230">
        <f t="shared" si="187"/>
        <v>-0.14218499892578987</v>
      </c>
      <c r="AA152" s="230">
        <f t="shared" ref="AA152:AR152" si="188">+(AA151-AA150)/AA150</f>
        <v>-9.7005237080300455E-2</v>
      </c>
      <c r="AB152" s="205">
        <f t="shared" si="188"/>
        <v>-0.14184107146178584</v>
      </c>
      <c r="AC152" s="205">
        <f t="shared" si="188"/>
        <v>-0.18731625452538361</v>
      </c>
      <c r="AD152" s="205">
        <f t="shared" si="188"/>
        <v>-0.20008540341662182</v>
      </c>
      <c r="AE152" s="205">
        <f t="shared" si="188"/>
        <v>-0.16532719441553295</v>
      </c>
      <c r="AF152" s="205">
        <f t="shared" si="188"/>
        <v>-0.16598772661871369</v>
      </c>
      <c r="AG152" s="205">
        <f t="shared" si="188"/>
        <v>-0.14184504096749379</v>
      </c>
      <c r="AH152" s="205">
        <f t="shared" si="188"/>
        <v>-0.12078724269343649</v>
      </c>
      <c r="AI152" s="205">
        <f t="shared" si="188"/>
        <v>-0.13094350305090796</v>
      </c>
      <c r="AJ152" s="205">
        <f t="shared" si="188"/>
        <v>-0.12568027810292079</v>
      </c>
      <c r="AK152" s="205">
        <f t="shared" si="188"/>
        <v>-0.15297285274116035</v>
      </c>
      <c r="AL152" s="205">
        <f t="shared" si="188"/>
        <v>-0.13494211460040706</v>
      </c>
      <c r="AM152" s="205">
        <f t="shared" si="188"/>
        <v>-0.10756045638949575</v>
      </c>
      <c r="AN152" s="205">
        <f t="shared" si="188"/>
        <v>-5.4322369699958253E-2</v>
      </c>
      <c r="AO152" s="205">
        <f t="shared" si="188"/>
        <v>-0.13038998338153229</v>
      </c>
      <c r="AP152" s="205">
        <f t="shared" si="188"/>
        <v>-6.1324507968358387E-2</v>
      </c>
      <c r="AQ152" s="205">
        <f t="shared" si="188"/>
        <v>-8.1675112348735798E-2</v>
      </c>
      <c r="AR152" s="205">
        <f t="shared" si="188"/>
        <v>-8.6262545969094717E-2</v>
      </c>
      <c r="AS152" s="205">
        <f t="shared" ref="AS152:AT152" si="189">+(AS151-AS150)/AS150</f>
        <v>-6.5853246278650315E-2</v>
      </c>
      <c r="AT152" s="205">
        <f t="shared" si="189"/>
        <v>-6.5853246278650315E-2</v>
      </c>
      <c r="AU152" s="205">
        <f t="shared" ref="AU152" si="190">+(AU151-AU150)/AU150</f>
        <v>-6.5853246278650315E-2</v>
      </c>
      <c r="AV152" s="201" t="s">
        <v>78</v>
      </c>
      <c r="AW152" s="184"/>
      <c r="AX152" s="184"/>
      <c r="AY152" s="184"/>
    </row>
    <row r="153" spans="1:51" ht="44">
      <c r="A153" s="284"/>
      <c r="B153" s="201" t="s">
        <v>93</v>
      </c>
      <c r="C153" s="233">
        <v>7632.7998046875</v>
      </c>
      <c r="D153" s="233">
        <v>7632.7998046875</v>
      </c>
      <c r="E153" s="233">
        <v>7632.7998046875</v>
      </c>
      <c r="F153" s="233">
        <v>7632.7998046875</v>
      </c>
      <c r="G153" s="233">
        <v>7632.7998046875</v>
      </c>
      <c r="H153" s="233">
        <v>7632.7998046875</v>
      </c>
      <c r="I153" s="233">
        <v>7632.7998046875</v>
      </c>
      <c r="J153" s="233">
        <v>7632.7998046875</v>
      </c>
      <c r="K153" s="233">
        <v>7632.7998046875</v>
      </c>
      <c r="L153" s="233">
        <v>7632.7998046875</v>
      </c>
      <c r="M153" s="233">
        <v>7632.7998046875</v>
      </c>
      <c r="N153" s="233">
        <v>7632.7998046875</v>
      </c>
      <c r="O153" s="233">
        <v>7682.2998046875</v>
      </c>
      <c r="P153" s="233">
        <v>7703.7998046875</v>
      </c>
      <c r="Q153" s="233">
        <v>7901.2001953125</v>
      </c>
      <c r="R153" s="233">
        <v>7901.2001953125</v>
      </c>
      <c r="S153" s="233">
        <v>7901.2001953125</v>
      </c>
      <c r="T153" s="233">
        <v>7901.2001953125</v>
      </c>
      <c r="U153" s="233">
        <v>8092.2998046875</v>
      </c>
      <c r="V153" s="233">
        <v>8092.2998046875</v>
      </c>
      <c r="W153" s="233">
        <v>8285.7001953125</v>
      </c>
      <c r="X153" s="233">
        <v>8285.7001953125</v>
      </c>
      <c r="Y153" s="233">
        <v>8477.099609375</v>
      </c>
      <c r="Z153" s="233">
        <v>8477.099609375</v>
      </c>
      <c r="AA153" s="231">
        <v>8566.900390625</v>
      </c>
      <c r="AB153" s="203">
        <v>8566.900390625</v>
      </c>
      <c r="AC153" s="203">
        <v>8566.900390625</v>
      </c>
      <c r="AD153" s="203">
        <v>8566.900390625</v>
      </c>
      <c r="AE153" s="203">
        <v>8566.900390625</v>
      </c>
      <c r="AF153" s="203">
        <v>8639.099609375</v>
      </c>
      <c r="AG153" s="203">
        <v>8776.400390625</v>
      </c>
      <c r="AH153" s="203">
        <v>9054.5</v>
      </c>
      <c r="AI153" s="203">
        <v>9054.5</v>
      </c>
      <c r="AJ153" s="203">
        <v>9115.2001953125</v>
      </c>
      <c r="AK153" s="203">
        <v>9115.2001953125</v>
      </c>
      <c r="AL153" s="203">
        <v>9115.2001953125</v>
      </c>
      <c r="AM153" s="203">
        <v>9115.2001953125</v>
      </c>
      <c r="AN153" s="203">
        <v>9202.900390625</v>
      </c>
      <c r="AO153" s="203">
        <v>9202.900390625</v>
      </c>
      <c r="AP153" s="203">
        <v>9202.900390625</v>
      </c>
      <c r="AQ153" s="203">
        <v>9202.900390625</v>
      </c>
      <c r="AR153" s="203">
        <v>9202.900390625</v>
      </c>
      <c r="AS153" s="203">
        <v>9202.900390625</v>
      </c>
      <c r="AT153" s="203">
        <v>9202.900390625</v>
      </c>
      <c r="AU153" s="203">
        <v>9202.900390625</v>
      </c>
      <c r="AV153" s="201" t="s">
        <v>93</v>
      </c>
      <c r="AW153" s="184"/>
      <c r="AX153" s="184"/>
      <c r="AY153" s="184"/>
    </row>
    <row r="154" spans="1:51" ht="44">
      <c r="A154" s="284"/>
      <c r="B154" s="201" t="s">
        <v>94</v>
      </c>
      <c r="C154" s="233">
        <v>7476.7001953125</v>
      </c>
      <c r="D154" s="233">
        <v>7258.39990234375</v>
      </c>
      <c r="E154" s="233">
        <v>7177.7998046875</v>
      </c>
      <c r="F154" s="233">
        <v>7309.2001953125</v>
      </c>
      <c r="G154" s="233">
        <v>7091.2998046875</v>
      </c>
      <c r="H154" s="233">
        <v>7203.2998046875</v>
      </c>
      <c r="I154" s="233">
        <v>7410.39990234375</v>
      </c>
      <c r="J154" s="233">
        <v>7305.2998046875</v>
      </c>
      <c r="K154" s="233">
        <v>7048.60009765625</v>
      </c>
      <c r="L154" s="233">
        <v>6780.7001953125</v>
      </c>
      <c r="M154" s="233">
        <v>7087.2998046875</v>
      </c>
      <c r="N154" s="233">
        <v>7590.7998046875</v>
      </c>
      <c r="O154" s="233">
        <v>7682.2998046875</v>
      </c>
      <c r="P154" s="233">
        <v>7703.7998046875</v>
      </c>
      <c r="Q154" s="233">
        <v>7901.2001953125</v>
      </c>
      <c r="R154" s="233">
        <v>7664.10009765625</v>
      </c>
      <c r="S154" s="233">
        <v>7701.7001953125</v>
      </c>
      <c r="T154" s="233">
        <v>7767.5</v>
      </c>
      <c r="U154" s="233">
        <v>8092.2998046875</v>
      </c>
      <c r="V154" s="233">
        <v>8091.89990234375</v>
      </c>
      <c r="W154" s="233">
        <v>8285.7001953125</v>
      </c>
      <c r="X154" s="233">
        <v>8160</v>
      </c>
      <c r="Y154" s="233">
        <v>8477.099609375</v>
      </c>
      <c r="Z154" s="233">
        <v>8159.10009765625</v>
      </c>
      <c r="AA154" s="231">
        <v>8566.900390625</v>
      </c>
      <c r="AB154" s="203">
        <v>8172.39990234375</v>
      </c>
      <c r="AC154" s="203">
        <v>7843.39990234375</v>
      </c>
      <c r="AD154" s="203">
        <v>8126.2001953125</v>
      </c>
      <c r="AE154" s="203">
        <v>8434.7001953125</v>
      </c>
      <c r="AF154" s="203">
        <v>8639.099609375</v>
      </c>
      <c r="AG154" s="203">
        <v>8776.400390625</v>
      </c>
      <c r="AH154" s="203">
        <v>9054.5</v>
      </c>
      <c r="AI154" s="203">
        <v>8848.7998046875</v>
      </c>
      <c r="AJ154" s="203">
        <v>9115.2001953125</v>
      </c>
      <c r="AK154" s="203">
        <v>8614.099609375</v>
      </c>
      <c r="AL154" s="203">
        <v>8714.2998046875</v>
      </c>
      <c r="AM154" s="203">
        <v>8869.099609375</v>
      </c>
      <c r="AN154" s="203">
        <v>9202.900390625</v>
      </c>
      <c r="AO154" s="203">
        <v>8481.7998046875</v>
      </c>
      <c r="AP154" s="203">
        <v>8665.7998046875</v>
      </c>
      <c r="AQ154" s="203">
        <v>8731.7001953125</v>
      </c>
      <c r="AR154" s="203">
        <v>8778</v>
      </c>
      <c r="AS154" s="203">
        <v>8841</v>
      </c>
      <c r="AT154" s="203">
        <v>8841</v>
      </c>
      <c r="AU154" s="203">
        <v>8841</v>
      </c>
      <c r="AV154" s="201" t="s">
        <v>94</v>
      </c>
      <c r="AW154" s="184"/>
      <c r="AX154" s="184"/>
      <c r="AY154" s="184"/>
    </row>
    <row r="155" spans="1:51" ht="44">
      <c r="A155" s="284"/>
      <c r="B155" s="201" t="s">
        <v>79</v>
      </c>
      <c r="C155" s="230">
        <f t="shared" ref="C155:Z155" si="191">+(C154-C153)/C153</f>
        <v>-2.0451159911089922E-2</v>
      </c>
      <c r="D155" s="230">
        <f t="shared" si="191"/>
        <v>-4.9051450571757603E-2</v>
      </c>
      <c r="E155" s="230">
        <f t="shared" si="191"/>
        <v>-5.9611153396237737E-2</v>
      </c>
      <c r="F155" s="230">
        <f t="shared" si="191"/>
        <v>-4.239592517234228E-2</v>
      </c>
      <c r="G155" s="230">
        <f t="shared" si="191"/>
        <v>-7.0943823217720289E-2</v>
      </c>
      <c r="H155" s="230">
        <f t="shared" si="191"/>
        <v>-5.6270308535569469E-2</v>
      </c>
      <c r="I155" s="230">
        <f t="shared" si="191"/>
        <v>-2.9137394931695766E-2</v>
      </c>
      <c r="J155" s="230">
        <f t="shared" si="191"/>
        <v>-4.2906929092896395E-2</v>
      </c>
      <c r="K155" s="230">
        <f t="shared" si="191"/>
        <v>-7.6538062307421953E-2</v>
      </c>
      <c r="L155" s="230">
        <f t="shared" si="191"/>
        <v>-0.11163657257874149</v>
      </c>
      <c r="M155" s="230">
        <f t="shared" si="191"/>
        <v>-7.1467877313511396E-2</v>
      </c>
      <c r="N155" s="230">
        <f t="shared" si="191"/>
        <v>-5.5025680058065603E-3</v>
      </c>
      <c r="O155" s="230">
        <f t="shared" si="191"/>
        <v>0</v>
      </c>
      <c r="P155" s="230">
        <f t="shared" si="191"/>
        <v>0</v>
      </c>
      <c r="Q155" s="230">
        <f t="shared" si="191"/>
        <v>0</v>
      </c>
      <c r="R155" s="230">
        <f t="shared" si="191"/>
        <v>-3.000811165332996E-2</v>
      </c>
      <c r="S155" s="230">
        <f t="shared" si="191"/>
        <v>-2.5249328591668417E-2</v>
      </c>
      <c r="T155" s="230">
        <f t="shared" si="191"/>
        <v>-1.6921504582534126E-2</v>
      </c>
      <c r="U155" s="230">
        <f t="shared" si="191"/>
        <v>0</v>
      </c>
      <c r="V155" s="230">
        <f t="shared" si="191"/>
        <v>-4.9417638174793627E-5</v>
      </c>
      <c r="W155" s="230">
        <f t="shared" si="191"/>
        <v>0</v>
      </c>
      <c r="X155" s="230">
        <f t="shared" si="191"/>
        <v>-1.5170739026209619E-2</v>
      </c>
      <c r="Y155" s="230">
        <f t="shared" si="191"/>
        <v>0</v>
      </c>
      <c r="Z155" s="230">
        <f t="shared" si="191"/>
        <v>-3.7512772808174596E-2</v>
      </c>
      <c r="AA155" s="230">
        <f>+(AA154-AA153)/AA153</f>
        <v>0</v>
      </c>
      <c r="AB155" s="205">
        <f t="shared" ref="AB155:AP155" si="192">+(AB154-AB153)/AB153</f>
        <v>-4.6049384292242146E-2</v>
      </c>
      <c r="AC155" s="205">
        <f t="shared" si="192"/>
        <v>-8.4453005788767771E-2</v>
      </c>
      <c r="AD155" s="205">
        <f t="shared" si="192"/>
        <v>-5.1442199070596245E-2</v>
      </c>
      <c r="AE155" s="205">
        <f t="shared" si="192"/>
        <v>-1.5431508396802464E-2</v>
      </c>
      <c r="AF155" s="205">
        <f t="shared" si="192"/>
        <v>0</v>
      </c>
      <c r="AG155" s="205">
        <f t="shared" si="192"/>
        <v>0</v>
      </c>
      <c r="AH155" s="205">
        <f t="shared" si="192"/>
        <v>0</v>
      </c>
      <c r="AI155" s="205">
        <f t="shared" si="192"/>
        <v>-2.2718007102821802E-2</v>
      </c>
      <c r="AJ155" s="205">
        <f t="shared" si="192"/>
        <v>0</v>
      </c>
      <c r="AK155" s="205">
        <f t="shared" si="192"/>
        <v>-5.4974172283697227E-2</v>
      </c>
      <c r="AL155" s="205">
        <f t="shared" si="192"/>
        <v>-4.398152339332749E-2</v>
      </c>
      <c r="AM155" s="205">
        <f t="shared" si="192"/>
        <v>-2.6998922751478069E-2</v>
      </c>
      <c r="AN155" s="205">
        <f t="shared" si="192"/>
        <v>0</v>
      </c>
      <c r="AO155" s="205">
        <f t="shared" si="192"/>
        <v>-7.8355796034920211E-2</v>
      </c>
      <c r="AP155" s="205">
        <f t="shared" si="192"/>
        <v>-5.8362099244782077E-2</v>
      </c>
      <c r="AQ155" s="205">
        <f>+(AQ154-AQ153)/AQ153</f>
        <v>-5.1201270828978213E-2</v>
      </c>
      <c r="AR155" s="205">
        <f>+(AR154-AR153)/AR153</f>
        <v>-4.6170269435692933E-2</v>
      </c>
      <c r="AS155" s="205">
        <f>+(AS154-AS153)/AS153</f>
        <v>-3.9324601512982595E-2</v>
      </c>
      <c r="AT155" s="205">
        <f>+(AT154-AT153)/AT153</f>
        <v>-3.9324601512982595E-2</v>
      </c>
      <c r="AU155" s="205">
        <f>+(AU154-AU153)/AU153</f>
        <v>-3.9324601512982595E-2</v>
      </c>
      <c r="AV155" s="201" t="s">
        <v>79</v>
      </c>
      <c r="AW155" s="184"/>
      <c r="AX155" s="184"/>
      <c r="AY155" s="184"/>
    </row>
    <row r="156" spans="1:51" ht="22">
      <c r="A156" s="284"/>
      <c r="B156" s="201" t="s">
        <v>80</v>
      </c>
      <c r="C156" s="230">
        <f t="shared" ref="C156:Z156" si="193">+C152-C155</f>
        <v>-6.5271520168927163E-2</v>
      </c>
      <c r="D156" s="230">
        <f t="shared" si="193"/>
        <v>-9.3832092054981747E-2</v>
      </c>
      <c r="E156" s="230">
        <f t="shared" si="193"/>
        <v>-0.1159764519430323</v>
      </c>
      <c r="F156" s="230">
        <f t="shared" si="193"/>
        <v>-0.14780196026376385</v>
      </c>
      <c r="G156" s="230">
        <f t="shared" si="193"/>
        <v>-0.14501828954682416</v>
      </c>
      <c r="H156" s="230">
        <f t="shared" si="193"/>
        <v>-0.14101810971774165</v>
      </c>
      <c r="I156" s="230">
        <f t="shared" si="193"/>
        <v>-0.16702320514403302</v>
      </c>
      <c r="J156" s="230">
        <f t="shared" si="193"/>
        <v>-0.17933145986574953</v>
      </c>
      <c r="K156" s="230">
        <f t="shared" si="193"/>
        <v>-0.14742605599893654</v>
      </c>
      <c r="L156" s="230">
        <f t="shared" si="193"/>
        <v>-0.15907695847845904</v>
      </c>
      <c r="M156" s="230">
        <f t="shared" si="193"/>
        <v>-0.16169162379504196</v>
      </c>
      <c r="N156" s="230">
        <f t="shared" si="193"/>
        <v>-0.18051254084482643</v>
      </c>
      <c r="O156" s="230">
        <f t="shared" si="193"/>
        <v>-0.18267395191972535</v>
      </c>
      <c r="P156" s="230">
        <f t="shared" si="193"/>
        <v>-0.17755830658171634</v>
      </c>
      <c r="Q156" s="230">
        <f t="shared" si="193"/>
        <v>-0.13119949824980906</v>
      </c>
      <c r="R156" s="230">
        <f t="shared" si="193"/>
        <v>-0.11247183791617434</v>
      </c>
      <c r="S156" s="230">
        <f t="shared" si="193"/>
        <v>-0.11106240261493283</v>
      </c>
      <c r="T156" s="230">
        <f t="shared" si="193"/>
        <v>-0.10971332239379179</v>
      </c>
      <c r="U156" s="230">
        <f t="shared" si="193"/>
        <v>-0.12577387363856379</v>
      </c>
      <c r="V156" s="230">
        <f t="shared" si="193"/>
        <v>-0.12980701009538109</v>
      </c>
      <c r="W156" s="230">
        <f t="shared" si="193"/>
        <v>-9.8834298657933473E-2</v>
      </c>
      <c r="X156" s="230">
        <f t="shared" si="193"/>
        <v>-0.11473630942376727</v>
      </c>
      <c r="Y156" s="230">
        <f t="shared" si="193"/>
        <v>-9.4728457218761233E-2</v>
      </c>
      <c r="Z156" s="230">
        <f t="shared" si="193"/>
        <v>-0.10467222611761527</v>
      </c>
      <c r="AA156" s="230">
        <f t="shared" ref="AA156:AR156" si="194">+AA152-AA155</f>
        <v>-9.7005237080300455E-2</v>
      </c>
      <c r="AB156" s="205">
        <f t="shared" si="194"/>
        <v>-9.5791687169543699E-2</v>
      </c>
      <c r="AC156" s="205">
        <f t="shared" si="194"/>
        <v>-0.10286324873661584</v>
      </c>
      <c r="AD156" s="205">
        <f t="shared" si="194"/>
        <v>-0.14864320434602557</v>
      </c>
      <c r="AE156" s="205">
        <f t="shared" si="194"/>
        <v>-0.14989568601873049</v>
      </c>
      <c r="AF156" s="205">
        <f t="shared" si="194"/>
        <v>-0.16598772661871369</v>
      </c>
      <c r="AG156" s="205">
        <f t="shared" si="194"/>
        <v>-0.14184504096749379</v>
      </c>
      <c r="AH156" s="205">
        <f t="shared" si="194"/>
        <v>-0.12078724269343649</v>
      </c>
      <c r="AI156" s="205">
        <f t="shared" si="194"/>
        <v>-0.10822549594808616</v>
      </c>
      <c r="AJ156" s="205">
        <f t="shared" si="194"/>
        <v>-0.12568027810292079</v>
      </c>
      <c r="AK156" s="205">
        <f t="shared" si="194"/>
        <v>-9.7998680457463128E-2</v>
      </c>
      <c r="AL156" s="205">
        <f t="shared" si="194"/>
        <v>-9.0960591207079569E-2</v>
      </c>
      <c r="AM156" s="205">
        <f t="shared" si="194"/>
        <v>-8.0561533638017685E-2</v>
      </c>
      <c r="AN156" s="205">
        <f t="shared" si="194"/>
        <v>-5.4322369699958253E-2</v>
      </c>
      <c r="AO156" s="205">
        <f t="shared" si="194"/>
        <v>-5.2034187346612082E-2</v>
      </c>
      <c r="AP156" s="205">
        <f t="shared" si="194"/>
        <v>-2.9624087235763097E-3</v>
      </c>
      <c r="AQ156" s="205">
        <f t="shared" si="194"/>
        <v>-3.0473841519757586E-2</v>
      </c>
      <c r="AR156" s="205">
        <f t="shared" si="194"/>
        <v>-4.0092276533401784E-2</v>
      </c>
      <c r="AS156" s="205">
        <f t="shared" ref="AS156:AT156" si="195">+AS152-AS155</f>
        <v>-2.6528644765667721E-2</v>
      </c>
      <c r="AT156" s="205">
        <f t="shared" si="195"/>
        <v>-2.6528644765667721E-2</v>
      </c>
      <c r="AU156" s="205">
        <f t="shared" ref="AU156" si="196">+AU152-AU155</f>
        <v>-2.6528644765667721E-2</v>
      </c>
      <c r="AV156" s="201" t="s">
        <v>80</v>
      </c>
      <c r="AW156" s="184"/>
      <c r="AX156" s="184"/>
      <c r="AY156" s="184"/>
    </row>
    <row r="157" spans="1:51" ht="22">
      <c r="A157" s="285"/>
      <c r="B157" s="206" t="s">
        <v>25</v>
      </c>
      <c r="C157" s="232" cm="1">
        <f t="array" ref="C157">_xlfn.XLOOKUP(MIN(ABS($BJ$7:$BJ$29 - MEDIAN(MIN($BJ$7:$BJ$29), MAX($BJ$7:$BJ$29), C156))), ABS($BJ$7:$BJ$29 - MEDIAN(MIN($BJ$7:$BJ$29), MAX($BJ$7:$BJ$29), C156)), $BK$7:$BK$29, "Error", 0)</f>
        <v>-5</v>
      </c>
      <c r="D157" s="232" cm="1">
        <f t="array" ref="D157">_xlfn.XLOOKUP(MIN(ABS($BJ$7:$BJ$29 - MEDIAN(MIN($BJ$7:$BJ$29), MAX($BJ$7:$BJ$29), D156))), ABS($BJ$7:$BJ$29 - MEDIAN(MIN($BJ$7:$BJ$29), MAX($BJ$7:$BJ$29), D156)), $BK$7:$BK$29, "Error", 0)</f>
        <v>-9</v>
      </c>
      <c r="E157" s="232" cm="1">
        <f t="array" ref="E157">_xlfn.XLOOKUP(MIN(ABS($BJ$7:$BJ$29 - MEDIAN(MIN($BJ$7:$BJ$29), MAX($BJ$7:$BJ$29), E156))), ABS($BJ$7:$BJ$29 - MEDIAN(MIN($BJ$7:$BJ$29), MAX($BJ$7:$BJ$29), E156)), $BK$7:$BK$29, "Error", 0)</f>
        <v>-10</v>
      </c>
      <c r="F157" s="232" cm="1">
        <f t="array" ref="F157">_xlfn.XLOOKUP(MIN(ABS($BJ$7:$BJ$29 - MEDIAN(MIN($BJ$7:$BJ$29), MAX($BJ$7:$BJ$29), F156))), ABS($BJ$7:$BJ$29 - MEDIAN(MIN($BJ$7:$BJ$29), MAX($BJ$7:$BJ$29), F156)), $BK$7:$BK$29, "Error", 0)</f>
        <v>-9</v>
      </c>
      <c r="G157" s="232" cm="1">
        <f t="array" ref="G157">_xlfn.XLOOKUP(MIN(ABS($BJ$7:$BJ$29 - MEDIAN(MIN($BJ$7:$BJ$29), MAX($BJ$7:$BJ$29), G156))), ABS($BJ$7:$BJ$29 - MEDIAN(MIN($BJ$7:$BJ$29), MAX($BJ$7:$BJ$29), G156)), $BK$7:$BK$29, "Error", 0)</f>
        <v>-9</v>
      </c>
      <c r="H157" s="232" cm="1">
        <f t="array" ref="H157">_xlfn.XLOOKUP(MIN(ABS($BJ$7:$BJ$29 - MEDIAN(MIN($BJ$7:$BJ$29), MAX($BJ$7:$BJ$29), H156))), ABS($BJ$7:$BJ$29 - MEDIAN(MIN($BJ$7:$BJ$29), MAX($BJ$7:$BJ$29), H156)), $BK$7:$BK$29, "Error", 0)</f>
        <v>-9</v>
      </c>
      <c r="I157" s="232" cm="1">
        <f t="array" ref="I157">_xlfn.XLOOKUP(MIN(ABS($BJ$7:$BJ$29 - MEDIAN(MIN($BJ$7:$BJ$29), MAX($BJ$7:$BJ$29), I156))), ABS($BJ$7:$BJ$29 - MEDIAN(MIN($BJ$7:$BJ$29), MAX($BJ$7:$BJ$29), I156)), $BK$7:$BK$29, "Error", 0)</f>
        <v>-7</v>
      </c>
      <c r="J157" s="232" cm="1">
        <f t="array" ref="J157">_xlfn.XLOOKUP(MIN(ABS($BJ$7:$BJ$29 - MEDIAN(MIN($BJ$7:$BJ$29), MAX($BJ$7:$BJ$29), J156))), ABS($BJ$7:$BJ$29 - MEDIAN(MIN($BJ$7:$BJ$29), MAX($BJ$7:$BJ$29), J156)), $BK$7:$BK$29, "Error", 0)</f>
        <v>-5</v>
      </c>
      <c r="K157" s="232" cm="1">
        <f t="array" ref="K157">_xlfn.XLOOKUP(MIN(ABS($BJ$7:$BJ$29 - MEDIAN(MIN($BJ$7:$BJ$29), MAX($BJ$7:$BJ$29), K156))), ABS($BJ$7:$BJ$29 - MEDIAN(MIN($BJ$7:$BJ$29), MAX($BJ$7:$BJ$29), K156)), $BK$7:$BK$29, "Error", 0)</f>
        <v>-9</v>
      </c>
      <c r="L157" s="232" cm="1">
        <f t="array" ref="L157">_xlfn.XLOOKUP(MIN(ABS($BJ$7:$BJ$29 - MEDIAN(MIN($BJ$7:$BJ$29), MAX($BJ$7:$BJ$29), L156))), ABS($BJ$7:$BJ$29 - MEDIAN(MIN($BJ$7:$BJ$29), MAX($BJ$7:$BJ$29), L156)), $BK$7:$BK$29, "Error", 0)</f>
        <v>-7</v>
      </c>
      <c r="M157" s="232" cm="1">
        <f t="array" ref="M157">_xlfn.XLOOKUP(MIN(ABS($BJ$7:$BJ$29 - MEDIAN(MIN($BJ$7:$BJ$29), MAX($BJ$7:$BJ$29), M156))), ABS($BJ$7:$BJ$29 - MEDIAN(MIN($BJ$7:$BJ$29), MAX($BJ$7:$BJ$29), M156)), $BK$7:$BK$29, "Error", 0)</f>
        <v>-7</v>
      </c>
      <c r="N157" s="232" cm="1">
        <f t="array" ref="N157">_xlfn.XLOOKUP(MIN(ABS($BJ$7:$BJ$29 - MEDIAN(MIN($BJ$7:$BJ$29), MAX($BJ$7:$BJ$29), N156))), ABS($BJ$7:$BJ$29 - MEDIAN(MIN($BJ$7:$BJ$29), MAX($BJ$7:$BJ$29), N156)), $BK$7:$BK$29, "Error", 0)</f>
        <v>-5</v>
      </c>
      <c r="O157" s="232" cm="1">
        <f t="array" ref="O157">_xlfn.XLOOKUP(MIN(ABS($BJ$7:$BJ$29 - MEDIAN(MIN($BJ$7:$BJ$29), MAX($BJ$7:$BJ$29), O156))), ABS($BJ$7:$BJ$29 - MEDIAN(MIN($BJ$7:$BJ$29), MAX($BJ$7:$BJ$29), O156)), $BK$7:$BK$29, "Error", 0)</f>
        <v>-5</v>
      </c>
      <c r="P157" s="232" cm="1">
        <f t="array" ref="P157">_xlfn.XLOOKUP(MIN(ABS($BJ$7:$BJ$29 - MEDIAN(MIN($BJ$7:$BJ$29), MAX($BJ$7:$BJ$29), P156))), ABS($BJ$7:$BJ$29 - MEDIAN(MIN($BJ$7:$BJ$29), MAX($BJ$7:$BJ$29), P156)), $BK$7:$BK$29, "Error", 0)</f>
        <v>-5</v>
      </c>
      <c r="Q157" s="232" cm="1">
        <f t="array" ref="Q157">_xlfn.XLOOKUP(MIN(ABS($BJ$7:$BJ$29 - MEDIAN(MIN($BJ$7:$BJ$29), MAX($BJ$7:$BJ$29), Q156))), ABS($BJ$7:$BJ$29 - MEDIAN(MIN($BJ$7:$BJ$29), MAX($BJ$7:$BJ$29), Q156)), $BK$7:$BK$29, "Error", 0)</f>
        <v>-9</v>
      </c>
      <c r="R157" s="232" cm="1">
        <f t="array" ref="R157">_xlfn.XLOOKUP(MIN(ABS($BJ$7:$BJ$29 - MEDIAN(MIN($BJ$7:$BJ$29), MAX($BJ$7:$BJ$29), R156))), ABS($BJ$7:$BJ$29 - MEDIAN(MIN($BJ$7:$BJ$29), MAX($BJ$7:$BJ$29), R156)), $BK$7:$BK$29, "Error", 0)</f>
        <v>-10</v>
      </c>
      <c r="S157" s="232" cm="1">
        <f t="array" ref="S157">_xlfn.XLOOKUP(MIN(ABS($BJ$7:$BJ$29 - MEDIAN(MIN($BJ$7:$BJ$29), MAX($BJ$7:$BJ$29), S156))), ABS($BJ$7:$BJ$29 - MEDIAN(MIN($BJ$7:$BJ$29), MAX($BJ$7:$BJ$29), S156)), $BK$7:$BK$29, "Error", 0)</f>
        <v>-10</v>
      </c>
      <c r="T157" s="232" cm="1">
        <f t="array" ref="T157">_xlfn.XLOOKUP(MIN(ABS($BJ$7:$BJ$29 - MEDIAN(MIN($BJ$7:$BJ$29), MAX($BJ$7:$BJ$29), T156))), ABS($BJ$7:$BJ$29 - MEDIAN(MIN($BJ$7:$BJ$29), MAX($BJ$7:$BJ$29), T156)), $BK$7:$BK$29, "Error", 0)</f>
        <v>-9</v>
      </c>
      <c r="U157" s="232" cm="1">
        <f t="array" ref="U157">_xlfn.XLOOKUP(MIN(ABS($BJ$7:$BJ$29 - MEDIAN(MIN($BJ$7:$BJ$29), MAX($BJ$7:$BJ$29), U156))), ABS($BJ$7:$BJ$29 - MEDIAN(MIN($BJ$7:$BJ$29), MAX($BJ$7:$BJ$29), U156)), $BK$7:$BK$29, "Error", 0)</f>
        <v>-10</v>
      </c>
      <c r="V157" s="232" cm="1">
        <f t="array" ref="V157">_xlfn.XLOOKUP(MIN(ABS($BJ$7:$BJ$29 - MEDIAN(MIN($BJ$7:$BJ$29), MAX($BJ$7:$BJ$29), V156))), ABS($BJ$7:$BJ$29 - MEDIAN(MIN($BJ$7:$BJ$29), MAX($BJ$7:$BJ$29), V156)), $BK$7:$BK$29, "Error", 0)</f>
        <v>-10</v>
      </c>
      <c r="W157" s="232" cm="1">
        <f t="array" ref="W157">_xlfn.XLOOKUP(MIN(ABS($BJ$7:$BJ$29 - MEDIAN(MIN($BJ$7:$BJ$29), MAX($BJ$7:$BJ$29), W156))), ABS($BJ$7:$BJ$29 - MEDIAN(MIN($BJ$7:$BJ$29), MAX($BJ$7:$BJ$29), W156)), $BK$7:$BK$29, "Error", 0)</f>
        <v>-9</v>
      </c>
      <c r="X157" s="232" cm="1">
        <f t="array" ref="X157">_xlfn.XLOOKUP(MIN(ABS($BJ$7:$BJ$29 - MEDIAN(MIN($BJ$7:$BJ$29), MAX($BJ$7:$BJ$29), X156))), ABS($BJ$7:$BJ$29 - MEDIAN(MIN($BJ$7:$BJ$29), MAX($BJ$7:$BJ$29), X156)), $BK$7:$BK$29, "Error", 0)</f>
        <v>-10</v>
      </c>
      <c r="Y157" s="232" cm="1">
        <f t="array" ref="Y157">_xlfn.XLOOKUP(MIN(ABS($BJ$7:$BJ$29 - MEDIAN(MIN($BJ$7:$BJ$29), MAX($BJ$7:$BJ$29), Y156))), ABS($BJ$7:$BJ$29 - MEDIAN(MIN($BJ$7:$BJ$29), MAX($BJ$7:$BJ$29), Y156)), $BK$7:$BK$29, "Error", 0)</f>
        <v>-9</v>
      </c>
      <c r="Z157" s="232" cm="1">
        <f t="array" ref="Z157">_xlfn.XLOOKUP(MIN(ABS($BJ$7:$BJ$29 - MEDIAN(MIN($BJ$7:$BJ$29), MAX($BJ$7:$BJ$29), Z156))), ABS($BJ$7:$BJ$29 - MEDIAN(MIN($BJ$7:$BJ$29), MAX($BJ$7:$BJ$29), Z156)), $BK$7:$BK$29, "Error", 0)</f>
        <v>-9</v>
      </c>
      <c r="AA157" s="232" cm="1">
        <f t="array" ref="AA157">_xlfn.XLOOKUP(MIN(ABS($BJ$7:$BJ$29 - MEDIAN(MIN($BJ$7:$BJ$29), MAX($BJ$7:$BJ$29), AA156))), ABS($BJ$7:$BJ$29 - MEDIAN(MIN($BJ$7:$BJ$29), MAX($BJ$7:$BJ$29), AA156)), $BK$7:$BK$29, "Error", 0)</f>
        <v>-9</v>
      </c>
      <c r="AB157" s="171" cm="1">
        <f t="array" ref="AB157">_xlfn.XLOOKUP(MIN(ABS($BJ$7:$BJ$29 - MEDIAN(MIN($BJ$7:$BJ$29), MAX($BJ$7:$BJ$29), AB156))), ABS($BJ$7:$BJ$29 - MEDIAN(MIN($BJ$7:$BJ$29), MAX($BJ$7:$BJ$29), AB156)), $BK$7:$BK$29, "Error", 0)</f>
        <v>-9</v>
      </c>
      <c r="AC157" s="171" cm="1">
        <f t="array" ref="AC157">_xlfn.XLOOKUP(MIN(ABS($BJ$7:$BJ$29 - MEDIAN(MIN($BJ$7:$BJ$29), MAX($BJ$7:$BJ$29), AC156))), ABS($BJ$7:$BJ$29 - MEDIAN(MIN($BJ$7:$BJ$29), MAX($BJ$7:$BJ$29), AC156)), $BK$7:$BK$29, "Error", 0)</f>
        <v>-9</v>
      </c>
      <c r="AD157" s="171" cm="1">
        <f t="array" ref="AD157">_xlfn.XLOOKUP(MIN(ABS($BJ$7:$BJ$29 - MEDIAN(MIN($BJ$7:$BJ$29), MAX($BJ$7:$BJ$29), AD156))), ABS($BJ$7:$BJ$29 - MEDIAN(MIN($BJ$7:$BJ$29), MAX($BJ$7:$BJ$29), AD156)), $BK$7:$BK$29, "Error", 0)</f>
        <v>-9</v>
      </c>
      <c r="AE157" s="171" cm="1">
        <f t="array" ref="AE157">_xlfn.XLOOKUP(MIN(ABS($BJ$7:$BJ$29 - MEDIAN(MIN($BJ$7:$BJ$29), MAX($BJ$7:$BJ$29), AE156))), ABS($BJ$7:$BJ$29 - MEDIAN(MIN($BJ$7:$BJ$29), MAX($BJ$7:$BJ$29), AE156)), $BK$7:$BK$29, "Error", 0)</f>
        <v>-9</v>
      </c>
      <c r="AF157" s="171" cm="1">
        <f t="array" ref="AF157">_xlfn.XLOOKUP(MIN(ABS($BJ$7:$BJ$29 - MEDIAN(MIN($BJ$7:$BJ$29), MAX($BJ$7:$BJ$29), AF156))), ABS($BJ$7:$BJ$29 - MEDIAN(MIN($BJ$7:$BJ$29), MAX($BJ$7:$BJ$29), AF156)), $BK$7:$BK$29, "Error", 0)</f>
        <v>-7</v>
      </c>
      <c r="AG157" s="171" cm="1">
        <f t="array" ref="AG157">_xlfn.XLOOKUP(MIN(ABS($BJ$7:$BJ$29 - MEDIAN(MIN($BJ$7:$BJ$29), MAX($BJ$7:$BJ$29), AG156))), ABS($BJ$7:$BJ$29 - MEDIAN(MIN($BJ$7:$BJ$29), MAX($BJ$7:$BJ$29), AG156)), $BK$7:$BK$29, "Error", 0)</f>
        <v>-9</v>
      </c>
      <c r="AH157" s="171" cm="1">
        <f t="array" ref="AH157">_xlfn.XLOOKUP(MIN(ABS($BJ$7:$BJ$29 - MEDIAN(MIN($BJ$7:$BJ$29), MAX($BJ$7:$BJ$29), AH156))), ABS($BJ$7:$BJ$29 - MEDIAN(MIN($BJ$7:$BJ$29), MAX($BJ$7:$BJ$29), AH156)), $BK$7:$BK$29, "Error", 0)</f>
        <v>-10</v>
      </c>
      <c r="AI157" s="171" cm="1">
        <f t="array" ref="AI157">_xlfn.XLOOKUP(MIN(ABS($BJ$7:$BJ$29 - MEDIAN(MIN($BJ$7:$BJ$29), MAX($BJ$7:$BJ$29), AI156))), ABS($BJ$7:$BJ$29 - MEDIAN(MIN($BJ$7:$BJ$29), MAX($BJ$7:$BJ$29), AI156)), $BK$7:$BK$29, "Error", 0)</f>
        <v>-9</v>
      </c>
      <c r="AJ157" s="171" cm="1">
        <f t="array" ref="AJ157">_xlfn.XLOOKUP(MIN(ABS($BJ$7:$BJ$29 - MEDIAN(MIN($BJ$7:$BJ$29), MAX($BJ$7:$BJ$29), AJ156))), ABS($BJ$7:$BJ$29 - MEDIAN(MIN($BJ$7:$BJ$29), MAX($BJ$7:$BJ$29), AJ156)), $BK$7:$BK$29, "Error", 0)</f>
        <v>-10</v>
      </c>
      <c r="AK157" s="171" cm="1">
        <f t="array" ref="AK157">_xlfn.XLOOKUP(MIN(ABS($BJ$7:$BJ$29 - MEDIAN(MIN($BJ$7:$BJ$29), MAX($BJ$7:$BJ$29), AK156))), ABS($BJ$7:$BJ$29 - MEDIAN(MIN($BJ$7:$BJ$29), MAX($BJ$7:$BJ$29), AK156)), $BK$7:$BK$29, "Error", 0)</f>
        <v>-9</v>
      </c>
      <c r="AL157" s="171" cm="1">
        <f t="array" ref="AL157">_xlfn.XLOOKUP(MIN(ABS($BJ$7:$BJ$29 - MEDIAN(MIN($BJ$7:$BJ$29), MAX($BJ$7:$BJ$29), AL156))), ABS($BJ$7:$BJ$29 - MEDIAN(MIN($BJ$7:$BJ$29), MAX($BJ$7:$BJ$29), AL156)), $BK$7:$BK$29, "Error", 0)</f>
        <v>-9</v>
      </c>
      <c r="AM157" s="171" cm="1">
        <f t="array" ref="AM157">_xlfn.XLOOKUP(MIN(ABS($BJ$7:$BJ$29 - MEDIAN(MIN($BJ$7:$BJ$29), MAX($BJ$7:$BJ$29), AM156))), ABS($BJ$7:$BJ$29 - MEDIAN(MIN($BJ$7:$BJ$29), MAX($BJ$7:$BJ$29), AM156)), $BK$7:$BK$29, "Error", 0)</f>
        <v>-7</v>
      </c>
      <c r="AN157" s="171" cm="1">
        <f t="array" ref="AN157">_xlfn.XLOOKUP(MIN(ABS($BJ$7:$BJ$29 - MEDIAN(MIN($BJ$7:$BJ$29), MAX($BJ$7:$BJ$29), AN156))), ABS($BJ$7:$BJ$29 - MEDIAN(MIN($BJ$7:$BJ$29), MAX($BJ$7:$BJ$29), AN156)), $BK$7:$BK$29, "Error", 0)</f>
        <v>-5</v>
      </c>
      <c r="AO157" s="171" cm="1">
        <f t="array" ref="AO157">_xlfn.XLOOKUP(MIN(ABS($BJ$7:$BJ$29 - MEDIAN(MIN($BJ$7:$BJ$29), MAX($BJ$7:$BJ$29), AO156))), ABS($BJ$7:$BJ$29 - MEDIAN(MIN($BJ$7:$BJ$29), MAX($BJ$7:$BJ$29), AO156)), $BK$7:$BK$29, "Error", 0)</f>
        <v>-5</v>
      </c>
      <c r="AP157" s="171" cm="1">
        <f t="array" ref="AP157">_xlfn.XLOOKUP(MIN(ABS($BJ$7:$BJ$29 - MEDIAN(MIN($BJ$7:$BJ$29), MAX($BJ$7:$BJ$29), AP156))), ABS($BJ$7:$BJ$29 - MEDIAN(MIN($BJ$7:$BJ$29), MAX($BJ$7:$BJ$29), AP156)), $BK$7:$BK$29, "Error", 0)</f>
        <v>0</v>
      </c>
      <c r="AQ157" s="171" cm="1">
        <f t="array" ref="AQ157">_xlfn.XLOOKUP(MIN(ABS($BJ$7:$BJ$29 - MEDIAN(MIN($BJ$7:$BJ$29), MAX($BJ$7:$BJ$29), AQ156))), ABS($BJ$7:$BJ$29 - MEDIAN(MIN($BJ$7:$BJ$29), MAX($BJ$7:$BJ$29), AQ156)), $BK$7:$BK$29, "Error", 0)</f>
        <v>-3</v>
      </c>
      <c r="AR157" s="171" cm="1">
        <f t="array" ref="AR157">_xlfn.XLOOKUP(MIN(ABS($BJ$7:$BJ$29 - MEDIAN(MIN($BJ$7:$BJ$29), MAX($BJ$7:$BJ$29), AR156))), ABS($BJ$7:$BJ$29 - MEDIAN(MIN($BJ$7:$BJ$29), MAX($BJ$7:$BJ$29), AR156)), $BK$7:$BK$29, "Error", 0)</f>
        <v>-3</v>
      </c>
      <c r="AS157" s="171" cm="1">
        <f t="array" ref="AS157">_xlfn.XLOOKUP(MIN(ABS($BJ$7:$BJ$29 - MEDIAN(MIN($BJ$7:$BJ$29), MAX($BJ$7:$BJ$29), AS156))), ABS($BJ$7:$BJ$29 - MEDIAN(MIN($BJ$7:$BJ$29), MAX($BJ$7:$BJ$29), AS156)), $BK$7:$BK$29, "Error", 0)</f>
        <v>-2</v>
      </c>
      <c r="AT157" s="171" cm="1">
        <f t="array" ref="AT157">_xlfn.XLOOKUP(MIN(ABS($BJ$7:$BJ$29 - MEDIAN(MIN($BJ$7:$BJ$29), MAX($BJ$7:$BJ$29), AT156))), ABS($BJ$7:$BJ$29 - MEDIAN(MIN($BJ$7:$BJ$29), MAX($BJ$7:$BJ$29), AT156)), $BK$7:$BK$29, "Error", 0)</f>
        <v>-2</v>
      </c>
      <c r="AU157" s="171" cm="1">
        <f t="array" ref="AU157">_xlfn.XLOOKUP(MIN(ABS($BJ$7:$BJ$29 - MEDIAN(MIN($BJ$7:$BJ$29), MAX($BJ$7:$BJ$29), AU156))), ABS($BJ$7:$BJ$29 - MEDIAN(MIN($BJ$7:$BJ$29), MAX($BJ$7:$BJ$29), AU156)), $BK$7:$BK$29, "Error", 0)</f>
        <v>-2</v>
      </c>
      <c r="AV157" s="206" t="s">
        <v>25</v>
      </c>
      <c r="AW157" s="184"/>
      <c r="AX157" s="184"/>
      <c r="AY157" s="184"/>
    </row>
    <row r="158" spans="1:51" ht="44">
      <c r="A158" s="283" t="s">
        <v>18</v>
      </c>
      <c r="B158" s="200" t="s">
        <v>76</v>
      </c>
      <c r="C158" s="233">
        <v>712481.62032974896</v>
      </c>
      <c r="D158" s="233">
        <v>712481.62032974896</v>
      </c>
      <c r="E158" s="233">
        <v>712481.62032974896</v>
      </c>
      <c r="F158" s="233">
        <v>712481.62032974896</v>
      </c>
      <c r="G158" s="233">
        <v>712481.62032974896</v>
      </c>
      <c r="H158" s="233">
        <v>720108.68771259103</v>
      </c>
      <c r="I158" s="233">
        <v>723497.93759006995</v>
      </c>
      <c r="J158" s="233">
        <v>723497.93759006995</v>
      </c>
      <c r="K158" s="233">
        <v>723497.93759006995</v>
      </c>
      <c r="L158" s="233">
        <v>723497.93759006995</v>
      </c>
      <c r="M158" s="233">
        <v>723497.93759006995</v>
      </c>
      <c r="N158" s="233">
        <v>746650.610140912</v>
      </c>
      <c r="O158" s="233">
        <v>752832.55853354896</v>
      </c>
      <c r="P158" s="233">
        <v>763030.53711717599</v>
      </c>
      <c r="Q158" s="233">
        <v>791392.13735749596</v>
      </c>
      <c r="R158" s="233">
        <v>828830.55572509801</v>
      </c>
      <c r="S158" s="233">
        <v>828830.55572509801</v>
      </c>
      <c r="T158" s="233">
        <v>845708.31793793302</v>
      </c>
      <c r="U158" s="233">
        <v>845708.31793793302</v>
      </c>
      <c r="V158" s="233">
        <v>845708.31793793302</v>
      </c>
      <c r="W158" s="233">
        <v>845708.31793793302</v>
      </c>
      <c r="X158" s="233">
        <v>845708.31793793302</v>
      </c>
      <c r="Y158" s="233">
        <v>867927.86161489796</v>
      </c>
      <c r="Z158" s="233">
        <v>867927.86161489796</v>
      </c>
      <c r="AA158" s="204">
        <v>867927.86161489796</v>
      </c>
      <c r="AB158" s="204">
        <v>867927.86161489796</v>
      </c>
      <c r="AC158" s="204">
        <v>867927.86161489796</v>
      </c>
      <c r="AD158" s="204">
        <v>867927.86161489796</v>
      </c>
      <c r="AE158" s="204">
        <v>867927.86161489796</v>
      </c>
      <c r="AF158" s="204">
        <v>867927.86161489796</v>
      </c>
      <c r="AG158" s="204">
        <v>867927.86161489796</v>
      </c>
      <c r="AH158" s="204">
        <v>878875.06460571301</v>
      </c>
      <c r="AI158" s="204">
        <v>883087.60627175902</v>
      </c>
      <c r="AJ158" s="204">
        <v>922421.79117597605</v>
      </c>
      <c r="AK158" s="204">
        <v>922421.79117597605</v>
      </c>
      <c r="AL158" s="204">
        <v>926426.64693832397</v>
      </c>
      <c r="AM158" s="204">
        <v>978557.72225189197</v>
      </c>
      <c r="AN158" s="204">
        <v>1024163.1993629</v>
      </c>
      <c r="AO158" s="204">
        <v>1024163.1993629</v>
      </c>
      <c r="AP158" s="204">
        <v>1034775</v>
      </c>
      <c r="AQ158" s="204">
        <v>1034775</v>
      </c>
      <c r="AR158" s="204">
        <v>1034775</v>
      </c>
      <c r="AS158" s="204">
        <v>1034775</v>
      </c>
      <c r="AT158" s="204">
        <v>1034775</v>
      </c>
      <c r="AU158" s="204">
        <v>1034775</v>
      </c>
      <c r="AV158" s="200" t="s">
        <v>76</v>
      </c>
      <c r="AW158" s="184"/>
      <c r="AX158" s="184"/>
      <c r="AY158" s="184"/>
    </row>
    <row r="159" spans="1:51" ht="22">
      <c r="A159" s="284"/>
      <c r="B159" s="201" t="s">
        <v>77</v>
      </c>
      <c r="C159" s="233">
        <v>688574.18620725698</v>
      </c>
      <c r="D159" s="233">
        <v>666923.58170698199</v>
      </c>
      <c r="E159" s="233">
        <v>642046.99676746898</v>
      </c>
      <c r="F159" s="233">
        <v>665719.73658172798</v>
      </c>
      <c r="G159" s="233">
        <v>646067.06731995195</v>
      </c>
      <c r="H159" s="233">
        <v>720108.68771259103</v>
      </c>
      <c r="I159" s="233">
        <v>723497.93759006995</v>
      </c>
      <c r="J159" s="233">
        <v>691417.43251314003</v>
      </c>
      <c r="K159" s="233">
        <v>676564.56323560001</v>
      </c>
      <c r="L159" s="233">
        <v>643800.35495008505</v>
      </c>
      <c r="M159" s="233">
        <v>689601.37603145104</v>
      </c>
      <c r="N159" s="233">
        <v>746650.610140912</v>
      </c>
      <c r="O159" s="233">
        <v>752832.55853354896</v>
      </c>
      <c r="P159" s="233">
        <v>763030.53711717599</v>
      </c>
      <c r="Q159" s="233">
        <v>791392.13735749596</v>
      </c>
      <c r="R159" s="233">
        <v>828830.55572509801</v>
      </c>
      <c r="S159" s="233">
        <v>801415.81111266499</v>
      </c>
      <c r="T159" s="233">
        <v>845708.31793793302</v>
      </c>
      <c r="U159" s="233">
        <v>808072.79987152701</v>
      </c>
      <c r="V159" s="233">
        <v>800141.67162103998</v>
      </c>
      <c r="W159" s="233">
        <v>816907.34512619697</v>
      </c>
      <c r="X159" s="233">
        <v>821695.6640625</v>
      </c>
      <c r="Y159" s="233">
        <v>867927.86161489796</v>
      </c>
      <c r="Z159" s="233">
        <v>796515.83779735095</v>
      </c>
      <c r="AA159" s="204">
        <v>817061.575136706</v>
      </c>
      <c r="AB159" s="204">
        <v>763939.57213349605</v>
      </c>
      <c r="AC159" s="204">
        <v>737224.65734016197</v>
      </c>
      <c r="AD159" s="204">
        <v>738281.51881722396</v>
      </c>
      <c r="AE159" s="204">
        <v>781456.51704089297</v>
      </c>
      <c r="AF159" s="204">
        <v>806316.210958026</v>
      </c>
      <c r="AG159" s="204">
        <v>841004.88654658198</v>
      </c>
      <c r="AH159" s="204">
        <v>878875.06460571301</v>
      </c>
      <c r="AI159" s="204">
        <v>883087.60627175902</v>
      </c>
      <c r="AJ159" s="204">
        <v>922421.79117597605</v>
      </c>
      <c r="AK159" s="204">
        <v>879682.52246774698</v>
      </c>
      <c r="AL159" s="204">
        <v>926426.64693832397</v>
      </c>
      <c r="AM159" s="204">
        <v>978557.72225189197</v>
      </c>
      <c r="AN159" s="204">
        <v>1024163.1993629</v>
      </c>
      <c r="AO159" s="204">
        <v>927985.20584052801</v>
      </c>
      <c r="AP159" s="204">
        <v>1034775</v>
      </c>
      <c r="AQ159" s="204">
        <v>1000940.68364719</v>
      </c>
      <c r="AR159" s="204">
        <v>978228</v>
      </c>
      <c r="AS159" s="204">
        <v>1000308</v>
      </c>
      <c r="AT159" s="204">
        <v>1000308</v>
      </c>
      <c r="AU159" s="204">
        <v>1000308</v>
      </c>
      <c r="AV159" s="201" t="s">
        <v>77</v>
      </c>
      <c r="AW159" s="184"/>
      <c r="AX159" s="184"/>
      <c r="AY159" s="184"/>
    </row>
    <row r="160" spans="1:51" ht="22">
      <c r="A160" s="284"/>
      <c r="B160" s="201" t="s">
        <v>78</v>
      </c>
      <c r="C160" s="230">
        <f t="shared" ref="C160:Z160" si="197">+(C159-C158)/C158</f>
        <v>-3.3555159095089639E-2</v>
      </c>
      <c r="D160" s="230">
        <f t="shared" si="197"/>
        <v>-6.3942756308130316E-2</v>
      </c>
      <c r="E160" s="230">
        <f t="shared" si="197"/>
        <v>-9.8858162165196065E-2</v>
      </c>
      <c r="F160" s="230">
        <f t="shared" si="197"/>
        <v>-6.5632407087748812E-2</v>
      </c>
      <c r="G160" s="230">
        <f t="shared" si="197"/>
        <v>-9.3215812330792736E-2</v>
      </c>
      <c r="H160" s="230">
        <f t="shared" si="197"/>
        <v>0</v>
      </c>
      <c r="I160" s="230">
        <f t="shared" si="197"/>
        <v>0</v>
      </c>
      <c r="J160" s="230">
        <f t="shared" si="197"/>
        <v>-4.4340838321928387E-2</v>
      </c>
      <c r="K160" s="230">
        <f t="shared" si="197"/>
        <v>-6.4870087274612437E-2</v>
      </c>
      <c r="L160" s="230">
        <f t="shared" si="197"/>
        <v>-0.11015592235888463</v>
      </c>
      <c r="M160" s="230">
        <f t="shared" si="197"/>
        <v>-4.685094427708586E-2</v>
      </c>
      <c r="N160" s="230">
        <f t="shared" si="197"/>
        <v>0</v>
      </c>
      <c r="O160" s="230">
        <f t="shared" si="197"/>
        <v>0</v>
      </c>
      <c r="P160" s="230">
        <f t="shared" si="197"/>
        <v>0</v>
      </c>
      <c r="Q160" s="230">
        <f t="shared" si="197"/>
        <v>0</v>
      </c>
      <c r="R160" s="230">
        <f t="shared" si="197"/>
        <v>0</v>
      </c>
      <c r="S160" s="230">
        <f t="shared" si="197"/>
        <v>-3.3076416431642497E-2</v>
      </c>
      <c r="T160" s="230">
        <f t="shared" si="197"/>
        <v>0</v>
      </c>
      <c r="U160" s="230">
        <f t="shared" si="197"/>
        <v>-4.4501771199521423E-2</v>
      </c>
      <c r="V160" s="230">
        <f t="shared" si="197"/>
        <v>-5.3879860645094438E-2</v>
      </c>
      <c r="W160" s="230">
        <f t="shared" si="197"/>
        <v>-3.405544465018466E-2</v>
      </c>
      <c r="X160" s="230">
        <f t="shared" si="197"/>
        <v>-2.8393541089890673E-2</v>
      </c>
      <c r="Y160" s="230">
        <f t="shared" si="197"/>
        <v>0</v>
      </c>
      <c r="Z160" s="230">
        <f t="shared" si="197"/>
        <v>-8.2278754924027003E-2</v>
      </c>
      <c r="AA160" s="230">
        <f t="shared" ref="AA160:AS160" si="198">+(AA159-AA158)/AA158</f>
        <v>-5.8606583251686738E-2</v>
      </c>
      <c r="AB160" s="205">
        <f t="shared" si="198"/>
        <v>-0.11981213425723831</v>
      </c>
      <c r="AC160" s="205">
        <f t="shared" si="198"/>
        <v>-0.15059224395855306</v>
      </c>
      <c r="AD160" s="205">
        <f t="shared" si="198"/>
        <v>-0.14937456041156386</v>
      </c>
      <c r="AE160" s="205">
        <f t="shared" si="198"/>
        <v>-9.9629644810702675E-2</v>
      </c>
      <c r="AF160" s="205">
        <f t="shared" si="198"/>
        <v>-7.0987063996580432E-2</v>
      </c>
      <c r="AG160" s="205">
        <f t="shared" si="198"/>
        <v>-3.1019830401828694E-2</v>
      </c>
      <c r="AH160" s="205">
        <f t="shared" si="198"/>
        <v>0</v>
      </c>
      <c r="AI160" s="205">
        <f t="shared" si="198"/>
        <v>0</v>
      </c>
      <c r="AJ160" s="205">
        <f t="shared" si="198"/>
        <v>0</v>
      </c>
      <c r="AK160" s="205">
        <f t="shared" si="198"/>
        <v>-4.6333758717627078E-2</v>
      </c>
      <c r="AL160" s="205">
        <f t="shared" si="198"/>
        <v>0</v>
      </c>
      <c r="AM160" s="205">
        <f t="shared" si="198"/>
        <v>0</v>
      </c>
      <c r="AN160" s="205">
        <f t="shared" si="198"/>
        <v>0</v>
      </c>
      <c r="AO160" s="205">
        <f t="shared" si="198"/>
        <v>-9.3908855133831515E-2</v>
      </c>
      <c r="AP160" s="205">
        <f t="shared" si="198"/>
        <v>0</v>
      </c>
      <c r="AQ160" s="205">
        <f t="shared" si="198"/>
        <v>-3.2697268829272076E-2</v>
      </c>
      <c r="AR160" s="205">
        <f t="shared" si="198"/>
        <v>-5.4646662317895195E-2</v>
      </c>
      <c r="AS160" s="205">
        <f t="shared" si="198"/>
        <v>-3.3308690294991665E-2</v>
      </c>
      <c r="AT160" s="205">
        <f t="shared" ref="AT160:AU160" si="199">+(AT159-AT158)/AT158</f>
        <v>-3.3308690294991665E-2</v>
      </c>
      <c r="AU160" s="205">
        <f t="shared" si="199"/>
        <v>-3.3308690294991665E-2</v>
      </c>
      <c r="AV160" s="201" t="s">
        <v>78</v>
      </c>
      <c r="AW160" s="184"/>
      <c r="AX160" s="184"/>
      <c r="AY160" s="184"/>
    </row>
    <row r="161" spans="1:51" ht="44">
      <c r="A161" s="284"/>
      <c r="B161" s="201" t="s">
        <v>93</v>
      </c>
      <c r="C161" s="233">
        <v>7632.7998046875</v>
      </c>
      <c r="D161" s="233">
        <v>7632.7998046875</v>
      </c>
      <c r="E161" s="233">
        <v>7632.7998046875</v>
      </c>
      <c r="F161" s="233">
        <v>7632.7998046875</v>
      </c>
      <c r="G161" s="233">
        <v>7632.7998046875</v>
      </c>
      <c r="H161" s="233">
        <v>7632.7998046875</v>
      </c>
      <c r="I161" s="233">
        <v>7632.7998046875</v>
      </c>
      <c r="J161" s="233">
        <v>7632.7998046875</v>
      </c>
      <c r="K161" s="233">
        <v>7632.7998046875</v>
      </c>
      <c r="L161" s="233">
        <v>7632.7998046875</v>
      </c>
      <c r="M161" s="233">
        <v>7632.7998046875</v>
      </c>
      <c r="N161" s="233">
        <v>7632.7998046875</v>
      </c>
      <c r="O161" s="233">
        <v>7682.2998046875</v>
      </c>
      <c r="P161" s="233">
        <v>7703.7998046875</v>
      </c>
      <c r="Q161" s="233">
        <v>7901.2001953125</v>
      </c>
      <c r="R161" s="233">
        <v>7901.2001953125</v>
      </c>
      <c r="S161" s="233">
        <v>7901.2001953125</v>
      </c>
      <c r="T161" s="233">
        <v>7901.2001953125</v>
      </c>
      <c r="U161" s="233">
        <v>8092.2998046875</v>
      </c>
      <c r="V161" s="233">
        <v>8092.2998046875</v>
      </c>
      <c r="W161" s="233">
        <v>8285.7001953125</v>
      </c>
      <c r="X161" s="233">
        <v>8285.7001953125</v>
      </c>
      <c r="Y161" s="233">
        <v>8477.099609375</v>
      </c>
      <c r="Z161" s="233">
        <v>8477.099609375</v>
      </c>
      <c r="AA161" s="231">
        <v>8566.900390625</v>
      </c>
      <c r="AB161" s="203">
        <v>8566.900390625</v>
      </c>
      <c r="AC161" s="203">
        <v>8566.900390625</v>
      </c>
      <c r="AD161" s="203">
        <v>8566.900390625</v>
      </c>
      <c r="AE161" s="203">
        <v>8566.900390625</v>
      </c>
      <c r="AF161" s="203">
        <v>8639.099609375</v>
      </c>
      <c r="AG161" s="203">
        <v>8776.400390625</v>
      </c>
      <c r="AH161" s="203">
        <v>9054.5</v>
      </c>
      <c r="AI161" s="203">
        <v>9054.5</v>
      </c>
      <c r="AJ161" s="203">
        <v>9115.2001953125</v>
      </c>
      <c r="AK161" s="203">
        <v>9115.2001953125</v>
      </c>
      <c r="AL161" s="203">
        <v>9115.2001953125</v>
      </c>
      <c r="AM161" s="203">
        <v>9115.2001953125</v>
      </c>
      <c r="AN161" s="203">
        <v>9202.900390625</v>
      </c>
      <c r="AO161" s="203">
        <v>9202.900390625</v>
      </c>
      <c r="AP161" s="203">
        <v>9202.900390625</v>
      </c>
      <c r="AQ161" s="203">
        <v>9202.900390625</v>
      </c>
      <c r="AR161" s="203">
        <v>9202.900390625</v>
      </c>
      <c r="AS161" s="203">
        <v>9202.900390625</v>
      </c>
      <c r="AT161" s="203">
        <v>9202.900390625</v>
      </c>
      <c r="AU161" s="203">
        <v>9202.900390625</v>
      </c>
      <c r="AV161" s="201" t="s">
        <v>93</v>
      </c>
      <c r="AW161" s="184"/>
      <c r="AX161" s="184"/>
      <c r="AY161" s="184"/>
    </row>
    <row r="162" spans="1:51" ht="44">
      <c r="A162" s="284"/>
      <c r="B162" s="201" t="s">
        <v>94</v>
      </c>
      <c r="C162" s="233">
        <v>7476.7001953125</v>
      </c>
      <c r="D162" s="233">
        <v>7258.39990234375</v>
      </c>
      <c r="E162" s="233">
        <v>7177.7998046875</v>
      </c>
      <c r="F162" s="233">
        <v>7309.2001953125</v>
      </c>
      <c r="G162" s="233">
        <v>7091.2998046875</v>
      </c>
      <c r="H162" s="233">
        <v>7203.2998046875</v>
      </c>
      <c r="I162" s="233">
        <v>7410.39990234375</v>
      </c>
      <c r="J162" s="233">
        <v>7305.2998046875</v>
      </c>
      <c r="K162" s="233">
        <v>7048.60009765625</v>
      </c>
      <c r="L162" s="233">
        <v>6780.7001953125</v>
      </c>
      <c r="M162" s="233">
        <v>7087.2998046875</v>
      </c>
      <c r="N162" s="233">
        <v>7590.7998046875</v>
      </c>
      <c r="O162" s="233">
        <v>7682.2998046875</v>
      </c>
      <c r="P162" s="233">
        <v>7703.7998046875</v>
      </c>
      <c r="Q162" s="233">
        <v>7901.2001953125</v>
      </c>
      <c r="R162" s="233">
        <v>7664.10009765625</v>
      </c>
      <c r="S162" s="233">
        <v>7701.7001953125</v>
      </c>
      <c r="T162" s="233">
        <v>7767.5</v>
      </c>
      <c r="U162" s="233">
        <v>8092.2998046875</v>
      </c>
      <c r="V162" s="233">
        <v>8091.89990234375</v>
      </c>
      <c r="W162" s="233">
        <v>8285.7001953125</v>
      </c>
      <c r="X162" s="233">
        <v>8160</v>
      </c>
      <c r="Y162" s="233">
        <v>8477.099609375</v>
      </c>
      <c r="Z162" s="233">
        <v>8159.10009765625</v>
      </c>
      <c r="AA162" s="231">
        <v>8566.900390625</v>
      </c>
      <c r="AB162" s="203">
        <v>8172.39990234375</v>
      </c>
      <c r="AC162" s="203">
        <v>7843.39990234375</v>
      </c>
      <c r="AD162" s="203">
        <v>8126.2001953125</v>
      </c>
      <c r="AE162" s="203">
        <v>8434.7001953125</v>
      </c>
      <c r="AF162" s="203">
        <v>8639.099609375</v>
      </c>
      <c r="AG162" s="203">
        <v>8776.400390625</v>
      </c>
      <c r="AH162" s="203">
        <v>9054.5</v>
      </c>
      <c r="AI162" s="203">
        <v>8848.7998046875</v>
      </c>
      <c r="AJ162" s="203">
        <v>9115.2001953125</v>
      </c>
      <c r="AK162" s="203">
        <v>8614.099609375</v>
      </c>
      <c r="AL162" s="203">
        <v>8714.2998046875</v>
      </c>
      <c r="AM162" s="203">
        <v>8869.099609375</v>
      </c>
      <c r="AN162" s="203">
        <v>9202.900390625</v>
      </c>
      <c r="AO162" s="203">
        <v>8481.7998046875</v>
      </c>
      <c r="AP162" s="203">
        <v>8665.7998046875</v>
      </c>
      <c r="AQ162" s="203">
        <v>8731.7001953125</v>
      </c>
      <c r="AR162" s="203">
        <v>8778</v>
      </c>
      <c r="AS162" s="203">
        <v>8841</v>
      </c>
      <c r="AT162" s="203">
        <v>8841</v>
      </c>
      <c r="AU162" s="203">
        <v>8841</v>
      </c>
      <c r="AV162" s="201" t="s">
        <v>94</v>
      </c>
      <c r="AW162" s="184"/>
      <c r="AX162" s="184"/>
      <c r="AY162" s="184"/>
    </row>
    <row r="163" spans="1:51" ht="44">
      <c r="A163" s="284"/>
      <c r="B163" s="201" t="s">
        <v>79</v>
      </c>
      <c r="C163" s="230">
        <f t="shared" ref="C163:Z163" si="200">+(C162-C161)/C161</f>
        <v>-2.0451159911089922E-2</v>
      </c>
      <c r="D163" s="230">
        <f t="shared" si="200"/>
        <v>-4.9051450571757603E-2</v>
      </c>
      <c r="E163" s="230">
        <f t="shared" si="200"/>
        <v>-5.9611153396237737E-2</v>
      </c>
      <c r="F163" s="230">
        <f t="shared" si="200"/>
        <v>-4.239592517234228E-2</v>
      </c>
      <c r="G163" s="230">
        <f t="shared" si="200"/>
        <v>-7.0943823217720289E-2</v>
      </c>
      <c r="H163" s="230">
        <f t="shared" si="200"/>
        <v>-5.6270308535569469E-2</v>
      </c>
      <c r="I163" s="230">
        <f t="shared" si="200"/>
        <v>-2.9137394931695766E-2</v>
      </c>
      <c r="J163" s="230">
        <f t="shared" si="200"/>
        <v>-4.2906929092896395E-2</v>
      </c>
      <c r="K163" s="230">
        <f t="shared" si="200"/>
        <v>-7.6538062307421953E-2</v>
      </c>
      <c r="L163" s="230">
        <f t="shared" si="200"/>
        <v>-0.11163657257874149</v>
      </c>
      <c r="M163" s="230">
        <f t="shared" si="200"/>
        <v>-7.1467877313511396E-2</v>
      </c>
      <c r="N163" s="230">
        <f t="shared" si="200"/>
        <v>-5.5025680058065603E-3</v>
      </c>
      <c r="O163" s="230">
        <f t="shared" si="200"/>
        <v>0</v>
      </c>
      <c r="P163" s="230">
        <f t="shared" si="200"/>
        <v>0</v>
      </c>
      <c r="Q163" s="230">
        <f t="shared" si="200"/>
        <v>0</v>
      </c>
      <c r="R163" s="230">
        <f t="shared" si="200"/>
        <v>-3.000811165332996E-2</v>
      </c>
      <c r="S163" s="230">
        <f t="shared" si="200"/>
        <v>-2.5249328591668417E-2</v>
      </c>
      <c r="T163" s="230">
        <f t="shared" si="200"/>
        <v>-1.6921504582534126E-2</v>
      </c>
      <c r="U163" s="230">
        <f t="shared" si="200"/>
        <v>0</v>
      </c>
      <c r="V163" s="230">
        <f t="shared" si="200"/>
        <v>-4.9417638174793627E-5</v>
      </c>
      <c r="W163" s="230">
        <f t="shared" si="200"/>
        <v>0</v>
      </c>
      <c r="X163" s="230">
        <f t="shared" si="200"/>
        <v>-1.5170739026209619E-2</v>
      </c>
      <c r="Y163" s="230">
        <f t="shared" si="200"/>
        <v>0</v>
      </c>
      <c r="Z163" s="230">
        <f t="shared" si="200"/>
        <v>-3.7512772808174596E-2</v>
      </c>
      <c r="AA163" s="230">
        <f>+(AA162-AA161)/AA161</f>
        <v>0</v>
      </c>
      <c r="AB163" s="205">
        <f t="shared" ref="AB163:AK163" si="201">+(AB162-AB161)/AB161</f>
        <v>-4.6049384292242146E-2</v>
      </c>
      <c r="AC163" s="205">
        <f t="shared" si="201"/>
        <v>-8.4453005788767771E-2</v>
      </c>
      <c r="AD163" s="205">
        <f t="shared" si="201"/>
        <v>-5.1442199070596245E-2</v>
      </c>
      <c r="AE163" s="205">
        <f t="shared" si="201"/>
        <v>-1.5431508396802464E-2</v>
      </c>
      <c r="AF163" s="205">
        <f t="shared" si="201"/>
        <v>0</v>
      </c>
      <c r="AG163" s="205">
        <f t="shared" si="201"/>
        <v>0</v>
      </c>
      <c r="AH163" s="205">
        <f t="shared" si="201"/>
        <v>0</v>
      </c>
      <c r="AI163" s="205">
        <f t="shared" si="201"/>
        <v>-2.2718007102821802E-2</v>
      </c>
      <c r="AJ163" s="205">
        <f t="shared" si="201"/>
        <v>0</v>
      </c>
      <c r="AK163" s="205">
        <f t="shared" si="201"/>
        <v>-5.4974172283697227E-2</v>
      </c>
      <c r="AL163" s="205">
        <f t="shared" ref="AL163:AR163" si="202">+(AL162-AL161)/AL161</f>
        <v>-4.398152339332749E-2</v>
      </c>
      <c r="AM163" s="205">
        <f t="shared" si="202"/>
        <v>-2.6998922751478069E-2</v>
      </c>
      <c r="AN163" s="205">
        <f t="shared" si="202"/>
        <v>0</v>
      </c>
      <c r="AO163" s="205">
        <f t="shared" si="202"/>
        <v>-7.8355796034920211E-2</v>
      </c>
      <c r="AP163" s="205">
        <f t="shared" si="202"/>
        <v>-5.8362099244782077E-2</v>
      </c>
      <c r="AQ163" s="205">
        <f t="shared" si="202"/>
        <v>-5.1201270828978213E-2</v>
      </c>
      <c r="AR163" s="205">
        <f t="shared" si="202"/>
        <v>-4.6170269435692933E-2</v>
      </c>
      <c r="AS163" s="205">
        <f t="shared" ref="AS163:AT163" si="203">+(AS162-AS161)/AS161</f>
        <v>-3.9324601512982595E-2</v>
      </c>
      <c r="AT163" s="205">
        <f t="shared" si="203"/>
        <v>-3.9324601512982595E-2</v>
      </c>
      <c r="AU163" s="205">
        <f t="shared" ref="AU163" si="204">+(AU162-AU161)/AU161</f>
        <v>-3.9324601512982595E-2</v>
      </c>
      <c r="AV163" s="201" t="s">
        <v>79</v>
      </c>
      <c r="AW163" s="184"/>
      <c r="AX163" s="184"/>
      <c r="AY163" s="184"/>
    </row>
    <row r="164" spans="1:51" ht="22">
      <c r="A164" s="284"/>
      <c r="B164" s="201" t="s">
        <v>80</v>
      </c>
      <c r="C164" s="230">
        <f t="shared" ref="C164:Z164" si="205">+C160-C163</f>
        <v>-1.3103999183999716E-2</v>
      </c>
      <c r="D164" s="230">
        <f t="shared" si="205"/>
        <v>-1.4891305736372713E-2</v>
      </c>
      <c r="E164" s="230">
        <f t="shared" si="205"/>
        <v>-3.9247008768958327E-2</v>
      </c>
      <c r="F164" s="230">
        <f t="shared" si="205"/>
        <v>-2.3236481915406532E-2</v>
      </c>
      <c r="G164" s="230">
        <f t="shared" si="205"/>
        <v>-2.2271989113072446E-2</v>
      </c>
      <c r="H164" s="230">
        <f t="shared" si="205"/>
        <v>5.6270308535569469E-2</v>
      </c>
      <c r="I164" s="230">
        <f t="shared" si="205"/>
        <v>2.9137394931695766E-2</v>
      </c>
      <c r="J164" s="230">
        <f t="shared" si="205"/>
        <v>-1.4339092290319919E-3</v>
      </c>
      <c r="K164" s="230">
        <f t="shared" si="205"/>
        <v>1.1667975032809516E-2</v>
      </c>
      <c r="L164" s="230">
        <f t="shared" si="205"/>
        <v>1.480650219856855E-3</v>
      </c>
      <c r="M164" s="230">
        <f t="shared" si="205"/>
        <v>2.4616933036425537E-2</v>
      </c>
      <c r="N164" s="230">
        <f t="shared" si="205"/>
        <v>5.5025680058065603E-3</v>
      </c>
      <c r="O164" s="230">
        <f t="shared" si="205"/>
        <v>0</v>
      </c>
      <c r="P164" s="230">
        <f t="shared" si="205"/>
        <v>0</v>
      </c>
      <c r="Q164" s="230">
        <f t="shared" si="205"/>
        <v>0</v>
      </c>
      <c r="R164" s="230">
        <f t="shared" si="205"/>
        <v>3.000811165332996E-2</v>
      </c>
      <c r="S164" s="230">
        <f t="shared" si="205"/>
        <v>-7.8270878399740798E-3</v>
      </c>
      <c r="T164" s="230">
        <f t="shared" si="205"/>
        <v>1.6921504582534126E-2</v>
      </c>
      <c r="U164" s="230">
        <f t="shared" si="205"/>
        <v>-4.4501771199521423E-2</v>
      </c>
      <c r="V164" s="230">
        <f t="shared" si="205"/>
        <v>-5.3830443006919644E-2</v>
      </c>
      <c r="W164" s="230">
        <f t="shared" si="205"/>
        <v>-3.405544465018466E-2</v>
      </c>
      <c r="X164" s="230">
        <f t="shared" si="205"/>
        <v>-1.3222802063681054E-2</v>
      </c>
      <c r="Y164" s="230">
        <f t="shared" si="205"/>
        <v>0</v>
      </c>
      <c r="Z164" s="230">
        <f t="shared" si="205"/>
        <v>-4.4765982115852407E-2</v>
      </c>
      <c r="AA164" s="230">
        <f t="shared" ref="AA164:AR164" si="206">+AA160-AA163</f>
        <v>-5.8606583251686738E-2</v>
      </c>
      <c r="AB164" s="205">
        <f t="shared" si="206"/>
        <v>-7.3762749964996169E-2</v>
      </c>
      <c r="AC164" s="205">
        <f t="shared" si="206"/>
        <v>-6.6139238169785286E-2</v>
      </c>
      <c r="AD164" s="205">
        <f t="shared" si="206"/>
        <v>-9.7932361340967611E-2</v>
      </c>
      <c r="AE164" s="205">
        <f t="shared" si="206"/>
        <v>-8.4198136413900213E-2</v>
      </c>
      <c r="AF164" s="205">
        <f t="shared" si="206"/>
        <v>-7.0987063996580432E-2</v>
      </c>
      <c r="AG164" s="205">
        <f t="shared" si="206"/>
        <v>-3.1019830401828694E-2</v>
      </c>
      <c r="AH164" s="205">
        <f t="shared" si="206"/>
        <v>0</v>
      </c>
      <c r="AI164" s="205">
        <f t="shared" si="206"/>
        <v>2.2718007102821802E-2</v>
      </c>
      <c r="AJ164" s="205">
        <f t="shared" si="206"/>
        <v>0</v>
      </c>
      <c r="AK164" s="205">
        <f t="shared" si="206"/>
        <v>8.6404135660701487E-3</v>
      </c>
      <c r="AL164" s="205">
        <f t="shared" si="206"/>
        <v>4.398152339332749E-2</v>
      </c>
      <c r="AM164" s="205">
        <f t="shared" si="206"/>
        <v>2.6998922751478069E-2</v>
      </c>
      <c r="AN164" s="205">
        <f t="shared" si="206"/>
        <v>0</v>
      </c>
      <c r="AO164" s="205">
        <f t="shared" si="206"/>
        <v>-1.5553059098911304E-2</v>
      </c>
      <c r="AP164" s="205">
        <f t="shared" si="206"/>
        <v>5.8362099244782077E-2</v>
      </c>
      <c r="AQ164" s="205">
        <f t="shared" si="206"/>
        <v>1.8504001999706136E-2</v>
      </c>
      <c r="AR164" s="205">
        <f t="shared" si="206"/>
        <v>-8.4763928822022619E-3</v>
      </c>
      <c r="AS164" s="205">
        <f t="shared" ref="AS164:AT164" si="207">+AS160-AS163</f>
        <v>6.0159112179909296E-3</v>
      </c>
      <c r="AT164" s="205">
        <f t="shared" si="207"/>
        <v>6.0159112179909296E-3</v>
      </c>
      <c r="AU164" s="205">
        <f t="shared" ref="AU164" si="208">+AU160-AU163</f>
        <v>6.0159112179909296E-3</v>
      </c>
      <c r="AV164" s="201" t="s">
        <v>80</v>
      </c>
      <c r="AW164" s="184"/>
      <c r="AX164" s="184"/>
      <c r="AY164" s="184"/>
    </row>
    <row r="165" spans="1:51" ht="22">
      <c r="A165" s="285"/>
      <c r="B165" s="206" t="s">
        <v>25</v>
      </c>
      <c r="C165" s="232" cm="1">
        <f t="array" ref="C165">_xlfn.XLOOKUP(MIN(ABS($BJ$7:$BJ$29 - MEDIAN(MIN($BJ$7:$BJ$29), MAX($BJ$7:$BJ$29), C164))), ABS($BJ$7:$BJ$29 - MEDIAN(MIN($BJ$7:$BJ$29), MAX($BJ$7:$BJ$29), C164)), $BK$7:$BK$29, "Error", 0)</f>
        <v>-2</v>
      </c>
      <c r="D165" s="232" cm="1">
        <f t="array" ref="D165">_xlfn.XLOOKUP(MIN(ABS($BJ$7:$BJ$29 - MEDIAN(MIN($BJ$7:$BJ$29), MAX($BJ$7:$BJ$29), D164))), ABS($BJ$7:$BJ$29 - MEDIAN(MIN($BJ$7:$BJ$29), MAX($BJ$7:$BJ$29), D164)), $BK$7:$BK$29, "Error", 0)</f>
        <v>-2</v>
      </c>
      <c r="E165" s="232" cm="1">
        <f t="array" ref="E165">_xlfn.XLOOKUP(MIN(ABS($BJ$7:$BJ$29 - MEDIAN(MIN($BJ$7:$BJ$29), MAX($BJ$7:$BJ$29), E164))), ABS($BJ$7:$BJ$29 - MEDIAN(MIN($BJ$7:$BJ$29), MAX($BJ$7:$BJ$29), E164)), $BK$7:$BK$29, "Error", 0)</f>
        <v>-3</v>
      </c>
      <c r="F165" s="232" cm="1">
        <f t="array" ref="F165">_xlfn.XLOOKUP(MIN(ABS($BJ$7:$BJ$29 - MEDIAN(MIN($BJ$7:$BJ$29), MAX($BJ$7:$BJ$29), F164))), ABS($BJ$7:$BJ$29 - MEDIAN(MIN($BJ$7:$BJ$29), MAX($BJ$7:$BJ$29), F164)), $BK$7:$BK$29, "Error", 0)</f>
        <v>-2</v>
      </c>
      <c r="G165" s="232" cm="1">
        <f t="array" ref="G165">_xlfn.XLOOKUP(MIN(ABS($BJ$7:$BJ$29 - MEDIAN(MIN($BJ$7:$BJ$29), MAX($BJ$7:$BJ$29), G164))), ABS($BJ$7:$BJ$29 - MEDIAN(MIN($BJ$7:$BJ$29), MAX($BJ$7:$BJ$29), G164)), $BK$7:$BK$29, "Error", 0)</f>
        <v>-2</v>
      </c>
      <c r="H165" s="232" cm="1">
        <f t="array" ref="H165">_xlfn.XLOOKUP(MIN(ABS($BJ$7:$BJ$29 - MEDIAN(MIN($BJ$7:$BJ$29), MAX($BJ$7:$BJ$29), H164))), ABS($BJ$7:$BJ$29 - MEDIAN(MIN($BJ$7:$BJ$29), MAX($BJ$7:$BJ$29), H164)), $BK$7:$BK$29, "Error", 0)</f>
        <v>5</v>
      </c>
      <c r="I165" s="232" cm="1">
        <f t="array" ref="I165">_xlfn.XLOOKUP(MIN(ABS($BJ$7:$BJ$29 - MEDIAN(MIN($BJ$7:$BJ$29), MAX($BJ$7:$BJ$29), I164))), ABS($BJ$7:$BJ$29 - MEDIAN(MIN($BJ$7:$BJ$29), MAX($BJ$7:$BJ$29), I164)), $BK$7:$BK$29, "Error", 0)</f>
        <v>2</v>
      </c>
      <c r="J165" s="232" cm="1">
        <f t="array" ref="J165">_xlfn.XLOOKUP(MIN(ABS($BJ$7:$BJ$29 - MEDIAN(MIN($BJ$7:$BJ$29), MAX($BJ$7:$BJ$29), J164))), ABS($BJ$7:$BJ$29 - MEDIAN(MIN($BJ$7:$BJ$29), MAX($BJ$7:$BJ$29), J164)), $BK$7:$BK$29, "Error", 0)</f>
        <v>0</v>
      </c>
      <c r="K165" s="232" cm="1">
        <f t="array" ref="K165">_xlfn.XLOOKUP(MIN(ABS($BJ$7:$BJ$29 - MEDIAN(MIN($BJ$7:$BJ$29), MAX($BJ$7:$BJ$29), K164))), ABS($BJ$7:$BJ$29 - MEDIAN(MIN($BJ$7:$BJ$29), MAX($BJ$7:$BJ$29), K164)), $BK$7:$BK$29, "Error", 0)</f>
        <v>2</v>
      </c>
      <c r="L165" s="232" cm="1">
        <f t="array" ref="L165">_xlfn.XLOOKUP(MIN(ABS($BJ$7:$BJ$29 - MEDIAN(MIN($BJ$7:$BJ$29), MAX($BJ$7:$BJ$29), L164))), ABS($BJ$7:$BJ$29 - MEDIAN(MIN($BJ$7:$BJ$29), MAX($BJ$7:$BJ$29), L164)), $BK$7:$BK$29, "Error", 0)</f>
        <v>0</v>
      </c>
      <c r="M165" s="232" cm="1">
        <f t="array" ref="M165">_xlfn.XLOOKUP(MIN(ABS($BJ$7:$BJ$29 - MEDIAN(MIN($BJ$7:$BJ$29), MAX($BJ$7:$BJ$29), M164))), ABS($BJ$7:$BJ$29 - MEDIAN(MIN($BJ$7:$BJ$29), MAX($BJ$7:$BJ$29), M164)), $BK$7:$BK$29, "Error", 0)</f>
        <v>2</v>
      </c>
      <c r="N165" s="232" cm="1">
        <f t="array" ref="N165">_xlfn.XLOOKUP(MIN(ABS($BJ$7:$BJ$29 - MEDIAN(MIN($BJ$7:$BJ$29), MAX($BJ$7:$BJ$29), N164))), ABS($BJ$7:$BJ$29 - MEDIAN(MIN($BJ$7:$BJ$29), MAX($BJ$7:$BJ$29), N164)), $BK$7:$BK$29, "Error", 0)</f>
        <v>0</v>
      </c>
      <c r="O165" s="232" cm="1">
        <f t="array" ref="O165">_xlfn.XLOOKUP(MIN(ABS($BJ$7:$BJ$29 - MEDIAN(MIN($BJ$7:$BJ$29), MAX($BJ$7:$BJ$29), O164))), ABS($BJ$7:$BJ$29 - MEDIAN(MIN($BJ$7:$BJ$29), MAX($BJ$7:$BJ$29), O164)), $BK$7:$BK$29, "Error", 0)</f>
        <v>0</v>
      </c>
      <c r="P165" s="232" cm="1">
        <f t="array" ref="P165">_xlfn.XLOOKUP(MIN(ABS($BJ$7:$BJ$29 - MEDIAN(MIN($BJ$7:$BJ$29), MAX($BJ$7:$BJ$29), P164))), ABS($BJ$7:$BJ$29 - MEDIAN(MIN($BJ$7:$BJ$29), MAX($BJ$7:$BJ$29), P164)), $BK$7:$BK$29, "Error", 0)</f>
        <v>0</v>
      </c>
      <c r="Q165" s="232" cm="1">
        <f t="array" ref="Q165">_xlfn.XLOOKUP(MIN(ABS($BJ$7:$BJ$29 - MEDIAN(MIN($BJ$7:$BJ$29), MAX($BJ$7:$BJ$29), Q164))), ABS($BJ$7:$BJ$29 - MEDIAN(MIN($BJ$7:$BJ$29), MAX($BJ$7:$BJ$29), Q164)), $BK$7:$BK$29, "Error", 0)</f>
        <v>0</v>
      </c>
      <c r="R165" s="232" cm="1">
        <f t="array" ref="R165">_xlfn.XLOOKUP(MIN(ABS($BJ$7:$BJ$29 - MEDIAN(MIN($BJ$7:$BJ$29), MAX($BJ$7:$BJ$29), R164))), ABS($BJ$7:$BJ$29 - MEDIAN(MIN($BJ$7:$BJ$29), MAX($BJ$7:$BJ$29), R164)), $BK$7:$BK$29, "Error", 0)</f>
        <v>3</v>
      </c>
      <c r="S165" s="232" cm="1">
        <f t="array" ref="S165">_xlfn.XLOOKUP(MIN(ABS($BJ$7:$BJ$29 - MEDIAN(MIN($BJ$7:$BJ$29), MAX($BJ$7:$BJ$29), S164))), ABS($BJ$7:$BJ$29 - MEDIAN(MIN($BJ$7:$BJ$29), MAX($BJ$7:$BJ$29), S164)), $BK$7:$BK$29, "Error", 0)</f>
        <v>0</v>
      </c>
      <c r="T165" s="232" cm="1">
        <f t="array" ref="T165">_xlfn.XLOOKUP(MIN(ABS($BJ$7:$BJ$29 - MEDIAN(MIN($BJ$7:$BJ$29), MAX($BJ$7:$BJ$29), T164))), ABS($BJ$7:$BJ$29 - MEDIAN(MIN($BJ$7:$BJ$29), MAX($BJ$7:$BJ$29), T164)), $BK$7:$BK$29, "Error", 0)</f>
        <v>2</v>
      </c>
      <c r="U165" s="232" cm="1">
        <f t="array" ref="U165">_xlfn.XLOOKUP(MIN(ABS($BJ$7:$BJ$29 - MEDIAN(MIN($BJ$7:$BJ$29), MAX($BJ$7:$BJ$29), U164))), ABS($BJ$7:$BJ$29 - MEDIAN(MIN($BJ$7:$BJ$29), MAX($BJ$7:$BJ$29), U164)), $BK$7:$BK$29, "Error", 0)</f>
        <v>-3</v>
      </c>
      <c r="V165" s="232" cm="1">
        <f t="array" ref="V165">_xlfn.XLOOKUP(MIN(ABS($BJ$7:$BJ$29 - MEDIAN(MIN($BJ$7:$BJ$29), MAX($BJ$7:$BJ$29), V164))), ABS($BJ$7:$BJ$29 - MEDIAN(MIN($BJ$7:$BJ$29), MAX($BJ$7:$BJ$29), V164)), $BK$7:$BK$29, "Error", 0)</f>
        <v>-5</v>
      </c>
      <c r="W165" s="232" cm="1">
        <f t="array" ref="W165">_xlfn.XLOOKUP(MIN(ABS($BJ$7:$BJ$29 - MEDIAN(MIN($BJ$7:$BJ$29), MAX($BJ$7:$BJ$29), W164))), ABS($BJ$7:$BJ$29 - MEDIAN(MIN($BJ$7:$BJ$29), MAX($BJ$7:$BJ$29), W164)), $BK$7:$BK$29, "Error", 0)</f>
        <v>-3</v>
      </c>
      <c r="X165" s="232" cm="1">
        <f t="array" ref="X165">_xlfn.XLOOKUP(MIN(ABS($BJ$7:$BJ$29 - MEDIAN(MIN($BJ$7:$BJ$29), MAX($BJ$7:$BJ$29), X164))), ABS($BJ$7:$BJ$29 - MEDIAN(MIN($BJ$7:$BJ$29), MAX($BJ$7:$BJ$29), X164)), $BK$7:$BK$29, "Error", 0)</f>
        <v>-2</v>
      </c>
      <c r="Y165" s="232" cm="1">
        <f t="array" ref="Y165">_xlfn.XLOOKUP(MIN(ABS($BJ$7:$BJ$29 - MEDIAN(MIN($BJ$7:$BJ$29), MAX($BJ$7:$BJ$29), Y164))), ABS($BJ$7:$BJ$29 - MEDIAN(MIN($BJ$7:$BJ$29), MAX($BJ$7:$BJ$29), Y164)), $BK$7:$BK$29, "Error", 0)</f>
        <v>0</v>
      </c>
      <c r="Z165" s="232" cm="1">
        <f t="array" ref="Z165">_xlfn.XLOOKUP(MIN(ABS($BJ$7:$BJ$29 - MEDIAN(MIN($BJ$7:$BJ$29), MAX($BJ$7:$BJ$29), Z164))), ABS($BJ$7:$BJ$29 - MEDIAN(MIN($BJ$7:$BJ$29), MAX($BJ$7:$BJ$29), Z164)), $BK$7:$BK$29, "Error", 0)</f>
        <v>-3</v>
      </c>
      <c r="AA165" s="232" cm="1">
        <f t="array" ref="AA165">_xlfn.XLOOKUP(MIN(ABS($BJ$7:$BJ$29 - MEDIAN(MIN($BJ$7:$BJ$29), MAX($BJ$7:$BJ$29), AA164))), ABS($BJ$7:$BJ$29 - MEDIAN(MIN($BJ$7:$BJ$29), MAX($BJ$7:$BJ$29), AA164)), $BK$7:$BK$29, "Error", 0)</f>
        <v>-5</v>
      </c>
      <c r="AB165" s="171" cm="1">
        <f t="array" ref="AB165">_xlfn.XLOOKUP(MIN(ABS($BJ$7:$BJ$29 - MEDIAN(MIN($BJ$7:$BJ$29), MAX($BJ$7:$BJ$29), AB164))), ABS($BJ$7:$BJ$29 - MEDIAN(MIN($BJ$7:$BJ$29), MAX($BJ$7:$BJ$29), AB164)), $BK$7:$BK$29, "Error", 0)</f>
        <v>-7</v>
      </c>
      <c r="AC165" s="171" cm="1">
        <f t="array" ref="AC165">_xlfn.XLOOKUP(MIN(ABS($BJ$7:$BJ$29 - MEDIAN(MIN($BJ$7:$BJ$29), MAX($BJ$7:$BJ$29), AC164))), ABS($BJ$7:$BJ$29 - MEDIAN(MIN($BJ$7:$BJ$29), MAX($BJ$7:$BJ$29), AC164)), $BK$7:$BK$29, "Error", 0)</f>
        <v>-5</v>
      </c>
      <c r="AD165" s="171" cm="1">
        <f t="array" ref="AD165">_xlfn.XLOOKUP(MIN(ABS($BJ$7:$BJ$29 - MEDIAN(MIN($BJ$7:$BJ$29), MAX($BJ$7:$BJ$29), AD164))), ABS($BJ$7:$BJ$29 - MEDIAN(MIN($BJ$7:$BJ$29), MAX($BJ$7:$BJ$29), AD164)), $BK$7:$BK$29, "Error", 0)</f>
        <v>-9</v>
      </c>
      <c r="AE165" s="171" cm="1">
        <f t="array" ref="AE165">_xlfn.XLOOKUP(MIN(ABS($BJ$7:$BJ$29 - MEDIAN(MIN($BJ$7:$BJ$29), MAX($BJ$7:$BJ$29), AE164))), ABS($BJ$7:$BJ$29 - MEDIAN(MIN($BJ$7:$BJ$29), MAX($BJ$7:$BJ$29), AE164)), $BK$7:$BK$29, "Error", 0)</f>
        <v>-7</v>
      </c>
      <c r="AF165" s="171" cm="1">
        <f t="array" ref="AF165">_xlfn.XLOOKUP(MIN(ABS($BJ$7:$BJ$29 - MEDIAN(MIN($BJ$7:$BJ$29), MAX($BJ$7:$BJ$29), AF164))), ABS($BJ$7:$BJ$29 - MEDIAN(MIN($BJ$7:$BJ$29), MAX($BJ$7:$BJ$29), AF164)), $BK$7:$BK$29, "Error", 0)</f>
        <v>-7</v>
      </c>
      <c r="AG165" s="171" cm="1">
        <f t="array" ref="AG165">_xlfn.XLOOKUP(MIN(ABS($BJ$7:$BJ$29 - MEDIAN(MIN($BJ$7:$BJ$29), MAX($BJ$7:$BJ$29), AG164))), ABS($BJ$7:$BJ$29 - MEDIAN(MIN($BJ$7:$BJ$29), MAX($BJ$7:$BJ$29), AG164)), $BK$7:$BK$29, "Error", 0)</f>
        <v>-3</v>
      </c>
      <c r="AH165" s="171" cm="1">
        <f t="array" ref="AH165">_xlfn.XLOOKUP(MIN(ABS($BJ$7:$BJ$29 - MEDIAN(MIN($BJ$7:$BJ$29), MAX($BJ$7:$BJ$29), AH164))), ABS($BJ$7:$BJ$29 - MEDIAN(MIN($BJ$7:$BJ$29), MAX($BJ$7:$BJ$29), AH164)), $BK$7:$BK$29, "Error", 0)</f>
        <v>0</v>
      </c>
      <c r="AI165" s="171" cm="1">
        <f t="array" ref="AI165">_xlfn.XLOOKUP(MIN(ABS($BJ$7:$BJ$29 - MEDIAN(MIN($BJ$7:$BJ$29), MAX($BJ$7:$BJ$29), AI164))), ABS($BJ$7:$BJ$29 - MEDIAN(MIN($BJ$7:$BJ$29), MAX($BJ$7:$BJ$29), AI164)), $BK$7:$BK$29, "Error", 0)</f>
        <v>2</v>
      </c>
      <c r="AJ165" s="171" cm="1">
        <f t="array" ref="AJ165">_xlfn.XLOOKUP(MIN(ABS($BJ$7:$BJ$29 - MEDIAN(MIN($BJ$7:$BJ$29), MAX($BJ$7:$BJ$29), AJ164))), ABS($BJ$7:$BJ$29 - MEDIAN(MIN($BJ$7:$BJ$29), MAX($BJ$7:$BJ$29), AJ164)), $BK$7:$BK$29, "Error", 0)</f>
        <v>0</v>
      </c>
      <c r="AK165" s="171" cm="1">
        <f t="array" ref="AK165">_xlfn.XLOOKUP(MIN(ABS($BJ$7:$BJ$29 - MEDIAN(MIN($BJ$7:$BJ$29), MAX($BJ$7:$BJ$29), AK164))), ABS($BJ$7:$BJ$29 - MEDIAN(MIN($BJ$7:$BJ$29), MAX($BJ$7:$BJ$29), AK164)), $BK$7:$BK$29, "Error", 0)</f>
        <v>0</v>
      </c>
      <c r="AL165" s="171" cm="1">
        <f t="array" ref="AL165">_xlfn.XLOOKUP(MIN(ABS($BJ$7:$BJ$29 - MEDIAN(MIN($BJ$7:$BJ$29), MAX($BJ$7:$BJ$29), AL164))), ABS($BJ$7:$BJ$29 - MEDIAN(MIN($BJ$7:$BJ$29), MAX($BJ$7:$BJ$29), AL164)), $BK$7:$BK$29, "Error", 0)</f>
        <v>3</v>
      </c>
      <c r="AM165" s="171" cm="1">
        <f t="array" ref="AM165">_xlfn.XLOOKUP(MIN(ABS($BJ$7:$BJ$29 - MEDIAN(MIN($BJ$7:$BJ$29), MAX($BJ$7:$BJ$29), AM164))), ABS($BJ$7:$BJ$29 - MEDIAN(MIN($BJ$7:$BJ$29), MAX($BJ$7:$BJ$29), AM164)), $BK$7:$BK$29, "Error", 0)</f>
        <v>2</v>
      </c>
      <c r="AN165" s="171" cm="1">
        <f t="array" ref="AN165">_xlfn.XLOOKUP(MIN(ABS($BJ$7:$BJ$29 - MEDIAN(MIN($BJ$7:$BJ$29), MAX($BJ$7:$BJ$29), AN164))), ABS($BJ$7:$BJ$29 - MEDIAN(MIN($BJ$7:$BJ$29), MAX($BJ$7:$BJ$29), AN164)), $BK$7:$BK$29, "Error", 0)</f>
        <v>0</v>
      </c>
      <c r="AO165" s="171" cm="1">
        <f t="array" ref="AO165">_xlfn.XLOOKUP(MIN(ABS($BJ$7:$BJ$29 - MEDIAN(MIN($BJ$7:$BJ$29), MAX($BJ$7:$BJ$29), AO164))), ABS($BJ$7:$BJ$29 - MEDIAN(MIN($BJ$7:$BJ$29), MAX($BJ$7:$BJ$29), AO164)), $BK$7:$BK$29, "Error", 0)</f>
        <v>-2</v>
      </c>
      <c r="AP165" s="171" cm="1">
        <f t="array" ref="AP165">_xlfn.XLOOKUP(MIN(ABS($BJ$7:$BJ$29 - MEDIAN(MIN($BJ$7:$BJ$29), MAX($BJ$7:$BJ$29), AP164))), ABS($BJ$7:$BJ$29 - MEDIAN(MIN($BJ$7:$BJ$29), MAX($BJ$7:$BJ$29), AP164)), $BK$7:$BK$29, "Error", 0)</f>
        <v>5</v>
      </c>
      <c r="AQ165" s="171" cm="1">
        <f t="array" ref="AQ165">_xlfn.XLOOKUP(MIN(ABS($BJ$7:$BJ$29 - MEDIAN(MIN($BJ$7:$BJ$29), MAX($BJ$7:$BJ$29), AQ164))), ABS($BJ$7:$BJ$29 - MEDIAN(MIN($BJ$7:$BJ$29), MAX($BJ$7:$BJ$29), AQ164)), $BK$7:$BK$29, "Error", 0)</f>
        <v>2</v>
      </c>
      <c r="AR165" s="171" cm="1">
        <f t="array" ref="AR165">_xlfn.XLOOKUP(MIN(ABS($BJ$7:$BJ$29 - MEDIAN(MIN($BJ$7:$BJ$29), MAX($BJ$7:$BJ$29), AR164))), ABS($BJ$7:$BJ$29 - MEDIAN(MIN($BJ$7:$BJ$29), MAX($BJ$7:$BJ$29), AR164)), $BK$7:$BK$29, "Error", 0)</f>
        <v>0</v>
      </c>
      <c r="AS165" s="171" cm="1">
        <f t="array" ref="AS165">_xlfn.XLOOKUP(MIN(ABS($BJ$7:$BJ$29 - MEDIAN(MIN($BJ$7:$BJ$29), MAX($BJ$7:$BJ$29), AS164))), ABS($BJ$7:$BJ$29 - MEDIAN(MIN($BJ$7:$BJ$29), MAX($BJ$7:$BJ$29), AS164)), $BK$7:$BK$29, "Error", 0)</f>
        <v>0</v>
      </c>
      <c r="AT165" s="171" cm="1">
        <f t="array" ref="AT165">_xlfn.XLOOKUP(MIN(ABS($BJ$7:$BJ$29 - MEDIAN(MIN($BJ$7:$BJ$29), MAX($BJ$7:$BJ$29), AT164))), ABS($BJ$7:$BJ$29 - MEDIAN(MIN($BJ$7:$BJ$29), MAX($BJ$7:$BJ$29), AT164)), $BK$7:$BK$29, "Error", 0)</f>
        <v>0</v>
      </c>
      <c r="AU165" s="171" cm="1">
        <f t="array" ref="AU165">_xlfn.XLOOKUP(MIN(ABS($BJ$7:$BJ$29 - MEDIAN(MIN($BJ$7:$BJ$29), MAX($BJ$7:$BJ$29), AU164))), ABS($BJ$7:$BJ$29 - MEDIAN(MIN($BJ$7:$BJ$29), MAX($BJ$7:$BJ$29), AU164)), $BK$7:$BK$29, "Error", 0)</f>
        <v>0</v>
      </c>
      <c r="AV165" s="206" t="s">
        <v>25</v>
      </c>
      <c r="AW165" s="184"/>
      <c r="AX165" s="184"/>
      <c r="AY165" s="184"/>
    </row>
    <row r="166" spans="1:51" ht="44">
      <c r="A166" s="283" t="s">
        <v>59</v>
      </c>
      <c r="B166" s="200" t="s">
        <v>76</v>
      </c>
      <c r="C166" s="233">
        <v>8371.8015090329609</v>
      </c>
      <c r="D166" s="233">
        <v>8371.8015090329609</v>
      </c>
      <c r="E166" s="233">
        <v>8371.8015090329609</v>
      </c>
      <c r="F166" s="233">
        <v>8371.8015090329609</v>
      </c>
      <c r="G166" s="233">
        <v>8371.8015090329609</v>
      </c>
      <c r="H166" s="233">
        <v>8371.8015090329609</v>
      </c>
      <c r="I166" s="233">
        <v>8371.8015090329609</v>
      </c>
      <c r="J166" s="233">
        <v>8371.8015090329609</v>
      </c>
      <c r="K166" s="233">
        <v>8371.8015090329609</v>
      </c>
      <c r="L166" s="233">
        <v>8371.8015090329609</v>
      </c>
      <c r="M166" s="233">
        <v>8371.8015090329609</v>
      </c>
      <c r="N166" s="233">
        <v>8371.8015090329609</v>
      </c>
      <c r="O166" s="233">
        <v>8371.8015090329609</v>
      </c>
      <c r="P166" s="233">
        <v>8371.8015090329609</v>
      </c>
      <c r="Q166" s="233">
        <v>8627.9448997853306</v>
      </c>
      <c r="R166" s="233">
        <v>8627.9448997853306</v>
      </c>
      <c r="S166" s="233">
        <v>8627.9448997853306</v>
      </c>
      <c r="T166" s="233">
        <v>8634.5592747636802</v>
      </c>
      <c r="U166" s="233">
        <v>9021.0534968687007</v>
      </c>
      <c r="V166" s="233">
        <v>9021.0534968687007</v>
      </c>
      <c r="W166" s="233">
        <v>9067.4726374133006</v>
      </c>
      <c r="X166" s="233">
        <v>9067.4726374133006</v>
      </c>
      <c r="Y166" s="233">
        <v>9553.8779930560904</v>
      </c>
      <c r="Z166" s="233">
        <v>9553.8779930560904</v>
      </c>
      <c r="AA166" s="204">
        <v>9611.4625823784208</v>
      </c>
      <c r="AB166" s="204">
        <v>9611.4625823784208</v>
      </c>
      <c r="AC166" s="204">
        <v>9611.4625823784208</v>
      </c>
      <c r="AD166" s="204">
        <v>9611.4625823784208</v>
      </c>
      <c r="AE166" s="204">
        <v>9611.4625823784208</v>
      </c>
      <c r="AF166" s="204">
        <v>9611.4625823784208</v>
      </c>
      <c r="AG166" s="204">
        <v>9644.1234394046496</v>
      </c>
      <c r="AH166" s="204">
        <v>10072.044961452501</v>
      </c>
      <c r="AI166" s="204">
        <v>10243.2413644635</v>
      </c>
      <c r="AJ166" s="204">
        <v>10471.177022043301</v>
      </c>
      <c r="AK166" s="204">
        <v>10471.177022043301</v>
      </c>
      <c r="AL166" s="204">
        <v>10471.177022043301</v>
      </c>
      <c r="AM166" s="204">
        <v>10500.7602712512</v>
      </c>
      <c r="AN166" s="204">
        <v>10949.886470810699</v>
      </c>
      <c r="AO166" s="204">
        <v>10949.886470810699</v>
      </c>
      <c r="AP166" s="204">
        <v>11066</v>
      </c>
      <c r="AQ166" s="204">
        <v>11066</v>
      </c>
      <c r="AR166" s="204">
        <v>11066</v>
      </c>
      <c r="AS166" s="204">
        <v>11066</v>
      </c>
      <c r="AT166" s="204">
        <v>11066</v>
      </c>
      <c r="AU166" s="204">
        <v>11066</v>
      </c>
      <c r="AV166" s="200" t="s">
        <v>76</v>
      </c>
      <c r="AW166" s="184"/>
      <c r="AX166" s="184"/>
      <c r="AY166" s="184"/>
    </row>
    <row r="167" spans="1:51" ht="22">
      <c r="A167" s="284"/>
      <c r="B167" s="201" t="s">
        <v>77</v>
      </c>
      <c r="C167" s="233">
        <v>8157.6037005077796</v>
      </c>
      <c r="D167" s="233">
        <v>7930.5276460817004</v>
      </c>
      <c r="E167" s="233">
        <v>7688.5717433466298</v>
      </c>
      <c r="F167" s="233">
        <v>7805.2975481990698</v>
      </c>
      <c r="G167" s="233">
        <v>7644.0666298731203</v>
      </c>
      <c r="H167" s="233">
        <v>7859.8809088778198</v>
      </c>
      <c r="I167" s="233">
        <v>8012.3540822810601</v>
      </c>
      <c r="J167" s="233">
        <v>7949.9196598204999</v>
      </c>
      <c r="K167" s="233">
        <v>7553.8862517267698</v>
      </c>
      <c r="L167" s="233">
        <v>7393.1329766846002</v>
      </c>
      <c r="M167" s="233">
        <v>7618.4218125126799</v>
      </c>
      <c r="N167" s="233">
        <v>8140.1536229881503</v>
      </c>
      <c r="O167" s="233">
        <v>8260.2626124535509</v>
      </c>
      <c r="P167" s="233">
        <v>8200.9635925280199</v>
      </c>
      <c r="Q167" s="233">
        <v>8627.9448997853306</v>
      </c>
      <c r="R167" s="233">
        <v>8421.3127575322305</v>
      </c>
      <c r="S167" s="233">
        <v>8348.7200672080508</v>
      </c>
      <c r="T167" s="233">
        <v>8634.5592747636802</v>
      </c>
      <c r="U167" s="233">
        <v>9021.0534968687007</v>
      </c>
      <c r="V167" s="233">
        <v>8756.0348682480999</v>
      </c>
      <c r="W167" s="233">
        <v>9067.4726374133006</v>
      </c>
      <c r="X167" s="233">
        <v>8982.2666358947808</v>
      </c>
      <c r="Y167" s="233">
        <v>9553.8779930560904</v>
      </c>
      <c r="Z167" s="233">
        <v>8996.9987863216102</v>
      </c>
      <c r="AA167" s="204">
        <v>9611.4625823784208</v>
      </c>
      <c r="AB167" s="204">
        <v>9050.2953973293206</v>
      </c>
      <c r="AC167" s="204">
        <v>8628.5245497224405</v>
      </c>
      <c r="AD167" s="204">
        <v>8740.1342961288792</v>
      </c>
      <c r="AE167" s="204">
        <v>9104.0861162692308</v>
      </c>
      <c r="AF167" s="204">
        <v>9202.1069581806696</v>
      </c>
      <c r="AG167" s="204">
        <v>9644.1234394046496</v>
      </c>
      <c r="AH167" s="204">
        <v>10072.044961452501</v>
      </c>
      <c r="AI167" s="204">
        <v>10243.2413644635</v>
      </c>
      <c r="AJ167" s="204">
        <v>10471.177022043301</v>
      </c>
      <c r="AK167" s="204">
        <v>9786.77169053746</v>
      </c>
      <c r="AL167" s="204">
        <v>10075.996410510999</v>
      </c>
      <c r="AM167" s="204">
        <v>10500.7602712512</v>
      </c>
      <c r="AN167" s="204">
        <v>10949.886470810699</v>
      </c>
      <c r="AO167" s="204">
        <v>10155.598276505199</v>
      </c>
      <c r="AP167" s="204">
        <v>11066</v>
      </c>
      <c r="AQ167" s="204">
        <v>10507.5189324154</v>
      </c>
      <c r="AR167" s="204">
        <v>10691</v>
      </c>
      <c r="AS167" s="204">
        <v>10609</v>
      </c>
      <c r="AT167" s="204">
        <v>10609</v>
      </c>
      <c r="AU167" s="204">
        <v>10609</v>
      </c>
      <c r="AV167" s="201" t="s">
        <v>77</v>
      </c>
      <c r="AW167" s="184"/>
      <c r="AX167" s="184"/>
      <c r="AY167" s="184"/>
    </row>
    <row r="168" spans="1:51" ht="22">
      <c r="A168" s="284"/>
      <c r="B168" s="201" t="s">
        <v>78</v>
      </c>
      <c r="C168" s="230">
        <f t="shared" ref="C168:Z168" si="209">+(C167-C166)/C166</f>
        <v>-2.5585629125829998E-2</v>
      </c>
      <c r="D168" s="230">
        <f t="shared" si="209"/>
        <v>-5.2709546741539111E-2</v>
      </c>
      <c r="E168" s="230">
        <f t="shared" si="209"/>
        <v>-8.1610841459767478E-2</v>
      </c>
      <c r="F168" s="230">
        <f t="shared" si="209"/>
        <v>-6.7668107064249888E-2</v>
      </c>
      <c r="G168" s="230">
        <f t="shared" si="209"/>
        <v>-8.6926915117926912E-2</v>
      </c>
      <c r="H168" s="230">
        <f t="shared" si="209"/>
        <v>-6.1148200850532797E-2</v>
      </c>
      <c r="I168" s="230">
        <f t="shared" si="209"/>
        <v>-4.2935493198693997E-2</v>
      </c>
      <c r="J168" s="230">
        <f t="shared" si="209"/>
        <v>-5.0393197779147206E-2</v>
      </c>
      <c r="K168" s="230">
        <f t="shared" si="209"/>
        <v>-9.7698835361024902E-2</v>
      </c>
      <c r="L168" s="230">
        <f t="shared" si="209"/>
        <v>-0.11690058959142811</v>
      </c>
      <c r="M168" s="230">
        <f t="shared" si="209"/>
        <v>-8.999015274160567E-2</v>
      </c>
      <c r="N168" s="230">
        <f t="shared" si="209"/>
        <v>-2.7670016518531688E-2</v>
      </c>
      <c r="O168" s="230">
        <f t="shared" si="209"/>
        <v>-1.3323165445222556E-2</v>
      </c>
      <c r="P168" s="230">
        <f t="shared" si="209"/>
        <v>-2.0406350571094068E-2</v>
      </c>
      <c r="Q168" s="230">
        <f t="shared" si="209"/>
        <v>0</v>
      </c>
      <c r="R168" s="230">
        <f t="shared" si="209"/>
        <v>-2.3949172677057914E-2</v>
      </c>
      <c r="S168" s="230">
        <f t="shared" si="209"/>
        <v>-3.2362843738632026E-2</v>
      </c>
      <c r="T168" s="230">
        <f t="shared" si="209"/>
        <v>0</v>
      </c>
      <c r="U168" s="230">
        <f t="shared" si="209"/>
        <v>0</v>
      </c>
      <c r="V168" s="230">
        <f t="shared" si="209"/>
        <v>-2.9377791486614225E-2</v>
      </c>
      <c r="W168" s="230">
        <f t="shared" si="209"/>
        <v>0</v>
      </c>
      <c r="X168" s="230">
        <f t="shared" si="209"/>
        <v>-9.3968854305610215E-3</v>
      </c>
      <c r="Y168" s="230">
        <f t="shared" si="209"/>
        <v>0</v>
      </c>
      <c r="Z168" s="230">
        <f t="shared" si="209"/>
        <v>-5.8288289544751237E-2</v>
      </c>
      <c r="AA168" s="230">
        <f t="shared" ref="AA168:AS168" si="210">+(AA167-AA166)/AA166</f>
        <v>0</v>
      </c>
      <c r="AB168" s="205">
        <f t="shared" si="210"/>
        <v>-5.83852020688235E-2</v>
      </c>
      <c r="AC168" s="205">
        <f t="shared" si="210"/>
        <v>-0.10226726933922535</v>
      </c>
      <c r="AD168" s="205">
        <f t="shared" si="210"/>
        <v>-9.0655119216406038E-2</v>
      </c>
      <c r="AE168" s="205">
        <f t="shared" si="210"/>
        <v>-5.2788684527515096E-2</v>
      </c>
      <c r="AF168" s="205">
        <f t="shared" si="210"/>
        <v>-4.2590357158364282E-2</v>
      </c>
      <c r="AG168" s="205">
        <f t="shared" si="210"/>
        <v>0</v>
      </c>
      <c r="AH168" s="205">
        <f t="shared" si="210"/>
        <v>0</v>
      </c>
      <c r="AI168" s="205">
        <f t="shared" si="210"/>
        <v>0</v>
      </c>
      <c r="AJ168" s="205">
        <f t="shared" si="210"/>
        <v>0</v>
      </c>
      <c r="AK168" s="205">
        <f t="shared" si="210"/>
        <v>-6.5360878730735941E-2</v>
      </c>
      <c r="AL168" s="205">
        <f t="shared" si="210"/>
        <v>-3.7739846313398273E-2</v>
      </c>
      <c r="AM168" s="205">
        <f t="shared" si="210"/>
        <v>0</v>
      </c>
      <c r="AN168" s="205">
        <f t="shared" si="210"/>
        <v>0</v>
      </c>
      <c r="AO168" s="205">
        <f t="shared" si="210"/>
        <v>-7.2538486716081263E-2</v>
      </c>
      <c r="AP168" s="205">
        <f t="shared" si="210"/>
        <v>0</v>
      </c>
      <c r="AQ168" s="205">
        <f t="shared" si="210"/>
        <v>-5.0468196962280873E-2</v>
      </c>
      <c r="AR168" s="205">
        <f t="shared" si="210"/>
        <v>-3.3887583589372855E-2</v>
      </c>
      <c r="AS168" s="205">
        <f t="shared" si="210"/>
        <v>-4.129766853424905E-2</v>
      </c>
      <c r="AT168" s="205">
        <f t="shared" ref="AT168:AU168" si="211">+(AT167-AT166)/AT166</f>
        <v>-4.129766853424905E-2</v>
      </c>
      <c r="AU168" s="205">
        <f t="shared" si="211"/>
        <v>-4.129766853424905E-2</v>
      </c>
      <c r="AV168" s="201" t="s">
        <v>78</v>
      </c>
      <c r="AW168" s="184"/>
      <c r="AX168" s="184"/>
      <c r="AY168" s="184"/>
    </row>
    <row r="169" spans="1:51" ht="44">
      <c r="A169" s="284"/>
      <c r="B169" s="201" t="s">
        <v>93</v>
      </c>
      <c r="C169" s="233">
        <v>7632.7998046875</v>
      </c>
      <c r="D169" s="233">
        <v>7632.7998046875</v>
      </c>
      <c r="E169" s="233">
        <v>7632.7998046875</v>
      </c>
      <c r="F169" s="233">
        <v>7632.7998046875</v>
      </c>
      <c r="G169" s="233">
        <v>7632.7998046875</v>
      </c>
      <c r="H169" s="233">
        <v>7632.7998046875</v>
      </c>
      <c r="I169" s="233">
        <v>7632.7998046875</v>
      </c>
      <c r="J169" s="233">
        <v>7632.7998046875</v>
      </c>
      <c r="K169" s="233">
        <v>7632.7998046875</v>
      </c>
      <c r="L169" s="233">
        <v>7632.7998046875</v>
      </c>
      <c r="M169" s="233">
        <v>7632.7998046875</v>
      </c>
      <c r="N169" s="233">
        <v>7632.7998046875</v>
      </c>
      <c r="O169" s="233">
        <v>7682.2998046875</v>
      </c>
      <c r="P169" s="233">
        <v>7703.7998046875</v>
      </c>
      <c r="Q169" s="233">
        <v>7901.2001953125</v>
      </c>
      <c r="R169" s="233">
        <v>7901.2001953125</v>
      </c>
      <c r="S169" s="233">
        <v>7901.2001953125</v>
      </c>
      <c r="T169" s="233">
        <v>7901.2001953125</v>
      </c>
      <c r="U169" s="233">
        <v>8092.2998046875</v>
      </c>
      <c r="V169" s="233">
        <v>8092.2998046875</v>
      </c>
      <c r="W169" s="233">
        <v>8285.7001953125</v>
      </c>
      <c r="X169" s="233">
        <v>8285.7001953125</v>
      </c>
      <c r="Y169" s="233">
        <v>8477.099609375</v>
      </c>
      <c r="Z169" s="233">
        <v>8477.099609375</v>
      </c>
      <c r="AA169" s="231">
        <v>8566.900390625</v>
      </c>
      <c r="AB169" s="203">
        <v>8566.900390625</v>
      </c>
      <c r="AC169" s="203">
        <v>8566.900390625</v>
      </c>
      <c r="AD169" s="203">
        <v>8566.900390625</v>
      </c>
      <c r="AE169" s="203">
        <v>8566.900390625</v>
      </c>
      <c r="AF169" s="203">
        <v>8639.099609375</v>
      </c>
      <c r="AG169" s="203">
        <v>8776.400390625</v>
      </c>
      <c r="AH169" s="203">
        <v>9054.5</v>
      </c>
      <c r="AI169" s="203">
        <v>9054.5</v>
      </c>
      <c r="AJ169" s="203">
        <v>9115.2001953125</v>
      </c>
      <c r="AK169" s="203">
        <v>9115.2001953125</v>
      </c>
      <c r="AL169" s="203">
        <v>9115.2001953125</v>
      </c>
      <c r="AM169" s="203">
        <v>9115.2001953125</v>
      </c>
      <c r="AN169" s="203">
        <v>9202.900390625</v>
      </c>
      <c r="AO169" s="203">
        <v>9202.900390625</v>
      </c>
      <c r="AP169" s="203">
        <v>9202.900390625</v>
      </c>
      <c r="AQ169" s="203">
        <v>9202.900390625</v>
      </c>
      <c r="AR169" s="203">
        <v>9202.900390625</v>
      </c>
      <c r="AS169" s="203">
        <v>9202.900390625</v>
      </c>
      <c r="AT169" s="203">
        <v>9202.900390625</v>
      </c>
      <c r="AU169" s="203">
        <v>9202.900390625</v>
      </c>
      <c r="AV169" s="201" t="s">
        <v>93</v>
      </c>
      <c r="AW169" s="184"/>
      <c r="AX169" s="184"/>
      <c r="AY169" s="184"/>
    </row>
    <row r="170" spans="1:51" ht="44">
      <c r="A170" s="284"/>
      <c r="B170" s="201" t="s">
        <v>94</v>
      </c>
      <c r="C170" s="233">
        <v>7476.7001953125</v>
      </c>
      <c r="D170" s="233">
        <v>7258.39990234375</v>
      </c>
      <c r="E170" s="233">
        <v>7177.7998046875</v>
      </c>
      <c r="F170" s="233">
        <v>7309.2001953125</v>
      </c>
      <c r="G170" s="233">
        <v>7091.2998046875</v>
      </c>
      <c r="H170" s="233">
        <v>7203.2998046875</v>
      </c>
      <c r="I170" s="233">
        <v>7410.39990234375</v>
      </c>
      <c r="J170" s="233">
        <v>7305.2998046875</v>
      </c>
      <c r="K170" s="233">
        <v>7048.60009765625</v>
      </c>
      <c r="L170" s="233">
        <v>6780.7001953125</v>
      </c>
      <c r="M170" s="233">
        <v>7087.2998046875</v>
      </c>
      <c r="N170" s="233">
        <v>7590.7998046875</v>
      </c>
      <c r="O170" s="233">
        <v>7682.2998046875</v>
      </c>
      <c r="P170" s="233">
        <v>7703.7998046875</v>
      </c>
      <c r="Q170" s="233">
        <v>7901.2001953125</v>
      </c>
      <c r="R170" s="233">
        <v>7664.10009765625</v>
      </c>
      <c r="S170" s="233">
        <v>7701.7001953125</v>
      </c>
      <c r="T170" s="233">
        <v>7767.5</v>
      </c>
      <c r="U170" s="233">
        <v>8092.2998046875</v>
      </c>
      <c r="V170" s="233">
        <v>8091.89990234375</v>
      </c>
      <c r="W170" s="233">
        <v>8285.7001953125</v>
      </c>
      <c r="X170" s="233">
        <v>8160</v>
      </c>
      <c r="Y170" s="233">
        <v>8477.099609375</v>
      </c>
      <c r="Z170" s="233">
        <v>8159.10009765625</v>
      </c>
      <c r="AA170" s="231">
        <v>8566.900390625</v>
      </c>
      <c r="AB170" s="203">
        <v>8172.39990234375</v>
      </c>
      <c r="AC170" s="203">
        <v>7843.39990234375</v>
      </c>
      <c r="AD170" s="203">
        <v>8126.2001953125</v>
      </c>
      <c r="AE170" s="203">
        <v>8434.7001953125</v>
      </c>
      <c r="AF170" s="203">
        <v>8639.099609375</v>
      </c>
      <c r="AG170" s="203">
        <v>8776.400390625</v>
      </c>
      <c r="AH170" s="203">
        <v>9054.5</v>
      </c>
      <c r="AI170" s="203">
        <v>8848.7998046875</v>
      </c>
      <c r="AJ170" s="203">
        <v>9115.2001953125</v>
      </c>
      <c r="AK170" s="203">
        <v>8614.099609375</v>
      </c>
      <c r="AL170" s="203">
        <v>8714.2998046875</v>
      </c>
      <c r="AM170" s="203">
        <v>8869.099609375</v>
      </c>
      <c r="AN170" s="203">
        <v>9202.900390625</v>
      </c>
      <c r="AO170" s="203">
        <v>8481.7998046875</v>
      </c>
      <c r="AP170" s="203">
        <v>8665.7998046875</v>
      </c>
      <c r="AQ170" s="203">
        <v>8731.7001953125</v>
      </c>
      <c r="AR170" s="203">
        <v>8778</v>
      </c>
      <c r="AS170" s="203">
        <v>8841</v>
      </c>
      <c r="AT170" s="203">
        <v>8841</v>
      </c>
      <c r="AU170" s="203">
        <v>8841</v>
      </c>
      <c r="AV170" s="201" t="s">
        <v>94</v>
      </c>
      <c r="AW170" s="184"/>
      <c r="AX170" s="184"/>
      <c r="AY170" s="184"/>
    </row>
    <row r="171" spans="1:51" ht="44">
      <c r="A171" s="284"/>
      <c r="B171" s="201" t="s">
        <v>79</v>
      </c>
      <c r="C171" s="230">
        <f t="shared" ref="C171:Z171" si="212">+(C170-C169)/C169</f>
        <v>-2.0451159911089922E-2</v>
      </c>
      <c r="D171" s="230">
        <f t="shared" si="212"/>
        <v>-4.9051450571757603E-2</v>
      </c>
      <c r="E171" s="230">
        <f t="shared" si="212"/>
        <v>-5.9611153396237737E-2</v>
      </c>
      <c r="F171" s="230">
        <f t="shared" si="212"/>
        <v>-4.239592517234228E-2</v>
      </c>
      <c r="G171" s="230">
        <f t="shared" si="212"/>
        <v>-7.0943823217720289E-2</v>
      </c>
      <c r="H171" s="230">
        <f t="shared" si="212"/>
        <v>-5.6270308535569469E-2</v>
      </c>
      <c r="I171" s="230">
        <f t="shared" si="212"/>
        <v>-2.9137394931695766E-2</v>
      </c>
      <c r="J171" s="230">
        <f t="shared" si="212"/>
        <v>-4.2906929092896395E-2</v>
      </c>
      <c r="K171" s="230">
        <f t="shared" si="212"/>
        <v>-7.6538062307421953E-2</v>
      </c>
      <c r="L171" s="230">
        <f t="shared" si="212"/>
        <v>-0.11163657257874149</v>
      </c>
      <c r="M171" s="230">
        <f t="shared" si="212"/>
        <v>-7.1467877313511396E-2</v>
      </c>
      <c r="N171" s="230">
        <f t="shared" si="212"/>
        <v>-5.5025680058065603E-3</v>
      </c>
      <c r="O171" s="230">
        <f t="shared" si="212"/>
        <v>0</v>
      </c>
      <c r="P171" s="230">
        <f t="shared" si="212"/>
        <v>0</v>
      </c>
      <c r="Q171" s="230">
        <f t="shared" si="212"/>
        <v>0</v>
      </c>
      <c r="R171" s="230">
        <f t="shared" si="212"/>
        <v>-3.000811165332996E-2</v>
      </c>
      <c r="S171" s="230">
        <f t="shared" si="212"/>
        <v>-2.5249328591668417E-2</v>
      </c>
      <c r="T171" s="230">
        <f t="shared" si="212"/>
        <v>-1.6921504582534126E-2</v>
      </c>
      <c r="U171" s="230">
        <f t="shared" si="212"/>
        <v>0</v>
      </c>
      <c r="V171" s="230">
        <f t="shared" si="212"/>
        <v>-4.9417638174793627E-5</v>
      </c>
      <c r="W171" s="230">
        <f t="shared" si="212"/>
        <v>0</v>
      </c>
      <c r="X171" s="230">
        <f t="shared" si="212"/>
        <v>-1.5170739026209619E-2</v>
      </c>
      <c r="Y171" s="230">
        <f t="shared" si="212"/>
        <v>0</v>
      </c>
      <c r="Z171" s="230">
        <f t="shared" si="212"/>
        <v>-3.7512772808174596E-2</v>
      </c>
      <c r="AA171" s="230">
        <f>+(AA170-AA169)/AA169</f>
        <v>0</v>
      </c>
      <c r="AB171" s="205">
        <f t="shared" ref="AB171:AP171" si="213">+(AB170-AB169)/AB169</f>
        <v>-4.6049384292242146E-2</v>
      </c>
      <c r="AC171" s="205">
        <f t="shared" si="213"/>
        <v>-8.4453005788767771E-2</v>
      </c>
      <c r="AD171" s="205">
        <f t="shared" si="213"/>
        <v>-5.1442199070596245E-2</v>
      </c>
      <c r="AE171" s="205">
        <f t="shared" si="213"/>
        <v>-1.5431508396802464E-2</v>
      </c>
      <c r="AF171" s="205">
        <f t="shared" si="213"/>
        <v>0</v>
      </c>
      <c r="AG171" s="205">
        <f t="shared" si="213"/>
        <v>0</v>
      </c>
      <c r="AH171" s="205">
        <f t="shared" si="213"/>
        <v>0</v>
      </c>
      <c r="AI171" s="205">
        <f t="shared" si="213"/>
        <v>-2.2718007102821802E-2</v>
      </c>
      <c r="AJ171" s="205">
        <f t="shared" si="213"/>
        <v>0</v>
      </c>
      <c r="AK171" s="205">
        <f t="shared" si="213"/>
        <v>-5.4974172283697227E-2</v>
      </c>
      <c r="AL171" s="205">
        <f t="shared" si="213"/>
        <v>-4.398152339332749E-2</v>
      </c>
      <c r="AM171" s="205">
        <f t="shared" si="213"/>
        <v>-2.6998922751478069E-2</v>
      </c>
      <c r="AN171" s="205">
        <f t="shared" si="213"/>
        <v>0</v>
      </c>
      <c r="AO171" s="205">
        <f t="shared" si="213"/>
        <v>-7.8355796034920211E-2</v>
      </c>
      <c r="AP171" s="205">
        <f t="shared" si="213"/>
        <v>-5.8362099244782077E-2</v>
      </c>
      <c r="AQ171" s="205">
        <f>+(AQ170-AQ169)/AQ169</f>
        <v>-5.1201270828978213E-2</v>
      </c>
      <c r="AR171" s="205">
        <f>+(AR170-AR169)/AR169</f>
        <v>-4.6170269435692933E-2</v>
      </c>
      <c r="AS171" s="205">
        <f>+(AS170-AS169)/AS169</f>
        <v>-3.9324601512982595E-2</v>
      </c>
      <c r="AT171" s="205">
        <f>+(AT170-AT169)/AT169</f>
        <v>-3.9324601512982595E-2</v>
      </c>
      <c r="AU171" s="205">
        <f>+(AU170-AU169)/AU169</f>
        <v>-3.9324601512982595E-2</v>
      </c>
      <c r="AV171" s="201" t="s">
        <v>79</v>
      </c>
      <c r="AW171" s="184"/>
      <c r="AX171" s="184"/>
      <c r="AY171" s="184"/>
    </row>
    <row r="172" spans="1:51" ht="22">
      <c r="A172" s="284"/>
      <c r="B172" s="201" t="s">
        <v>80</v>
      </c>
      <c r="C172" s="230">
        <f t="shared" ref="C172:Z172" si="214">+C168-C171</f>
        <v>-5.1344692147400756E-3</v>
      </c>
      <c r="D172" s="230">
        <f t="shared" si="214"/>
        <v>-3.6580961697815079E-3</v>
      </c>
      <c r="E172" s="230">
        <f t="shared" si="214"/>
        <v>-2.199968806352974E-2</v>
      </c>
      <c r="F172" s="230">
        <f t="shared" si="214"/>
        <v>-2.5272181891907608E-2</v>
      </c>
      <c r="G172" s="230">
        <f t="shared" si="214"/>
        <v>-1.5983091900206622E-2</v>
      </c>
      <c r="H172" s="230">
        <f t="shared" si="214"/>
        <v>-4.877892314963328E-3</v>
      </c>
      <c r="I172" s="230">
        <f t="shared" si="214"/>
        <v>-1.3798098266998231E-2</v>
      </c>
      <c r="J172" s="230">
        <f t="shared" si="214"/>
        <v>-7.4862686862508104E-3</v>
      </c>
      <c r="K172" s="230">
        <f t="shared" si="214"/>
        <v>-2.1160773053602949E-2</v>
      </c>
      <c r="L172" s="230">
        <f t="shared" si="214"/>
        <v>-5.2640170126866254E-3</v>
      </c>
      <c r="M172" s="230">
        <f t="shared" si="214"/>
        <v>-1.8522275428094273E-2</v>
      </c>
      <c r="N172" s="230">
        <f t="shared" si="214"/>
        <v>-2.2167448512725129E-2</v>
      </c>
      <c r="O172" s="230">
        <f t="shared" si="214"/>
        <v>-1.3323165445222556E-2</v>
      </c>
      <c r="P172" s="230">
        <f t="shared" si="214"/>
        <v>-2.0406350571094068E-2</v>
      </c>
      <c r="Q172" s="230">
        <f t="shared" si="214"/>
        <v>0</v>
      </c>
      <c r="R172" s="230">
        <f t="shared" si="214"/>
        <v>6.0589389762720457E-3</v>
      </c>
      <c r="S172" s="230">
        <f t="shared" si="214"/>
        <v>-7.1135151469636088E-3</v>
      </c>
      <c r="T172" s="230">
        <f t="shared" si="214"/>
        <v>1.6921504582534126E-2</v>
      </c>
      <c r="U172" s="230">
        <f t="shared" si="214"/>
        <v>0</v>
      </c>
      <c r="V172" s="230">
        <f t="shared" si="214"/>
        <v>-2.9328373848439431E-2</v>
      </c>
      <c r="W172" s="230">
        <f t="shared" si="214"/>
        <v>0</v>
      </c>
      <c r="X172" s="230">
        <f t="shared" si="214"/>
        <v>5.7738535956485971E-3</v>
      </c>
      <c r="Y172" s="230">
        <f t="shared" si="214"/>
        <v>0</v>
      </c>
      <c r="Z172" s="230">
        <f t="shared" si="214"/>
        <v>-2.0775516736576641E-2</v>
      </c>
      <c r="AA172" s="230">
        <f t="shared" ref="AA172:AR172" si="215">+AA168-AA171</f>
        <v>0</v>
      </c>
      <c r="AB172" s="205">
        <f t="shared" si="215"/>
        <v>-1.2335817776581354E-2</v>
      </c>
      <c r="AC172" s="205">
        <f t="shared" si="215"/>
        <v>-1.7814263550457579E-2</v>
      </c>
      <c r="AD172" s="205">
        <f t="shared" si="215"/>
        <v>-3.9212920145809793E-2</v>
      </c>
      <c r="AE172" s="205">
        <f t="shared" si="215"/>
        <v>-3.7357176130712634E-2</v>
      </c>
      <c r="AF172" s="205">
        <f t="shared" si="215"/>
        <v>-4.2590357158364282E-2</v>
      </c>
      <c r="AG172" s="205">
        <f t="shared" si="215"/>
        <v>0</v>
      </c>
      <c r="AH172" s="205">
        <f t="shared" si="215"/>
        <v>0</v>
      </c>
      <c r="AI172" s="205">
        <f t="shared" si="215"/>
        <v>2.2718007102821802E-2</v>
      </c>
      <c r="AJ172" s="205">
        <f t="shared" si="215"/>
        <v>0</v>
      </c>
      <c r="AK172" s="205">
        <f t="shared" si="215"/>
        <v>-1.0386706447038714E-2</v>
      </c>
      <c r="AL172" s="205">
        <f t="shared" si="215"/>
        <v>6.2416770799292171E-3</v>
      </c>
      <c r="AM172" s="205">
        <f t="shared" si="215"/>
        <v>2.6998922751478069E-2</v>
      </c>
      <c r="AN172" s="205">
        <f t="shared" si="215"/>
        <v>0</v>
      </c>
      <c r="AO172" s="205">
        <f t="shared" si="215"/>
        <v>5.817309318838948E-3</v>
      </c>
      <c r="AP172" s="205">
        <f t="shared" si="215"/>
        <v>5.8362099244782077E-2</v>
      </c>
      <c r="AQ172" s="205">
        <f t="shared" si="215"/>
        <v>7.3307386669733965E-4</v>
      </c>
      <c r="AR172" s="205">
        <f t="shared" si="215"/>
        <v>1.2282685846320078E-2</v>
      </c>
      <c r="AS172" s="205">
        <f t="shared" ref="AS172:AT172" si="216">+AS168-AS171</f>
        <v>-1.9730670212664558E-3</v>
      </c>
      <c r="AT172" s="205">
        <f t="shared" si="216"/>
        <v>-1.9730670212664558E-3</v>
      </c>
      <c r="AU172" s="205">
        <f t="shared" ref="AU172" si="217">+AU168-AU171</f>
        <v>-1.9730670212664558E-3</v>
      </c>
      <c r="AV172" s="201" t="s">
        <v>80</v>
      </c>
      <c r="AW172" s="184"/>
      <c r="AX172" s="184"/>
      <c r="AY172" s="184"/>
    </row>
    <row r="173" spans="1:51" ht="22">
      <c r="A173" s="285"/>
      <c r="B173" s="206" t="s">
        <v>25</v>
      </c>
      <c r="C173" s="232" cm="1">
        <f t="array" ref="C173">_xlfn.XLOOKUP(MIN(ABS($BJ$7:$BJ$29 - MEDIAN(MIN($BJ$7:$BJ$29), MAX($BJ$7:$BJ$29), C172))), ABS($BJ$7:$BJ$29 - MEDIAN(MIN($BJ$7:$BJ$29), MAX($BJ$7:$BJ$29), C172)), $BK$7:$BK$29, "Error", 0)</f>
        <v>0</v>
      </c>
      <c r="D173" s="232" cm="1">
        <f t="array" ref="D173">_xlfn.XLOOKUP(MIN(ABS($BJ$7:$BJ$29 - MEDIAN(MIN($BJ$7:$BJ$29), MAX($BJ$7:$BJ$29), D172))), ABS($BJ$7:$BJ$29 - MEDIAN(MIN($BJ$7:$BJ$29), MAX($BJ$7:$BJ$29), D172)), $BK$7:$BK$29, "Error", 0)</f>
        <v>0</v>
      </c>
      <c r="E173" s="232" cm="1">
        <f t="array" ref="E173">_xlfn.XLOOKUP(MIN(ABS($BJ$7:$BJ$29 - MEDIAN(MIN($BJ$7:$BJ$29), MAX($BJ$7:$BJ$29), E172))), ABS($BJ$7:$BJ$29 - MEDIAN(MIN($BJ$7:$BJ$29), MAX($BJ$7:$BJ$29), E172)), $BK$7:$BK$29, "Error", 0)</f>
        <v>-2</v>
      </c>
      <c r="F173" s="232" cm="1">
        <f t="array" ref="F173">_xlfn.XLOOKUP(MIN(ABS($BJ$7:$BJ$29 - MEDIAN(MIN($BJ$7:$BJ$29), MAX($BJ$7:$BJ$29), F172))), ABS($BJ$7:$BJ$29 - MEDIAN(MIN($BJ$7:$BJ$29), MAX($BJ$7:$BJ$29), F172)), $BK$7:$BK$29, "Error", 0)</f>
        <v>-2</v>
      </c>
      <c r="G173" s="232" cm="1">
        <f t="array" ref="G173">_xlfn.XLOOKUP(MIN(ABS($BJ$7:$BJ$29 - MEDIAN(MIN($BJ$7:$BJ$29), MAX($BJ$7:$BJ$29), G172))), ABS($BJ$7:$BJ$29 - MEDIAN(MIN($BJ$7:$BJ$29), MAX($BJ$7:$BJ$29), G172)), $BK$7:$BK$29, "Error", 0)</f>
        <v>-2</v>
      </c>
      <c r="H173" s="232" cm="1">
        <f t="array" ref="H173">_xlfn.XLOOKUP(MIN(ABS($BJ$7:$BJ$29 - MEDIAN(MIN($BJ$7:$BJ$29), MAX($BJ$7:$BJ$29), H172))), ABS($BJ$7:$BJ$29 - MEDIAN(MIN($BJ$7:$BJ$29), MAX($BJ$7:$BJ$29), H172)), $BK$7:$BK$29, "Error", 0)</f>
        <v>0</v>
      </c>
      <c r="I173" s="232" cm="1">
        <f t="array" ref="I173">_xlfn.XLOOKUP(MIN(ABS($BJ$7:$BJ$29 - MEDIAN(MIN($BJ$7:$BJ$29), MAX($BJ$7:$BJ$29), I172))), ABS($BJ$7:$BJ$29 - MEDIAN(MIN($BJ$7:$BJ$29), MAX($BJ$7:$BJ$29), I172)), $BK$7:$BK$29, "Error", 0)</f>
        <v>-2</v>
      </c>
      <c r="J173" s="232" cm="1">
        <f t="array" ref="J173">_xlfn.XLOOKUP(MIN(ABS($BJ$7:$BJ$29 - MEDIAN(MIN($BJ$7:$BJ$29), MAX($BJ$7:$BJ$29), J172))), ABS($BJ$7:$BJ$29 - MEDIAN(MIN($BJ$7:$BJ$29), MAX($BJ$7:$BJ$29), J172)), $BK$7:$BK$29, "Error", 0)</f>
        <v>0</v>
      </c>
      <c r="K173" s="232" cm="1">
        <f t="array" ref="K173">_xlfn.XLOOKUP(MIN(ABS($BJ$7:$BJ$29 - MEDIAN(MIN($BJ$7:$BJ$29), MAX($BJ$7:$BJ$29), K172))), ABS($BJ$7:$BJ$29 - MEDIAN(MIN($BJ$7:$BJ$29), MAX($BJ$7:$BJ$29), K172)), $BK$7:$BK$29, "Error", 0)</f>
        <v>-2</v>
      </c>
      <c r="L173" s="232" cm="1">
        <f t="array" ref="L173">_xlfn.XLOOKUP(MIN(ABS($BJ$7:$BJ$29 - MEDIAN(MIN($BJ$7:$BJ$29), MAX($BJ$7:$BJ$29), L172))), ABS($BJ$7:$BJ$29 - MEDIAN(MIN($BJ$7:$BJ$29), MAX($BJ$7:$BJ$29), L172)), $BK$7:$BK$29, "Error", 0)</f>
        <v>0</v>
      </c>
      <c r="M173" s="232" cm="1">
        <f t="array" ref="M173">_xlfn.XLOOKUP(MIN(ABS($BJ$7:$BJ$29 - MEDIAN(MIN($BJ$7:$BJ$29), MAX($BJ$7:$BJ$29), M172))), ABS($BJ$7:$BJ$29 - MEDIAN(MIN($BJ$7:$BJ$29), MAX($BJ$7:$BJ$29), M172)), $BK$7:$BK$29, "Error", 0)</f>
        <v>-2</v>
      </c>
      <c r="N173" s="232" cm="1">
        <f t="array" ref="N173">_xlfn.XLOOKUP(MIN(ABS($BJ$7:$BJ$29 - MEDIAN(MIN($BJ$7:$BJ$29), MAX($BJ$7:$BJ$29), N172))), ABS($BJ$7:$BJ$29 - MEDIAN(MIN($BJ$7:$BJ$29), MAX($BJ$7:$BJ$29), N172)), $BK$7:$BK$29, "Error", 0)</f>
        <v>-2</v>
      </c>
      <c r="O173" s="232" cm="1">
        <f t="array" ref="O173">_xlfn.XLOOKUP(MIN(ABS($BJ$7:$BJ$29 - MEDIAN(MIN($BJ$7:$BJ$29), MAX($BJ$7:$BJ$29), O172))), ABS($BJ$7:$BJ$29 - MEDIAN(MIN($BJ$7:$BJ$29), MAX($BJ$7:$BJ$29), O172)), $BK$7:$BK$29, "Error", 0)</f>
        <v>-2</v>
      </c>
      <c r="P173" s="232" cm="1">
        <f t="array" ref="P173">_xlfn.XLOOKUP(MIN(ABS($BJ$7:$BJ$29 - MEDIAN(MIN($BJ$7:$BJ$29), MAX($BJ$7:$BJ$29), P172))), ABS($BJ$7:$BJ$29 - MEDIAN(MIN($BJ$7:$BJ$29), MAX($BJ$7:$BJ$29), P172)), $BK$7:$BK$29, "Error", 0)</f>
        <v>-2</v>
      </c>
      <c r="Q173" s="232" cm="1">
        <f t="array" ref="Q173">_xlfn.XLOOKUP(MIN(ABS($BJ$7:$BJ$29 - MEDIAN(MIN($BJ$7:$BJ$29), MAX($BJ$7:$BJ$29), Q172))), ABS($BJ$7:$BJ$29 - MEDIAN(MIN($BJ$7:$BJ$29), MAX($BJ$7:$BJ$29), Q172)), $BK$7:$BK$29, "Error", 0)</f>
        <v>0</v>
      </c>
      <c r="R173" s="232" cm="1">
        <f t="array" ref="R173">_xlfn.XLOOKUP(MIN(ABS($BJ$7:$BJ$29 - MEDIAN(MIN($BJ$7:$BJ$29), MAX($BJ$7:$BJ$29), R172))), ABS($BJ$7:$BJ$29 - MEDIAN(MIN($BJ$7:$BJ$29), MAX($BJ$7:$BJ$29), R172)), $BK$7:$BK$29, "Error", 0)</f>
        <v>0</v>
      </c>
      <c r="S173" s="232" cm="1">
        <f t="array" ref="S173">_xlfn.XLOOKUP(MIN(ABS($BJ$7:$BJ$29 - MEDIAN(MIN($BJ$7:$BJ$29), MAX($BJ$7:$BJ$29), S172))), ABS($BJ$7:$BJ$29 - MEDIAN(MIN($BJ$7:$BJ$29), MAX($BJ$7:$BJ$29), S172)), $BK$7:$BK$29, "Error", 0)</f>
        <v>0</v>
      </c>
      <c r="T173" s="232" cm="1">
        <f t="array" ref="T173">_xlfn.XLOOKUP(MIN(ABS($BJ$7:$BJ$29 - MEDIAN(MIN($BJ$7:$BJ$29), MAX($BJ$7:$BJ$29), T172))), ABS($BJ$7:$BJ$29 - MEDIAN(MIN($BJ$7:$BJ$29), MAX($BJ$7:$BJ$29), T172)), $BK$7:$BK$29, "Error", 0)</f>
        <v>2</v>
      </c>
      <c r="U173" s="232" cm="1">
        <f t="array" ref="U173">_xlfn.XLOOKUP(MIN(ABS($BJ$7:$BJ$29 - MEDIAN(MIN($BJ$7:$BJ$29), MAX($BJ$7:$BJ$29), U172))), ABS($BJ$7:$BJ$29 - MEDIAN(MIN($BJ$7:$BJ$29), MAX($BJ$7:$BJ$29), U172)), $BK$7:$BK$29, "Error", 0)</f>
        <v>0</v>
      </c>
      <c r="V173" s="232" cm="1">
        <f t="array" ref="V173">_xlfn.XLOOKUP(MIN(ABS($BJ$7:$BJ$29 - MEDIAN(MIN($BJ$7:$BJ$29), MAX($BJ$7:$BJ$29), V172))), ABS($BJ$7:$BJ$29 - MEDIAN(MIN($BJ$7:$BJ$29), MAX($BJ$7:$BJ$29), V172)), $BK$7:$BK$29, "Error", 0)</f>
        <v>-2</v>
      </c>
      <c r="W173" s="232" cm="1">
        <f t="array" ref="W173">_xlfn.XLOOKUP(MIN(ABS($BJ$7:$BJ$29 - MEDIAN(MIN($BJ$7:$BJ$29), MAX($BJ$7:$BJ$29), W172))), ABS($BJ$7:$BJ$29 - MEDIAN(MIN($BJ$7:$BJ$29), MAX($BJ$7:$BJ$29), W172)), $BK$7:$BK$29, "Error", 0)</f>
        <v>0</v>
      </c>
      <c r="X173" s="232" cm="1">
        <f t="array" ref="X173">_xlfn.XLOOKUP(MIN(ABS($BJ$7:$BJ$29 - MEDIAN(MIN($BJ$7:$BJ$29), MAX($BJ$7:$BJ$29), X172))), ABS($BJ$7:$BJ$29 - MEDIAN(MIN($BJ$7:$BJ$29), MAX($BJ$7:$BJ$29), X172)), $BK$7:$BK$29, "Error", 0)</f>
        <v>0</v>
      </c>
      <c r="Y173" s="232" cm="1">
        <f t="array" ref="Y173">_xlfn.XLOOKUP(MIN(ABS($BJ$7:$BJ$29 - MEDIAN(MIN($BJ$7:$BJ$29), MAX($BJ$7:$BJ$29), Y172))), ABS($BJ$7:$BJ$29 - MEDIAN(MIN($BJ$7:$BJ$29), MAX($BJ$7:$BJ$29), Y172)), $BK$7:$BK$29, "Error", 0)</f>
        <v>0</v>
      </c>
      <c r="Z173" s="232" cm="1">
        <f t="array" ref="Z173">_xlfn.XLOOKUP(MIN(ABS($BJ$7:$BJ$29 - MEDIAN(MIN($BJ$7:$BJ$29), MAX($BJ$7:$BJ$29), Z172))), ABS($BJ$7:$BJ$29 - MEDIAN(MIN($BJ$7:$BJ$29), MAX($BJ$7:$BJ$29), Z172)), $BK$7:$BK$29, "Error", 0)</f>
        <v>-2</v>
      </c>
      <c r="AA173" s="232" cm="1">
        <f t="array" ref="AA173">_xlfn.XLOOKUP(MIN(ABS($BJ$7:$BJ$29 - MEDIAN(MIN($BJ$7:$BJ$29), MAX($BJ$7:$BJ$29), AA172))), ABS($BJ$7:$BJ$29 - MEDIAN(MIN($BJ$7:$BJ$29), MAX($BJ$7:$BJ$29), AA172)), $BK$7:$BK$29, "Error", 0)</f>
        <v>0</v>
      </c>
      <c r="AB173" s="171" cm="1">
        <f t="array" ref="AB173">_xlfn.XLOOKUP(MIN(ABS($BJ$7:$BJ$29 - MEDIAN(MIN($BJ$7:$BJ$29), MAX($BJ$7:$BJ$29), AB172))), ABS($BJ$7:$BJ$29 - MEDIAN(MIN($BJ$7:$BJ$29), MAX($BJ$7:$BJ$29), AB172)), $BK$7:$BK$29, "Error", 0)</f>
        <v>-2</v>
      </c>
      <c r="AC173" s="171" cm="1">
        <f t="array" ref="AC173">_xlfn.XLOOKUP(MIN(ABS($BJ$7:$BJ$29 - MEDIAN(MIN($BJ$7:$BJ$29), MAX($BJ$7:$BJ$29), AC172))), ABS($BJ$7:$BJ$29 - MEDIAN(MIN($BJ$7:$BJ$29), MAX($BJ$7:$BJ$29), AC172)), $BK$7:$BK$29, "Error", 0)</f>
        <v>-2</v>
      </c>
      <c r="AD173" s="171" cm="1">
        <f t="array" ref="AD173">_xlfn.XLOOKUP(MIN(ABS($BJ$7:$BJ$29 - MEDIAN(MIN($BJ$7:$BJ$29), MAX($BJ$7:$BJ$29), AD172))), ABS($BJ$7:$BJ$29 - MEDIAN(MIN($BJ$7:$BJ$29), MAX($BJ$7:$BJ$29), AD172)), $BK$7:$BK$29, "Error", 0)</f>
        <v>-3</v>
      </c>
      <c r="AE173" s="171" cm="1">
        <f t="array" ref="AE173">_xlfn.XLOOKUP(MIN(ABS($BJ$7:$BJ$29 - MEDIAN(MIN($BJ$7:$BJ$29), MAX($BJ$7:$BJ$29), AE172))), ABS($BJ$7:$BJ$29 - MEDIAN(MIN($BJ$7:$BJ$29), MAX($BJ$7:$BJ$29), AE172)), $BK$7:$BK$29, "Error", 0)</f>
        <v>-3</v>
      </c>
      <c r="AF173" s="171" cm="1">
        <f t="array" ref="AF173">_xlfn.XLOOKUP(MIN(ABS($BJ$7:$BJ$29 - MEDIAN(MIN($BJ$7:$BJ$29), MAX($BJ$7:$BJ$29), AF172))), ABS($BJ$7:$BJ$29 - MEDIAN(MIN($BJ$7:$BJ$29), MAX($BJ$7:$BJ$29), AF172)), $BK$7:$BK$29, "Error", 0)</f>
        <v>-3</v>
      </c>
      <c r="AG173" s="171" cm="1">
        <f t="array" ref="AG173">_xlfn.XLOOKUP(MIN(ABS($BJ$7:$BJ$29 - MEDIAN(MIN($BJ$7:$BJ$29), MAX($BJ$7:$BJ$29), AG172))), ABS($BJ$7:$BJ$29 - MEDIAN(MIN($BJ$7:$BJ$29), MAX($BJ$7:$BJ$29), AG172)), $BK$7:$BK$29, "Error", 0)</f>
        <v>0</v>
      </c>
      <c r="AH173" s="171" cm="1">
        <f t="array" ref="AH173">_xlfn.XLOOKUP(MIN(ABS($BJ$7:$BJ$29 - MEDIAN(MIN($BJ$7:$BJ$29), MAX($BJ$7:$BJ$29), AH172))), ABS($BJ$7:$BJ$29 - MEDIAN(MIN($BJ$7:$BJ$29), MAX($BJ$7:$BJ$29), AH172)), $BK$7:$BK$29, "Error", 0)</f>
        <v>0</v>
      </c>
      <c r="AI173" s="171" cm="1">
        <f t="array" ref="AI173">_xlfn.XLOOKUP(MIN(ABS($BJ$7:$BJ$29 - MEDIAN(MIN($BJ$7:$BJ$29), MAX($BJ$7:$BJ$29), AI172))), ABS($BJ$7:$BJ$29 - MEDIAN(MIN($BJ$7:$BJ$29), MAX($BJ$7:$BJ$29), AI172)), $BK$7:$BK$29, "Error", 0)</f>
        <v>2</v>
      </c>
      <c r="AJ173" s="171" cm="1">
        <f t="array" ref="AJ173">_xlfn.XLOOKUP(MIN(ABS($BJ$7:$BJ$29 - MEDIAN(MIN($BJ$7:$BJ$29), MAX($BJ$7:$BJ$29), AJ172))), ABS($BJ$7:$BJ$29 - MEDIAN(MIN($BJ$7:$BJ$29), MAX($BJ$7:$BJ$29), AJ172)), $BK$7:$BK$29, "Error", 0)</f>
        <v>0</v>
      </c>
      <c r="AK173" s="171" cm="1">
        <f t="array" ref="AK173">_xlfn.XLOOKUP(MIN(ABS($BJ$7:$BJ$29 - MEDIAN(MIN($BJ$7:$BJ$29), MAX($BJ$7:$BJ$29), AK172))), ABS($BJ$7:$BJ$29 - MEDIAN(MIN($BJ$7:$BJ$29), MAX($BJ$7:$BJ$29), AK172)), $BK$7:$BK$29, "Error", 0)</f>
        <v>-2</v>
      </c>
      <c r="AL173" s="171" cm="1">
        <f t="array" ref="AL173">_xlfn.XLOOKUP(MIN(ABS($BJ$7:$BJ$29 - MEDIAN(MIN($BJ$7:$BJ$29), MAX($BJ$7:$BJ$29), AL172))), ABS($BJ$7:$BJ$29 - MEDIAN(MIN($BJ$7:$BJ$29), MAX($BJ$7:$BJ$29), AL172)), $BK$7:$BK$29, "Error", 0)</f>
        <v>0</v>
      </c>
      <c r="AM173" s="171" cm="1">
        <f t="array" ref="AM173">_xlfn.XLOOKUP(MIN(ABS($BJ$7:$BJ$29 - MEDIAN(MIN($BJ$7:$BJ$29), MAX($BJ$7:$BJ$29), AM172))), ABS($BJ$7:$BJ$29 - MEDIAN(MIN($BJ$7:$BJ$29), MAX($BJ$7:$BJ$29), AM172)), $BK$7:$BK$29, "Error", 0)</f>
        <v>2</v>
      </c>
      <c r="AN173" s="171" cm="1">
        <f t="array" ref="AN173">_xlfn.XLOOKUP(MIN(ABS($BJ$7:$BJ$29 - MEDIAN(MIN($BJ$7:$BJ$29), MAX($BJ$7:$BJ$29), AN172))), ABS($BJ$7:$BJ$29 - MEDIAN(MIN($BJ$7:$BJ$29), MAX($BJ$7:$BJ$29), AN172)), $BK$7:$BK$29, "Error", 0)</f>
        <v>0</v>
      </c>
      <c r="AO173" s="171" cm="1">
        <f t="array" ref="AO173">_xlfn.XLOOKUP(MIN(ABS($BJ$7:$BJ$29 - MEDIAN(MIN($BJ$7:$BJ$29), MAX($BJ$7:$BJ$29), AO172))), ABS($BJ$7:$BJ$29 - MEDIAN(MIN($BJ$7:$BJ$29), MAX($BJ$7:$BJ$29), AO172)), $BK$7:$BK$29, "Error", 0)</f>
        <v>0</v>
      </c>
      <c r="AP173" s="171" cm="1">
        <f t="array" ref="AP173">_xlfn.XLOOKUP(MIN(ABS($BJ$7:$BJ$29 - MEDIAN(MIN($BJ$7:$BJ$29), MAX($BJ$7:$BJ$29), AP172))), ABS($BJ$7:$BJ$29 - MEDIAN(MIN($BJ$7:$BJ$29), MAX($BJ$7:$BJ$29), AP172)), $BK$7:$BK$29, "Error", 0)</f>
        <v>5</v>
      </c>
      <c r="AQ173" s="171" cm="1">
        <f t="array" ref="AQ173">_xlfn.XLOOKUP(MIN(ABS($BJ$7:$BJ$29 - MEDIAN(MIN($BJ$7:$BJ$29), MAX($BJ$7:$BJ$29), AQ172))), ABS($BJ$7:$BJ$29 - MEDIAN(MIN($BJ$7:$BJ$29), MAX($BJ$7:$BJ$29), AQ172)), $BK$7:$BK$29, "Error", 0)</f>
        <v>0</v>
      </c>
      <c r="AR173" s="171" cm="1">
        <f t="array" ref="AR173">_xlfn.XLOOKUP(MIN(ABS($BJ$7:$BJ$29 - MEDIAN(MIN($BJ$7:$BJ$29), MAX($BJ$7:$BJ$29), AR172))), ABS($BJ$7:$BJ$29 - MEDIAN(MIN($BJ$7:$BJ$29), MAX($BJ$7:$BJ$29), AR172)), $BK$7:$BK$29, "Error", 0)</f>
        <v>2</v>
      </c>
      <c r="AS173" s="171" cm="1">
        <f t="array" ref="AS173">_xlfn.XLOOKUP(MIN(ABS($BJ$7:$BJ$29 - MEDIAN(MIN($BJ$7:$BJ$29), MAX($BJ$7:$BJ$29), AS172))), ABS($BJ$7:$BJ$29 - MEDIAN(MIN($BJ$7:$BJ$29), MAX($BJ$7:$BJ$29), AS172)), $BK$7:$BK$29, "Error", 0)</f>
        <v>0</v>
      </c>
      <c r="AT173" s="171" cm="1">
        <f t="array" ref="AT173">_xlfn.XLOOKUP(MIN(ABS($BJ$7:$BJ$29 - MEDIAN(MIN($BJ$7:$BJ$29), MAX($BJ$7:$BJ$29), AT172))), ABS($BJ$7:$BJ$29 - MEDIAN(MIN($BJ$7:$BJ$29), MAX($BJ$7:$BJ$29), AT172)), $BK$7:$BK$29, "Error", 0)</f>
        <v>0</v>
      </c>
      <c r="AU173" s="171" cm="1">
        <f t="array" ref="AU173">_xlfn.XLOOKUP(MIN(ABS($BJ$7:$BJ$29 - MEDIAN(MIN($BJ$7:$BJ$29), MAX($BJ$7:$BJ$29), AU172))), ABS($BJ$7:$BJ$29 - MEDIAN(MIN($BJ$7:$BJ$29), MAX($BJ$7:$BJ$29), AU172)), $BK$7:$BK$29, "Error", 0)</f>
        <v>0</v>
      </c>
      <c r="AV173" s="206" t="s">
        <v>25</v>
      </c>
      <c r="AW173" s="184"/>
      <c r="AX173" s="184"/>
      <c r="AY173" s="184"/>
    </row>
    <row r="174" spans="1:51" ht="44">
      <c r="A174" s="283" t="s">
        <v>20</v>
      </c>
      <c r="B174" s="200" t="s">
        <v>76</v>
      </c>
      <c r="C174" s="233">
        <v>7869.0256859294605</v>
      </c>
      <c r="D174" s="233">
        <v>7869.0256859294605</v>
      </c>
      <c r="E174" s="233">
        <v>7869.0256859294605</v>
      </c>
      <c r="F174" s="233">
        <v>7869.0256859294605</v>
      </c>
      <c r="G174" s="233">
        <v>7869.0256859294605</v>
      </c>
      <c r="H174" s="233">
        <v>7869.0256859294605</v>
      </c>
      <c r="I174" s="233">
        <v>7869.0256859294605</v>
      </c>
      <c r="J174" s="233">
        <v>7869.0256859294605</v>
      </c>
      <c r="K174" s="233">
        <v>7869.0256859294605</v>
      </c>
      <c r="L174" s="233">
        <v>7869.0256859294605</v>
      </c>
      <c r="M174" s="233">
        <v>7869.0256859294605</v>
      </c>
      <c r="N174" s="233">
        <v>7869.0256859294605</v>
      </c>
      <c r="O174" s="233">
        <v>7869.0256859294605</v>
      </c>
      <c r="P174" s="233">
        <v>7869.0256859294605</v>
      </c>
      <c r="Q174" s="233">
        <v>7869.0256859294605</v>
      </c>
      <c r="R174" s="233">
        <v>7869.0256859294605</v>
      </c>
      <c r="S174" s="233">
        <v>7869.0256859294605</v>
      </c>
      <c r="T174" s="233">
        <v>7869.0256859294605</v>
      </c>
      <c r="U174" s="233">
        <v>7869.0256859294605</v>
      </c>
      <c r="V174" s="233">
        <v>7869.0256859294605</v>
      </c>
      <c r="W174" s="233">
        <v>7869.0256859294605</v>
      </c>
      <c r="X174" s="233">
        <v>7869.0256859294605</v>
      </c>
      <c r="Y174" s="233">
        <v>7869.0256859294605</v>
      </c>
      <c r="Z174" s="233">
        <v>7869.0256859294605</v>
      </c>
      <c r="AA174" s="204">
        <v>7869.0256859294605</v>
      </c>
      <c r="AB174" s="204">
        <v>7869.0256859294605</v>
      </c>
      <c r="AC174" s="204">
        <v>7869.0256859294605</v>
      </c>
      <c r="AD174" s="204">
        <v>7869.0256859294605</v>
      </c>
      <c r="AE174" s="204">
        <v>7869.0256859294605</v>
      </c>
      <c r="AF174" s="204">
        <v>7869.0256859294605</v>
      </c>
      <c r="AG174" s="204">
        <v>7917.8491035994402</v>
      </c>
      <c r="AH174" s="204">
        <v>8173.4065450727903</v>
      </c>
      <c r="AI174" s="204">
        <v>8279.2997300222105</v>
      </c>
      <c r="AJ174" s="204">
        <v>8423.5296497913096</v>
      </c>
      <c r="AK174" s="204">
        <v>8423.5296497913096</v>
      </c>
      <c r="AL174" s="204">
        <v>8423.5296497913096</v>
      </c>
      <c r="AM174" s="204">
        <v>8609.3940521776694</v>
      </c>
      <c r="AN174" s="204">
        <v>8973.2510212279194</v>
      </c>
      <c r="AO174" s="204">
        <v>8973.2510212279194</v>
      </c>
      <c r="AP174" s="204">
        <v>8973.2510212279194</v>
      </c>
      <c r="AQ174" s="204">
        <v>8973.2510212279194</v>
      </c>
      <c r="AR174" s="204">
        <v>8973.2510212279194</v>
      </c>
      <c r="AS174" s="204">
        <v>8973.2510212279194</v>
      </c>
      <c r="AT174" s="204">
        <v>8973.2510212279194</v>
      </c>
      <c r="AU174" s="204">
        <v>8973.2510212279194</v>
      </c>
      <c r="AV174" s="200" t="s">
        <v>76</v>
      </c>
      <c r="AW174" s="184"/>
      <c r="AX174" s="184"/>
      <c r="AY174" s="184"/>
    </row>
    <row r="175" spans="1:51" ht="22">
      <c r="A175" s="284"/>
      <c r="B175" s="201" t="s">
        <v>77</v>
      </c>
      <c r="C175" s="233">
        <v>7063.8367514881502</v>
      </c>
      <c r="D175" s="233">
        <v>6641.4360663929001</v>
      </c>
      <c r="E175" s="233">
        <v>6515.9135305621303</v>
      </c>
      <c r="F175" s="233">
        <v>6598.01506719395</v>
      </c>
      <c r="G175" s="233">
        <v>6285.7280359652405</v>
      </c>
      <c r="H175" s="233">
        <v>6317.6900333980502</v>
      </c>
      <c r="I175" s="233">
        <v>6540.1226469286503</v>
      </c>
      <c r="J175" s="233">
        <v>6405.6961776386597</v>
      </c>
      <c r="K175" s="233">
        <v>6152.0181128022396</v>
      </c>
      <c r="L175" s="233">
        <v>5967.0161395421001</v>
      </c>
      <c r="M175" s="233">
        <v>6373.3960817081997</v>
      </c>
      <c r="N175" s="233">
        <v>6856.01016135182</v>
      </c>
      <c r="O175" s="233">
        <v>6787.6651398006898</v>
      </c>
      <c r="P175" s="233">
        <v>6788.0979859900499</v>
      </c>
      <c r="Q175" s="233">
        <v>6954.0098612085003</v>
      </c>
      <c r="R175" s="233">
        <v>6872.7203445805399</v>
      </c>
      <c r="S175" s="233">
        <v>6983.1316831394797</v>
      </c>
      <c r="T175" s="233">
        <v>7106.4857877790901</v>
      </c>
      <c r="U175" s="233">
        <v>7330.9764712024498</v>
      </c>
      <c r="V175" s="233">
        <v>7381.4308810145603</v>
      </c>
      <c r="W175" s="233">
        <v>7728.8720508775396</v>
      </c>
      <c r="X175" s="233">
        <v>7458.6152744293204</v>
      </c>
      <c r="Y175" s="233">
        <v>7690.4400449473196</v>
      </c>
      <c r="Z175" s="233">
        <v>7280.3650965061397</v>
      </c>
      <c r="AA175" s="204">
        <v>7684.6160273999003</v>
      </c>
      <c r="AB175" s="204">
        <v>7355.5031319243399</v>
      </c>
      <c r="AC175" s="204">
        <v>7051.01259485012</v>
      </c>
      <c r="AD175" s="204">
        <v>7172.2657414636897</v>
      </c>
      <c r="AE175" s="204">
        <v>7451.2143463984303</v>
      </c>
      <c r="AF175" s="204">
        <v>7630.83638864366</v>
      </c>
      <c r="AG175" s="204">
        <v>7917.8491035994402</v>
      </c>
      <c r="AH175" s="204">
        <v>8173.4065450727903</v>
      </c>
      <c r="AI175" s="204">
        <v>8279.2997300222105</v>
      </c>
      <c r="AJ175" s="204">
        <v>8423.5296497913096</v>
      </c>
      <c r="AK175" s="204">
        <v>7872.4257858076598</v>
      </c>
      <c r="AL175" s="204">
        <v>7989.7055216232602</v>
      </c>
      <c r="AM175" s="204">
        <v>8609.3940521776694</v>
      </c>
      <c r="AN175" s="204">
        <v>8973.2510212279194</v>
      </c>
      <c r="AO175" s="204">
        <v>8085.9540413336899</v>
      </c>
      <c r="AP175" s="204">
        <v>8762.2117002187297</v>
      </c>
      <c r="AQ175" s="204">
        <v>8665.3391913888609</v>
      </c>
      <c r="AR175" s="204">
        <v>8551.0183760100008</v>
      </c>
      <c r="AS175" s="204">
        <v>8666</v>
      </c>
      <c r="AT175" s="204">
        <v>8666</v>
      </c>
      <c r="AU175" s="204">
        <v>8666</v>
      </c>
      <c r="AV175" s="201" t="s">
        <v>77</v>
      </c>
      <c r="AW175" s="184"/>
      <c r="AX175" s="184"/>
      <c r="AY175" s="184"/>
    </row>
    <row r="176" spans="1:51" ht="22">
      <c r="A176" s="284"/>
      <c r="B176" s="201" t="s">
        <v>78</v>
      </c>
      <c r="C176" s="230">
        <f t="shared" ref="C176:Z176" si="218">+(C175-C174)/C174</f>
        <v>-0.10232384116893428</v>
      </c>
      <c r="D176" s="230">
        <f t="shared" si="218"/>
        <v>-0.15600274653209015</v>
      </c>
      <c r="E176" s="230">
        <f t="shared" si="218"/>
        <v>-0.17195421763418803</v>
      </c>
      <c r="F176" s="230">
        <f t="shared" si="218"/>
        <v>-0.16152071037310173</v>
      </c>
      <c r="G176" s="230">
        <f t="shared" si="218"/>
        <v>-0.20120631360948552</v>
      </c>
      <c r="H176" s="230">
        <f t="shared" si="218"/>
        <v>-0.19714456585207754</v>
      </c>
      <c r="I176" s="230">
        <f t="shared" si="218"/>
        <v>-0.16887771015629174</v>
      </c>
      <c r="J176" s="230">
        <f t="shared" si="218"/>
        <v>-0.18596069789267153</v>
      </c>
      <c r="K176" s="230">
        <f t="shared" si="218"/>
        <v>-0.21819824228015774</v>
      </c>
      <c r="L176" s="230">
        <f t="shared" si="218"/>
        <v>-0.24170839215690043</v>
      </c>
      <c r="M176" s="230">
        <f t="shared" si="218"/>
        <v>-0.19006541138829725</v>
      </c>
      <c r="N176" s="230">
        <f t="shared" si="218"/>
        <v>-0.12873455558659633</v>
      </c>
      <c r="O176" s="230">
        <f t="shared" si="218"/>
        <v>-0.13741987754117291</v>
      </c>
      <c r="P176" s="230">
        <f t="shared" si="218"/>
        <v>-0.13736487121553159</v>
      </c>
      <c r="Q176" s="230">
        <f t="shared" si="218"/>
        <v>-0.11628070122545062</v>
      </c>
      <c r="R176" s="230">
        <f t="shared" si="218"/>
        <v>-0.1266110165494066</v>
      </c>
      <c r="S176" s="230">
        <f t="shared" si="218"/>
        <v>-0.11257988449243983</v>
      </c>
      <c r="T176" s="230">
        <f t="shared" si="218"/>
        <v>-9.6903978787851924E-2</v>
      </c>
      <c r="U176" s="230">
        <f t="shared" si="218"/>
        <v>-6.8375582467482848E-2</v>
      </c>
      <c r="V176" s="230">
        <f t="shared" si="218"/>
        <v>-6.1963809037599703E-2</v>
      </c>
      <c r="W176" s="230">
        <f t="shared" si="218"/>
        <v>-1.7810799029736101E-2</v>
      </c>
      <c r="X176" s="230">
        <f t="shared" si="218"/>
        <v>-5.2155174970897798E-2</v>
      </c>
      <c r="Y176" s="230">
        <f t="shared" si="218"/>
        <v>-2.2694758933303309E-2</v>
      </c>
      <c r="Z176" s="230">
        <f t="shared" si="218"/>
        <v>-7.4807303078944051E-2</v>
      </c>
      <c r="AA176" s="230">
        <f t="shared" ref="AA176:AS176" si="219">+(AA175-AA174)/AA174</f>
        <v>-2.3434878203447921E-2</v>
      </c>
      <c r="AB176" s="205">
        <f t="shared" si="219"/>
        <v>-6.5258721282781679E-2</v>
      </c>
      <c r="AC176" s="205">
        <f t="shared" si="219"/>
        <v>-0.10395354186503965</v>
      </c>
      <c r="AD176" s="205">
        <f t="shared" si="219"/>
        <v>-8.8544627031989676E-2</v>
      </c>
      <c r="AE176" s="205">
        <f t="shared" si="219"/>
        <v>-5.3095688870111984E-2</v>
      </c>
      <c r="AF176" s="205">
        <f t="shared" si="219"/>
        <v>-3.0269223509043149E-2</v>
      </c>
      <c r="AG176" s="205">
        <f t="shared" si="219"/>
        <v>0</v>
      </c>
      <c r="AH176" s="205">
        <f t="shared" si="219"/>
        <v>0</v>
      </c>
      <c r="AI176" s="205">
        <f t="shared" si="219"/>
        <v>0</v>
      </c>
      <c r="AJ176" s="205">
        <f t="shared" si="219"/>
        <v>0</v>
      </c>
      <c r="AK176" s="205">
        <f t="shared" si="219"/>
        <v>-6.5424339545988683E-2</v>
      </c>
      <c r="AL176" s="205">
        <f t="shared" si="219"/>
        <v>-5.1501466274152335E-2</v>
      </c>
      <c r="AM176" s="205">
        <f t="shared" si="219"/>
        <v>0</v>
      </c>
      <c r="AN176" s="205">
        <f t="shared" si="219"/>
        <v>0</v>
      </c>
      <c r="AO176" s="205">
        <f t="shared" si="219"/>
        <v>-9.888244269497877E-2</v>
      </c>
      <c r="AP176" s="205">
        <f t="shared" si="219"/>
        <v>-2.3518713620062158E-2</v>
      </c>
      <c r="AQ176" s="205">
        <f t="shared" si="219"/>
        <v>-3.4314411701025081E-2</v>
      </c>
      <c r="AR176" s="205">
        <f t="shared" si="219"/>
        <v>-4.7054589715483007E-2</v>
      </c>
      <c r="AS176" s="205">
        <f t="shared" si="219"/>
        <v>-3.4240769649824698E-2</v>
      </c>
      <c r="AT176" s="205">
        <f t="shared" ref="AT176:AU176" si="220">+(AT175-AT174)/AT174</f>
        <v>-3.4240769649824698E-2</v>
      </c>
      <c r="AU176" s="205">
        <f t="shared" si="220"/>
        <v>-3.4240769649824698E-2</v>
      </c>
      <c r="AV176" s="201" t="s">
        <v>78</v>
      </c>
      <c r="AW176" s="184"/>
      <c r="AX176" s="184"/>
      <c r="AY176" s="184"/>
    </row>
    <row r="177" spans="1:51" ht="44">
      <c r="A177" s="284"/>
      <c r="B177" s="201" t="s">
        <v>93</v>
      </c>
      <c r="C177" s="233">
        <v>7632.7998046875</v>
      </c>
      <c r="D177" s="233">
        <v>7632.7998046875</v>
      </c>
      <c r="E177" s="233">
        <v>7632.7998046875</v>
      </c>
      <c r="F177" s="233">
        <v>7632.7998046875</v>
      </c>
      <c r="G177" s="233">
        <v>7632.7998046875</v>
      </c>
      <c r="H177" s="233">
        <v>7632.7998046875</v>
      </c>
      <c r="I177" s="233">
        <v>7632.7998046875</v>
      </c>
      <c r="J177" s="233">
        <v>7632.7998046875</v>
      </c>
      <c r="K177" s="233">
        <v>7632.7998046875</v>
      </c>
      <c r="L177" s="233">
        <v>7632.7998046875</v>
      </c>
      <c r="M177" s="233">
        <v>7632.7998046875</v>
      </c>
      <c r="N177" s="233">
        <v>7632.7998046875</v>
      </c>
      <c r="O177" s="233">
        <v>7682.2998046875</v>
      </c>
      <c r="P177" s="233">
        <v>7703.7998046875</v>
      </c>
      <c r="Q177" s="233">
        <v>7901.2001953125</v>
      </c>
      <c r="R177" s="233">
        <v>7901.2001953125</v>
      </c>
      <c r="S177" s="233">
        <v>7901.2001953125</v>
      </c>
      <c r="T177" s="233">
        <v>7901.2001953125</v>
      </c>
      <c r="U177" s="233">
        <v>8092.2998046875</v>
      </c>
      <c r="V177" s="233">
        <v>8092.2998046875</v>
      </c>
      <c r="W177" s="233">
        <v>8285.7001953125</v>
      </c>
      <c r="X177" s="233">
        <v>8285.7001953125</v>
      </c>
      <c r="Y177" s="233">
        <v>8477.099609375</v>
      </c>
      <c r="Z177" s="233">
        <v>8477.099609375</v>
      </c>
      <c r="AA177" s="231">
        <v>8566.900390625</v>
      </c>
      <c r="AB177" s="203">
        <v>8566.900390625</v>
      </c>
      <c r="AC177" s="203">
        <v>8566.900390625</v>
      </c>
      <c r="AD177" s="203">
        <v>8566.900390625</v>
      </c>
      <c r="AE177" s="203">
        <v>8566.900390625</v>
      </c>
      <c r="AF177" s="203">
        <v>8639.099609375</v>
      </c>
      <c r="AG177" s="203">
        <v>8776.400390625</v>
      </c>
      <c r="AH177" s="203">
        <v>9054.5</v>
      </c>
      <c r="AI177" s="203">
        <v>9054.5</v>
      </c>
      <c r="AJ177" s="203">
        <v>9115.2001953125</v>
      </c>
      <c r="AK177" s="203">
        <v>9115.2001953125</v>
      </c>
      <c r="AL177" s="203">
        <v>9115.2001953125</v>
      </c>
      <c r="AM177" s="203">
        <v>9115.2001953125</v>
      </c>
      <c r="AN177" s="203">
        <v>9202.900390625</v>
      </c>
      <c r="AO177" s="203">
        <v>9202.900390625</v>
      </c>
      <c r="AP177" s="203">
        <v>9202.900390625</v>
      </c>
      <c r="AQ177" s="203">
        <v>9202.900390625</v>
      </c>
      <c r="AR177" s="203">
        <v>9202.900390625</v>
      </c>
      <c r="AS177" s="203">
        <v>9202.900390625</v>
      </c>
      <c r="AT177" s="203">
        <v>9202.900390625</v>
      </c>
      <c r="AU177" s="203">
        <v>9202.900390625</v>
      </c>
      <c r="AV177" s="201" t="s">
        <v>93</v>
      </c>
      <c r="AW177" s="184"/>
      <c r="AX177" s="184"/>
      <c r="AY177" s="184"/>
    </row>
    <row r="178" spans="1:51" ht="44">
      <c r="A178" s="284"/>
      <c r="B178" s="201" t="s">
        <v>94</v>
      </c>
      <c r="C178" s="233">
        <v>7476.7001953125</v>
      </c>
      <c r="D178" s="233">
        <v>7258.39990234375</v>
      </c>
      <c r="E178" s="233">
        <v>7177.7998046875</v>
      </c>
      <c r="F178" s="233">
        <v>7309.2001953125</v>
      </c>
      <c r="G178" s="233">
        <v>7091.2998046875</v>
      </c>
      <c r="H178" s="233">
        <v>7203.2998046875</v>
      </c>
      <c r="I178" s="233">
        <v>7410.39990234375</v>
      </c>
      <c r="J178" s="233">
        <v>7305.2998046875</v>
      </c>
      <c r="K178" s="233">
        <v>7048.60009765625</v>
      </c>
      <c r="L178" s="233">
        <v>6780.7001953125</v>
      </c>
      <c r="M178" s="233">
        <v>7087.2998046875</v>
      </c>
      <c r="N178" s="233">
        <v>7590.7998046875</v>
      </c>
      <c r="O178" s="233">
        <v>7682.2998046875</v>
      </c>
      <c r="P178" s="233">
        <v>7703.7998046875</v>
      </c>
      <c r="Q178" s="233">
        <v>7901.2001953125</v>
      </c>
      <c r="R178" s="233">
        <v>7664.10009765625</v>
      </c>
      <c r="S178" s="233">
        <v>7701.7001953125</v>
      </c>
      <c r="T178" s="233">
        <v>7767.5</v>
      </c>
      <c r="U178" s="233">
        <v>8092.2998046875</v>
      </c>
      <c r="V178" s="233">
        <v>8091.89990234375</v>
      </c>
      <c r="W178" s="233">
        <v>8285.7001953125</v>
      </c>
      <c r="X178" s="233">
        <v>8160</v>
      </c>
      <c r="Y178" s="233">
        <v>8477.099609375</v>
      </c>
      <c r="Z178" s="233">
        <v>8159.10009765625</v>
      </c>
      <c r="AA178" s="231">
        <v>8566.900390625</v>
      </c>
      <c r="AB178" s="203">
        <v>8172.39990234375</v>
      </c>
      <c r="AC178" s="203">
        <v>7843.39990234375</v>
      </c>
      <c r="AD178" s="203">
        <v>8126.2001953125</v>
      </c>
      <c r="AE178" s="203">
        <v>8434.7001953125</v>
      </c>
      <c r="AF178" s="203">
        <v>8639.099609375</v>
      </c>
      <c r="AG178" s="203">
        <v>8776.400390625</v>
      </c>
      <c r="AH178" s="203">
        <v>9054.5</v>
      </c>
      <c r="AI178" s="203">
        <v>8848.7998046875</v>
      </c>
      <c r="AJ178" s="203">
        <v>9115.2001953125</v>
      </c>
      <c r="AK178" s="203">
        <v>8614.099609375</v>
      </c>
      <c r="AL178" s="203">
        <v>8714.2998046875</v>
      </c>
      <c r="AM178" s="203">
        <v>8869.099609375</v>
      </c>
      <c r="AN178" s="203">
        <v>9202.900390625</v>
      </c>
      <c r="AO178" s="203">
        <v>8481.7998046875</v>
      </c>
      <c r="AP178" s="203">
        <v>8665.7998046875</v>
      </c>
      <c r="AQ178" s="203">
        <v>8731.7001953125</v>
      </c>
      <c r="AR178" s="203">
        <v>8778</v>
      </c>
      <c r="AS178" s="203">
        <v>8841</v>
      </c>
      <c r="AT178" s="203">
        <v>8841</v>
      </c>
      <c r="AU178" s="203">
        <v>8841</v>
      </c>
      <c r="AV178" s="201" t="s">
        <v>94</v>
      </c>
      <c r="AW178" s="184"/>
      <c r="AX178" s="184"/>
      <c r="AY178" s="184"/>
    </row>
    <row r="179" spans="1:51" ht="44">
      <c r="A179" s="284"/>
      <c r="B179" s="201" t="s">
        <v>79</v>
      </c>
      <c r="C179" s="230">
        <f t="shared" ref="C179:Z179" si="221">+(C178-C177)/C177</f>
        <v>-2.0451159911089922E-2</v>
      </c>
      <c r="D179" s="230">
        <f t="shared" si="221"/>
        <v>-4.9051450571757603E-2</v>
      </c>
      <c r="E179" s="230">
        <f t="shared" si="221"/>
        <v>-5.9611153396237737E-2</v>
      </c>
      <c r="F179" s="230">
        <f t="shared" si="221"/>
        <v>-4.239592517234228E-2</v>
      </c>
      <c r="G179" s="230">
        <f t="shared" si="221"/>
        <v>-7.0943823217720289E-2</v>
      </c>
      <c r="H179" s="230">
        <f t="shared" si="221"/>
        <v>-5.6270308535569469E-2</v>
      </c>
      <c r="I179" s="230">
        <f t="shared" si="221"/>
        <v>-2.9137394931695766E-2</v>
      </c>
      <c r="J179" s="230">
        <f t="shared" si="221"/>
        <v>-4.2906929092896395E-2</v>
      </c>
      <c r="K179" s="230">
        <f t="shared" si="221"/>
        <v>-7.6538062307421953E-2</v>
      </c>
      <c r="L179" s="230">
        <f t="shared" si="221"/>
        <v>-0.11163657257874149</v>
      </c>
      <c r="M179" s="230">
        <f t="shared" si="221"/>
        <v>-7.1467877313511396E-2</v>
      </c>
      <c r="N179" s="230">
        <f t="shared" si="221"/>
        <v>-5.5025680058065603E-3</v>
      </c>
      <c r="O179" s="230">
        <f t="shared" si="221"/>
        <v>0</v>
      </c>
      <c r="P179" s="230">
        <f t="shared" si="221"/>
        <v>0</v>
      </c>
      <c r="Q179" s="230">
        <f t="shared" si="221"/>
        <v>0</v>
      </c>
      <c r="R179" s="230">
        <f t="shared" si="221"/>
        <v>-3.000811165332996E-2</v>
      </c>
      <c r="S179" s="230">
        <f t="shared" si="221"/>
        <v>-2.5249328591668417E-2</v>
      </c>
      <c r="T179" s="230">
        <f t="shared" si="221"/>
        <v>-1.6921504582534126E-2</v>
      </c>
      <c r="U179" s="230">
        <f t="shared" si="221"/>
        <v>0</v>
      </c>
      <c r="V179" s="230">
        <f t="shared" si="221"/>
        <v>-4.9417638174793627E-5</v>
      </c>
      <c r="W179" s="230">
        <f t="shared" si="221"/>
        <v>0</v>
      </c>
      <c r="X179" s="230">
        <f t="shared" si="221"/>
        <v>-1.5170739026209619E-2</v>
      </c>
      <c r="Y179" s="230">
        <f t="shared" si="221"/>
        <v>0</v>
      </c>
      <c r="Z179" s="230">
        <f t="shared" si="221"/>
        <v>-3.7512772808174596E-2</v>
      </c>
      <c r="AA179" s="230">
        <f>+(AA178-AA177)/AA177</f>
        <v>0</v>
      </c>
      <c r="AB179" s="205">
        <f t="shared" ref="AB179:AP179" si="222">+(AB178-AB177)/AB177</f>
        <v>-4.6049384292242146E-2</v>
      </c>
      <c r="AC179" s="205">
        <f t="shared" si="222"/>
        <v>-8.4453005788767771E-2</v>
      </c>
      <c r="AD179" s="205">
        <f t="shared" si="222"/>
        <v>-5.1442199070596245E-2</v>
      </c>
      <c r="AE179" s="205">
        <f t="shared" si="222"/>
        <v>-1.5431508396802464E-2</v>
      </c>
      <c r="AF179" s="205">
        <f t="shared" si="222"/>
        <v>0</v>
      </c>
      <c r="AG179" s="205">
        <f t="shared" si="222"/>
        <v>0</v>
      </c>
      <c r="AH179" s="205">
        <f t="shared" si="222"/>
        <v>0</v>
      </c>
      <c r="AI179" s="205">
        <f t="shared" si="222"/>
        <v>-2.2718007102821802E-2</v>
      </c>
      <c r="AJ179" s="205">
        <f t="shared" si="222"/>
        <v>0</v>
      </c>
      <c r="AK179" s="205">
        <f t="shared" si="222"/>
        <v>-5.4974172283697227E-2</v>
      </c>
      <c r="AL179" s="205">
        <f t="shared" si="222"/>
        <v>-4.398152339332749E-2</v>
      </c>
      <c r="AM179" s="205">
        <f t="shared" si="222"/>
        <v>-2.6998922751478069E-2</v>
      </c>
      <c r="AN179" s="205">
        <f t="shared" si="222"/>
        <v>0</v>
      </c>
      <c r="AO179" s="205">
        <f t="shared" si="222"/>
        <v>-7.8355796034920211E-2</v>
      </c>
      <c r="AP179" s="205">
        <f t="shared" si="222"/>
        <v>-5.8362099244782077E-2</v>
      </c>
      <c r="AQ179" s="205">
        <f>+(AQ178-AQ177)/AQ177</f>
        <v>-5.1201270828978213E-2</v>
      </c>
      <c r="AR179" s="205">
        <f>+(AR178-AR177)/AR177</f>
        <v>-4.6170269435692933E-2</v>
      </c>
      <c r="AS179" s="205">
        <f>+(AS178-AS177)/AS177</f>
        <v>-3.9324601512982595E-2</v>
      </c>
      <c r="AT179" s="205">
        <f>+(AT178-AT177)/AT177</f>
        <v>-3.9324601512982595E-2</v>
      </c>
      <c r="AU179" s="205">
        <f>+(AU178-AU177)/AU177</f>
        <v>-3.9324601512982595E-2</v>
      </c>
      <c r="AV179" s="201" t="s">
        <v>79</v>
      </c>
      <c r="AW179" s="184"/>
      <c r="AX179" s="184"/>
      <c r="AY179" s="184"/>
    </row>
    <row r="180" spans="1:51" ht="22">
      <c r="A180" s="284"/>
      <c r="B180" s="201" t="s">
        <v>80</v>
      </c>
      <c r="C180" s="230">
        <f t="shared" ref="C180:Z180" si="223">+C176-C179</f>
        <v>-8.187268125784436E-2</v>
      </c>
      <c r="D180" s="230">
        <f t="shared" si="223"/>
        <v>-0.10695129596033254</v>
      </c>
      <c r="E180" s="230">
        <f t="shared" si="223"/>
        <v>-0.11234306423795029</v>
      </c>
      <c r="F180" s="230">
        <f t="shared" si="223"/>
        <v>-0.11912478520075945</v>
      </c>
      <c r="G180" s="230">
        <f t="shared" si="223"/>
        <v>-0.13026249039176524</v>
      </c>
      <c r="H180" s="230">
        <f t="shared" si="223"/>
        <v>-0.14087425731650807</v>
      </c>
      <c r="I180" s="230">
        <f t="shared" si="223"/>
        <v>-0.13974031522459598</v>
      </c>
      <c r="J180" s="230">
        <f t="shared" si="223"/>
        <v>-0.14305376879977513</v>
      </c>
      <c r="K180" s="230">
        <f t="shared" si="223"/>
        <v>-0.14166017997273578</v>
      </c>
      <c r="L180" s="230">
        <f t="shared" si="223"/>
        <v>-0.13007181957815894</v>
      </c>
      <c r="M180" s="230">
        <f t="shared" si="223"/>
        <v>-0.11859753407478585</v>
      </c>
      <c r="N180" s="230">
        <f t="shared" si="223"/>
        <v>-0.12323198758078976</v>
      </c>
      <c r="O180" s="230">
        <f t="shared" si="223"/>
        <v>-0.13741987754117291</v>
      </c>
      <c r="P180" s="230">
        <f t="shared" si="223"/>
        <v>-0.13736487121553159</v>
      </c>
      <c r="Q180" s="230">
        <f t="shared" si="223"/>
        <v>-0.11628070122545062</v>
      </c>
      <c r="R180" s="230">
        <f t="shared" si="223"/>
        <v>-9.6602904896076633E-2</v>
      </c>
      <c r="S180" s="230">
        <f t="shared" si="223"/>
        <v>-8.7330555900771406E-2</v>
      </c>
      <c r="T180" s="230">
        <f t="shared" si="223"/>
        <v>-7.9982474205317802E-2</v>
      </c>
      <c r="U180" s="230">
        <f t="shared" si="223"/>
        <v>-6.8375582467482848E-2</v>
      </c>
      <c r="V180" s="230">
        <f t="shared" si="223"/>
        <v>-6.1914391399424909E-2</v>
      </c>
      <c r="W180" s="230">
        <f t="shared" si="223"/>
        <v>-1.7810799029736101E-2</v>
      </c>
      <c r="X180" s="230">
        <f t="shared" si="223"/>
        <v>-3.6984435944688178E-2</v>
      </c>
      <c r="Y180" s="230">
        <f t="shared" si="223"/>
        <v>-2.2694758933303309E-2</v>
      </c>
      <c r="Z180" s="230">
        <f t="shared" si="223"/>
        <v>-3.7294530270769455E-2</v>
      </c>
      <c r="AA180" s="230">
        <f t="shared" ref="AA180:AR180" si="224">+AA176-AA179</f>
        <v>-2.3434878203447921E-2</v>
      </c>
      <c r="AB180" s="205">
        <f t="shared" si="224"/>
        <v>-1.9209336990539533E-2</v>
      </c>
      <c r="AC180" s="205">
        <f t="shared" si="224"/>
        <v>-1.9500536076271877E-2</v>
      </c>
      <c r="AD180" s="205">
        <f t="shared" si="224"/>
        <v>-3.710242796139343E-2</v>
      </c>
      <c r="AE180" s="205">
        <f t="shared" si="224"/>
        <v>-3.7664180473309522E-2</v>
      </c>
      <c r="AF180" s="205">
        <f t="shared" si="224"/>
        <v>-3.0269223509043149E-2</v>
      </c>
      <c r="AG180" s="205">
        <f t="shared" si="224"/>
        <v>0</v>
      </c>
      <c r="AH180" s="205">
        <f t="shared" si="224"/>
        <v>0</v>
      </c>
      <c r="AI180" s="205">
        <f t="shared" si="224"/>
        <v>2.2718007102821802E-2</v>
      </c>
      <c r="AJ180" s="205">
        <f t="shared" si="224"/>
        <v>0</v>
      </c>
      <c r="AK180" s="205">
        <f t="shared" si="224"/>
        <v>-1.0450167262291456E-2</v>
      </c>
      <c r="AL180" s="205">
        <f t="shared" si="224"/>
        <v>-7.5199428808248453E-3</v>
      </c>
      <c r="AM180" s="205">
        <f t="shared" si="224"/>
        <v>2.6998922751478069E-2</v>
      </c>
      <c r="AN180" s="205">
        <f t="shared" si="224"/>
        <v>0</v>
      </c>
      <c r="AO180" s="205">
        <f t="shared" si="224"/>
        <v>-2.0526646660058559E-2</v>
      </c>
      <c r="AP180" s="205">
        <f t="shared" si="224"/>
        <v>3.4843385624719919E-2</v>
      </c>
      <c r="AQ180" s="205">
        <f t="shared" si="224"/>
        <v>1.6886859127953131E-2</v>
      </c>
      <c r="AR180" s="205">
        <f t="shared" si="224"/>
        <v>-8.8432027979007399E-4</v>
      </c>
      <c r="AS180" s="205">
        <f t="shared" ref="AS180:AT180" si="225">+AS176-AS179</f>
        <v>5.0838318631578963E-3</v>
      </c>
      <c r="AT180" s="205">
        <f t="shared" si="225"/>
        <v>5.0838318631578963E-3</v>
      </c>
      <c r="AU180" s="205">
        <f t="shared" ref="AU180" si="226">+AU176-AU179</f>
        <v>5.0838318631578963E-3</v>
      </c>
      <c r="AV180" s="201" t="s">
        <v>80</v>
      </c>
      <c r="AW180" s="184"/>
      <c r="AX180" s="184"/>
      <c r="AY180" s="184"/>
    </row>
    <row r="181" spans="1:51" ht="22">
      <c r="A181" s="285"/>
      <c r="B181" s="206" t="s">
        <v>25</v>
      </c>
      <c r="C181" s="232" cm="1">
        <f t="array" ref="C181">_xlfn.XLOOKUP(MIN(ABS($BJ$7:$BJ$29 - MEDIAN(MIN($BJ$7:$BJ$29), MAX($BJ$7:$BJ$29), C180))), ABS($BJ$7:$BJ$29 - MEDIAN(MIN($BJ$7:$BJ$29), MAX($BJ$7:$BJ$29), C180)), $BK$7:$BK$29, "Error", 0)</f>
        <v>-7</v>
      </c>
      <c r="D181" s="232" cm="1">
        <f t="array" ref="D181">_xlfn.XLOOKUP(MIN(ABS($BJ$7:$BJ$29 - MEDIAN(MIN($BJ$7:$BJ$29), MAX($BJ$7:$BJ$29), D180))), ABS($BJ$7:$BJ$29 - MEDIAN(MIN($BJ$7:$BJ$29), MAX($BJ$7:$BJ$29), D180)), $BK$7:$BK$29, "Error", 0)</f>
        <v>-9</v>
      </c>
      <c r="E181" s="232" cm="1">
        <f t="array" ref="E181">_xlfn.XLOOKUP(MIN(ABS($BJ$7:$BJ$29 - MEDIAN(MIN($BJ$7:$BJ$29), MAX($BJ$7:$BJ$29), E180))), ABS($BJ$7:$BJ$29 - MEDIAN(MIN($BJ$7:$BJ$29), MAX($BJ$7:$BJ$29), E180)), $BK$7:$BK$29, "Error", 0)</f>
        <v>-10</v>
      </c>
      <c r="F181" s="232" cm="1">
        <f t="array" ref="F181">_xlfn.XLOOKUP(MIN(ABS($BJ$7:$BJ$29 - MEDIAN(MIN($BJ$7:$BJ$29), MAX($BJ$7:$BJ$29), F180))), ABS($BJ$7:$BJ$29 - MEDIAN(MIN($BJ$7:$BJ$29), MAX($BJ$7:$BJ$29), F180)), $BK$7:$BK$29, "Error", 0)</f>
        <v>-10</v>
      </c>
      <c r="G181" s="232" cm="1">
        <f t="array" ref="G181">_xlfn.XLOOKUP(MIN(ABS($BJ$7:$BJ$29 - MEDIAN(MIN($BJ$7:$BJ$29), MAX($BJ$7:$BJ$29), G180))), ABS($BJ$7:$BJ$29 - MEDIAN(MIN($BJ$7:$BJ$29), MAX($BJ$7:$BJ$29), G180)), $BK$7:$BK$29, "Error", 0)</f>
        <v>-9</v>
      </c>
      <c r="H181" s="232" cm="1">
        <f t="array" ref="H181">_xlfn.XLOOKUP(MIN(ABS($BJ$7:$BJ$29 - MEDIAN(MIN($BJ$7:$BJ$29), MAX($BJ$7:$BJ$29), H180))), ABS($BJ$7:$BJ$29 - MEDIAN(MIN($BJ$7:$BJ$29), MAX($BJ$7:$BJ$29), H180)), $BK$7:$BK$29, "Error", 0)</f>
        <v>-9</v>
      </c>
      <c r="I181" s="232" cm="1">
        <f t="array" ref="I181">_xlfn.XLOOKUP(MIN(ABS($BJ$7:$BJ$29 - MEDIAN(MIN($BJ$7:$BJ$29), MAX($BJ$7:$BJ$29), I180))), ABS($BJ$7:$BJ$29 - MEDIAN(MIN($BJ$7:$BJ$29), MAX($BJ$7:$BJ$29), I180)), $BK$7:$BK$29, "Error", 0)</f>
        <v>-9</v>
      </c>
      <c r="J181" s="232" cm="1">
        <f t="array" ref="J181">_xlfn.XLOOKUP(MIN(ABS($BJ$7:$BJ$29 - MEDIAN(MIN($BJ$7:$BJ$29), MAX($BJ$7:$BJ$29), J180))), ABS($BJ$7:$BJ$29 - MEDIAN(MIN($BJ$7:$BJ$29), MAX($BJ$7:$BJ$29), J180)), $BK$7:$BK$29, "Error", 0)</f>
        <v>-9</v>
      </c>
      <c r="K181" s="232" cm="1">
        <f t="array" ref="K181">_xlfn.XLOOKUP(MIN(ABS($BJ$7:$BJ$29 - MEDIAN(MIN($BJ$7:$BJ$29), MAX($BJ$7:$BJ$29), K180))), ABS($BJ$7:$BJ$29 - MEDIAN(MIN($BJ$7:$BJ$29), MAX($BJ$7:$BJ$29), K180)), $BK$7:$BK$29, "Error", 0)</f>
        <v>-9</v>
      </c>
      <c r="L181" s="232" cm="1">
        <f t="array" ref="L181">_xlfn.XLOOKUP(MIN(ABS($BJ$7:$BJ$29 - MEDIAN(MIN($BJ$7:$BJ$29), MAX($BJ$7:$BJ$29), L180))), ABS($BJ$7:$BJ$29 - MEDIAN(MIN($BJ$7:$BJ$29), MAX($BJ$7:$BJ$29), L180)), $BK$7:$BK$29, "Error", 0)</f>
        <v>-9</v>
      </c>
      <c r="M181" s="232" cm="1">
        <f t="array" ref="M181">_xlfn.XLOOKUP(MIN(ABS($BJ$7:$BJ$29 - MEDIAN(MIN($BJ$7:$BJ$29), MAX($BJ$7:$BJ$29), M180))), ABS($BJ$7:$BJ$29 - MEDIAN(MIN($BJ$7:$BJ$29), MAX($BJ$7:$BJ$29), M180)), $BK$7:$BK$29, "Error", 0)</f>
        <v>-10</v>
      </c>
      <c r="N181" s="232" cm="1">
        <f t="array" ref="N181">_xlfn.XLOOKUP(MIN(ABS($BJ$7:$BJ$29 - MEDIAN(MIN($BJ$7:$BJ$29), MAX($BJ$7:$BJ$29), N180))), ABS($BJ$7:$BJ$29 - MEDIAN(MIN($BJ$7:$BJ$29), MAX($BJ$7:$BJ$29), N180)), $BK$7:$BK$29, "Error", 0)</f>
        <v>-10</v>
      </c>
      <c r="O181" s="232" cm="1">
        <f t="array" ref="O181">_xlfn.XLOOKUP(MIN(ABS($BJ$7:$BJ$29 - MEDIAN(MIN($BJ$7:$BJ$29), MAX($BJ$7:$BJ$29), O180))), ABS($BJ$7:$BJ$29 - MEDIAN(MIN($BJ$7:$BJ$29), MAX($BJ$7:$BJ$29), O180)), $BK$7:$BK$29, "Error", 0)</f>
        <v>-9</v>
      </c>
      <c r="P181" s="232" cm="1">
        <f t="array" ref="P181">_xlfn.XLOOKUP(MIN(ABS($BJ$7:$BJ$29 - MEDIAN(MIN($BJ$7:$BJ$29), MAX($BJ$7:$BJ$29), P180))), ABS($BJ$7:$BJ$29 - MEDIAN(MIN($BJ$7:$BJ$29), MAX($BJ$7:$BJ$29), P180)), $BK$7:$BK$29, "Error", 0)</f>
        <v>-9</v>
      </c>
      <c r="Q181" s="232" cm="1">
        <f t="array" ref="Q181">_xlfn.XLOOKUP(MIN(ABS($BJ$7:$BJ$29 - MEDIAN(MIN($BJ$7:$BJ$29), MAX($BJ$7:$BJ$29), Q180))), ABS($BJ$7:$BJ$29 - MEDIAN(MIN($BJ$7:$BJ$29), MAX($BJ$7:$BJ$29), Q180)), $BK$7:$BK$29, "Error", 0)</f>
        <v>-10</v>
      </c>
      <c r="R181" s="232" cm="1">
        <f t="array" ref="R181">_xlfn.XLOOKUP(MIN(ABS($BJ$7:$BJ$29 - MEDIAN(MIN($BJ$7:$BJ$29), MAX($BJ$7:$BJ$29), R180))), ABS($BJ$7:$BJ$29 - MEDIAN(MIN($BJ$7:$BJ$29), MAX($BJ$7:$BJ$29), R180)), $BK$7:$BK$29, "Error", 0)</f>
        <v>-9</v>
      </c>
      <c r="S181" s="232" cm="1">
        <f t="array" ref="S181">_xlfn.XLOOKUP(MIN(ABS($BJ$7:$BJ$29 - MEDIAN(MIN($BJ$7:$BJ$29), MAX($BJ$7:$BJ$29), S180))), ABS($BJ$7:$BJ$29 - MEDIAN(MIN($BJ$7:$BJ$29), MAX($BJ$7:$BJ$29), S180)), $BK$7:$BK$29, "Error", 0)</f>
        <v>-7</v>
      </c>
      <c r="T181" s="232" cm="1">
        <f t="array" ref="T181">_xlfn.XLOOKUP(MIN(ABS($BJ$7:$BJ$29 - MEDIAN(MIN($BJ$7:$BJ$29), MAX($BJ$7:$BJ$29), T180))), ABS($BJ$7:$BJ$29 - MEDIAN(MIN($BJ$7:$BJ$29), MAX($BJ$7:$BJ$29), T180)), $BK$7:$BK$29, "Error", 0)</f>
        <v>-7</v>
      </c>
      <c r="U181" s="232" cm="1">
        <f t="array" ref="U181">_xlfn.XLOOKUP(MIN(ABS($BJ$7:$BJ$29 - MEDIAN(MIN($BJ$7:$BJ$29), MAX($BJ$7:$BJ$29), U180))), ABS($BJ$7:$BJ$29 - MEDIAN(MIN($BJ$7:$BJ$29), MAX($BJ$7:$BJ$29), U180)), $BK$7:$BK$29, "Error", 0)</f>
        <v>-5</v>
      </c>
      <c r="V181" s="232" cm="1">
        <f t="array" ref="V181">_xlfn.XLOOKUP(MIN(ABS($BJ$7:$BJ$29 - MEDIAN(MIN($BJ$7:$BJ$29), MAX($BJ$7:$BJ$29), V180))), ABS($BJ$7:$BJ$29 - MEDIAN(MIN($BJ$7:$BJ$29), MAX($BJ$7:$BJ$29), V180)), $BK$7:$BK$29, "Error", 0)</f>
        <v>-5</v>
      </c>
      <c r="W181" s="232" cm="1">
        <f t="array" ref="W181">_xlfn.XLOOKUP(MIN(ABS($BJ$7:$BJ$29 - MEDIAN(MIN($BJ$7:$BJ$29), MAX($BJ$7:$BJ$29), W180))), ABS($BJ$7:$BJ$29 - MEDIAN(MIN($BJ$7:$BJ$29), MAX($BJ$7:$BJ$29), W180)), $BK$7:$BK$29, "Error", 0)</f>
        <v>-2</v>
      </c>
      <c r="X181" s="232" cm="1">
        <f t="array" ref="X181">_xlfn.XLOOKUP(MIN(ABS($BJ$7:$BJ$29 - MEDIAN(MIN($BJ$7:$BJ$29), MAX($BJ$7:$BJ$29), X180))), ABS($BJ$7:$BJ$29 - MEDIAN(MIN($BJ$7:$BJ$29), MAX($BJ$7:$BJ$29), X180)), $BK$7:$BK$29, "Error", 0)</f>
        <v>-3</v>
      </c>
      <c r="Y181" s="232" cm="1">
        <f t="array" ref="Y181">_xlfn.XLOOKUP(MIN(ABS($BJ$7:$BJ$29 - MEDIAN(MIN($BJ$7:$BJ$29), MAX($BJ$7:$BJ$29), Y180))), ABS($BJ$7:$BJ$29 - MEDIAN(MIN($BJ$7:$BJ$29), MAX($BJ$7:$BJ$29), Y180)), $BK$7:$BK$29, "Error", 0)</f>
        <v>-2</v>
      </c>
      <c r="Z181" s="232" cm="1">
        <f t="array" ref="Z181">_xlfn.XLOOKUP(MIN(ABS($BJ$7:$BJ$29 - MEDIAN(MIN($BJ$7:$BJ$29), MAX($BJ$7:$BJ$29), Z180))), ABS($BJ$7:$BJ$29 - MEDIAN(MIN($BJ$7:$BJ$29), MAX($BJ$7:$BJ$29), Z180)), $BK$7:$BK$29, "Error", 0)</f>
        <v>-3</v>
      </c>
      <c r="AA181" s="232" cm="1">
        <f t="array" ref="AA181">_xlfn.XLOOKUP(MIN(ABS($BJ$7:$BJ$29 - MEDIAN(MIN($BJ$7:$BJ$29), MAX($BJ$7:$BJ$29), AA180))), ABS($BJ$7:$BJ$29 - MEDIAN(MIN($BJ$7:$BJ$29), MAX($BJ$7:$BJ$29), AA180)), $BK$7:$BK$29, "Error", 0)</f>
        <v>-2</v>
      </c>
      <c r="AB181" s="171" cm="1">
        <f t="array" ref="AB181">_xlfn.XLOOKUP(MIN(ABS($BJ$7:$BJ$29 - MEDIAN(MIN($BJ$7:$BJ$29), MAX($BJ$7:$BJ$29), AB180))), ABS($BJ$7:$BJ$29 - MEDIAN(MIN($BJ$7:$BJ$29), MAX($BJ$7:$BJ$29), AB180)), $BK$7:$BK$29, "Error", 0)</f>
        <v>-2</v>
      </c>
      <c r="AC181" s="171" cm="1">
        <f t="array" ref="AC181">_xlfn.XLOOKUP(MIN(ABS($BJ$7:$BJ$29 - MEDIAN(MIN($BJ$7:$BJ$29), MAX($BJ$7:$BJ$29), AC180))), ABS($BJ$7:$BJ$29 - MEDIAN(MIN($BJ$7:$BJ$29), MAX($BJ$7:$BJ$29), AC180)), $BK$7:$BK$29, "Error", 0)</f>
        <v>-2</v>
      </c>
      <c r="AD181" s="171" cm="1">
        <f t="array" ref="AD181">_xlfn.XLOOKUP(MIN(ABS($BJ$7:$BJ$29 - MEDIAN(MIN($BJ$7:$BJ$29), MAX($BJ$7:$BJ$29), AD180))), ABS($BJ$7:$BJ$29 - MEDIAN(MIN($BJ$7:$BJ$29), MAX($BJ$7:$BJ$29), AD180)), $BK$7:$BK$29, "Error", 0)</f>
        <v>-3</v>
      </c>
      <c r="AE181" s="171" cm="1">
        <f t="array" ref="AE181">_xlfn.XLOOKUP(MIN(ABS($BJ$7:$BJ$29 - MEDIAN(MIN($BJ$7:$BJ$29), MAX($BJ$7:$BJ$29), AE180))), ABS($BJ$7:$BJ$29 - MEDIAN(MIN($BJ$7:$BJ$29), MAX($BJ$7:$BJ$29), AE180)), $BK$7:$BK$29, "Error", 0)</f>
        <v>-3</v>
      </c>
      <c r="AF181" s="171" cm="1">
        <f t="array" ref="AF181">_xlfn.XLOOKUP(MIN(ABS($BJ$7:$BJ$29 - MEDIAN(MIN($BJ$7:$BJ$29), MAX($BJ$7:$BJ$29), AF180))), ABS($BJ$7:$BJ$29 - MEDIAN(MIN($BJ$7:$BJ$29), MAX($BJ$7:$BJ$29), AF180)), $BK$7:$BK$29, "Error", 0)</f>
        <v>-3</v>
      </c>
      <c r="AG181" s="171" cm="1">
        <f t="array" ref="AG181">_xlfn.XLOOKUP(MIN(ABS($BJ$7:$BJ$29 - MEDIAN(MIN($BJ$7:$BJ$29), MAX($BJ$7:$BJ$29), AG180))), ABS($BJ$7:$BJ$29 - MEDIAN(MIN($BJ$7:$BJ$29), MAX($BJ$7:$BJ$29), AG180)), $BK$7:$BK$29, "Error", 0)</f>
        <v>0</v>
      </c>
      <c r="AH181" s="171" cm="1">
        <f t="array" ref="AH181">_xlfn.XLOOKUP(MIN(ABS($BJ$7:$BJ$29 - MEDIAN(MIN($BJ$7:$BJ$29), MAX($BJ$7:$BJ$29), AH180))), ABS($BJ$7:$BJ$29 - MEDIAN(MIN($BJ$7:$BJ$29), MAX($BJ$7:$BJ$29), AH180)), $BK$7:$BK$29, "Error", 0)</f>
        <v>0</v>
      </c>
      <c r="AI181" s="171" cm="1">
        <f t="array" ref="AI181">_xlfn.XLOOKUP(MIN(ABS($BJ$7:$BJ$29 - MEDIAN(MIN($BJ$7:$BJ$29), MAX($BJ$7:$BJ$29), AI180))), ABS($BJ$7:$BJ$29 - MEDIAN(MIN($BJ$7:$BJ$29), MAX($BJ$7:$BJ$29), AI180)), $BK$7:$BK$29, "Error", 0)</f>
        <v>2</v>
      </c>
      <c r="AJ181" s="171" cm="1">
        <f t="array" ref="AJ181">_xlfn.XLOOKUP(MIN(ABS($BJ$7:$BJ$29 - MEDIAN(MIN($BJ$7:$BJ$29), MAX($BJ$7:$BJ$29), AJ180))), ABS($BJ$7:$BJ$29 - MEDIAN(MIN($BJ$7:$BJ$29), MAX($BJ$7:$BJ$29), AJ180)), $BK$7:$BK$29, "Error", 0)</f>
        <v>0</v>
      </c>
      <c r="AK181" s="171" cm="1">
        <f t="array" ref="AK181">_xlfn.XLOOKUP(MIN(ABS($BJ$7:$BJ$29 - MEDIAN(MIN($BJ$7:$BJ$29), MAX($BJ$7:$BJ$29), AK180))), ABS($BJ$7:$BJ$29 - MEDIAN(MIN($BJ$7:$BJ$29), MAX($BJ$7:$BJ$29), AK180)), $BK$7:$BK$29, "Error", 0)</f>
        <v>-2</v>
      </c>
      <c r="AL181" s="171" cm="1">
        <f t="array" ref="AL181">_xlfn.XLOOKUP(MIN(ABS($BJ$7:$BJ$29 - MEDIAN(MIN($BJ$7:$BJ$29), MAX($BJ$7:$BJ$29), AL180))), ABS($BJ$7:$BJ$29 - MEDIAN(MIN($BJ$7:$BJ$29), MAX($BJ$7:$BJ$29), AL180)), $BK$7:$BK$29, "Error", 0)</f>
        <v>0</v>
      </c>
      <c r="AM181" s="171" cm="1">
        <f t="array" ref="AM181">_xlfn.XLOOKUP(MIN(ABS($BJ$7:$BJ$29 - MEDIAN(MIN($BJ$7:$BJ$29), MAX($BJ$7:$BJ$29), AM180))), ABS($BJ$7:$BJ$29 - MEDIAN(MIN($BJ$7:$BJ$29), MAX($BJ$7:$BJ$29), AM180)), $BK$7:$BK$29, "Error", 0)</f>
        <v>2</v>
      </c>
      <c r="AN181" s="171" cm="1">
        <f t="array" ref="AN181">_xlfn.XLOOKUP(MIN(ABS($BJ$7:$BJ$29 - MEDIAN(MIN($BJ$7:$BJ$29), MAX($BJ$7:$BJ$29), AN180))), ABS($BJ$7:$BJ$29 - MEDIAN(MIN($BJ$7:$BJ$29), MAX($BJ$7:$BJ$29), AN180)), $BK$7:$BK$29, "Error", 0)</f>
        <v>0</v>
      </c>
      <c r="AO181" s="171" cm="1">
        <f t="array" ref="AO181">_xlfn.XLOOKUP(MIN(ABS($BJ$7:$BJ$29 - MEDIAN(MIN($BJ$7:$BJ$29), MAX($BJ$7:$BJ$29), AO180))), ABS($BJ$7:$BJ$29 - MEDIAN(MIN($BJ$7:$BJ$29), MAX($BJ$7:$BJ$29), AO180)), $BK$7:$BK$29, "Error", 0)</f>
        <v>-2</v>
      </c>
      <c r="AP181" s="171" cm="1">
        <f t="array" ref="AP181">_xlfn.XLOOKUP(MIN(ABS($BJ$7:$BJ$29 - MEDIAN(MIN($BJ$7:$BJ$29), MAX($BJ$7:$BJ$29), AP180))), ABS($BJ$7:$BJ$29 - MEDIAN(MIN($BJ$7:$BJ$29), MAX($BJ$7:$BJ$29), AP180)), $BK$7:$BK$29, "Error", 0)</f>
        <v>3</v>
      </c>
      <c r="AQ181" s="171" cm="1">
        <f t="array" ref="AQ181">_xlfn.XLOOKUP(MIN(ABS($BJ$7:$BJ$29 - MEDIAN(MIN($BJ$7:$BJ$29), MAX($BJ$7:$BJ$29), AQ180))), ABS($BJ$7:$BJ$29 - MEDIAN(MIN($BJ$7:$BJ$29), MAX($BJ$7:$BJ$29), AQ180)), $BK$7:$BK$29, "Error", 0)</f>
        <v>2</v>
      </c>
      <c r="AR181" s="171" cm="1">
        <f t="array" ref="AR181">_xlfn.XLOOKUP(MIN(ABS($BJ$7:$BJ$29 - MEDIAN(MIN($BJ$7:$BJ$29), MAX($BJ$7:$BJ$29), AR180))), ABS($BJ$7:$BJ$29 - MEDIAN(MIN($BJ$7:$BJ$29), MAX($BJ$7:$BJ$29), AR180)), $BK$7:$BK$29, "Error", 0)</f>
        <v>0</v>
      </c>
      <c r="AS181" s="171" cm="1">
        <f t="array" ref="AS181">_xlfn.XLOOKUP(MIN(ABS($BJ$7:$BJ$29 - MEDIAN(MIN($BJ$7:$BJ$29), MAX($BJ$7:$BJ$29), AS180))), ABS($BJ$7:$BJ$29 - MEDIAN(MIN($BJ$7:$BJ$29), MAX($BJ$7:$BJ$29), AS180)), $BK$7:$BK$29, "Error", 0)</f>
        <v>0</v>
      </c>
      <c r="AT181" s="171" cm="1">
        <f t="array" ref="AT181">_xlfn.XLOOKUP(MIN(ABS($BJ$7:$BJ$29 - MEDIAN(MIN($BJ$7:$BJ$29), MAX($BJ$7:$BJ$29), AT180))), ABS($BJ$7:$BJ$29 - MEDIAN(MIN($BJ$7:$BJ$29), MAX($BJ$7:$BJ$29), AT180)), $BK$7:$BK$29, "Error", 0)</f>
        <v>0</v>
      </c>
      <c r="AU181" s="171" cm="1">
        <f t="array" ref="AU181">_xlfn.XLOOKUP(MIN(ABS($BJ$7:$BJ$29 - MEDIAN(MIN($BJ$7:$BJ$29), MAX($BJ$7:$BJ$29), AU180))), ABS($BJ$7:$BJ$29 - MEDIAN(MIN($BJ$7:$BJ$29), MAX($BJ$7:$BJ$29), AU180)), $BK$7:$BK$29, "Error", 0)</f>
        <v>0</v>
      </c>
      <c r="AV181" s="206" t="s">
        <v>25</v>
      </c>
      <c r="AW181" s="184"/>
      <c r="AX181" s="184"/>
      <c r="AY181" s="184"/>
    </row>
    <row r="182" spans="1:51" ht="44">
      <c r="A182" s="283" t="s">
        <v>19</v>
      </c>
      <c r="B182" s="200" t="s">
        <v>76</v>
      </c>
      <c r="C182" s="233">
        <v>2221906.6044098102</v>
      </c>
      <c r="D182" s="233">
        <v>2221906.6044098102</v>
      </c>
      <c r="E182" s="233">
        <v>2221906.6044098102</v>
      </c>
      <c r="F182" s="233">
        <v>2221906.6044098102</v>
      </c>
      <c r="G182" s="233">
        <v>2221906.6044098102</v>
      </c>
      <c r="H182" s="233">
        <v>2221906.6044098102</v>
      </c>
      <c r="I182" s="233">
        <v>2261641.7707764199</v>
      </c>
      <c r="J182" s="233">
        <v>2261641.7707764199</v>
      </c>
      <c r="K182" s="233">
        <v>2261641.7707764199</v>
      </c>
      <c r="L182" s="233">
        <v>2261641.7707764199</v>
      </c>
      <c r="M182" s="233">
        <v>2261641.7707764199</v>
      </c>
      <c r="N182" s="233">
        <v>2312322.7507292801</v>
      </c>
      <c r="O182" s="233">
        <v>2345631.8482960002</v>
      </c>
      <c r="P182" s="233">
        <v>2398013.0130115901</v>
      </c>
      <c r="Q182" s="233">
        <v>2494896.0426520002</v>
      </c>
      <c r="R182" s="233">
        <v>2494896.0426520002</v>
      </c>
      <c r="S182" s="233">
        <v>2601606.5025329599</v>
      </c>
      <c r="T182" s="233">
        <v>2625241.7217484098</v>
      </c>
      <c r="U182" s="233">
        <v>2625241.7217484098</v>
      </c>
      <c r="V182" s="233">
        <v>2625241.7217484098</v>
      </c>
      <c r="W182" s="233">
        <v>2627976.4027709998</v>
      </c>
      <c r="X182" s="233">
        <v>2759289.0070579899</v>
      </c>
      <c r="Y182" s="233">
        <v>2866349.95534134</v>
      </c>
      <c r="Z182" s="233">
        <v>2866349.95534134</v>
      </c>
      <c r="AA182" s="204">
        <v>2866349.95534134</v>
      </c>
      <c r="AB182" s="204">
        <v>2866349.95534134</v>
      </c>
      <c r="AC182" s="204">
        <v>2866349.95534134</v>
      </c>
      <c r="AD182" s="204">
        <v>2866349.95534134</v>
      </c>
      <c r="AE182" s="204">
        <v>2866349.95534134</v>
      </c>
      <c r="AF182" s="204">
        <v>2882384.44892168</v>
      </c>
      <c r="AG182" s="204">
        <v>3003509.9388621999</v>
      </c>
      <c r="AH182" s="204">
        <v>3116393.4239360699</v>
      </c>
      <c r="AI182" s="204">
        <v>3247793.9888731102</v>
      </c>
      <c r="AJ182" s="204">
        <v>3400536.3679134101</v>
      </c>
      <c r="AK182" s="204">
        <v>3526952.6166381799</v>
      </c>
      <c r="AL182" s="204">
        <v>3677355.76799811</v>
      </c>
      <c r="AM182" s="204">
        <v>3677355.76799811</v>
      </c>
      <c r="AN182" s="204">
        <v>3975563.5946835298</v>
      </c>
      <c r="AO182" s="204">
        <v>3975563.5946835298</v>
      </c>
      <c r="AP182" s="204">
        <v>4046101.1209063199</v>
      </c>
      <c r="AQ182" s="204">
        <v>4046101.1209063199</v>
      </c>
      <c r="AR182" s="204">
        <v>4046101.1209063199</v>
      </c>
      <c r="AS182" s="204">
        <v>4101567</v>
      </c>
      <c r="AT182" s="204">
        <v>4101567</v>
      </c>
      <c r="AU182" s="204">
        <v>4101567</v>
      </c>
      <c r="AV182" s="200" t="s">
        <v>76</v>
      </c>
      <c r="AW182" s="184"/>
      <c r="AX182" s="184"/>
      <c r="AY182" s="184"/>
    </row>
    <row r="183" spans="1:51" ht="22">
      <c r="A183" s="284"/>
      <c r="B183" s="201" t="s">
        <v>77</v>
      </c>
      <c r="C183" s="233">
        <v>2024510.0397554899</v>
      </c>
      <c r="D183" s="233">
        <v>2030289.2727831299</v>
      </c>
      <c r="E183" s="233">
        <v>1979759.83303982</v>
      </c>
      <c r="F183" s="233">
        <v>2059343.7491493199</v>
      </c>
      <c r="G183" s="233">
        <v>2011767.69127053</v>
      </c>
      <c r="H183" s="233">
        <v>2202289.07179061</v>
      </c>
      <c r="I183" s="233">
        <v>2261641.7707764199</v>
      </c>
      <c r="J183" s="233">
        <v>2190322.2522005099</v>
      </c>
      <c r="K183" s="233">
        <v>2148205.6148581798</v>
      </c>
      <c r="L183" s="233">
        <v>2034921.9011077899</v>
      </c>
      <c r="M183" s="233">
        <v>2189284.3757991502</v>
      </c>
      <c r="N183" s="233">
        <v>2312322.7507292801</v>
      </c>
      <c r="O183" s="233">
        <v>2345631.8482960002</v>
      </c>
      <c r="P183" s="233">
        <v>2398013.0130115901</v>
      </c>
      <c r="Q183" s="233">
        <v>2494896.0426520002</v>
      </c>
      <c r="R183" s="233">
        <v>2483465.7220687899</v>
      </c>
      <c r="S183" s="233">
        <v>2601606.5025329599</v>
      </c>
      <c r="T183" s="233">
        <v>2625241.7217484098</v>
      </c>
      <c r="U183" s="233">
        <v>2547434.17706028</v>
      </c>
      <c r="V183" s="233">
        <v>2527643.92876714</v>
      </c>
      <c r="W183" s="233">
        <v>2627976.4027709998</v>
      </c>
      <c r="X183" s="233">
        <v>2759289.0070579899</v>
      </c>
      <c r="Y183" s="233">
        <v>2866349.95534134</v>
      </c>
      <c r="Z183" s="233">
        <v>2705133.4831983601</v>
      </c>
      <c r="AA183" s="204">
        <v>2714551.5473073702</v>
      </c>
      <c r="AB183" s="204">
        <v>2637216.4544563298</v>
      </c>
      <c r="AC183" s="204">
        <v>2605099.7972297701</v>
      </c>
      <c r="AD183" s="204">
        <v>2556310.1997278598</v>
      </c>
      <c r="AE183" s="204">
        <v>2743309.6799715301</v>
      </c>
      <c r="AF183" s="204">
        <v>2882384.44892168</v>
      </c>
      <c r="AG183" s="204">
        <v>3003509.9388621999</v>
      </c>
      <c r="AH183" s="204">
        <v>3116393.4239360699</v>
      </c>
      <c r="AI183" s="204">
        <v>3247793.9888731102</v>
      </c>
      <c r="AJ183" s="204">
        <v>3400536.3679134101</v>
      </c>
      <c r="AK183" s="204">
        <v>3526952.6166381799</v>
      </c>
      <c r="AL183" s="204">
        <v>3677355.76799811</v>
      </c>
      <c r="AM183" s="204">
        <v>3625282.7547988901</v>
      </c>
      <c r="AN183" s="204">
        <v>3975563.5946835298</v>
      </c>
      <c r="AO183" s="204">
        <v>3759472.75</v>
      </c>
      <c r="AP183" s="204">
        <v>4046101.1209063199</v>
      </c>
      <c r="AQ183" s="204">
        <v>4014211.77425355</v>
      </c>
      <c r="AR183" s="204">
        <v>3971379.0216242098</v>
      </c>
      <c r="AS183" s="204">
        <v>4101567</v>
      </c>
      <c r="AT183" s="204">
        <v>4101567</v>
      </c>
      <c r="AU183" s="204">
        <v>4101567</v>
      </c>
      <c r="AV183" s="201" t="s">
        <v>77</v>
      </c>
      <c r="AW183" s="184"/>
      <c r="AX183" s="184"/>
      <c r="AY183" s="184"/>
    </row>
    <row r="184" spans="1:51" ht="22">
      <c r="A184" s="284"/>
      <c r="B184" s="201" t="s">
        <v>78</v>
      </c>
      <c r="C184" s="230">
        <f t="shared" ref="C184:Z184" si="227">+(C183-C182)/C182</f>
        <v>-8.8841072015604969E-2</v>
      </c>
      <c r="D184" s="230">
        <f t="shared" si="227"/>
        <v>-8.6240047734849876E-2</v>
      </c>
      <c r="E184" s="230">
        <f t="shared" si="227"/>
        <v>-0.1089815255463044</v>
      </c>
      <c r="F184" s="230">
        <f t="shared" si="227"/>
        <v>-7.3163676158958385E-2</v>
      </c>
      <c r="G184" s="230">
        <f t="shared" si="227"/>
        <v>-9.4575943346231664E-2</v>
      </c>
      <c r="H184" s="230">
        <f t="shared" si="227"/>
        <v>-8.8291436643940548E-3</v>
      </c>
      <c r="I184" s="230">
        <f t="shared" si="227"/>
        <v>0</v>
      </c>
      <c r="J184" s="230">
        <f t="shared" si="227"/>
        <v>-3.1534401025599242E-2</v>
      </c>
      <c r="K184" s="230">
        <f t="shared" si="227"/>
        <v>-5.0156553254363329E-2</v>
      </c>
      <c r="L184" s="230">
        <f t="shared" si="227"/>
        <v>-0.10024570318702471</v>
      </c>
      <c r="M184" s="230">
        <f t="shared" si="227"/>
        <v>-3.1993305001803828E-2</v>
      </c>
      <c r="N184" s="230">
        <f t="shared" si="227"/>
        <v>0</v>
      </c>
      <c r="O184" s="230">
        <f t="shared" si="227"/>
        <v>0</v>
      </c>
      <c r="P184" s="230">
        <f t="shared" si="227"/>
        <v>0</v>
      </c>
      <c r="Q184" s="230">
        <f t="shared" si="227"/>
        <v>0</v>
      </c>
      <c r="R184" s="230">
        <f t="shared" si="227"/>
        <v>-4.5814817081757985E-3</v>
      </c>
      <c r="S184" s="230">
        <f t="shared" si="227"/>
        <v>0</v>
      </c>
      <c r="T184" s="230">
        <f t="shared" si="227"/>
        <v>0</v>
      </c>
      <c r="U184" s="230">
        <f t="shared" si="227"/>
        <v>-2.9638240183197304E-2</v>
      </c>
      <c r="V184" s="230">
        <f t="shared" si="227"/>
        <v>-3.7176688216073943E-2</v>
      </c>
      <c r="W184" s="230">
        <f t="shared" si="227"/>
        <v>0</v>
      </c>
      <c r="X184" s="230">
        <f t="shared" si="227"/>
        <v>0</v>
      </c>
      <c r="Y184" s="230">
        <f t="shared" si="227"/>
        <v>0</v>
      </c>
      <c r="Z184" s="230">
        <f t="shared" si="227"/>
        <v>-5.6244518169373862E-2</v>
      </c>
      <c r="AA184" s="230">
        <f t="shared" ref="AA184:AR184" si="228">+(AA183-AA182)/AA182</f>
        <v>-5.2958783958357541E-2</v>
      </c>
      <c r="AB184" s="205">
        <f t="shared" si="228"/>
        <v>-7.9939122736227025E-2</v>
      </c>
      <c r="AC184" s="205">
        <f t="shared" si="228"/>
        <v>-9.1143845720840777E-2</v>
      </c>
      <c r="AD184" s="205">
        <f t="shared" si="228"/>
        <v>-0.10816535330437663</v>
      </c>
      <c r="AE184" s="205">
        <f t="shared" si="228"/>
        <v>-4.292576876055515E-2</v>
      </c>
      <c r="AF184" s="205">
        <f t="shared" si="228"/>
        <v>0</v>
      </c>
      <c r="AG184" s="205">
        <f t="shared" si="228"/>
        <v>0</v>
      </c>
      <c r="AH184" s="205">
        <f t="shared" si="228"/>
        <v>0</v>
      </c>
      <c r="AI184" s="205">
        <f t="shared" si="228"/>
        <v>0</v>
      </c>
      <c r="AJ184" s="205">
        <f t="shared" si="228"/>
        <v>0</v>
      </c>
      <c r="AK184" s="205">
        <f t="shared" si="228"/>
        <v>0</v>
      </c>
      <c r="AL184" s="205">
        <f t="shared" si="228"/>
        <v>0</v>
      </c>
      <c r="AM184" s="205">
        <f t="shared" si="228"/>
        <v>-1.4160450194234975E-2</v>
      </c>
      <c r="AN184" s="205">
        <f t="shared" si="228"/>
        <v>0</v>
      </c>
      <c r="AO184" s="205">
        <f t="shared" si="228"/>
        <v>-5.4354769968339919E-2</v>
      </c>
      <c r="AP184" s="205">
        <f t="shared" si="228"/>
        <v>0</v>
      </c>
      <c r="AQ184" s="205">
        <f t="shared" si="228"/>
        <v>-7.8815001651829173E-3</v>
      </c>
      <c r="AR184" s="205">
        <f t="shared" si="228"/>
        <v>-1.8467679637569831E-2</v>
      </c>
      <c r="AS184" s="205">
        <f t="shared" ref="AS184:AT184" si="229">+(AS183-AS182)/AS182</f>
        <v>0</v>
      </c>
      <c r="AT184" s="205">
        <f t="shared" si="229"/>
        <v>0</v>
      </c>
      <c r="AU184" s="205">
        <f t="shared" ref="AU184" si="230">+(AU183-AU182)/AU182</f>
        <v>0</v>
      </c>
      <c r="AV184" s="201" t="s">
        <v>78</v>
      </c>
      <c r="AW184" s="184"/>
      <c r="AX184" s="184"/>
      <c r="AY184" s="184"/>
    </row>
    <row r="185" spans="1:51" ht="44">
      <c r="A185" s="284"/>
      <c r="B185" s="201" t="s">
        <v>87</v>
      </c>
      <c r="C185" s="233">
        <v>22181.80078125</v>
      </c>
      <c r="D185" s="233">
        <v>22181.80078125</v>
      </c>
      <c r="E185" s="233">
        <v>22181.80078125</v>
      </c>
      <c r="F185" s="233">
        <v>22181.80078125</v>
      </c>
      <c r="G185" s="233">
        <v>22181.80078125</v>
      </c>
      <c r="H185" s="233">
        <v>22181.80078125</v>
      </c>
      <c r="I185" s="233">
        <v>22181.80078125</v>
      </c>
      <c r="J185" s="233">
        <v>22181.80078125</v>
      </c>
      <c r="K185" s="233">
        <v>22181.80078125</v>
      </c>
      <c r="L185" s="233">
        <v>22181.80078125</v>
      </c>
      <c r="M185" s="233">
        <v>22181.80078125</v>
      </c>
      <c r="N185" s="233">
        <v>22181.80078125</v>
      </c>
      <c r="O185" s="233">
        <v>22181.80078125</v>
      </c>
      <c r="P185" s="233">
        <v>22181.80078125</v>
      </c>
      <c r="Q185" s="233">
        <v>22220.900390625</v>
      </c>
      <c r="R185" s="233">
        <v>22220.900390625</v>
      </c>
      <c r="S185" s="233">
        <v>22555</v>
      </c>
      <c r="T185" s="233">
        <v>22555</v>
      </c>
      <c r="U185" s="233">
        <v>23209.69921875</v>
      </c>
      <c r="V185" s="233">
        <v>23414</v>
      </c>
      <c r="W185" s="233">
        <v>24107</v>
      </c>
      <c r="X185" s="233">
        <v>24922.900390625</v>
      </c>
      <c r="Y185" s="233">
        <v>25694.5</v>
      </c>
      <c r="Z185" s="233">
        <v>25694.5</v>
      </c>
      <c r="AA185" s="231">
        <v>25875.599609375</v>
      </c>
      <c r="AB185" s="203">
        <v>25875.599609375</v>
      </c>
      <c r="AC185" s="203">
        <v>25875.599609375</v>
      </c>
      <c r="AD185" s="203">
        <v>25875.599609375</v>
      </c>
      <c r="AE185" s="203">
        <v>26385.400390625</v>
      </c>
      <c r="AF185" s="203">
        <v>26857.099609375</v>
      </c>
      <c r="AG185" s="203">
        <v>27581.19921875</v>
      </c>
      <c r="AH185" s="203">
        <v>28607.30078125</v>
      </c>
      <c r="AI185" s="203">
        <v>30066.599609375</v>
      </c>
      <c r="AJ185" s="203">
        <v>30808.099609375</v>
      </c>
      <c r="AK185" s="203">
        <v>31411</v>
      </c>
      <c r="AL185" s="203">
        <v>32081.900390625</v>
      </c>
      <c r="AM185" s="203">
        <v>33428.3984375</v>
      </c>
      <c r="AN185" s="203">
        <v>34510.1015625</v>
      </c>
      <c r="AO185" s="203">
        <v>34510.1015625</v>
      </c>
      <c r="AP185" s="203">
        <v>34510.1015625</v>
      </c>
      <c r="AQ185" s="203">
        <v>34846.5</v>
      </c>
      <c r="AR185" s="203">
        <v>35629</v>
      </c>
      <c r="AS185" s="203">
        <v>35629</v>
      </c>
      <c r="AT185" s="203">
        <v>35629</v>
      </c>
      <c r="AU185" s="203">
        <v>35629</v>
      </c>
      <c r="AV185" s="201" t="s">
        <v>87</v>
      </c>
      <c r="AW185" s="184"/>
      <c r="AX185" s="184"/>
      <c r="AY185" s="184"/>
    </row>
    <row r="186" spans="1:51" ht="44">
      <c r="A186" s="284"/>
      <c r="B186" s="201" t="s">
        <v>88</v>
      </c>
      <c r="C186" s="233">
        <v>20767.400390625</v>
      </c>
      <c r="D186" s="233">
        <v>20221.19921875</v>
      </c>
      <c r="E186" s="233">
        <v>20099.900390625</v>
      </c>
      <c r="F186" s="233">
        <v>20636.5</v>
      </c>
      <c r="G186" s="233">
        <v>19572.19921875</v>
      </c>
      <c r="H186" s="233">
        <v>20155.30078125</v>
      </c>
      <c r="I186" s="233">
        <v>20626.599609375</v>
      </c>
      <c r="J186" s="233">
        <v>20292.599609375</v>
      </c>
      <c r="K186" s="233">
        <v>19541.30078125</v>
      </c>
      <c r="L186" s="233">
        <v>18873.5</v>
      </c>
      <c r="M186" s="233">
        <v>20236.30078125</v>
      </c>
      <c r="N186" s="233">
        <v>20958.400390625</v>
      </c>
      <c r="O186" s="233">
        <v>21021.900390625</v>
      </c>
      <c r="P186" s="233">
        <v>21363.599609375</v>
      </c>
      <c r="Q186" s="233">
        <v>22220.900390625</v>
      </c>
      <c r="R186" s="233">
        <v>21714.5</v>
      </c>
      <c r="S186" s="233">
        <v>22555</v>
      </c>
      <c r="T186" s="233">
        <v>21875.80078125</v>
      </c>
      <c r="U186" s="233">
        <v>23209.69921875</v>
      </c>
      <c r="V186" s="233">
        <v>23414</v>
      </c>
      <c r="W186" s="233">
        <v>24107</v>
      </c>
      <c r="X186" s="233">
        <v>24922.900390625</v>
      </c>
      <c r="Y186" s="233">
        <v>25694.5</v>
      </c>
      <c r="Z186" s="233">
        <v>24727.900390625</v>
      </c>
      <c r="AA186" s="231">
        <v>25875.599609375</v>
      </c>
      <c r="AB186" s="203">
        <v>25393.5</v>
      </c>
      <c r="AC186" s="203">
        <v>24917.5</v>
      </c>
      <c r="AD186" s="203">
        <v>24841.69921875</v>
      </c>
      <c r="AE186" s="203">
        <v>26385.400390625</v>
      </c>
      <c r="AF186" s="203">
        <v>26857.099609375</v>
      </c>
      <c r="AG186" s="203">
        <v>27581.19921875</v>
      </c>
      <c r="AH186" s="203">
        <v>28607.30078125</v>
      </c>
      <c r="AI186" s="203">
        <v>30066.599609375</v>
      </c>
      <c r="AJ186" s="203">
        <v>30808.099609375</v>
      </c>
      <c r="AK186" s="203">
        <v>31411</v>
      </c>
      <c r="AL186" s="203">
        <v>32081.900390625</v>
      </c>
      <c r="AM186" s="203">
        <v>33428.3984375</v>
      </c>
      <c r="AN186" s="203">
        <v>34510.1015625</v>
      </c>
      <c r="AO186" s="203">
        <v>32768</v>
      </c>
      <c r="AP186" s="203">
        <v>33964.30078125</v>
      </c>
      <c r="AQ186" s="203">
        <v>34846.5</v>
      </c>
      <c r="AR186" s="203">
        <v>35629</v>
      </c>
      <c r="AS186" s="203">
        <v>35416</v>
      </c>
      <c r="AT186" s="203">
        <v>35416</v>
      </c>
      <c r="AU186" s="203">
        <v>35416</v>
      </c>
      <c r="AV186" s="201" t="s">
        <v>88</v>
      </c>
      <c r="AW186" s="184"/>
      <c r="AX186" s="184"/>
      <c r="AY186" s="184"/>
    </row>
    <row r="187" spans="1:51" ht="44">
      <c r="A187" s="284"/>
      <c r="B187" s="201" t="s">
        <v>79</v>
      </c>
      <c r="C187" s="230">
        <f t="shared" ref="C187:Z187" si="231">+(C186-C185)/C185</f>
        <v>-6.3764002056161964E-2</v>
      </c>
      <c r="D187" s="230">
        <f t="shared" si="231"/>
        <v>-8.8387844694614345E-2</v>
      </c>
      <c r="E187" s="230">
        <f t="shared" si="231"/>
        <v>-9.3856238776826653E-2</v>
      </c>
      <c r="F187" s="230">
        <f t="shared" si="231"/>
        <v>-6.9665253803749938E-2</v>
      </c>
      <c r="G187" s="230">
        <f t="shared" si="231"/>
        <v>-0.1176460643675902</v>
      </c>
      <c r="H187" s="230">
        <f t="shared" si="231"/>
        <v>-9.1358678223860665E-2</v>
      </c>
      <c r="I187" s="230">
        <f t="shared" si="231"/>
        <v>-7.0111583239427164E-2</v>
      </c>
      <c r="J187" s="230">
        <f t="shared" si="231"/>
        <v>-8.5168972100403958E-2</v>
      </c>
      <c r="K187" s="230">
        <f t="shared" si="231"/>
        <v>-0.11903902780661441</v>
      </c>
      <c r="L187" s="230">
        <f t="shared" si="231"/>
        <v>-0.14914482434836696</v>
      </c>
      <c r="M187" s="230">
        <f t="shared" si="231"/>
        <v>-8.7707036015060913E-2</v>
      </c>
      <c r="N187" s="230">
        <f t="shared" si="231"/>
        <v>-5.5153339563806969E-2</v>
      </c>
      <c r="O187" s="230">
        <f t="shared" si="231"/>
        <v>-5.2290632400118268E-2</v>
      </c>
      <c r="P187" s="230">
        <f t="shared" si="231"/>
        <v>-3.6886147339607128E-2</v>
      </c>
      <c r="Q187" s="230">
        <f t="shared" si="231"/>
        <v>0</v>
      </c>
      <c r="R187" s="230">
        <f t="shared" si="231"/>
        <v>-2.2789373145232692E-2</v>
      </c>
      <c r="S187" s="230">
        <f t="shared" si="231"/>
        <v>0</v>
      </c>
      <c r="T187" s="230">
        <f t="shared" si="231"/>
        <v>-3.0113022334293946E-2</v>
      </c>
      <c r="U187" s="230">
        <f t="shared" si="231"/>
        <v>0</v>
      </c>
      <c r="V187" s="230">
        <f t="shared" si="231"/>
        <v>0</v>
      </c>
      <c r="W187" s="230">
        <f t="shared" si="231"/>
        <v>0</v>
      </c>
      <c r="X187" s="230">
        <f t="shared" si="231"/>
        <v>0</v>
      </c>
      <c r="Y187" s="230">
        <f t="shared" si="231"/>
        <v>0</v>
      </c>
      <c r="Z187" s="230">
        <f t="shared" si="231"/>
        <v>-3.7618930486096248E-2</v>
      </c>
      <c r="AA187" s="230">
        <f>+(AA186-AA185)/AA185</f>
        <v>0</v>
      </c>
      <c r="AB187" s="205">
        <f t="shared" ref="AB187:AP187" si="232">+(AB186-AB185)/AB185</f>
        <v>-1.863143720929776E-2</v>
      </c>
      <c r="AC187" s="205">
        <f t="shared" si="232"/>
        <v>-3.7027146185546575E-2</v>
      </c>
      <c r="AD187" s="205">
        <f t="shared" si="232"/>
        <v>-3.9956577093208968E-2</v>
      </c>
      <c r="AE187" s="205">
        <f t="shared" si="232"/>
        <v>0</v>
      </c>
      <c r="AF187" s="205">
        <f t="shared" si="232"/>
        <v>0</v>
      </c>
      <c r="AG187" s="205">
        <f t="shared" si="232"/>
        <v>0</v>
      </c>
      <c r="AH187" s="205">
        <f t="shared" si="232"/>
        <v>0</v>
      </c>
      <c r="AI187" s="205">
        <f t="shared" si="232"/>
        <v>0</v>
      </c>
      <c r="AJ187" s="205">
        <f t="shared" si="232"/>
        <v>0</v>
      </c>
      <c r="AK187" s="205">
        <f t="shared" si="232"/>
        <v>0</v>
      </c>
      <c r="AL187" s="205">
        <f t="shared" si="232"/>
        <v>0</v>
      </c>
      <c r="AM187" s="205">
        <f t="shared" si="232"/>
        <v>0</v>
      </c>
      <c r="AN187" s="205">
        <f t="shared" si="232"/>
        <v>0</v>
      </c>
      <c r="AO187" s="205">
        <f t="shared" si="232"/>
        <v>-5.0480916706227091E-2</v>
      </c>
      <c r="AP187" s="205">
        <f t="shared" si="232"/>
        <v>-1.5815681685593417E-2</v>
      </c>
      <c r="AQ187" s="205">
        <f>+(AQ186-AQ185)/AQ185</f>
        <v>0</v>
      </c>
      <c r="AR187" s="205">
        <f>+(AR186-AR185)/AR185</f>
        <v>0</v>
      </c>
      <c r="AS187" s="205">
        <f>+(AS186-AS185)/AS185</f>
        <v>-5.9782761233826377E-3</v>
      </c>
      <c r="AT187" s="205">
        <f>+(AT186-AT185)/AT185</f>
        <v>-5.9782761233826377E-3</v>
      </c>
      <c r="AU187" s="205">
        <f>+(AU186-AU185)/AU185</f>
        <v>-5.9782761233826377E-3</v>
      </c>
      <c r="AV187" s="201" t="s">
        <v>79</v>
      </c>
      <c r="AW187" s="184"/>
      <c r="AX187" s="184"/>
      <c r="AY187" s="184"/>
    </row>
    <row r="188" spans="1:51" ht="22">
      <c r="A188" s="284"/>
      <c r="B188" s="201" t="s">
        <v>80</v>
      </c>
      <c r="C188" s="230">
        <f t="shared" ref="C188:Z188" si="233">+C184-C187</f>
        <v>-2.5077069959443005E-2</v>
      </c>
      <c r="D188" s="230">
        <f t="shared" si="233"/>
        <v>2.1477969597644697E-3</v>
      </c>
      <c r="E188" s="230">
        <f t="shared" si="233"/>
        <v>-1.5125286769477747E-2</v>
      </c>
      <c r="F188" s="230">
        <f t="shared" si="233"/>
        <v>-3.498422355208447E-3</v>
      </c>
      <c r="G188" s="230">
        <f t="shared" si="233"/>
        <v>2.3070121021358539E-2</v>
      </c>
      <c r="H188" s="230">
        <f t="shared" si="233"/>
        <v>8.2529534559466614E-2</v>
      </c>
      <c r="I188" s="230">
        <f t="shared" si="233"/>
        <v>7.0111583239427164E-2</v>
      </c>
      <c r="J188" s="230">
        <f t="shared" si="233"/>
        <v>5.3634571074804717E-2</v>
      </c>
      <c r="K188" s="230">
        <f t="shared" si="233"/>
        <v>6.8882474552251077E-2</v>
      </c>
      <c r="L188" s="230">
        <f t="shared" si="233"/>
        <v>4.8899121161342249E-2</v>
      </c>
      <c r="M188" s="230">
        <f t="shared" si="233"/>
        <v>5.5713731013257085E-2</v>
      </c>
      <c r="N188" s="230">
        <f t="shared" si="233"/>
        <v>5.5153339563806969E-2</v>
      </c>
      <c r="O188" s="230">
        <f t="shared" si="233"/>
        <v>5.2290632400118268E-2</v>
      </c>
      <c r="P188" s="230">
        <f t="shared" si="233"/>
        <v>3.6886147339607128E-2</v>
      </c>
      <c r="Q188" s="230">
        <f t="shared" si="233"/>
        <v>0</v>
      </c>
      <c r="R188" s="230">
        <f t="shared" si="233"/>
        <v>1.8207891437056895E-2</v>
      </c>
      <c r="S188" s="230">
        <f t="shared" si="233"/>
        <v>0</v>
      </c>
      <c r="T188" s="230">
        <f t="shared" si="233"/>
        <v>3.0113022334293946E-2</v>
      </c>
      <c r="U188" s="230">
        <f t="shared" si="233"/>
        <v>-2.9638240183197304E-2</v>
      </c>
      <c r="V188" s="230">
        <f t="shared" si="233"/>
        <v>-3.7176688216073943E-2</v>
      </c>
      <c r="W188" s="230">
        <f t="shared" si="233"/>
        <v>0</v>
      </c>
      <c r="X188" s="230">
        <f t="shared" si="233"/>
        <v>0</v>
      </c>
      <c r="Y188" s="230">
        <f t="shared" si="233"/>
        <v>0</v>
      </c>
      <c r="Z188" s="230">
        <f t="shared" si="233"/>
        <v>-1.8625587683277614E-2</v>
      </c>
      <c r="AA188" s="230">
        <f t="shared" ref="AA188:AR188" si="234">+AA184-AA187</f>
        <v>-5.2958783958357541E-2</v>
      </c>
      <c r="AB188" s="205">
        <f t="shared" si="234"/>
        <v>-6.1307685526929265E-2</v>
      </c>
      <c r="AC188" s="205">
        <f t="shared" si="234"/>
        <v>-5.4116699535294202E-2</v>
      </c>
      <c r="AD188" s="205">
        <f t="shared" si="234"/>
        <v>-6.8208776211167665E-2</v>
      </c>
      <c r="AE188" s="205">
        <f t="shared" si="234"/>
        <v>-4.292576876055515E-2</v>
      </c>
      <c r="AF188" s="205">
        <f t="shared" si="234"/>
        <v>0</v>
      </c>
      <c r="AG188" s="205">
        <f t="shared" si="234"/>
        <v>0</v>
      </c>
      <c r="AH188" s="205">
        <f t="shared" si="234"/>
        <v>0</v>
      </c>
      <c r="AI188" s="205">
        <f t="shared" si="234"/>
        <v>0</v>
      </c>
      <c r="AJ188" s="205">
        <f t="shared" si="234"/>
        <v>0</v>
      </c>
      <c r="AK188" s="205">
        <f t="shared" si="234"/>
        <v>0</v>
      </c>
      <c r="AL188" s="205">
        <f t="shared" si="234"/>
        <v>0</v>
      </c>
      <c r="AM188" s="205">
        <f t="shared" si="234"/>
        <v>-1.4160450194234975E-2</v>
      </c>
      <c r="AN188" s="205">
        <f t="shared" si="234"/>
        <v>0</v>
      </c>
      <c r="AO188" s="205">
        <f t="shared" si="234"/>
        <v>-3.873853262112828E-3</v>
      </c>
      <c r="AP188" s="205">
        <f t="shared" si="234"/>
        <v>1.5815681685593417E-2</v>
      </c>
      <c r="AQ188" s="205">
        <f t="shared" si="234"/>
        <v>-7.8815001651829173E-3</v>
      </c>
      <c r="AR188" s="205">
        <f t="shared" si="234"/>
        <v>-1.8467679637569831E-2</v>
      </c>
      <c r="AS188" s="205">
        <f t="shared" ref="AS188:AT188" si="235">+AS184-AS187</f>
        <v>5.9782761233826377E-3</v>
      </c>
      <c r="AT188" s="205">
        <f t="shared" si="235"/>
        <v>5.9782761233826377E-3</v>
      </c>
      <c r="AU188" s="205">
        <f t="shared" ref="AU188" si="236">+AU184-AU187</f>
        <v>5.9782761233826377E-3</v>
      </c>
      <c r="AV188" s="201" t="s">
        <v>80</v>
      </c>
      <c r="AW188" s="184"/>
      <c r="AX188" s="184"/>
      <c r="AY188" s="184"/>
    </row>
    <row r="189" spans="1:51" ht="22">
      <c r="A189" s="285"/>
      <c r="B189" s="206" t="s">
        <v>25</v>
      </c>
      <c r="C189" s="232" cm="1">
        <f t="array" ref="C189">_xlfn.XLOOKUP(MIN(ABS($BJ$7:$BJ$29 - MEDIAN(MIN($BJ$7:$BJ$29), MAX($BJ$7:$BJ$29), C188))), ABS($BJ$7:$BJ$29 - MEDIAN(MIN($BJ$7:$BJ$29), MAX($BJ$7:$BJ$29), C188)), $BK$7:$BK$29, "Error", 0)</f>
        <v>-2</v>
      </c>
      <c r="D189" s="232" cm="1">
        <f t="array" ref="D189">_xlfn.XLOOKUP(MIN(ABS($BJ$7:$BJ$29 - MEDIAN(MIN($BJ$7:$BJ$29), MAX($BJ$7:$BJ$29), D188))), ABS($BJ$7:$BJ$29 - MEDIAN(MIN($BJ$7:$BJ$29), MAX($BJ$7:$BJ$29), D188)), $BK$7:$BK$29, "Error", 0)</f>
        <v>0</v>
      </c>
      <c r="E189" s="232" cm="1">
        <f t="array" ref="E189">_xlfn.XLOOKUP(MIN(ABS($BJ$7:$BJ$29 - MEDIAN(MIN($BJ$7:$BJ$29), MAX($BJ$7:$BJ$29), E188))), ABS($BJ$7:$BJ$29 - MEDIAN(MIN($BJ$7:$BJ$29), MAX($BJ$7:$BJ$29), E188)), $BK$7:$BK$29, "Error", 0)</f>
        <v>-2</v>
      </c>
      <c r="F189" s="232" cm="1">
        <f t="array" ref="F189">_xlfn.XLOOKUP(MIN(ABS($BJ$7:$BJ$29 - MEDIAN(MIN($BJ$7:$BJ$29), MAX($BJ$7:$BJ$29), F188))), ABS($BJ$7:$BJ$29 - MEDIAN(MIN($BJ$7:$BJ$29), MAX($BJ$7:$BJ$29), F188)), $BK$7:$BK$29, "Error", 0)</f>
        <v>0</v>
      </c>
      <c r="G189" s="232" cm="1">
        <f t="array" ref="G189">_xlfn.XLOOKUP(MIN(ABS($BJ$7:$BJ$29 - MEDIAN(MIN($BJ$7:$BJ$29), MAX($BJ$7:$BJ$29), G188))), ABS($BJ$7:$BJ$29 - MEDIAN(MIN($BJ$7:$BJ$29), MAX($BJ$7:$BJ$29), G188)), $BK$7:$BK$29, "Error", 0)</f>
        <v>2</v>
      </c>
      <c r="H189" s="232" cm="1">
        <f t="array" ref="H189">_xlfn.XLOOKUP(MIN(ABS($BJ$7:$BJ$29 - MEDIAN(MIN($BJ$7:$BJ$29), MAX($BJ$7:$BJ$29), H188))), ABS($BJ$7:$BJ$29 - MEDIAN(MIN($BJ$7:$BJ$29), MAX($BJ$7:$BJ$29), H188)), $BK$7:$BK$29, "Error", 0)</f>
        <v>7</v>
      </c>
      <c r="I189" s="232" cm="1">
        <f t="array" ref="I189">_xlfn.XLOOKUP(MIN(ABS($BJ$7:$BJ$29 - MEDIAN(MIN($BJ$7:$BJ$29), MAX($BJ$7:$BJ$29), I188))), ABS($BJ$7:$BJ$29 - MEDIAN(MIN($BJ$7:$BJ$29), MAX($BJ$7:$BJ$29), I188)), $BK$7:$BK$29, "Error", 0)</f>
        <v>7</v>
      </c>
      <c r="J189" s="232" cm="1">
        <f t="array" ref="J189">_xlfn.XLOOKUP(MIN(ABS($BJ$7:$BJ$29 - MEDIAN(MIN($BJ$7:$BJ$29), MAX($BJ$7:$BJ$29), J188))), ABS($BJ$7:$BJ$29 - MEDIAN(MIN($BJ$7:$BJ$29), MAX($BJ$7:$BJ$29), J188)), $BK$7:$BK$29, "Error", 0)</f>
        <v>5</v>
      </c>
      <c r="K189" s="232" cm="1">
        <f t="array" ref="K189">_xlfn.XLOOKUP(MIN(ABS($BJ$7:$BJ$29 - MEDIAN(MIN($BJ$7:$BJ$29), MAX($BJ$7:$BJ$29), K188))), ABS($BJ$7:$BJ$29 - MEDIAN(MIN($BJ$7:$BJ$29), MAX($BJ$7:$BJ$29), K188)), $BK$7:$BK$29, "Error", 0)</f>
        <v>5</v>
      </c>
      <c r="L189" s="232" cm="1">
        <f t="array" ref="L189">_xlfn.XLOOKUP(MIN(ABS($BJ$7:$BJ$29 - MEDIAN(MIN($BJ$7:$BJ$29), MAX($BJ$7:$BJ$29), L188))), ABS($BJ$7:$BJ$29 - MEDIAN(MIN($BJ$7:$BJ$29), MAX($BJ$7:$BJ$29), L188)), $BK$7:$BK$29, "Error", 0)</f>
        <v>3</v>
      </c>
      <c r="M189" s="232" cm="1">
        <f t="array" ref="M189">_xlfn.XLOOKUP(MIN(ABS($BJ$7:$BJ$29 - MEDIAN(MIN($BJ$7:$BJ$29), MAX($BJ$7:$BJ$29), M188))), ABS($BJ$7:$BJ$29 - MEDIAN(MIN($BJ$7:$BJ$29), MAX($BJ$7:$BJ$29), M188)), $BK$7:$BK$29, "Error", 0)</f>
        <v>5</v>
      </c>
      <c r="N189" s="232" cm="1">
        <f t="array" ref="N189">_xlfn.XLOOKUP(MIN(ABS($BJ$7:$BJ$29 - MEDIAN(MIN($BJ$7:$BJ$29), MAX($BJ$7:$BJ$29), N188))), ABS($BJ$7:$BJ$29 - MEDIAN(MIN($BJ$7:$BJ$29), MAX($BJ$7:$BJ$29), N188)), $BK$7:$BK$29, "Error", 0)</f>
        <v>5</v>
      </c>
      <c r="O189" s="232" cm="1">
        <f t="array" ref="O189">_xlfn.XLOOKUP(MIN(ABS($BJ$7:$BJ$29 - MEDIAN(MIN($BJ$7:$BJ$29), MAX($BJ$7:$BJ$29), O188))), ABS($BJ$7:$BJ$29 - MEDIAN(MIN($BJ$7:$BJ$29), MAX($BJ$7:$BJ$29), O188)), $BK$7:$BK$29, "Error", 0)</f>
        <v>5</v>
      </c>
      <c r="P189" s="232" cm="1">
        <f t="array" ref="P189">_xlfn.XLOOKUP(MIN(ABS($BJ$7:$BJ$29 - MEDIAN(MIN($BJ$7:$BJ$29), MAX($BJ$7:$BJ$29), P188))), ABS($BJ$7:$BJ$29 - MEDIAN(MIN($BJ$7:$BJ$29), MAX($BJ$7:$BJ$29), P188)), $BK$7:$BK$29, "Error", 0)</f>
        <v>3</v>
      </c>
      <c r="Q189" s="232" cm="1">
        <f t="array" ref="Q189">_xlfn.XLOOKUP(MIN(ABS($BJ$7:$BJ$29 - MEDIAN(MIN($BJ$7:$BJ$29), MAX($BJ$7:$BJ$29), Q188))), ABS($BJ$7:$BJ$29 - MEDIAN(MIN($BJ$7:$BJ$29), MAX($BJ$7:$BJ$29), Q188)), $BK$7:$BK$29, "Error", 0)</f>
        <v>0</v>
      </c>
      <c r="R189" s="232" cm="1">
        <f t="array" ref="R189">_xlfn.XLOOKUP(MIN(ABS($BJ$7:$BJ$29 - MEDIAN(MIN($BJ$7:$BJ$29), MAX($BJ$7:$BJ$29), R188))), ABS($BJ$7:$BJ$29 - MEDIAN(MIN($BJ$7:$BJ$29), MAX($BJ$7:$BJ$29), R188)), $BK$7:$BK$29, "Error", 0)</f>
        <v>2</v>
      </c>
      <c r="S189" s="232" cm="1">
        <f t="array" ref="S189">_xlfn.XLOOKUP(MIN(ABS($BJ$7:$BJ$29 - MEDIAN(MIN($BJ$7:$BJ$29), MAX($BJ$7:$BJ$29), S188))), ABS($BJ$7:$BJ$29 - MEDIAN(MIN($BJ$7:$BJ$29), MAX($BJ$7:$BJ$29), S188)), $BK$7:$BK$29, "Error", 0)</f>
        <v>0</v>
      </c>
      <c r="T189" s="232" cm="1">
        <f t="array" ref="T189">_xlfn.XLOOKUP(MIN(ABS($BJ$7:$BJ$29 - MEDIAN(MIN($BJ$7:$BJ$29), MAX($BJ$7:$BJ$29), T188))), ABS($BJ$7:$BJ$29 - MEDIAN(MIN($BJ$7:$BJ$29), MAX($BJ$7:$BJ$29), T188)), $BK$7:$BK$29, "Error", 0)</f>
        <v>3</v>
      </c>
      <c r="U189" s="232" cm="1">
        <f t="array" ref="U189">_xlfn.XLOOKUP(MIN(ABS($BJ$7:$BJ$29 - MEDIAN(MIN($BJ$7:$BJ$29), MAX($BJ$7:$BJ$29), U188))), ABS($BJ$7:$BJ$29 - MEDIAN(MIN($BJ$7:$BJ$29), MAX($BJ$7:$BJ$29), U188)), $BK$7:$BK$29, "Error", 0)</f>
        <v>-2</v>
      </c>
      <c r="V189" s="232" cm="1">
        <f t="array" ref="V189">_xlfn.XLOOKUP(MIN(ABS($BJ$7:$BJ$29 - MEDIAN(MIN($BJ$7:$BJ$29), MAX($BJ$7:$BJ$29), V188))), ABS($BJ$7:$BJ$29 - MEDIAN(MIN($BJ$7:$BJ$29), MAX($BJ$7:$BJ$29), V188)), $BK$7:$BK$29, "Error", 0)</f>
        <v>-3</v>
      </c>
      <c r="W189" s="232" cm="1">
        <f t="array" ref="W189">_xlfn.XLOOKUP(MIN(ABS($BJ$7:$BJ$29 - MEDIAN(MIN($BJ$7:$BJ$29), MAX($BJ$7:$BJ$29), W188))), ABS($BJ$7:$BJ$29 - MEDIAN(MIN($BJ$7:$BJ$29), MAX($BJ$7:$BJ$29), W188)), $BK$7:$BK$29, "Error", 0)</f>
        <v>0</v>
      </c>
      <c r="X189" s="232" cm="1">
        <f t="array" ref="X189">_xlfn.XLOOKUP(MIN(ABS($BJ$7:$BJ$29 - MEDIAN(MIN($BJ$7:$BJ$29), MAX($BJ$7:$BJ$29), X188))), ABS($BJ$7:$BJ$29 - MEDIAN(MIN($BJ$7:$BJ$29), MAX($BJ$7:$BJ$29), X188)), $BK$7:$BK$29, "Error", 0)</f>
        <v>0</v>
      </c>
      <c r="Y189" s="232" cm="1">
        <f t="array" ref="Y189">_xlfn.XLOOKUP(MIN(ABS($BJ$7:$BJ$29 - MEDIAN(MIN($BJ$7:$BJ$29), MAX($BJ$7:$BJ$29), Y188))), ABS($BJ$7:$BJ$29 - MEDIAN(MIN($BJ$7:$BJ$29), MAX($BJ$7:$BJ$29), Y188)), $BK$7:$BK$29, "Error", 0)</f>
        <v>0</v>
      </c>
      <c r="Z189" s="232" cm="1">
        <f t="array" ref="Z189">_xlfn.XLOOKUP(MIN(ABS($BJ$7:$BJ$29 - MEDIAN(MIN($BJ$7:$BJ$29), MAX($BJ$7:$BJ$29), Z188))), ABS($BJ$7:$BJ$29 - MEDIAN(MIN($BJ$7:$BJ$29), MAX($BJ$7:$BJ$29), Z188)), $BK$7:$BK$29, "Error", 0)</f>
        <v>-2</v>
      </c>
      <c r="AA189" s="232" cm="1">
        <f t="array" ref="AA189">_xlfn.XLOOKUP(MIN(ABS($BJ$7:$BJ$29 - MEDIAN(MIN($BJ$7:$BJ$29), MAX($BJ$7:$BJ$29), AA188))), ABS($BJ$7:$BJ$29 - MEDIAN(MIN($BJ$7:$BJ$29), MAX($BJ$7:$BJ$29), AA188)), $BK$7:$BK$29, "Error", 0)</f>
        <v>-5</v>
      </c>
      <c r="AB189" s="171" cm="1">
        <f t="array" ref="AB189">_xlfn.XLOOKUP(MIN(ABS($BJ$7:$BJ$29 - MEDIAN(MIN($BJ$7:$BJ$29), MAX($BJ$7:$BJ$29), AB188))), ABS($BJ$7:$BJ$29 - MEDIAN(MIN($BJ$7:$BJ$29), MAX($BJ$7:$BJ$29), AB188)), $BK$7:$BK$29, "Error", 0)</f>
        <v>-5</v>
      </c>
      <c r="AC189" s="171" cm="1">
        <f t="array" ref="AC189">_xlfn.XLOOKUP(MIN(ABS($BJ$7:$BJ$29 - MEDIAN(MIN($BJ$7:$BJ$29), MAX($BJ$7:$BJ$29), AC188))), ABS($BJ$7:$BJ$29 - MEDIAN(MIN($BJ$7:$BJ$29), MAX($BJ$7:$BJ$29), AC188)), $BK$7:$BK$29, "Error", 0)</f>
        <v>-5</v>
      </c>
      <c r="AD189" s="171" cm="1">
        <f t="array" ref="AD189">_xlfn.XLOOKUP(MIN(ABS($BJ$7:$BJ$29 - MEDIAN(MIN($BJ$7:$BJ$29), MAX($BJ$7:$BJ$29), AD188))), ABS($BJ$7:$BJ$29 - MEDIAN(MIN($BJ$7:$BJ$29), MAX($BJ$7:$BJ$29), AD188)), $BK$7:$BK$29, "Error", 0)</f>
        <v>-5</v>
      </c>
      <c r="AE189" s="171" cm="1">
        <f t="array" ref="AE189">_xlfn.XLOOKUP(MIN(ABS($BJ$7:$BJ$29 - MEDIAN(MIN($BJ$7:$BJ$29), MAX($BJ$7:$BJ$29), AE188))), ABS($BJ$7:$BJ$29 - MEDIAN(MIN($BJ$7:$BJ$29), MAX($BJ$7:$BJ$29), AE188)), $BK$7:$BK$29, "Error", 0)</f>
        <v>-3</v>
      </c>
      <c r="AF189" s="171" cm="1">
        <f t="array" ref="AF189">_xlfn.XLOOKUP(MIN(ABS($BJ$7:$BJ$29 - MEDIAN(MIN($BJ$7:$BJ$29), MAX($BJ$7:$BJ$29), AF188))), ABS($BJ$7:$BJ$29 - MEDIAN(MIN($BJ$7:$BJ$29), MAX($BJ$7:$BJ$29), AF188)), $BK$7:$BK$29, "Error", 0)</f>
        <v>0</v>
      </c>
      <c r="AG189" s="171" cm="1">
        <f t="array" ref="AG189">_xlfn.XLOOKUP(MIN(ABS($BJ$7:$BJ$29 - MEDIAN(MIN($BJ$7:$BJ$29), MAX($BJ$7:$BJ$29), AG188))), ABS($BJ$7:$BJ$29 - MEDIAN(MIN($BJ$7:$BJ$29), MAX($BJ$7:$BJ$29), AG188)), $BK$7:$BK$29, "Error", 0)</f>
        <v>0</v>
      </c>
      <c r="AH189" s="171" cm="1">
        <f t="array" ref="AH189">_xlfn.XLOOKUP(MIN(ABS($BJ$7:$BJ$29 - MEDIAN(MIN($BJ$7:$BJ$29), MAX($BJ$7:$BJ$29), AH188))), ABS($BJ$7:$BJ$29 - MEDIAN(MIN($BJ$7:$BJ$29), MAX($BJ$7:$BJ$29), AH188)), $BK$7:$BK$29, "Error", 0)</f>
        <v>0</v>
      </c>
      <c r="AI189" s="171" cm="1">
        <f t="array" ref="AI189">_xlfn.XLOOKUP(MIN(ABS($BJ$7:$BJ$29 - MEDIAN(MIN($BJ$7:$BJ$29), MAX($BJ$7:$BJ$29), AI188))), ABS($BJ$7:$BJ$29 - MEDIAN(MIN($BJ$7:$BJ$29), MAX($BJ$7:$BJ$29), AI188)), $BK$7:$BK$29, "Error", 0)</f>
        <v>0</v>
      </c>
      <c r="AJ189" s="171" cm="1">
        <f t="array" ref="AJ189">_xlfn.XLOOKUP(MIN(ABS($BJ$7:$BJ$29 - MEDIAN(MIN($BJ$7:$BJ$29), MAX($BJ$7:$BJ$29), AJ188))), ABS($BJ$7:$BJ$29 - MEDIAN(MIN($BJ$7:$BJ$29), MAX($BJ$7:$BJ$29), AJ188)), $BK$7:$BK$29, "Error", 0)</f>
        <v>0</v>
      </c>
      <c r="AK189" s="171" cm="1">
        <f t="array" ref="AK189">_xlfn.XLOOKUP(MIN(ABS($BJ$7:$BJ$29 - MEDIAN(MIN($BJ$7:$BJ$29), MAX($BJ$7:$BJ$29), AK188))), ABS($BJ$7:$BJ$29 - MEDIAN(MIN($BJ$7:$BJ$29), MAX($BJ$7:$BJ$29), AK188)), $BK$7:$BK$29, "Error", 0)</f>
        <v>0</v>
      </c>
      <c r="AL189" s="171" cm="1">
        <f t="array" ref="AL189">_xlfn.XLOOKUP(MIN(ABS($BJ$7:$BJ$29 - MEDIAN(MIN($BJ$7:$BJ$29), MAX($BJ$7:$BJ$29), AL188))), ABS($BJ$7:$BJ$29 - MEDIAN(MIN($BJ$7:$BJ$29), MAX($BJ$7:$BJ$29), AL188)), $BK$7:$BK$29, "Error", 0)</f>
        <v>0</v>
      </c>
      <c r="AM189" s="171" cm="1">
        <f t="array" ref="AM189">_xlfn.XLOOKUP(MIN(ABS($BJ$7:$BJ$29 - MEDIAN(MIN($BJ$7:$BJ$29), MAX($BJ$7:$BJ$29), AM188))), ABS($BJ$7:$BJ$29 - MEDIAN(MIN($BJ$7:$BJ$29), MAX($BJ$7:$BJ$29), AM188)), $BK$7:$BK$29, "Error", 0)</f>
        <v>-2</v>
      </c>
      <c r="AN189" s="171" cm="1">
        <f t="array" ref="AN189">_xlfn.XLOOKUP(MIN(ABS($BJ$7:$BJ$29 - MEDIAN(MIN($BJ$7:$BJ$29), MAX($BJ$7:$BJ$29), AN188))), ABS($BJ$7:$BJ$29 - MEDIAN(MIN($BJ$7:$BJ$29), MAX($BJ$7:$BJ$29), AN188)), $BK$7:$BK$29, "Error", 0)</f>
        <v>0</v>
      </c>
      <c r="AO189" s="171" cm="1">
        <f t="array" ref="AO189">_xlfn.XLOOKUP(MIN(ABS($BJ$7:$BJ$29 - MEDIAN(MIN($BJ$7:$BJ$29), MAX($BJ$7:$BJ$29), AO188))), ABS($BJ$7:$BJ$29 - MEDIAN(MIN($BJ$7:$BJ$29), MAX($BJ$7:$BJ$29), AO188)), $BK$7:$BK$29, "Error", 0)</f>
        <v>0</v>
      </c>
      <c r="AP189" s="171" cm="1">
        <f t="array" ref="AP189">_xlfn.XLOOKUP(MIN(ABS($BJ$7:$BJ$29 - MEDIAN(MIN($BJ$7:$BJ$29), MAX($BJ$7:$BJ$29), AP188))), ABS($BJ$7:$BJ$29 - MEDIAN(MIN($BJ$7:$BJ$29), MAX($BJ$7:$BJ$29), AP188)), $BK$7:$BK$29, "Error", 0)</f>
        <v>2</v>
      </c>
      <c r="AQ189" s="171" cm="1">
        <f t="array" ref="AQ189">_xlfn.XLOOKUP(MIN(ABS($BJ$7:$BJ$29 - MEDIAN(MIN($BJ$7:$BJ$29), MAX($BJ$7:$BJ$29), AQ188))), ABS($BJ$7:$BJ$29 - MEDIAN(MIN($BJ$7:$BJ$29), MAX($BJ$7:$BJ$29), AQ188)), $BK$7:$BK$29, "Error", 0)</f>
        <v>0</v>
      </c>
      <c r="AR189" s="171" cm="1">
        <f t="array" ref="AR189">_xlfn.XLOOKUP(MIN(ABS($BJ$7:$BJ$29 - MEDIAN(MIN($BJ$7:$BJ$29), MAX($BJ$7:$BJ$29), AR188))), ABS($BJ$7:$BJ$29 - MEDIAN(MIN($BJ$7:$BJ$29), MAX($BJ$7:$BJ$29), AR188)), $BK$7:$BK$29, "Error", 0)</f>
        <v>-2</v>
      </c>
      <c r="AS189" s="171" cm="1">
        <f t="array" ref="AS189">_xlfn.XLOOKUP(MIN(ABS($BJ$7:$BJ$29 - MEDIAN(MIN($BJ$7:$BJ$29), MAX($BJ$7:$BJ$29), AS188))), ABS($BJ$7:$BJ$29 - MEDIAN(MIN($BJ$7:$BJ$29), MAX($BJ$7:$BJ$29), AS188)), $BK$7:$BK$29, "Error", 0)</f>
        <v>0</v>
      </c>
      <c r="AT189" s="171" cm="1">
        <f t="array" ref="AT189">_xlfn.XLOOKUP(MIN(ABS($BJ$7:$BJ$29 - MEDIAN(MIN($BJ$7:$BJ$29), MAX($BJ$7:$BJ$29), AT188))), ABS($BJ$7:$BJ$29 - MEDIAN(MIN($BJ$7:$BJ$29), MAX($BJ$7:$BJ$29), AT188)), $BK$7:$BK$29, "Error", 0)</f>
        <v>0</v>
      </c>
      <c r="AU189" s="171" cm="1">
        <f t="array" ref="AU189">_xlfn.XLOOKUP(MIN(ABS($BJ$7:$BJ$29 - MEDIAN(MIN($BJ$7:$BJ$29), MAX($BJ$7:$BJ$29), AU188))), ABS($BJ$7:$BJ$29 - MEDIAN(MIN($BJ$7:$BJ$29), MAX($BJ$7:$BJ$29), AU188)), $BK$7:$BK$29, "Error", 0)</f>
        <v>0</v>
      </c>
      <c r="AV189" s="206" t="s">
        <v>25</v>
      </c>
      <c r="AW189" s="184"/>
      <c r="AX189" s="184"/>
      <c r="AY189" s="184"/>
    </row>
    <row r="190" spans="1:51" ht="22" customHeight="1">
      <c r="AU190" s="205">
        <f t="shared" ref="AU190" si="237">+AU186-AU189</f>
        <v>35416</v>
      </c>
    </row>
    <row r="191" spans="1:51" ht="22" customHeight="1">
      <c r="AU191" s="171" cm="1">
        <f t="array" ref="AU191">_xlfn.XLOOKUP(MIN(ABS($BJ$7:$BJ$29 - MEDIAN(MIN($BJ$7:$BJ$29), MAX($BJ$7:$BJ$29), AU190))), ABS($BJ$7:$BJ$29 - MEDIAN(MIN($BJ$7:$BJ$29), MAX($BJ$7:$BJ$29), AU190)), $BK$7:$BK$29, "Error", 0)</f>
        <v>2</v>
      </c>
    </row>
    <row r="192" spans="1:51" ht="22" customHeight="1">
      <c r="AU192" s="204">
        <v>24939.664964691299</v>
      </c>
    </row>
    <row r="193" spans="47:47" ht="22" customHeight="1">
      <c r="AU193" s="204">
        <v>24234</v>
      </c>
    </row>
    <row r="194" spans="47:47" ht="22" customHeight="1">
      <c r="AU194" s="205">
        <f t="shared" ref="AU194" si="238">+(AU193-AU192)/AU192</f>
        <v>-2.8294885504290251E-2</v>
      </c>
    </row>
    <row r="195" spans="47:47" ht="22" customHeight="1">
      <c r="AU195" s="203">
        <v>10934.900390625</v>
      </c>
    </row>
    <row r="196" spans="47:47" ht="22" customHeight="1">
      <c r="AU196" s="203">
        <v>10498</v>
      </c>
    </row>
    <row r="197" spans="47:47" ht="22" customHeight="1">
      <c r="AU197" s="205">
        <f t="shared" ref="AU197" si="239">+(AU196-AU195)/AU195</f>
        <v>-3.9954674941490555E-2</v>
      </c>
    </row>
    <row r="198" spans="47:47" ht="22" customHeight="1">
      <c r="AU198" s="205">
        <f t="shared" ref="AU198" si="240">+AU194-AU197</f>
        <v>1.1659789437200304E-2</v>
      </c>
    </row>
    <row r="199" spans="47:47" ht="22" customHeight="1">
      <c r="AU199" s="171" cm="1">
        <f t="array" ref="AU199">_xlfn.XLOOKUP(MIN(ABS($BJ$7:$BJ$29 - MEDIAN(MIN($BJ$7:$BJ$29), MAX($BJ$7:$BJ$29), AU198))), ABS($BJ$7:$BJ$29 - MEDIAN(MIN($BJ$7:$BJ$29), MAX($BJ$7:$BJ$29), AU198)), $BK$7:$BK$29, "Error", 0)</f>
        <v>2</v>
      </c>
    </row>
    <row r="200" spans="47:47" ht="22" customHeight="1">
      <c r="AU200" s="204">
        <v>2915653</v>
      </c>
    </row>
    <row r="201" spans="47:47" ht="22" customHeight="1">
      <c r="AU201" s="204">
        <v>2915653</v>
      </c>
    </row>
    <row r="202" spans="47:47" ht="22" customHeight="1">
      <c r="AU202" s="205">
        <f t="shared" ref="AU202" si="241">+(AU201-AU200)/AU200</f>
        <v>0</v>
      </c>
    </row>
    <row r="203" spans="47:47" ht="22" customHeight="1">
      <c r="AU203" s="203">
        <v>14464</v>
      </c>
    </row>
    <row r="204" spans="47:47" ht="22" customHeight="1">
      <c r="AU204" s="203">
        <v>14464</v>
      </c>
    </row>
    <row r="205" spans="47:47" ht="22" customHeight="1">
      <c r="AU205" s="205">
        <f>+(AU204-AU203)/AU203</f>
        <v>0</v>
      </c>
    </row>
    <row r="206" spans="47:47" ht="22" customHeight="1">
      <c r="AU206" s="205">
        <f t="shared" ref="AU206" si="242">+AU202-AU205</f>
        <v>0</v>
      </c>
    </row>
    <row r="207" spans="47:47" ht="22" customHeight="1">
      <c r="AU207" s="171" cm="1">
        <f t="array" ref="AU207">_xlfn.XLOOKUP(MIN(ABS($BJ$7:$BJ$29 - MEDIAN(MIN($BJ$7:$BJ$29), MAX($BJ$7:$BJ$29), AU206))), ABS($BJ$7:$BJ$29 - MEDIAN(MIN($BJ$7:$BJ$29), MAX($BJ$7:$BJ$29), AU206)), $BK$7:$BK$29, "Error", 0)</f>
        <v>0</v>
      </c>
    </row>
    <row r="208" spans="47:47" ht="22" customHeight="1">
      <c r="AU208" s="204">
        <v>6577.5875745626399</v>
      </c>
    </row>
    <row r="209" spans="47:47" ht="22" customHeight="1">
      <c r="AU209" s="204">
        <v>6167</v>
      </c>
    </row>
    <row r="210" spans="47:47" ht="22" customHeight="1">
      <c r="AU210" s="205">
        <f t="shared" ref="AU210" si="243">+(AU209-AU208)/AU208</f>
        <v>-6.2422213297546388E-2</v>
      </c>
    </row>
    <row r="211" spans="47:47" ht="22" customHeight="1">
      <c r="AU211" s="203">
        <v>9202.900390625</v>
      </c>
    </row>
    <row r="212" spans="47:47" ht="22" customHeight="1">
      <c r="AU212" s="203">
        <v>8841</v>
      </c>
    </row>
    <row r="213" spans="47:47" ht="22" customHeight="1">
      <c r="AU213" s="205">
        <f>+(AU212-AU211)/AU211</f>
        <v>-3.9324601512982595E-2</v>
      </c>
    </row>
    <row r="214" spans="47:47" ht="22" customHeight="1">
      <c r="AU214" s="205">
        <f t="shared" ref="AU214" si="244">+AU210-AU213</f>
        <v>-2.3097611784563793E-2</v>
      </c>
    </row>
    <row r="215" spans="47:47" ht="22" customHeight="1">
      <c r="AU215" s="171" cm="1">
        <f t="array" ref="AU215">_xlfn.XLOOKUP(MIN(ABS($BJ$7:$BJ$29 - MEDIAN(MIN($BJ$7:$BJ$29), MAX($BJ$7:$BJ$29), AU214))), ABS($BJ$7:$BJ$29 - MEDIAN(MIN($BJ$7:$BJ$29), MAX($BJ$7:$BJ$29), AU214)), $BK$7:$BK$29, "Error", 0)</f>
        <v>-2</v>
      </c>
    </row>
    <row r="216" spans="47:47" ht="22" customHeight="1">
      <c r="AU216" s="204">
        <v>5340.7026038739396</v>
      </c>
    </row>
    <row r="217" spans="47:47" ht="22" customHeight="1">
      <c r="AU217" s="204">
        <v>4989</v>
      </c>
    </row>
    <row r="218" spans="47:47" ht="22" customHeight="1">
      <c r="AU218" s="205">
        <f t="shared" ref="AU218" si="245">+(AU217-AU216)/AU216</f>
        <v>-6.5853246278650315E-2</v>
      </c>
    </row>
    <row r="219" spans="47:47" ht="22" customHeight="1">
      <c r="AU219" s="203">
        <v>9202.900390625</v>
      </c>
    </row>
    <row r="220" spans="47:47" ht="22" customHeight="1">
      <c r="AU220" s="203">
        <v>8841</v>
      </c>
    </row>
    <row r="221" spans="47:47" ht="22" customHeight="1">
      <c r="AU221" s="205">
        <f>+(AU220-AU219)/AU219</f>
        <v>-3.9324601512982595E-2</v>
      </c>
    </row>
    <row r="222" spans="47:47" ht="22" customHeight="1">
      <c r="AU222" s="205">
        <f t="shared" ref="AU222" si="246">+AU218-AU221</f>
        <v>-2.6528644765667721E-2</v>
      </c>
    </row>
    <row r="223" spans="47:47" ht="22" customHeight="1">
      <c r="AU223" s="171" cm="1">
        <f t="array" ref="AU223">_xlfn.XLOOKUP(MIN(ABS($BJ$7:$BJ$29 - MEDIAN(MIN($BJ$7:$BJ$29), MAX($BJ$7:$BJ$29), AU222))), ABS($BJ$7:$BJ$29 - MEDIAN(MIN($BJ$7:$BJ$29), MAX($BJ$7:$BJ$29), AU222)), $BK$7:$BK$29, "Error", 0)</f>
        <v>-2</v>
      </c>
    </row>
    <row r="224" spans="47:47" ht="22" customHeight="1">
      <c r="AU224" s="204">
        <v>1034775</v>
      </c>
    </row>
    <row r="225" spans="47:47" ht="22" customHeight="1">
      <c r="AU225" s="204">
        <v>1000308</v>
      </c>
    </row>
    <row r="226" spans="47:47" ht="22" customHeight="1">
      <c r="AU226" s="205">
        <f t="shared" ref="AU226" si="247">+(AU225-AU224)/AU224</f>
        <v>-3.3308690294991665E-2</v>
      </c>
    </row>
    <row r="227" spans="47:47" ht="22" customHeight="1">
      <c r="AU227" s="203">
        <v>9202.900390625</v>
      </c>
    </row>
    <row r="228" spans="47:47" ht="22" customHeight="1">
      <c r="AU228" s="203">
        <v>8841</v>
      </c>
    </row>
    <row r="229" spans="47:47" ht="22" customHeight="1">
      <c r="AU229" s="205">
        <f t="shared" ref="AU229" si="248">+(AU228-AU227)/AU227</f>
        <v>-3.9324601512982595E-2</v>
      </c>
    </row>
    <row r="230" spans="47:47" ht="22" customHeight="1">
      <c r="AU230" s="205">
        <f t="shared" ref="AU230" si="249">+AU226-AU229</f>
        <v>6.0159112179909296E-3</v>
      </c>
    </row>
    <row r="231" spans="47:47" ht="22" customHeight="1">
      <c r="AU231" s="171" cm="1">
        <f t="array" ref="AU231">_xlfn.XLOOKUP(MIN(ABS($BJ$7:$BJ$29 - MEDIAN(MIN($BJ$7:$BJ$29), MAX($BJ$7:$BJ$29), AU230))), ABS($BJ$7:$BJ$29 - MEDIAN(MIN($BJ$7:$BJ$29), MAX($BJ$7:$BJ$29), AU230)), $BK$7:$BK$29, "Error", 0)</f>
        <v>0</v>
      </c>
    </row>
    <row r="232" spans="47:47" ht="22" customHeight="1">
      <c r="AU232" s="204">
        <v>11066</v>
      </c>
    </row>
    <row r="233" spans="47:47" ht="22" customHeight="1">
      <c r="AU233" s="204">
        <v>10609</v>
      </c>
    </row>
    <row r="234" spans="47:47" ht="22" customHeight="1">
      <c r="AU234" s="205">
        <f t="shared" ref="AU234" si="250">+(AU233-AU232)/AU232</f>
        <v>-4.129766853424905E-2</v>
      </c>
    </row>
    <row r="235" spans="47:47" ht="22" customHeight="1">
      <c r="AU235" s="203">
        <v>9202.900390625</v>
      </c>
    </row>
    <row r="236" spans="47:47" ht="22" customHeight="1">
      <c r="AU236" s="203">
        <v>8841</v>
      </c>
    </row>
    <row r="237" spans="47:47" ht="22" customHeight="1">
      <c r="AU237" s="205">
        <f>+(AU236-AU235)/AU235</f>
        <v>-3.9324601512982595E-2</v>
      </c>
    </row>
    <row r="238" spans="47:47" ht="22" customHeight="1">
      <c r="AU238" s="205">
        <f t="shared" ref="AU238" si="251">+AU234-AU237</f>
        <v>-1.9730670212664558E-3</v>
      </c>
    </row>
    <row r="239" spans="47:47" ht="22" customHeight="1">
      <c r="AU239" s="171" cm="1">
        <f t="array" ref="AU239">_xlfn.XLOOKUP(MIN(ABS($BJ$7:$BJ$29 - MEDIAN(MIN($BJ$7:$BJ$29), MAX($BJ$7:$BJ$29), AU238))), ABS($BJ$7:$BJ$29 - MEDIAN(MIN($BJ$7:$BJ$29), MAX($BJ$7:$BJ$29), AU238)), $BK$7:$BK$29, "Error", 0)</f>
        <v>0</v>
      </c>
    </row>
    <row r="240" spans="47:47" ht="22" customHeight="1">
      <c r="AU240" s="204">
        <v>8973.2510212279194</v>
      </c>
    </row>
    <row r="241" spans="47:47" ht="22" customHeight="1">
      <c r="AU241" s="204">
        <v>8666</v>
      </c>
    </row>
    <row r="242" spans="47:47" ht="22" customHeight="1">
      <c r="AU242" s="205">
        <f t="shared" ref="AU242" si="252">+(AU241-AU240)/AU240</f>
        <v>-3.4240769649824698E-2</v>
      </c>
    </row>
    <row r="243" spans="47:47" ht="22" customHeight="1">
      <c r="AU243" s="203">
        <v>9202.900390625</v>
      </c>
    </row>
    <row r="244" spans="47:47" ht="22" customHeight="1">
      <c r="AU244" s="203">
        <v>8841</v>
      </c>
    </row>
    <row r="245" spans="47:47" ht="22" customHeight="1">
      <c r="AU245" s="205">
        <f>+(AU244-AU243)/AU243</f>
        <v>-3.9324601512982595E-2</v>
      </c>
    </row>
    <row r="246" spans="47:47" ht="22" customHeight="1">
      <c r="AU246" s="205">
        <f t="shared" ref="AU246" si="253">+AU242-AU245</f>
        <v>5.0838318631578963E-3</v>
      </c>
    </row>
    <row r="247" spans="47:47" ht="22" customHeight="1">
      <c r="AU247" s="171" cm="1">
        <f t="array" ref="AU247">_xlfn.XLOOKUP(MIN(ABS($BJ$7:$BJ$29 - MEDIAN(MIN($BJ$7:$BJ$29), MAX($BJ$7:$BJ$29), AU246))), ABS($BJ$7:$BJ$29 - MEDIAN(MIN($BJ$7:$BJ$29), MAX($BJ$7:$BJ$29), AU246)), $BK$7:$BK$29, "Error", 0)</f>
        <v>0</v>
      </c>
    </row>
    <row r="248" spans="47:47" ht="22" customHeight="1">
      <c r="AU248" s="204">
        <v>4101567</v>
      </c>
    </row>
    <row r="249" spans="47:47" ht="22" customHeight="1">
      <c r="AU249" s="204">
        <v>4101567</v>
      </c>
    </row>
    <row r="250" spans="47:47" ht="22" customHeight="1">
      <c r="AU250" s="205">
        <f t="shared" ref="AU250" si="254">+(AU249-AU248)/AU248</f>
        <v>0</v>
      </c>
    </row>
    <row r="251" spans="47:47" ht="22" customHeight="1">
      <c r="AU251" s="203">
        <v>35629</v>
      </c>
    </row>
    <row r="252" spans="47:47" ht="22" customHeight="1">
      <c r="AU252" s="203">
        <v>35416</v>
      </c>
    </row>
    <row r="253" spans="47:47" ht="22" customHeight="1">
      <c r="AU253" s="205">
        <f>+(AU252-AU251)/AU251</f>
        <v>-5.9782761233826377E-3</v>
      </c>
    </row>
    <row r="254" spans="47:47" ht="22" customHeight="1">
      <c r="AU254" s="205">
        <f t="shared" ref="AU254" si="255">+AU250-AU253</f>
        <v>5.9782761233826377E-3</v>
      </c>
    </row>
    <row r="255" spans="47:47" ht="22" customHeight="1">
      <c r="AU255" s="171" cm="1">
        <f t="array" ref="AU255">_xlfn.XLOOKUP(MIN(ABS($BJ$7:$BJ$29 - MEDIAN(MIN($BJ$7:$BJ$29), MAX($BJ$7:$BJ$29), AU254))), ABS($BJ$7:$BJ$29 - MEDIAN(MIN($BJ$7:$BJ$29), MAX($BJ$7:$BJ$29), AU254)), $BK$7:$BK$29, "Error", 0)</f>
        <v>0</v>
      </c>
    </row>
    <row r="256" spans="47:47" ht="22" customHeight="1"/>
    <row r="257" ht="22" customHeight="1"/>
    <row r="258" ht="22" customHeight="1"/>
    <row r="259" ht="22" customHeight="1"/>
    <row r="260" ht="22" customHeight="1"/>
    <row r="261" ht="22" customHeight="1"/>
    <row r="262" ht="22" customHeight="1"/>
    <row r="263" ht="22" customHeight="1"/>
    <row r="264" ht="22" customHeight="1"/>
    <row r="265" ht="22" customHeight="1"/>
    <row r="266" ht="22" customHeight="1"/>
    <row r="267" ht="22" customHeight="1"/>
    <row r="268" ht="22" customHeight="1"/>
    <row r="269" ht="22" customHeight="1"/>
    <row r="270" ht="22" customHeight="1"/>
    <row r="271" ht="22" customHeight="1"/>
    <row r="272" ht="22" customHeight="1"/>
    <row r="273" ht="22" customHeight="1"/>
    <row r="274" ht="22" customHeight="1"/>
    <row r="275" ht="22" customHeight="1"/>
    <row r="276" ht="22" customHeight="1"/>
    <row r="277" ht="22" customHeight="1"/>
    <row r="278" ht="22" customHeight="1"/>
    <row r="279" ht="22" customHeight="1"/>
    <row r="280" ht="22" customHeight="1"/>
    <row r="281" ht="22" customHeight="1"/>
    <row r="282" ht="22" customHeight="1"/>
    <row r="283" ht="22" customHeight="1"/>
    <row r="284" ht="22" customHeight="1"/>
    <row r="285" ht="22" customHeight="1"/>
    <row r="286" ht="22" customHeight="1"/>
    <row r="287" ht="22" customHeight="1"/>
    <row r="288" ht="22" customHeight="1"/>
    <row r="289" ht="22" customHeight="1"/>
    <row r="290" ht="22" customHeight="1"/>
    <row r="291" ht="22" customHeight="1"/>
    <row r="292" ht="22" customHeight="1"/>
    <row r="293" ht="22" customHeight="1"/>
    <row r="294" ht="22" customHeight="1"/>
    <row r="295" ht="22" customHeight="1"/>
    <row r="296" ht="22" customHeight="1"/>
    <row r="297" ht="22" customHeight="1"/>
    <row r="298" ht="22" customHeight="1"/>
    <row r="299" ht="22" customHeight="1"/>
    <row r="300" ht="22" customHeight="1"/>
    <row r="301" ht="22" customHeight="1"/>
    <row r="302" ht="22" customHeight="1"/>
    <row r="303" ht="22" customHeight="1"/>
    <row r="304" ht="22" customHeight="1"/>
    <row r="305" ht="22" customHeight="1"/>
    <row r="306" ht="22" customHeight="1"/>
    <row r="307" ht="22" customHeight="1"/>
    <row r="308" ht="22" customHeight="1"/>
    <row r="309" ht="22" customHeight="1"/>
    <row r="310" ht="22" customHeight="1"/>
    <row r="311" ht="22" customHeight="1"/>
    <row r="312" ht="22" customHeight="1"/>
    <row r="313" ht="22" customHeight="1"/>
  </sheetData>
  <mergeCells count="23">
    <mergeCell ref="A166:A173"/>
    <mergeCell ref="A174:A181"/>
    <mergeCell ref="A182:A189"/>
    <mergeCell ref="A118:A125"/>
    <mergeCell ref="A126:A133"/>
    <mergeCell ref="A134:A141"/>
    <mergeCell ref="A142:A149"/>
    <mergeCell ref="A150:A157"/>
    <mergeCell ref="A86:A93"/>
    <mergeCell ref="A94:A101"/>
    <mergeCell ref="A102:A109"/>
    <mergeCell ref="A110:A117"/>
    <mergeCell ref="A158:A165"/>
    <mergeCell ref="A46:A53"/>
    <mergeCell ref="A54:A61"/>
    <mergeCell ref="A62:A69"/>
    <mergeCell ref="A70:A77"/>
    <mergeCell ref="A78:A85"/>
    <mergeCell ref="A6:A13"/>
    <mergeCell ref="A14:A21"/>
    <mergeCell ref="A22:A29"/>
    <mergeCell ref="A30:A37"/>
    <mergeCell ref="A38:A45"/>
  </mergeCells>
  <pageMargins left="0.7" right="0.7" top="0.75" bottom="0.75" header="0.39" footer="0.39"/>
  <pageSetup paperSize="9" fitToWidth="0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0747D"/>
  </sheetPr>
  <dimension ref="A2:BF221"/>
  <sheetViews>
    <sheetView tabSelected="1" topLeftCell="AS169" zoomScale="150" zoomScaleNormal="67" workbookViewId="0">
      <selection activeCell="AU176" sqref="AU176"/>
    </sheetView>
  </sheetViews>
  <sheetFormatPr baseColWidth="10" defaultColWidth="9.1640625" defaultRowHeight="15"/>
  <cols>
    <col min="4" max="4" width="5.33203125" customWidth="1"/>
    <col min="5" max="5" width="51" customWidth="1"/>
    <col min="6" max="29" width="20.83203125" customWidth="1"/>
    <col min="30" max="30" width="20.83203125" style="2" customWidth="1"/>
    <col min="31" max="35" width="20.83203125" customWidth="1"/>
    <col min="36" max="53" width="18.83203125" customWidth="1"/>
    <col min="54" max="54" width="12.83203125" customWidth="1"/>
    <col min="55" max="55" width="17.33203125" customWidth="1"/>
    <col min="56" max="57" width="12.83203125" customWidth="1"/>
    <col min="58" max="58" width="16.1640625" customWidth="1"/>
  </cols>
  <sheetData>
    <row r="2" spans="4:53" ht="21">
      <c r="E2" s="2" t="s">
        <v>11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154" t="s">
        <v>16</v>
      </c>
      <c r="AE2" s="157" t="s">
        <v>46</v>
      </c>
      <c r="AF2" s="157" t="s">
        <v>17</v>
      </c>
      <c r="AG2" s="160" t="s">
        <v>47</v>
      </c>
      <c r="AH2" s="160" t="s">
        <v>14</v>
      </c>
      <c r="AI2" s="160" t="s">
        <v>48</v>
      </c>
      <c r="AJ2" s="160" t="s">
        <v>49</v>
      </c>
      <c r="AK2" s="162" t="s">
        <v>15</v>
      </c>
      <c r="AL2" s="160" t="s">
        <v>12</v>
      </c>
      <c r="AM2" s="162" t="s">
        <v>50</v>
      </c>
      <c r="AN2" s="163" t="s">
        <v>51</v>
      </c>
      <c r="AO2" s="163" t="s">
        <v>52</v>
      </c>
      <c r="AP2" s="163" t="s">
        <v>53</v>
      </c>
      <c r="AQ2" s="163" t="s">
        <v>54</v>
      </c>
      <c r="AR2" s="163" t="s">
        <v>55</v>
      </c>
      <c r="AS2" s="164" t="s">
        <v>56</v>
      </c>
      <c r="AT2" s="165" t="s">
        <v>57</v>
      </c>
      <c r="AU2" s="168" t="s">
        <v>10</v>
      </c>
      <c r="AV2" s="168" t="s">
        <v>58</v>
      </c>
      <c r="AW2" s="168" t="s">
        <v>18</v>
      </c>
      <c r="AX2" s="168"/>
      <c r="AY2" s="169" t="s">
        <v>59</v>
      </c>
      <c r="AZ2" s="169" t="s">
        <v>20</v>
      </c>
      <c r="BA2" s="170" t="s">
        <v>19</v>
      </c>
    </row>
    <row r="3" spans="4:53">
      <c r="E3" s="4" t="s">
        <v>4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10" t="s">
        <v>3</v>
      </c>
      <c r="AE3" s="10" t="s">
        <v>3</v>
      </c>
      <c r="AF3" s="10" t="s">
        <v>3</v>
      </c>
      <c r="AG3" s="10" t="s">
        <v>3</v>
      </c>
      <c r="AH3" s="10" t="s">
        <v>3</v>
      </c>
      <c r="AI3" s="10" t="s">
        <v>3</v>
      </c>
      <c r="AJ3" s="10" t="s">
        <v>3</v>
      </c>
      <c r="AK3" s="10" t="s">
        <v>3</v>
      </c>
      <c r="AL3" s="10" t="s">
        <v>3</v>
      </c>
      <c r="AM3" s="10" t="s">
        <v>3</v>
      </c>
      <c r="AN3" s="10" t="s">
        <v>3</v>
      </c>
    </row>
    <row r="4" spans="4:53" ht="17.25" customHeight="1">
      <c r="D4" t="s">
        <v>21</v>
      </c>
      <c r="E4" s="3" t="s">
        <v>1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8">
        <f>'GDP data'!AK38</f>
        <v>2</v>
      </c>
      <c r="AE4" s="8">
        <f>'GDP data'!AK39</f>
        <v>2</v>
      </c>
      <c r="AF4" s="8">
        <f>'GDP data'!AK40</f>
        <v>2</v>
      </c>
      <c r="AG4" s="8"/>
      <c r="AH4" s="8"/>
      <c r="AI4" s="8"/>
      <c r="AJ4" s="8">
        <v>2</v>
      </c>
      <c r="AK4" s="8">
        <v>4</v>
      </c>
      <c r="AL4" s="8">
        <v>4</v>
      </c>
      <c r="AM4" s="8">
        <v>2</v>
      </c>
      <c r="AN4" s="8">
        <v>-2</v>
      </c>
      <c r="AO4" s="8">
        <v>-2</v>
      </c>
      <c r="AP4" s="8">
        <v>-2</v>
      </c>
      <c r="AQ4" s="8">
        <v>-2</v>
      </c>
      <c r="AR4" s="8">
        <v>-2</v>
      </c>
      <c r="AS4" s="8">
        <v>-2</v>
      </c>
      <c r="AT4" s="8">
        <v>-2</v>
      </c>
      <c r="AU4" s="8">
        <v>-2</v>
      </c>
      <c r="AV4" s="8">
        <v>-2</v>
      </c>
      <c r="AW4" s="8">
        <v>-2</v>
      </c>
      <c r="AX4" s="8"/>
      <c r="AY4" s="8">
        <v>-2</v>
      </c>
      <c r="AZ4" s="8">
        <v>-2</v>
      </c>
      <c r="BA4" s="8">
        <v>-2</v>
      </c>
    </row>
    <row r="5" spans="4:53" ht="17.25" customHeight="1" thickBot="1"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4:53" ht="17.25" customHeight="1" thickBot="1">
      <c r="D6" t="s">
        <v>21</v>
      </c>
      <c r="E6" s="3" t="s">
        <v>7</v>
      </c>
      <c r="F6" s="234"/>
      <c r="G6" s="234"/>
      <c r="H6" s="234"/>
      <c r="I6" s="234"/>
      <c r="J6" s="234"/>
      <c r="K6" s="234"/>
      <c r="L6" s="234"/>
      <c r="M6" s="234"/>
      <c r="N6" s="234"/>
      <c r="O6" s="234"/>
      <c r="P6" s="234"/>
      <c r="Q6" s="234"/>
      <c r="R6" s="234"/>
      <c r="S6" s="234"/>
      <c r="T6" s="234"/>
      <c r="U6" s="234"/>
      <c r="V6" s="234"/>
      <c r="W6" s="234"/>
      <c r="X6" s="234"/>
      <c r="Y6" s="234"/>
      <c r="Z6" s="234"/>
      <c r="AA6" s="234"/>
      <c r="AB6" s="234"/>
      <c r="AC6" s="234"/>
      <c r="AD6" s="11"/>
      <c r="AE6" s="11"/>
      <c r="AF6" s="11"/>
      <c r="AG6" s="11"/>
      <c r="AH6" s="11">
        <v>-2</v>
      </c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</row>
    <row r="7" spans="4:53" ht="17.25" customHeight="1" thickBot="1"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4:53" ht="17.25" customHeight="1" thickBot="1">
      <c r="D8" t="s">
        <v>22</v>
      </c>
      <c r="E8" s="3" t="s">
        <v>8</v>
      </c>
      <c r="F8" s="234"/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4"/>
      <c r="T8" s="234"/>
      <c r="U8" s="234"/>
      <c r="V8" s="234"/>
      <c r="W8" s="234"/>
      <c r="X8" s="234"/>
      <c r="Y8" s="234"/>
      <c r="Z8" s="234"/>
      <c r="AA8" s="234"/>
      <c r="AB8" s="234"/>
      <c r="AC8" s="234"/>
      <c r="AD8" s="11"/>
      <c r="AE8" s="11"/>
      <c r="AF8" s="11"/>
      <c r="AG8" s="11"/>
      <c r="AH8" s="11">
        <v>-1</v>
      </c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</row>
    <row r="9" spans="4:53" ht="17.25" customHeight="1" thickBot="1">
      <c r="AE9" s="2"/>
      <c r="AF9" s="2"/>
      <c r="AG9" s="2"/>
      <c r="AH9" s="2"/>
      <c r="AI9" s="2"/>
      <c r="AJ9" s="2"/>
      <c r="AK9" s="2"/>
      <c r="AL9" s="2"/>
      <c r="AM9" s="2"/>
      <c r="AN9" s="2"/>
    </row>
    <row r="10" spans="4:53" ht="17.25" customHeight="1" thickBot="1">
      <c r="D10" t="s">
        <v>23</v>
      </c>
      <c r="E10" s="3" t="s">
        <v>2</v>
      </c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P10" s="234"/>
      <c r="Q10" s="234"/>
      <c r="R10" s="234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11"/>
      <c r="AE10" s="11"/>
      <c r="AF10" s="11"/>
      <c r="AG10" s="11"/>
      <c r="AH10" s="11">
        <v>-1</v>
      </c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</row>
    <row r="11" spans="4:53" ht="17.25" customHeight="1" thickBot="1">
      <c r="AE11" s="2"/>
      <c r="AF11" s="2"/>
      <c r="AG11" s="2"/>
      <c r="AH11" s="2"/>
      <c r="AI11" s="2"/>
      <c r="AJ11" s="2"/>
      <c r="AL11" s="2"/>
      <c r="AM11" s="2"/>
      <c r="AN11" s="2"/>
    </row>
    <row r="12" spans="4:53" ht="17.25" customHeight="1" thickBot="1">
      <c r="D12" t="s">
        <v>22</v>
      </c>
      <c r="E12" s="3" t="s">
        <v>5</v>
      </c>
      <c r="F12" s="234"/>
      <c r="G12" s="234"/>
      <c r="H12" s="234"/>
      <c r="I12" s="234"/>
      <c r="J12" s="234"/>
      <c r="K12" s="234"/>
      <c r="L12" s="234"/>
      <c r="M12" s="234"/>
      <c r="N12" s="234"/>
      <c r="O12" s="234"/>
      <c r="P12" s="234"/>
      <c r="Q12" s="234"/>
      <c r="R12" s="234"/>
      <c r="S12" s="234"/>
      <c r="T12" s="234"/>
      <c r="U12" s="234"/>
      <c r="V12" s="234"/>
      <c r="W12" s="234"/>
      <c r="X12" s="234"/>
      <c r="Y12" s="234"/>
      <c r="Z12" s="234"/>
      <c r="AA12" s="234"/>
      <c r="AB12" s="234"/>
      <c r="AC12" s="234"/>
      <c r="AD12" s="11"/>
      <c r="AE12" s="11"/>
      <c r="AF12" s="11"/>
      <c r="AG12" s="11"/>
      <c r="AH12" s="11">
        <v>10</v>
      </c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</row>
    <row r="13" spans="4:53" ht="17.25" customHeight="1" thickBot="1"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4:53" ht="17.25" customHeight="1" thickBot="1">
      <c r="D14" t="s">
        <v>23</v>
      </c>
      <c r="E14" s="3" t="s">
        <v>6</v>
      </c>
      <c r="F14" s="234"/>
      <c r="G14" s="234"/>
      <c r="H14" s="234"/>
      <c r="I14" s="234"/>
      <c r="J14" s="234"/>
      <c r="K14" s="234"/>
      <c r="L14" s="234"/>
      <c r="M14" s="234"/>
      <c r="N14" s="234"/>
      <c r="O14" s="234"/>
      <c r="P14" s="234"/>
      <c r="Q14" s="234"/>
      <c r="R14" s="234"/>
      <c r="S14" s="234"/>
      <c r="T14" s="234"/>
      <c r="U14" s="234"/>
      <c r="V14" s="234"/>
      <c r="W14" s="234"/>
      <c r="X14" s="234"/>
      <c r="Y14" s="234"/>
      <c r="Z14" s="234"/>
      <c r="AA14" s="234"/>
      <c r="AB14" s="234"/>
      <c r="AC14" s="234"/>
      <c r="AD14" s="11"/>
      <c r="AE14" s="11"/>
      <c r="AF14" s="11"/>
      <c r="AG14" s="11"/>
      <c r="AH14" s="11">
        <v>-2</v>
      </c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</row>
    <row r="15" spans="4:53" ht="17.25" customHeight="1" thickBot="1">
      <c r="E15" s="7" t="s">
        <v>9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E15" s="2"/>
      <c r="AF15" s="2"/>
      <c r="AG15" s="2"/>
      <c r="AH15" s="2"/>
      <c r="AI15" s="2"/>
      <c r="AJ15" s="2"/>
      <c r="AK15" s="2"/>
      <c r="AL15" s="2"/>
      <c r="AM15" s="2"/>
      <c r="AR15" s="2"/>
      <c r="AS15" s="5"/>
    </row>
    <row r="16" spans="4:53" ht="17.25" customHeight="1" thickBot="1">
      <c r="E16" s="3" t="s">
        <v>0</v>
      </c>
      <c r="F16" s="234"/>
      <c r="G16" s="234"/>
      <c r="H16" s="234"/>
      <c r="I16" s="234"/>
      <c r="J16" s="234"/>
      <c r="K16" s="234"/>
      <c r="L16" s="234"/>
      <c r="M16" s="234"/>
      <c r="N16" s="234"/>
      <c r="O16" s="234"/>
      <c r="P16" s="234"/>
      <c r="Q16" s="234"/>
      <c r="R16" s="234"/>
      <c r="S16" s="234"/>
      <c r="T16" s="234"/>
      <c r="U16" s="234"/>
      <c r="V16" s="234"/>
      <c r="W16" s="234"/>
      <c r="X16" s="234"/>
      <c r="Y16" s="234"/>
      <c r="Z16" s="234"/>
      <c r="AA16" s="234"/>
      <c r="AB16" s="234"/>
      <c r="AC16" s="234"/>
      <c r="AD16" s="1">
        <f>AD4+AD6+AD10+AD12+AD14+AD8</f>
        <v>2</v>
      </c>
      <c r="AE16" s="1">
        <f t="shared" ref="AE16:AM16" si="0">AE4+AE6+AE10+AE12+AE14+AE8</f>
        <v>2</v>
      </c>
      <c r="AF16" s="1">
        <f t="shared" si="0"/>
        <v>2</v>
      </c>
      <c r="AG16" s="1">
        <f t="shared" si="0"/>
        <v>0</v>
      </c>
      <c r="AH16" s="1">
        <f t="shared" si="0"/>
        <v>4</v>
      </c>
      <c r="AI16" s="1">
        <f t="shared" si="0"/>
        <v>0</v>
      </c>
      <c r="AJ16" s="1">
        <f t="shared" si="0"/>
        <v>2</v>
      </c>
      <c r="AK16" s="1">
        <f t="shared" si="0"/>
        <v>4</v>
      </c>
      <c r="AL16" s="1">
        <f t="shared" si="0"/>
        <v>4</v>
      </c>
      <c r="AM16" s="1">
        <f t="shared" si="0"/>
        <v>2</v>
      </c>
      <c r="AN16" s="1">
        <f>AN4+AN6+AN10+AN12+AN14+AN8</f>
        <v>-2</v>
      </c>
      <c r="AR16" s="2"/>
      <c r="AS16" s="5"/>
    </row>
    <row r="17" spans="5:50" ht="17.25" customHeight="1">
      <c r="AD17" s="6">
        <f>+AD16/60</f>
        <v>3.3333333333333333E-2</v>
      </c>
      <c r="AE17" s="6">
        <f t="shared" ref="AE17:AM17" si="1">+AE16/60</f>
        <v>3.3333333333333333E-2</v>
      </c>
      <c r="AF17" s="6">
        <f>+AF16/60</f>
        <v>3.3333333333333333E-2</v>
      </c>
      <c r="AG17" s="6">
        <f t="shared" si="1"/>
        <v>0</v>
      </c>
      <c r="AH17" s="6">
        <f t="shared" si="1"/>
        <v>6.6666666666666666E-2</v>
      </c>
      <c r="AI17" s="6">
        <f t="shared" si="1"/>
        <v>0</v>
      </c>
      <c r="AJ17" s="6">
        <f t="shared" si="1"/>
        <v>3.3333333333333333E-2</v>
      </c>
      <c r="AK17" s="6">
        <f t="shared" si="1"/>
        <v>6.6666666666666666E-2</v>
      </c>
      <c r="AL17" s="6">
        <f t="shared" si="1"/>
        <v>6.6666666666666666E-2</v>
      </c>
      <c r="AM17" s="6">
        <f t="shared" si="1"/>
        <v>3.3333333333333333E-2</v>
      </c>
      <c r="AN17" s="6">
        <f>+AN16/60</f>
        <v>-3.3333333333333333E-2</v>
      </c>
      <c r="AR17" s="2"/>
    </row>
    <row r="18" spans="5:50" ht="16">
      <c r="E18" s="235" t="s">
        <v>1</v>
      </c>
      <c r="F18" s="249">
        <v>44927</v>
      </c>
      <c r="G18" s="208">
        <v>44958</v>
      </c>
      <c r="H18" s="208">
        <v>44986</v>
      </c>
      <c r="I18" s="249">
        <v>45017</v>
      </c>
      <c r="J18" s="208">
        <v>45047</v>
      </c>
      <c r="K18" s="208">
        <v>45078</v>
      </c>
      <c r="L18" s="249">
        <v>45108</v>
      </c>
      <c r="M18" s="208">
        <v>45139</v>
      </c>
      <c r="N18" s="208">
        <v>45170</v>
      </c>
      <c r="O18" s="249">
        <v>45200</v>
      </c>
      <c r="P18" s="208">
        <v>45231</v>
      </c>
      <c r="Q18" s="208">
        <v>45261</v>
      </c>
      <c r="R18" s="249">
        <v>45292</v>
      </c>
      <c r="S18" s="208">
        <v>45323</v>
      </c>
      <c r="T18" s="208">
        <v>45352</v>
      </c>
      <c r="U18" s="249">
        <v>45383</v>
      </c>
      <c r="V18" s="208">
        <v>45413</v>
      </c>
      <c r="W18" s="208">
        <v>45444</v>
      </c>
      <c r="X18" s="249">
        <v>45474</v>
      </c>
      <c r="Y18" s="208">
        <v>45505</v>
      </c>
      <c r="Z18" s="208">
        <v>45536</v>
      </c>
      <c r="AA18" s="249">
        <v>45566</v>
      </c>
      <c r="AB18" s="208">
        <v>45597</v>
      </c>
      <c r="AC18" s="208">
        <v>45627</v>
      </c>
      <c r="AD18" s="249">
        <v>45658</v>
      </c>
      <c r="AE18" s="208">
        <v>45689</v>
      </c>
      <c r="AF18" s="208">
        <v>45717</v>
      </c>
      <c r="AG18" s="208">
        <v>45748</v>
      </c>
      <c r="AH18" s="208">
        <v>45778</v>
      </c>
      <c r="AI18" s="208">
        <v>45809</v>
      </c>
      <c r="AJ18" s="208">
        <v>45839</v>
      </c>
      <c r="AK18" s="208">
        <v>45870</v>
      </c>
      <c r="AL18" s="208">
        <v>45901</v>
      </c>
      <c r="AM18" s="208">
        <v>45931</v>
      </c>
      <c r="AN18" s="208">
        <v>45962</v>
      </c>
      <c r="AO18" s="208">
        <v>45992</v>
      </c>
      <c r="AP18" s="208">
        <v>46023</v>
      </c>
      <c r="AQ18" s="208">
        <v>46054</v>
      </c>
      <c r="AR18" s="208">
        <v>46082</v>
      </c>
      <c r="AS18" s="208">
        <v>46113</v>
      </c>
      <c r="AT18" s="208">
        <v>46143</v>
      </c>
      <c r="AU18" s="208">
        <v>46174</v>
      </c>
      <c r="AV18" s="208">
        <v>46204</v>
      </c>
      <c r="AW18" s="208">
        <v>46235</v>
      </c>
      <c r="AX18" s="208">
        <v>46266</v>
      </c>
    </row>
    <row r="19" spans="5:50" ht="21">
      <c r="E19" s="236" t="s">
        <v>16</v>
      </c>
      <c r="F19" s="2">
        <f>'GDP data'!B38</f>
        <v>-2</v>
      </c>
      <c r="G19" s="2">
        <f>'GDP data'!C38</f>
        <v>-2</v>
      </c>
      <c r="H19" s="2">
        <f>'GDP data'!D38</f>
        <v>-2</v>
      </c>
      <c r="I19" s="2">
        <f>'GDP data'!E38</f>
        <v>2</v>
      </c>
      <c r="J19" s="2">
        <f>'GDP data'!F38</f>
        <v>2</v>
      </c>
      <c r="K19" s="2">
        <f>'GDP data'!G38</f>
        <v>2</v>
      </c>
      <c r="L19" s="2">
        <f>'GDP data'!H38</f>
        <v>4</v>
      </c>
      <c r="M19" s="2">
        <f>'GDP data'!I38</f>
        <v>4</v>
      </c>
      <c r="N19" s="2">
        <f>'GDP data'!J38</f>
        <v>4</v>
      </c>
      <c r="O19" s="2">
        <f>'GDP data'!K38</f>
        <v>4</v>
      </c>
      <c r="P19" s="2">
        <f>'GDP data'!L38</f>
        <v>4</v>
      </c>
      <c r="Q19" s="2">
        <f>'GDP data'!M38</f>
        <v>4</v>
      </c>
      <c r="R19" s="2">
        <f>'GDP data'!N38</f>
        <v>4</v>
      </c>
      <c r="S19" s="2">
        <f>'GDP data'!O38</f>
        <v>4</v>
      </c>
      <c r="T19" s="2">
        <f>'GDP data'!P38</f>
        <v>4</v>
      </c>
      <c r="U19" s="2">
        <f>'GDP data'!Q38</f>
        <v>2</v>
      </c>
      <c r="V19" s="2">
        <f>'GDP data'!R38</f>
        <v>2</v>
      </c>
      <c r="W19" s="2">
        <f>'GDP data'!S38</f>
        <v>2</v>
      </c>
      <c r="X19" s="2">
        <f>'GDP data'!T38</f>
        <v>0</v>
      </c>
      <c r="Y19" s="2">
        <f>'GDP data'!U38</f>
        <v>0</v>
      </c>
      <c r="Z19" s="2">
        <f>'GDP data'!V38</f>
        <v>0</v>
      </c>
      <c r="AA19" s="2">
        <f>'GDP data'!W38</f>
        <v>-2</v>
      </c>
      <c r="AB19" s="2">
        <f>'GDP data'!X38</f>
        <v>-2</v>
      </c>
      <c r="AC19" s="2">
        <f>'GDP data'!Y38</f>
        <v>-2</v>
      </c>
      <c r="AD19" s="2">
        <f>'GDP data'!Z38</f>
        <v>-2</v>
      </c>
      <c r="AE19" s="2">
        <f>'GDP data'!AA38</f>
        <v>-2</v>
      </c>
      <c r="AF19" s="2">
        <f>'GDP data'!AB38</f>
        <v>-2</v>
      </c>
      <c r="AG19" s="2">
        <f>'GDP data'!AC38</f>
        <v>0</v>
      </c>
      <c r="AH19" s="2">
        <f>'GDP data'!AD38</f>
        <v>0</v>
      </c>
      <c r="AI19" s="2">
        <f>'GDP data'!AE38</f>
        <v>0</v>
      </c>
      <c r="AJ19" s="2">
        <f>'GDP data'!AF38</f>
        <v>2</v>
      </c>
      <c r="AK19" s="2">
        <f>'GDP data'!AG38</f>
        <v>2</v>
      </c>
      <c r="AL19" s="2">
        <f>'GDP data'!AH38</f>
        <v>2</v>
      </c>
      <c r="AM19" s="2">
        <f>'GDP data'!AI38</f>
        <v>2</v>
      </c>
      <c r="AN19" s="2">
        <f>'GDP data'!AJ38</f>
        <v>2</v>
      </c>
      <c r="AO19" s="2">
        <f>'GDP data'!AK38</f>
        <v>2</v>
      </c>
      <c r="AP19" s="2">
        <f>'GDP data'!AL38</f>
        <v>6</v>
      </c>
      <c r="AQ19" s="2">
        <f>'GDP data'!AM38</f>
        <v>6</v>
      </c>
      <c r="AR19" s="2">
        <f>'GDP data'!AN38</f>
        <v>6</v>
      </c>
      <c r="AS19" s="2">
        <f>'GDP data'!AO38</f>
        <v>2</v>
      </c>
      <c r="AT19" s="2">
        <f>'GDP data'!AP38</f>
        <v>2</v>
      </c>
      <c r="AU19" s="2">
        <f>'GDP data'!AQ38</f>
        <v>2</v>
      </c>
      <c r="AV19" s="2">
        <f>'GDP data'!AR38</f>
        <v>2</v>
      </c>
      <c r="AW19" s="2">
        <f>'GDP data'!AS38</f>
        <v>2</v>
      </c>
      <c r="AX19" s="2">
        <f>'GDP data'!AT38</f>
        <v>2</v>
      </c>
    </row>
    <row r="20" spans="5:50" ht="21">
      <c r="E20" s="237" t="s">
        <v>46</v>
      </c>
      <c r="F20" s="2">
        <f>'GDP data'!B39</f>
        <v>0</v>
      </c>
      <c r="G20" s="2">
        <f>'GDP data'!C39</f>
        <v>0</v>
      </c>
      <c r="H20" s="2">
        <f>'GDP data'!D39</f>
        <v>0</v>
      </c>
      <c r="I20" s="2">
        <f>'GDP data'!E39</f>
        <v>4</v>
      </c>
      <c r="J20" s="2">
        <f>'GDP data'!F39</f>
        <v>4</v>
      </c>
      <c r="K20" s="2">
        <f>'GDP data'!G39</f>
        <v>4</v>
      </c>
      <c r="L20" s="2">
        <f>'GDP data'!H39</f>
        <v>4</v>
      </c>
      <c r="M20" s="2">
        <f>'GDP data'!I39</f>
        <v>4</v>
      </c>
      <c r="N20" s="2">
        <f>'GDP data'!J39</f>
        <v>4</v>
      </c>
      <c r="O20" s="2">
        <f>'GDP data'!K39</f>
        <v>4</v>
      </c>
      <c r="P20" s="2">
        <f>'GDP data'!L39</f>
        <v>4</v>
      </c>
      <c r="Q20" s="2">
        <f>'GDP data'!M39</f>
        <v>4</v>
      </c>
      <c r="R20" s="2">
        <f>'GDP data'!N39</f>
        <v>6</v>
      </c>
      <c r="S20" s="2">
        <f>'GDP data'!O39</f>
        <v>6</v>
      </c>
      <c r="T20" s="2">
        <f>'GDP data'!P39</f>
        <v>6</v>
      </c>
      <c r="U20" s="2">
        <f>'GDP data'!Q39</f>
        <v>4</v>
      </c>
      <c r="V20" s="2">
        <f>'GDP data'!R39</f>
        <v>4</v>
      </c>
      <c r="W20" s="2">
        <f>'GDP data'!S39</f>
        <v>4</v>
      </c>
      <c r="X20" s="2">
        <f>'GDP data'!T39</f>
        <v>2</v>
      </c>
      <c r="Y20" s="2">
        <f>'GDP data'!U39</f>
        <v>2</v>
      </c>
      <c r="Z20" s="2">
        <f>'GDP data'!V39</f>
        <v>2</v>
      </c>
      <c r="AA20" s="2">
        <f>'GDP data'!W39</f>
        <v>2</v>
      </c>
      <c r="AB20" s="2">
        <f>'GDP data'!X39</f>
        <v>2</v>
      </c>
      <c r="AC20" s="2">
        <f>'GDP data'!Y39</f>
        <v>2</v>
      </c>
      <c r="AD20" s="2">
        <f>'GDP data'!Z39</f>
        <v>-2</v>
      </c>
      <c r="AE20" s="2">
        <f>'GDP data'!AA39</f>
        <v>-2</v>
      </c>
      <c r="AF20" s="2">
        <f>'GDP data'!AB39</f>
        <v>-2</v>
      </c>
      <c r="AG20" s="2">
        <f>'GDP data'!AC39</f>
        <v>2</v>
      </c>
      <c r="AH20" s="2">
        <f>'GDP data'!AD39</f>
        <v>2</v>
      </c>
      <c r="AI20" s="2">
        <f>'GDP data'!AE39</f>
        <v>2</v>
      </c>
      <c r="AJ20" s="2">
        <f>'GDP data'!AF39</f>
        <v>4</v>
      </c>
      <c r="AK20" s="2">
        <f>'GDP data'!AG39</f>
        <v>4</v>
      </c>
      <c r="AL20" s="2">
        <f>'GDP data'!AH39</f>
        <v>4</v>
      </c>
      <c r="AM20" s="2">
        <f>'GDP data'!AI39</f>
        <v>2</v>
      </c>
      <c r="AN20" s="2">
        <f>'GDP data'!AJ39</f>
        <v>2</v>
      </c>
      <c r="AO20" s="2">
        <f>'GDP data'!AK39</f>
        <v>2</v>
      </c>
      <c r="AP20" s="2">
        <f>'GDP data'!AL39</f>
        <v>4</v>
      </c>
      <c r="AQ20" s="2">
        <f>'GDP data'!AM39</f>
        <v>4</v>
      </c>
      <c r="AR20" s="2">
        <f>'GDP data'!AN39</f>
        <v>4</v>
      </c>
      <c r="AS20" s="2">
        <f>'GDP data'!AO39</f>
        <v>0</v>
      </c>
      <c r="AT20" s="2">
        <f>'GDP data'!AP39</f>
        <v>0</v>
      </c>
      <c r="AU20" s="2">
        <f>'GDP data'!AQ39</f>
        <v>0</v>
      </c>
      <c r="AV20" s="2">
        <f>'GDP data'!AR39</f>
        <v>2</v>
      </c>
      <c r="AW20" s="2">
        <f>'GDP data'!AS39</f>
        <v>2</v>
      </c>
      <c r="AX20" s="2">
        <f>'GDP data'!AT39</f>
        <v>2</v>
      </c>
    </row>
    <row r="21" spans="5:50" ht="21">
      <c r="E21" s="237" t="s">
        <v>17</v>
      </c>
      <c r="F21" s="2">
        <f>'GDP data'!B40</f>
        <v>-2</v>
      </c>
      <c r="G21" s="2">
        <f>'GDP data'!C40</f>
        <v>-2</v>
      </c>
      <c r="H21" s="2">
        <f>'GDP data'!D40</f>
        <v>-2</v>
      </c>
      <c r="I21" s="2">
        <f>'GDP data'!E40</f>
        <v>2</v>
      </c>
      <c r="J21" s="2">
        <f>'GDP data'!F40</f>
        <v>2</v>
      </c>
      <c r="K21" s="2">
        <f>'GDP data'!G40</f>
        <v>2</v>
      </c>
      <c r="L21" s="2">
        <f>'GDP data'!H40</f>
        <v>4</v>
      </c>
      <c r="M21" s="2">
        <f>'GDP data'!I40</f>
        <v>4</v>
      </c>
      <c r="N21" s="2">
        <f>'GDP data'!J40</f>
        <v>4</v>
      </c>
      <c r="O21" s="2">
        <f>'GDP data'!K40</f>
        <v>4</v>
      </c>
      <c r="P21" s="2">
        <f>'GDP data'!L40</f>
        <v>4</v>
      </c>
      <c r="Q21" s="2">
        <f>'GDP data'!M40</f>
        <v>4</v>
      </c>
      <c r="R21" s="2">
        <f>'GDP data'!N40</f>
        <v>4</v>
      </c>
      <c r="S21" s="2">
        <f>'GDP data'!O40</f>
        <v>4</v>
      </c>
      <c r="T21" s="2">
        <f>'GDP data'!P40</f>
        <v>4</v>
      </c>
      <c r="U21" s="2">
        <f>'GDP data'!Q40</f>
        <v>2</v>
      </c>
      <c r="V21" s="2">
        <f>'GDP data'!R40</f>
        <v>2</v>
      </c>
      <c r="W21" s="2">
        <f>'GDP data'!S40</f>
        <v>2</v>
      </c>
      <c r="X21" s="2">
        <f>'GDP data'!T40</f>
        <v>0</v>
      </c>
      <c r="Y21" s="2">
        <f>'GDP data'!U40</f>
        <v>0</v>
      </c>
      <c r="Z21" s="2">
        <f>'GDP data'!V40</f>
        <v>0</v>
      </c>
      <c r="AA21" s="2">
        <f>'GDP data'!W40</f>
        <v>-2</v>
      </c>
      <c r="AB21" s="2">
        <f>'GDP data'!X40</f>
        <v>-2</v>
      </c>
      <c r="AC21" s="2">
        <f>'GDP data'!Y40</f>
        <v>-2</v>
      </c>
      <c r="AD21" s="2">
        <f>'GDP data'!Z40</f>
        <v>-2</v>
      </c>
      <c r="AE21" s="2">
        <f>'GDP data'!AA40</f>
        <v>-2</v>
      </c>
      <c r="AF21" s="2">
        <f>'GDP data'!AB40</f>
        <v>-2</v>
      </c>
      <c r="AG21" s="2">
        <f>'GDP data'!AC40</f>
        <v>0</v>
      </c>
      <c r="AH21" s="2">
        <f>'GDP data'!AD40</f>
        <v>0</v>
      </c>
      <c r="AI21" s="2">
        <f>'GDP data'!AE40</f>
        <v>0</v>
      </c>
      <c r="AJ21" s="2">
        <f>'GDP data'!AF40</f>
        <v>2</v>
      </c>
      <c r="AK21" s="2">
        <f>'GDP data'!AG40</f>
        <v>2</v>
      </c>
      <c r="AL21" s="2">
        <f>'GDP data'!AH40</f>
        <v>2</v>
      </c>
      <c r="AM21" s="2">
        <f>'GDP data'!AI40</f>
        <v>2</v>
      </c>
      <c r="AN21" s="2">
        <f>'GDP data'!AJ40</f>
        <v>2</v>
      </c>
      <c r="AO21" s="2">
        <f>'GDP data'!AK40</f>
        <v>2</v>
      </c>
      <c r="AP21" s="2">
        <f>'GDP data'!AL40</f>
        <v>6</v>
      </c>
      <c r="AQ21" s="2">
        <f>'GDP data'!AM40</f>
        <v>6</v>
      </c>
      <c r="AR21" s="2">
        <f>'GDP data'!AN40</f>
        <v>6</v>
      </c>
      <c r="AS21" s="2">
        <f>'GDP data'!AO40</f>
        <v>2</v>
      </c>
      <c r="AT21" s="2">
        <f>'GDP data'!AP40</f>
        <v>2</v>
      </c>
      <c r="AU21" s="2">
        <f>'GDP data'!AQ40</f>
        <v>2</v>
      </c>
      <c r="AV21" s="2">
        <f>'GDP data'!AR40</f>
        <v>2</v>
      </c>
      <c r="AW21" s="2">
        <f>'GDP data'!AS40</f>
        <v>2</v>
      </c>
      <c r="AX21" s="2">
        <f>'GDP data'!AT40</f>
        <v>2</v>
      </c>
    </row>
    <row r="22" spans="5:50" ht="21">
      <c r="E22" s="238" t="s">
        <v>47</v>
      </c>
      <c r="F22" s="2">
        <f>'GDP data'!B41</f>
        <v>-2</v>
      </c>
      <c r="G22" s="2">
        <f>'GDP data'!C41</f>
        <v>-2</v>
      </c>
      <c r="H22" s="2">
        <f>'GDP data'!D41</f>
        <v>-2</v>
      </c>
      <c r="I22" s="2">
        <f>'GDP data'!E41</f>
        <v>-4</v>
      </c>
      <c r="J22" s="2">
        <f>'GDP data'!F41</f>
        <v>-4</v>
      </c>
      <c r="K22" s="2">
        <f>'GDP data'!G41</f>
        <v>-4</v>
      </c>
      <c r="L22" s="2">
        <f>'GDP data'!H41</f>
        <v>-6</v>
      </c>
      <c r="M22" s="2">
        <f>'GDP data'!I41</f>
        <v>-6</v>
      </c>
      <c r="N22" s="2">
        <f>'GDP data'!J41</f>
        <v>-6</v>
      </c>
      <c r="O22" s="2">
        <f>'GDP data'!K41</f>
        <v>-6</v>
      </c>
      <c r="P22" s="2">
        <f>'GDP data'!L41</f>
        <v>-6</v>
      </c>
      <c r="Q22" s="2">
        <f>'GDP data'!M41</f>
        <v>-6</v>
      </c>
      <c r="R22" s="2">
        <f>'GDP data'!N41</f>
        <v>-4</v>
      </c>
      <c r="S22" s="2">
        <f>'GDP data'!O41</f>
        <v>-4</v>
      </c>
      <c r="T22" s="2">
        <f>'GDP data'!P41</f>
        <v>-4</v>
      </c>
      <c r="U22" s="2">
        <f>'GDP data'!Q41</f>
        <v>-6</v>
      </c>
      <c r="V22" s="2">
        <f>'GDP data'!R41</f>
        <v>-6</v>
      </c>
      <c r="W22" s="2">
        <f>'GDP data'!S41</f>
        <v>-6</v>
      </c>
      <c r="X22" s="2">
        <f>'GDP data'!T41</f>
        <v>-4</v>
      </c>
      <c r="Y22" s="2">
        <f>'GDP data'!U41</f>
        <v>-4</v>
      </c>
      <c r="Z22" s="2">
        <f>'GDP data'!V41</f>
        <v>-4</v>
      </c>
      <c r="AA22" s="2">
        <f>'GDP data'!W41</f>
        <v>-2</v>
      </c>
      <c r="AB22" s="2">
        <f>'GDP data'!X41</f>
        <v>-2</v>
      </c>
      <c r="AC22" s="2">
        <f>'GDP data'!Y41</f>
        <v>-2</v>
      </c>
      <c r="AD22" s="2">
        <f>'GDP data'!Z41</f>
        <v>0</v>
      </c>
      <c r="AE22" s="2">
        <f>'GDP data'!AA41</f>
        <v>0</v>
      </c>
      <c r="AF22" s="2">
        <f>'GDP data'!AB41</f>
        <v>0</v>
      </c>
      <c r="AG22" s="2">
        <f>'GDP data'!AC41</f>
        <v>-2</v>
      </c>
      <c r="AH22" s="2">
        <f>'GDP data'!AD41</f>
        <v>-2</v>
      </c>
      <c r="AI22" s="2">
        <f>'GDP data'!AE41</f>
        <v>-2</v>
      </c>
      <c r="AJ22" s="2">
        <f>'GDP data'!AF41</f>
        <v>-2</v>
      </c>
      <c r="AK22" s="2">
        <f>'GDP data'!AG41</f>
        <v>-2</v>
      </c>
      <c r="AL22" s="2">
        <f>'GDP data'!AH41</f>
        <v>-2</v>
      </c>
      <c r="AM22" s="2">
        <f>'GDP data'!AI41</f>
        <v>-2</v>
      </c>
      <c r="AN22" s="2">
        <f>'GDP data'!AJ41</f>
        <v>-2</v>
      </c>
      <c r="AO22" s="2">
        <f>'GDP data'!AK41</f>
        <v>-2</v>
      </c>
      <c r="AP22" s="2">
        <f>'GDP data'!AL41</f>
        <v>-4</v>
      </c>
      <c r="AQ22" s="2">
        <f>'GDP data'!AM41</f>
        <v>-4</v>
      </c>
      <c r="AR22" s="2">
        <f>'GDP data'!AN41</f>
        <v>-4</v>
      </c>
      <c r="AS22" s="2">
        <f>'GDP data'!AO41</f>
        <v>-2</v>
      </c>
      <c r="AT22" s="2">
        <f>'GDP data'!AP41</f>
        <v>-2</v>
      </c>
      <c r="AU22" s="2">
        <f>'GDP data'!AQ41</f>
        <v>-2</v>
      </c>
      <c r="AV22" s="2">
        <f>'GDP data'!AR41</f>
        <v>-2</v>
      </c>
      <c r="AW22" s="2">
        <f>'GDP data'!AS41</f>
        <v>-2</v>
      </c>
      <c r="AX22" s="2">
        <f>'GDP data'!AT41</f>
        <v>-2</v>
      </c>
    </row>
    <row r="23" spans="5:50" ht="21">
      <c r="E23" s="238" t="s">
        <v>14</v>
      </c>
      <c r="F23" s="2">
        <f>'GDP data'!B42</f>
        <v>-2</v>
      </c>
      <c r="G23" s="2">
        <f>'GDP data'!C42</f>
        <v>-2</v>
      </c>
      <c r="H23" s="2">
        <f>'GDP data'!D42</f>
        <v>-2</v>
      </c>
      <c r="I23" s="2">
        <f>'GDP data'!E42</f>
        <v>0</v>
      </c>
      <c r="J23" s="2">
        <f>'GDP data'!F42</f>
        <v>0</v>
      </c>
      <c r="K23" s="2">
        <f>'GDP data'!G42</f>
        <v>0</v>
      </c>
      <c r="L23" s="2">
        <f>'GDP data'!H42</f>
        <v>0</v>
      </c>
      <c r="M23" s="2">
        <f>'GDP data'!I42</f>
        <v>0</v>
      </c>
      <c r="N23" s="2">
        <f>'GDP data'!J42</f>
        <v>0</v>
      </c>
      <c r="O23" s="2">
        <f>'GDP data'!K42</f>
        <v>0</v>
      </c>
      <c r="P23" s="2">
        <f>'GDP data'!L42</f>
        <v>0</v>
      </c>
      <c r="Q23" s="2">
        <f>'GDP data'!M42</f>
        <v>0</v>
      </c>
      <c r="R23" s="2">
        <f>'GDP data'!N42</f>
        <v>4</v>
      </c>
      <c r="S23" s="2">
        <f>'GDP data'!O42</f>
        <v>4</v>
      </c>
      <c r="T23" s="2">
        <f>'GDP data'!P42</f>
        <v>4</v>
      </c>
      <c r="U23" s="2">
        <f>'GDP data'!Q42</f>
        <v>4</v>
      </c>
      <c r="V23" s="2">
        <f>'GDP data'!R42</f>
        <v>4</v>
      </c>
      <c r="W23" s="2">
        <f>'GDP data'!S42</f>
        <v>4</v>
      </c>
      <c r="X23" s="2">
        <f>'GDP data'!T42</f>
        <v>0</v>
      </c>
      <c r="Y23" s="2">
        <f>'GDP data'!U42</f>
        <v>0</v>
      </c>
      <c r="Z23" s="2">
        <f>'GDP data'!V42</f>
        <v>0</v>
      </c>
      <c r="AA23" s="2">
        <f>'GDP data'!W42</f>
        <v>2</v>
      </c>
      <c r="AB23" s="2">
        <f>'GDP data'!X42</f>
        <v>2</v>
      </c>
      <c r="AC23" s="2">
        <f>'GDP data'!Y42</f>
        <v>2</v>
      </c>
      <c r="AD23" s="2">
        <f>'GDP data'!Z42</f>
        <v>0</v>
      </c>
      <c r="AE23" s="2">
        <f>'GDP data'!AA42</f>
        <v>0</v>
      </c>
      <c r="AF23" s="2">
        <f>'GDP data'!AB42</f>
        <v>0</v>
      </c>
      <c r="AG23" s="2">
        <f>'GDP data'!AC42</f>
        <v>-2</v>
      </c>
      <c r="AH23" s="2">
        <f>'GDP data'!AD42</f>
        <v>-2</v>
      </c>
      <c r="AI23" s="2">
        <f>'GDP data'!AE42</f>
        <v>-2</v>
      </c>
      <c r="AJ23" s="2">
        <f>'GDP data'!AF42</f>
        <v>2</v>
      </c>
      <c r="AK23" s="2">
        <f>'GDP data'!AG42</f>
        <v>2</v>
      </c>
      <c r="AL23" s="2">
        <f>'GDP data'!AH42</f>
        <v>2</v>
      </c>
      <c r="AM23" s="2">
        <f>'GDP data'!AI42</f>
        <v>2</v>
      </c>
      <c r="AN23" s="2">
        <f>'GDP data'!AJ42</f>
        <v>2</v>
      </c>
      <c r="AO23" s="2">
        <f>'GDP data'!AK42</f>
        <v>2</v>
      </c>
      <c r="AP23" s="2">
        <f>'GDP data'!AL42</f>
        <v>0</v>
      </c>
      <c r="AQ23" s="2">
        <f>'GDP data'!AM42</f>
        <v>0</v>
      </c>
      <c r="AR23" s="2">
        <f>'GDP data'!AN42</f>
        <v>0</v>
      </c>
      <c r="AS23" s="2">
        <f>'GDP data'!AO42</f>
        <v>2</v>
      </c>
      <c r="AT23" s="2">
        <f>'GDP data'!AP42</f>
        <v>2</v>
      </c>
      <c r="AU23" s="2">
        <f>'GDP data'!AQ42</f>
        <v>2</v>
      </c>
      <c r="AV23" s="2">
        <f>'GDP data'!AR42</f>
        <v>0</v>
      </c>
      <c r="AW23" s="2">
        <f>'GDP data'!AS42</f>
        <v>0</v>
      </c>
      <c r="AX23" s="2">
        <f>'GDP data'!AT42</f>
        <v>0</v>
      </c>
    </row>
    <row r="24" spans="5:50" ht="21">
      <c r="E24" s="238" t="s">
        <v>48</v>
      </c>
      <c r="F24" s="2">
        <f>'GDP data'!B43</f>
        <v>-2</v>
      </c>
      <c r="G24" s="2">
        <f>'GDP data'!C43</f>
        <v>-2</v>
      </c>
      <c r="H24" s="2">
        <f>'GDP data'!D43</f>
        <v>-2</v>
      </c>
      <c r="I24" s="2">
        <f>'GDP data'!E43</f>
        <v>0</v>
      </c>
      <c r="J24" s="2">
        <f>'GDP data'!F43</f>
        <v>0</v>
      </c>
      <c r="K24" s="2">
        <f>'GDP data'!G43</f>
        <v>0</v>
      </c>
      <c r="L24" s="2">
        <f>'GDP data'!H43</f>
        <v>-2</v>
      </c>
      <c r="M24" s="2">
        <f>'GDP data'!I43</f>
        <v>-2</v>
      </c>
      <c r="N24" s="2">
        <f>'GDP data'!J43</f>
        <v>-2</v>
      </c>
      <c r="O24" s="2">
        <f>'GDP data'!K43</f>
        <v>-2</v>
      </c>
      <c r="P24" s="2">
        <f>'GDP data'!L43</f>
        <v>-2</v>
      </c>
      <c r="Q24" s="2">
        <f>'GDP data'!M43</f>
        <v>-2</v>
      </c>
      <c r="R24" s="2">
        <f>'GDP data'!N43</f>
        <v>2</v>
      </c>
      <c r="S24" s="2">
        <f>'GDP data'!O43</f>
        <v>2</v>
      </c>
      <c r="T24" s="2">
        <f>'GDP data'!P43</f>
        <v>2</v>
      </c>
      <c r="U24" s="2">
        <f>'GDP data'!Q43</f>
        <v>-2</v>
      </c>
      <c r="V24" s="2">
        <f>'GDP data'!R43</f>
        <v>-2</v>
      </c>
      <c r="W24" s="2">
        <f>'GDP data'!S43</f>
        <v>-2</v>
      </c>
      <c r="X24" s="2">
        <f>'GDP data'!T43</f>
        <v>-2</v>
      </c>
      <c r="Y24" s="2">
        <f>'GDP data'!U43</f>
        <v>-2</v>
      </c>
      <c r="Z24" s="2">
        <f>'GDP data'!V43</f>
        <v>-2</v>
      </c>
      <c r="AA24" s="2">
        <f>'GDP data'!W43</f>
        <v>0</v>
      </c>
      <c r="AB24" s="2">
        <f>'GDP data'!X43</f>
        <v>0</v>
      </c>
      <c r="AC24" s="2">
        <f>'GDP data'!Y43</f>
        <v>0</v>
      </c>
      <c r="AD24" s="2">
        <f>'GDP data'!Z43</f>
        <v>-2</v>
      </c>
      <c r="AE24" s="2">
        <f>'GDP data'!AA43</f>
        <v>-2</v>
      </c>
      <c r="AF24" s="2">
        <f>'GDP data'!AB43</f>
        <v>-2</v>
      </c>
      <c r="AG24" s="2">
        <f>'GDP data'!AC43</f>
        <v>0</v>
      </c>
      <c r="AH24" s="2">
        <f>'GDP data'!AD43</f>
        <v>0</v>
      </c>
      <c r="AI24" s="2">
        <f>'GDP data'!AE43</f>
        <v>0</v>
      </c>
      <c r="AJ24" s="2">
        <f>'GDP data'!AF43</f>
        <v>2</v>
      </c>
      <c r="AK24" s="2">
        <f>'GDP data'!AG43</f>
        <v>2</v>
      </c>
      <c r="AL24" s="2">
        <f>'GDP data'!AH43</f>
        <v>2</v>
      </c>
      <c r="AM24" s="2">
        <f>'GDP data'!AI43</f>
        <v>0</v>
      </c>
      <c r="AN24" s="2">
        <f>'GDP data'!AJ43</f>
        <v>0</v>
      </c>
      <c r="AO24" s="2">
        <f>'GDP data'!AK43</f>
        <v>0</v>
      </c>
      <c r="AP24" s="2">
        <f>'GDP data'!AL43</f>
        <v>0</v>
      </c>
      <c r="AQ24" s="2">
        <f>'GDP data'!AM43</f>
        <v>0</v>
      </c>
      <c r="AR24" s="2">
        <f>'GDP data'!AN43</f>
        <v>0</v>
      </c>
      <c r="AS24" s="2">
        <f>'GDP data'!AO43</f>
        <v>-2</v>
      </c>
      <c r="AT24" s="2">
        <f>'GDP data'!AP43</f>
        <v>-2</v>
      </c>
      <c r="AU24" s="2">
        <f>'GDP data'!AQ43</f>
        <v>-2</v>
      </c>
      <c r="AV24" s="2">
        <f>'GDP data'!AR43</f>
        <v>0</v>
      </c>
      <c r="AW24" s="2">
        <f>'GDP data'!AS43</f>
        <v>0</v>
      </c>
      <c r="AX24" s="2">
        <f>'GDP data'!AT43</f>
        <v>0</v>
      </c>
    </row>
    <row r="25" spans="5:50" ht="21">
      <c r="E25" s="238" t="s">
        <v>49</v>
      </c>
      <c r="F25" s="2">
        <f>'GDP data'!B44</f>
        <v>0</v>
      </c>
      <c r="G25" s="2">
        <f>'GDP data'!C44</f>
        <v>0</v>
      </c>
      <c r="H25" s="2">
        <f>'GDP data'!D44</f>
        <v>0</v>
      </c>
      <c r="I25" s="2">
        <f>'GDP data'!E44</f>
        <v>0</v>
      </c>
      <c r="J25" s="2">
        <f>'GDP data'!F44</f>
        <v>0</v>
      </c>
      <c r="K25" s="2">
        <f>'GDP data'!G44</f>
        <v>0</v>
      </c>
      <c r="L25" s="2">
        <f>'GDP data'!H44</f>
        <v>0</v>
      </c>
      <c r="M25" s="2">
        <f>'GDP data'!I44</f>
        <v>0</v>
      </c>
      <c r="N25" s="2">
        <f>'GDP data'!J44</f>
        <v>0</v>
      </c>
      <c r="O25" s="2">
        <f>'GDP data'!K44</f>
        <v>2</v>
      </c>
      <c r="P25" s="2">
        <f>'GDP data'!L44</f>
        <v>2</v>
      </c>
      <c r="Q25" s="2">
        <f>'GDP data'!M44</f>
        <v>2</v>
      </c>
      <c r="R25" s="2">
        <f>'GDP data'!N44</f>
        <v>0</v>
      </c>
      <c r="S25" s="2">
        <f>'GDP data'!O44</f>
        <v>0</v>
      </c>
      <c r="T25" s="2">
        <f>'GDP data'!P44</f>
        <v>0</v>
      </c>
      <c r="U25" s="2">
        <f>'GDP data'!Q44</f>
        <v>0</v>
      </c>
      <c r="V25" s="2">
        <f>'GDP data'!R44</f>
        <v>0</v>
      </c>
      <c r="W25" s="2">
        <f>'GDP data'!S44</f>
        <v>0</v>
      </c>
      <c r="X25" s="2">
        <f>'GDP data'!T44</f>
        <v>0</v>
      </c>
      <c r="Y25" s="2">
        <f>'GDP data'!U44</f>
        <v>0</v>
      </c>
      <c r="Z25" s="2">
        <f>'GDP data'!V44</f>
        <v>0</v>
      </c>
      <c r="AA25" s="2">
        <f>'GDP data'!W44</f>
        <v>-2</v>
      </c>
      <c r="AB25" s="2">
        <f>'GDP data'!X44</f>
        <v>-2</v>
      </c>
      <c r="AC25" s="2">
        <f>'GDP data'!Y44</f>
        <v>-2</v>
      </c>
      <c r="AD25" s="2">
        <f>'GDP data'!Z44</f>
        <v>0</v>
      </c>
      <c r="AE25" s="2">
        <f>'GDP data'!AA44</f>
        <v>0</v>
      </c>
      <c r="AF25" s="2">
        <f>'GDP data'!AB44</f>
        <v>0</v>
      </c>
      <c r="AG25" s="2">
        <f>'GDP data'!AC44</f>
        <v>0</v>
      </c>
      <c r="AH25" s="2">
        <f>'GDP data'!AD44</f>
        <v>0</v>
      </c>
      <c r="AI25" s="2">
        <f>'GDP data'!AE44</f>
        <v>0</v>
      </c>
      <c r="AJ25" s="2">
        <f>'GDP data'!AF44</f>
        <v>0</v>
      </c>
      <c r="AK25" s="2">
        <f>'GDP data'!AG44</f>
        <v>0</v>
      </c>
      <c r="AL25" s="2">
        <f>'GDP data'!AH44</f>
        <v>0</v>
      </c>
      <c r="AM25" s="2">
        <f>'GDP data'!AI44</f>
        <v>0</v>
      </c>
      <c r="AN25" s="2">
        <f>'GDP data'!AJ44</f>
        <v>0</v>
      </c>
      <c r="AO25" s="2">
        <f>'GDP data'!AK44</f>
        <v>0</v>
      </c>
      <c r="AP25" s="2">
        <f>'GDP data'!AL44</f>
        <v>0</v>
      </c>
      <c r="AQ25" s="2">
        <f>'GDP data'!AM44</f>
        <v>0</v>
      </c>
      <c r="AR25" s="2">
        <f>'GDP data'!AN44</f>
        <v>0</v>
      </c>
      <c r="AS25" s="2">
        <f>'GDP data'!AO44</f>
        <v>0</v>
      </c>
      <c r="AT25" s="2">
        <f>'GDP data'!AP44</f>
        <v>0</v>
      </c>
      <c r="AU25" s="2">
        <f>'GDP data'!AQ44</f>
        <v>0</v>
      </c>
      <c r="AV25" s="2">
        <f>'GDP data'!AR44</f>
        <v>-2</v>
      </c>
      <c r="AW25" s="2">
        <f>'GDP data'!AS44</f>
        <v>-2</v>
      </c>
      <c r="AX25" s="2">
        <f>'GDP data'!AT44</f>
        <v>-2</v>
      </c>
    </row>
    <row r="26" spans="5:50" ht="21">
      <c r="E26" s="239" t="s">
        <v>15</v>
      </c>
      <c r="F26" s="2">
        <f>'GDP data'!B45</f>
        <v>-4</v>
      </c>
      <c r="G26" s="2">
        <f>'GDP data'!C45</f>
        <v>-4</v>
      </c>
      <c r="H26" s="2">
        <f>'GDP data'!D45</f>
        <v>-4</v>
      </c>
      <c r="I26" s="2">
        <f>'GDP data'!E45</f>
        <v>-4</v>
      </c>
      <c r="J26" s="2">
        <f>'GDP data'!F45</f>
        <v>-4</v>
      </c>
      <c r="K26" s="2">
        <f>'GDP data'!G45</f>
        <v>-4</v>
      </c>
      <c r="L26" s="2">
        <f>'GDP data'!H45</f>
        <v>-2</v>
      </c>
      <c r="M26" s="2">
        <f>'GDP data'!I45</f>
        <v>-2</v>
      </c>
      <c r="N26" s="2">
        <f>'GDP data'!J45</f>
        <v>-2</v>
      </c>
      <c r="O26" s="2">
        <f>'GDP data'!K45</f>
        <v>-2</v>
      </c>
      <c r="P26" s="2">
        <f>'GDP data'!L45</f>
        <v>-2</v>
      </c>
      <c r="Q26" s="2">
        <f>'GDP data'!M45</f>
        <v>-2</v>
      </c>
      <c r="R26" s="2">
        <f>'GDP data'!N45</f>
        <v>0</v>
      </c>
      <c r="S26" s="2">
        <f>'GDP data'!O45</f>
        <v>0</v>
      </c>
      <c r="T26" s="2">
        <f>'GDP data'!P45</f>
        <v>0</v>
      </c>
      <c r="U26" s="2">
        <f>'GDP data'!Q45</f>
        <v>-2</v>
      </c>
      <c r="V26" s="2">
        <f>'GDP data'!R45</f>
        <v>-2</v>
      </c>
      <c r="W26" s="2">
        <f>'GDP data'!S45</f>
        <v>-2</v>
      </c>
      <c r="X26" s="2">
        <f>'GDP data'!T45</f>
        <v>-2</v>
      </c>
      <c r="Y26" s="2">
        <f>'GDP data'!U45</f>
        <v>-2</v>
      </c>
      <c r="Z26" s="2">
        <f>'GDP data'!V45</f>
        <v>-2</v>
      </c>
      <c r="AA26" s="2">
        <f>'GDP data'!W45</f>
        <v>-4</v>
      </c>
      <c r="AB26" s="2">
        <f>'GDP data'!X45</f>
        <v>-4</v>
      </c>
      <c r="AC26" s="2">
        <f>'GDP data'!Y45</f>
        <v>-4</v>
      </c>
      <c r="AD26" s="2">
        <f>'GDP data'!Z45</f>
        <v>-2</v>
      </c>
      <c r="AE26" s="2">
        <f>'GDP data'!AA45</f>
        <v>-2</v>
      </c>
      <c r="AF26" s="2">
        <f>'GDP data'!AB45</f>
        <v>-2</v>
      </c>
      <c r="AG26" s="2">
        <f>'GDP data'!AC45</f>
        <v>0</v>
      </c>
      <c r="AH26" s="2">
        <f>'GDP data'!AD45</f>
        <v>0</v>
      </c>
      <c r="AI26" s="2">
        <f>'GDP data'!AE45</f>
        <v>0</v>
      </c>
      <c r="AJ26" s="2">
        <f>'GDP data'!AF45</f>
        <v>0</v>
      </c>
      <c r="AK26" s="2">
        <f>'GDP data'!AG45</f>
        <v>0</v>
      </c>
      <c r="AL26" s="2">
        <f>'GDP data'!AH45</f>
        <v>0</v>
      </c>
      <c r="AM26" s="2">
        <f>'GDP data'!AI45</f>
        <v>0</v>
      </c>
      <c r="AN26" s="2">
        <f>'GDP data'!AJ45</f>
        <v>0</v>
      </c>
      <c r="AO26" s="2">
        <f>'GDP data'!AK45</f>
        <v>0</v>
      </c>
      <c r="AP26" s="2">
        <f>'GDP data'!AL45</f>
        <v>0</v>
      </c>
      <c r="AQ26" s="2">
        <f>'GDP data'!AM45</f>
        <v>0</v>
      </c>
      <c r="AR26" s="2">
        <f>'GDP data'!AN45</f>
        <v>0</v>
      </c>
      <c r="AS26" s="2">
        <f>'GDP data'!AO45</f>
        <v>0</v>
      </c>
      <c r="AT26" s="2">
        <f>'GDP data'!AP45</f>
        <v>0</v>
      </c>
      <c r="AU26" s="2">
        <f>'GDP data'!AQ45</f>
        <v>0</v>
      </c>
      <c r="AV26" s="2">
        <f>'GDP data'!AR45</f>
        <v>0</v>
      </c>
      <c r="AW26" s="2">
        <f>'GDP data'!AS45</f>
        <v>0</v>
      </c>
      <c r="AX26" s="2">
        <f>'GDP data'!AT45</f>
        <v>0</v>
      </c>
    </row>
    <row r="27" spans="5:50" ht="21">
      <c r="E27" s="238" t="s">
        <v>12</v>
      </c>
      <c r="F27" s="2">
        <f>'GDP data'!B46</f>
        <v>-4</v>
      </c>
      <c r="G27" s="2">
        <f>'GDP data'!C46</f>
        <v>-4</v>
      </c>
      <c r="H27" s="2">
        <f>'GDP data'!D46</f>
        <v>-4</v>
      </c>
      <c r="I27" s="2">
        <f>'GDP data'!E46</f>
        <v>-4</v>
      </c>
      <c r="J27" s="2">
        <f>'GDP data'!F46</f>
        <v>-4</v>
      </c>
      <c r="K27" s="2">
        <f>'GDP data'!G46</f>
        <v>-4</v>
      </c>
      <c r="L27" s="2">
        <f>'GDP data'!H46</f>
        <v>-4</v>
      </c>
      <c r="M27" s="2">
        <f>'GDP data'!I46</f>
        <v>-4</v>
      </c>
      <c r="N27" s="2">
        <f>'GDP data'!J46</f>
        <v>-4</v>
      </c>
      <c r="O27" s="2">
        <f>'GDP data'!K46</f>
        <v>-2</v>
      </c>
      <c r="P27" s="2">
        <f>'GDP data'!L46</f>
        <v>-2</v>
      </c>
      <c r="Q27" s="2">
        <f>'GDP data'!M46</f>
        <v>-2</v>
      </c>
      <c r="R27" s="2">
        <f>'GDP data'!N46</f>
        <v>-2</v>
      </c>
      <c r="S27" s="2">
        <f>'GDP data'!O46</f>
        <v>-2</v>
      </c>
      <c r="T27" s="2">
        <f>'GDP data'!P46</f>
        <v>-2</v>
      </c>
      <c r="U27" s="2">
        <f>'GDP data'!Q46</f>
        <v>0</v>
      </c>
      <c r="V27" s="2">
        <f>'GDP data'!R46</f>
        <v>0</v>
      </c>
      <c r="W27" s="2">
        <f>'GDP data'!S46</f>
        <v>0</v>
      </c>
      <c r="X27" s="2">
        <f>'GDP data'!T46</f>
        <v>0</v>
      </c>
      <c r="Y27" s="2">
        <f>'GDP data'!U46</f>
        <v>0</v>
      </c>
      <c r="Z27" s="2">
        <f>'GDP data'!V46</f>
        <v>0</v>
      </c>
      <c r="AA27" s="2">
        <f>'GDP data'!W46</f>
        <v>0</v>
      </c>
      <c r="AB27" s="2">
        <f>'GDP data'!X46</f>
        <v>0</v>
      </c>
      <c r="AC27" s="2">
        <f>'GDP data'!Y46</f>
        <v>0</v>
      </c>
      <c r="AD27" s="2">
        <f>'GDP data'!Z46</f>
        <v>0</v>
      </c>
      <c r="AE27" s="2">
        <f>'GDP data'!AA46</f>
        <v>0</v>
      </c>
      <c r="AF27" s="2">
        <f>'GDP data'!AB46</f>
        <v>0</v>
      </c>
      <c r="AG27" s="2">
        <f>'GDP data'!AC46</f>
        <v>-2</v>
      </c>
      <c r="AH27" s="2">
        <f>'GDP data'!AD46</f>
        <v>-2</v>
      </c>
      <c r="AI27" s="2">
        <f>'GDP data'!AE46</f>
        <v>-2</v>
      </c>
      <c r="AJ27" s="2">
        <f>'GDP data'!AF46</f>
        <v>-2</v>
      </c>
      <c r="AK27" s="2">
        <f>'GDP data'!AG46</f>
        <v>-2</v>
      </c>
      <c r="AL27" s="2">
        <f>'GDP data'!AH46</f>
        <v>-2</v>
      </c>
      <c r="AM27" s="2">
        <f>'GDP data'!AI46</f>
        <v>-4</v>
      </c>
      <c r="AN27" s="2">
        <f>'GDP data'!AJ46</f>
        <v>-4</v>
      </c>
      <c r="AO27" s="2">
        <f>'GDP data'!AK46</f>
        <v>-4</v>
      </c>
      <c r="AP27" s="2">
        <f>'GDP data'!AL46</f>
        <v>-4</v>
      </c>
      <c r="AQ27" s="2">
        <f>'GDP data'!AM46</f>
        <v>-4</v>
      </c>
      <c r="AR27" s="2">
        <f>'GDP data'!AN46</f>
        <v>-4</v>
      </c>
      <c r="AS27" s="2">
        <f>'GDP data'!AO46</f>
        <v>-2</v>
      </c>
      <c r="AT27" s="2">
        <f>'GDP data'!AP46</f>
        <v>-2</v>
      </c>
      <c r="AU27" s="2">
        <f>'GDP data'!AQ46</f>
        <v>-2</v>
      </c>
      <c r="AV27" s="2">
        <f>'GDP data'!AR46</f>
        <v>0</v>
      </c>
      <c r="AW27" s="2">
        <f>'GDP data'!AS46</f>
        <v>0</v>
      </c>
      <c r="AX27" s="2">
        <f>'GDP data'!AT46</f>
        <v>0</v>
      </c>
    </row>
    <row r="28" spans="5:50" ht="21">
      <c r="E28" s="239" t="s">
        <v>50</v>
      </c>
      <c r="F28" s="2">
        <f>'GDP data'!B47</f>
        <v>-4</v>
      </c>
      <c r="G28" s="2">
        <f>'GDP data'!C47</f>
        <v>-4</v>
      </c>
      <c r="H28" s="2">
        <f>'GDP data'!D47</f>
        <v>-4</v>
      </c>
      <c r="I28" s="2">
        <f>'GDP data'!E47</f>
        <v>-4</v>
      </c>
      <c r="J28" s="2">
        <f>'GDP data'!F47</f>
        <v>-4</v>
      </c>
      <c r="K28" s="2">
        <f>'GDP data'!G47</f>
        <v>-4</v>
      </c>
      <c r="L28" s="2">
        <f>'GDP data'!H47</f>
        <v>-2</v>
      </c>
      <c r="M28" s="2">
        <f>'GDP data'!I47</f>
        <v>-2</v>
      </c>
      <c r="N28" s="2">
        <f>'GDP data'!J47</f>
        <v>-2</v>
      </c>
      <c r="O28" s="2">
        <f>'GDP data'!K47</f>
        <v>-2</v>
      </c>
      <c r="P28" s="2">
        <f>'GDP data'!L47</f>
        <v>-2</v>
      </c>
      <c r="Q28" s="2">
        <f>'GDP data'!M47</f>
        <v>-2</v>
      </c>
      <c r="R28" s="2">
        <f>'GDP data'!N47</f>
        <v>-2</v>
      </c>
      <c r="S28" s="2">
        <f>'GDP data'!O47</f>
        <v>-2</v>
      </c>
      <c r="T28" s="2">
        <f>'GDP data'!P47</f>
        <v>-2</v>
      </c>
      <c r="U28" s="2">
        <f>'GDP data'!Q47</f>
        <v>2</v>
      </c>
      <c r="V28" s="2">
        <f>'GDP data'!R47</f>
        <v>2</v>
      </c>
      <c r="W28" s="2">
        <f>'GDP data'!S47</f>
        <v>2</v>
      </c>
      <c r="X28" s="2">
        <f>'GDP data'!T47</f>
        <v>4</v>
      </c>
      <c r="Y28" s="2">
        <f>'GDP data'!U47</f>
        <v>4</v>
      </c>
      <c r="Z28" s="2">
        <f>'GDP data'!V47</f>
        <v>4</v>
      </c>
      <c r="AA28" s="2">
        <f>'GDP data'!W47</f>
        <v>6</v>
      </c>
      <c r="AB28" s="2">
        <f>'GDP data'!X47</f>
        <v>6</v>
      </c>
      <c r="AC28" s="2">
        <f>'GDP data'!Y47</f>
        <v>6</v>
      </c>
      <c r="AD28" s="2">
        <f>'GDP data'!Z47</f>
        <v>4</v>
      </c>
      <c r="AE28" s="2">
        <f>'GDP data'!AA47</f>
        <v>4</v>
      </c>
      <c r="AF28" s="2">
        <f>'GDP data'!AB47</f>
        <v>4</v>
      </c>
      <c r="AG28" s="2">
        <f>'GDP data'!AC47</f>
        <v>6</v>
      </c>
      <c r="AH28" s="2">
        <f>'GDP data'!AD47</f>
        <v>6</v>
      </c>
      <c r="AI28" s="2">
        <f>'GDP data'!AE47</f>
        <v>6</v>
      </c>
      <c r="AJ28" s="2">
        <f>'GDP data'!AF47</f>
        <v>0</v>
      </c>
      <c r="AK28" s="2">
        <f>'GDP data'!AG47</f>
        <v>0</v>
      </c>
      <c r="AL28" s="2">
        <f>'GDP data'!AH47</f>
        <v>0</v>
      </c>
      <c r="AM28" s="2">
        <f>'GDP data'!AI47</f>
        <v>0</v>
      </c>
      <c r="AN28" s="2">
        <f>'GDP data'!AJ47</f>
        <v>0</v>
      </c>
      <c r="AO28" s="2">
        <f>'GDP data'!AK47</f>
        <v>0</v>
      </c>
      <c r="AP28" s="2">
        <f>'GDP data'!AL47</f>
        <v>-2</v>
      </c>
      <c r="AQ28" s="2">
        <f>'GDP data'!AM47</f>
        <v>-2</v>
      </c>
      <c r="AR28" s="2">
        <f>'GDP data'!AN47</f>
        <v>-2</v>
      </c>
      <c r="AS28" s="2">
        <f>'GDP data'!AO47</f>
        <v>-2</v>
      </c>
      <c r="AT28" s="2">
        <f>'GDP data'!AP47</f>
        <v>-2</v>
      </c>
      <c r="AU28" s="2">
        <f>'GDP data'!AQ47</f>
        <v>-2</v>
      </c>
      <c r="AV28" s="2">
        <f>'GDP data'!AR47</f>
        <v>-2</v>
      </c>
      <c r="AW28" s="2">
        <f>'GDP data'!AS47</f>
        <v>-2</v>
      </c>
      <c r="AX28" s="2">
        <f>'GDP data'!AT47</f>
        <v>-2</v>
      </c>
    </row>
    <row r="29" spans="5:50" ht="21">
      <c r="E29" s="240" t="s">
        <v>51</v>
      </c>
      <c r="F29" s="2">
        <f>'GDP data'!B48</f>
        <v>-2</v>
      </c>
      <c r="G29" s="2">
        <f>'GDP data'!C48</f>
        <v>-2</v>
      </c>
      <c r="H29" s="2">
        <f>'GDP data'!D48</f>
        <v>-2</v>
      </c>
      <c r="I29" s="2">
        <f>'GDP data'!E48</f>
        <v>-4</v>
      </c>
      <c r="J29" s="2">
        <f>'GDP data'!F48</f>
        <v>-4</v>
      </c>
      <c r="K29" s="2">
        <f>'GDP data'!G48</f>
        <v>-4</v>
      </c>
      <c r="L29" s="2">
        <f>'GDP data'!H48</f>
        <v>-6</v>
      </c>
      <c r="M29" s="2">
        <f>'GDP data'!I48</f>
        <v>-6</v>
      </c>
      <c r="N29" s="2">
        <f>'GDP data'!J48</f>
        <v>-6</v>
      </c>
      <c r="O29" s="2">
        <f>'GDP data'!K48</f>
        <v>-8</v>
      </c>
      <c r="P29" s="2">
        <f>'GDP data'!L48</f>
        <v>-8</v>
      </c>
      <c r="Q29" s="2">
        <f>'GDP data'!M48</f>
        <v>-8</v>
      </c>
      <c r="R29" s="2">
        <f>'GDP data'!N48</f>
        <v>-6</v>
      </c>
      <c r="S29" s="2">
        <f>'GDP data'!O48</f>
        <v>-6</v>
      </c>
      <c r="T29" s="2">
        <f>'GDP data'!P48</f>
        <v>-6</v>
      </c>
      <c r="U29" s="2">
        <f>'GDP data'!Q48</f>
        <v>-4</v>
      </c>
      <c r="V29" s="2">
        <f>'GDP data'!R48</f>
        <v>-4</v>
      </c>
      <c r="W29" s="2">
        <f>'GDP data'!S48</f>
        <v>-4</v>
      </c>
      <c r="X29" s="2">
        <f>'GDP data'!T48</f>
        <v>-4</v>
      </c>
      <c r="Y29" s="2">
        <f>'GDP data'!U48</f>
        <v>-4</v>
      </c>
      <c r="Z29" s="2">
        <f>'GDP data'!V48</f>
        <v>-4</v>
      </c>
      <c r="AA29" s="2">
        <f>'GDP data'!W48</f>
        <v>-2</v>
      </c>
      <c r="AB29" s="2">
        <f>'GDP data'!X48</f>
        <v>-2</v>
      </c>
      <c r="AC29" s="2">
        <f>'GDP data'!Y48</f>
        <v>-2</v>
      </c>
      <c r="AD29" s="2">
        <f>'GDP data'!Z48</f>
        <v>0</v>
      </c>
      <c r="AE29" s="2">
        <f>'GDP data'!AA48</f>
        <v>0</v>
      </c>
      <c r="AF29" s="2">
        <f>'GDP data'!AB48</f>
        <v>0</v>
      </c>
      <c r="AG29" s="2">
        <f>'GDP data'!AC48</f>
        <v>-2</v>
      </c>
      <c r="AH29" s="2">
        <f>'GDP data'!AD48</f>
        <v>-2</v>
      </c>
      <c r="AI29" s="2">
        <f>'GDP data'!AE48</f>
        <v>-2</v>
      </c>
      <c r="AJ29" s="2">
        <f>'GDP data'!AF48</f>
        <v>-2</v>
      </c>
      <c r="AK29" s="2">
        <f>'GDP data'!AG48</f>
        <v>-2</v>
      </c>
      <c r="AL29" s="2">
        <f>'GDP data'!AH48</f>
        <v>-2</v>
      </c>
      <c r="AM29" s="2">
        <f>'GDP data'!AI48</f>
        <v>-2</v>
      </c>
      <c r="AN29" s="2">
        <f>'GDP data'!AJ48</f>
        <v>-2</v>
      </c>
      <c r="AO29" s="2">
        <f>'GDP data'!AK48</f>
        <v>-2</v>
      </c>
      <c r="AP29" s="2">
        <f>'GDP data'!AL48</f>
        <v>-4</v>
      </c>
      <c r="AQ29" s="2">
        <f>'GDP data'!AM48</f>
        <v>-4</v>
      </c>
      <c r="AR29" s="2">
        <f>'GDP data'!AN48</f>
        <v>-4</v>
      </c>
      <c r="AS29" s="2">
        <f>'GDP data'!AO48</f>
        <v>-2</v>
      </c>
      <c r="AT29" s="2">
        <f>'GDP data'!AP48</f>
        <v>-2</v>
      </c>
      <c r="AU29" s="2">
        <f>'GDP data'!AQ48</f>
        <v>-2</v>
      </c>
      <c r="AV29" s="2">
        <f>'GDP data'!AR48</f>
        <v>0</v>
      </c>
      <c r="AW29" s="2">
        <f>'GDP data'!AS48</f>
        <v>0</v>
      </c>
      <c r="AX29" s="2">
        <f>'GDP data'!AT48</f>
        <v>0</v>
      </c>
    </row>
    <row r="30" spans="5:50" ht="21">
      <c r="E30" s="240" t="s">
        <v>52</v>
      </c>
      <c r="F30" s="2">
        <f>'GDP data'!B49</f>
        <v>-2</v>
      </c>
      <c r="G30" s="2">
        <f>'GDP data'!C49</f>
        <v>-2</v>
      </c>
      <c r="H30" s="2">
        <f>'GDP data'!D49</f>
        <v>-2</v>
      </c>
      <c r="I30" s="2">
        <f>'GDP data'!E49</f>
        <v>-2</v>
      </c>
      <c r="J30" s="2">
        <f>'GDP data'!F49</f>
        <v>-2</v>
      </c>
      <c r="K30" s="2">
        <f>'GDP data'!G49</f>
        <v>-2</v>
      </c>
      <c r="L30" s="2">
        <f>'GDP data'!H49</f>
        <v>0</v>
      </c>
      <c r="M30" s="2">
        <f>'GDP data'!I49</f>
        <v>0</v>
      </c>
      <c r="N30" s="2">
        <f>'GDP data'!J49</f>
        <v>0</v>
      </c>
      <c r="O30" s="2">
        <f>'GDP data'!K49</f>
        <v>-2</v>
      </c>
      <c r="P30" s="2">
        <f>'GDP data'!L49</f>
        <v>-2</v>
      </c>
      <c r="Q30" s="2">
        <f>'GDP data'!M49</f>
        <v>-2</v>
      </c>
      <c r="R30" s="2">
        <f>'GDP data'!N49</f>
        <v>4</v>
      </c>
      <c r="S30" s="2">
        <f>'GDP data'!O49</f>
        <v>4</v>
      </c>
      <c r="T30" s="2">
        <f>'GDP data'!P49</f>
        <v>4</v>
      </c>
      <c r="U30" s="2">
        <f>'GDP data'!Q49</f>
        <v>4</v>
      </c>
      <c r="V30" s="2">
        <f>'GDP data'!R49</f>
        <v>4</v>
      </c>
      <c r="W30" s="2">
        <f>'GDP data'!S49</f>
        <v>4</v>
      </c>
      <c r="X30" s="2">
        <f>'GDP data'!T49</f>
        <v>2</v>
      </c>
      <c r="Y30" s="2">
        <f>'GDP data'!U49</f>
        <v>2</v>
      </c>
      <c r="Z30" s="2">
        <f>'GDP data'!V49</f>
        <v>2</v>
      </c>
      <c r="AA30" s="2">
        <f>'GDP data'!W49</f>
        <v>2</v>
      </c>
      <c r="AB30" s="2">
        <f>'GDP data'!X49</f>
        <v>2</v>
      </c>
      <c r="AC30" s="2">
        <f>'GDP data'!Y49</f>
        <v>2</v>
      </c>
      <c r="AD30" s="2">
        <f>'GDP data'!Z49</f>
        <v>0</v>
      </c>
      <c r="AE30" s="2">
        <f>'GDP data'!AA49</f>
        <v>0</v>
      </c>
      <c r="AF30" s="2">
        <f>'GDP data'!AB49</f>
        <v>0</v>
      </c>
      <c r="AG30" s="2">
        <f>'GDP data'!AC49</f>
        <v>-2</v>
      </c>
      <c r="AH30" s="2">
        <f>'GDP data'!AD49</f>
        <v>-2</v>
      </c>
      <c r="AI30" s="2">
        <f>'GDP data'!AE49</f>
        <v>-2</v>
      </c>
      <c r="AJ30" s="2">
        <f>'GDP data'!AF49</f>
        <v>2</v>
      </c>
      <c r="AK30" s="2">
        <f>'GDP data'!AG49</f>
        <v>2</v>
      </c>
      <c r="AL30" s="2">
        <f>'GDP data'!AH49</f>
        <v>2</v>
      </c>
      <c r="AM30" s="2">
        <f>'GDP data'!AI49</f>
        <v>2</v>
      </c>
      <c r="AN30" s="2">
        <f>'GDP data'!AJ49</f>
        <v>2</v>
      </c>
      <c r="AO30" s="2">
        <f>'GDP data'!AK49</f>
        <v>2</v>
      </c>
      <c r="AP30" s="2">
        <f>'GDP data'!AL49</f>
        <v>0</v>
      </c>
      <c r="AQ30" s="2">
        <f>'GDP data'!AM49</f>
        <v>0</v>
      </c>
      <c r="AR30" s="2">
        <f>'GDP data'!AN49</f>
        <v>0</v>
      </c>
      <c r="AS30" s="2">
        <f>'GDP data'!AO49</f>
        <v>2</v>
      </c>
      <c r="AT30" s="2">
        <f>'GDP data'!AP49</f>
        <v>2</v>
      </c>
      <c r="AU30" s="2">
        <f>'GDP data'!AQ49</f>
        <v>2</v>
      </c>
      <c r="AV30" s="2">
        <f>'GDP data'!AR49</f>
        <v>2</v>
      </c>
      <c r="AW30" s="2">
        <f>'GDP data'!AS49</f>
        <v>2</v>
      </c>
      <c r="AX30" s="2">
        <f>'GDP data'!AT49</f>
        <v>2</v>
      </c>
    </row>
    <row r="31" spans="5:50" ht="21">
      <c r="E31" s="240" t="s">
        <v>53</v>
      </c>
      <c r="F31" s="2">
        <f>'GDP data'!B50</f>
        <v>-2</v>
      </c>
      <c r="G31" s="2">
        <f>'GDP data'!C50</f>
        <v>-2</v>
      </c>
      <c r="H31" s="2">
        <f>'GDP data'!D50</f>
        <v>-2</v>
      </c>
      <c r="I31" s="2">
        <f>'GDP data'!E50</f>
        <v>-2</v>
      </c>
      <c r="J31" s="2">
        <f>'GDP data'!F50</f>
        <v>-2</v>
      </c>
      <c r="K31" s="2">
        <f>'GDP data'!G50</f>
        <v>-2</v>
      </c>
      <c r="L31" s="2">
        <f>'GDP data'!H50</f>
        <v>-2</v>
      </c>
      <c r="M31" s="2">
        <f>'GDP data'!I50</f>
        <v>-2</v>
      </c>
      <c r="N31" s="2">
        <f>'GDP data'!J50</f>
        <v>-2</v>
      </c>
      <c r="O31" s="2">
        <f>'GDP data'!K50</f>
        <v>-4</v>
      </c>
      <c r="P31" s="2">
        <f>'GDP data'!L50</f>
        <v>-4</v>
      </c>
      <c r="Q31" s="2">
        <f>'GDP data'!M50</f>
        <v>-4</v>
      </c>
      <c r="R31" s="2">
        <f>'GDP data'!N50</f>
        <v>0</v>
      </c>
      <c r="S31" s="2">
        <f>'GDP data'!O50</f>
        <v>0</v>
      </c>
      <c r="T31" s="2">
        <f>'GDP data'!P50</f>
        <v>0</v>
      </c>
      <c r="U31" s="2">
        <f>'GDP data'!Q50</f>
        <v>-2</v>
      </c>
      <c r="V31" s="2">
        <f>'GDP data'!R50</f>
        <v>-2</v>
      </c>
      <c r="W31" s="2">
        <f>'GDP data'!S50</f>
        <v>-2</v>
      </c>
      <c r="X31" s="2">
        <f>'GDP data'!T50</f>
        <v>0</v>
      </c>
      <c r="Y31" s="2">
        <f>'GDP data'!U50</f>
        <v>0</v>
      </c>
      <c r="Z31" s="2">
        <f>'GDP data'!V50</f>
        <v>0</v>
      </c>
      <c r="AA31" s="2">
        <f>'GDP data'!W50</f>
        <v>2</v>
      </c>
      <c r="AB31" s="2">
        <f>'GDP data'!X50</f>
        <v>2</v>
      </c>
      <c r="AC31" s="2">
        <f>'GDP data'!Y50</f>
        <v>2</v>
      </c>
      <c r="AD31" s="2">
        <f>'GDP data'!Z50</f>
        <v>-2</v>
      </c>
      <c r="AE31" s="2">
        <f>'GDP data'!AA50</f>
        <v>-2</v>
      </c>
      <c r="AF31" s="2">
        <f>'GDP data'!AB50</f>
        <v>-2</v>
      </c>
      <c r="AG31" s="2">
        <f>'GDP data'!AC50</f>
        <v>0</v>
      </c>
      <c r="AH31" s="2">
        <f>'GDP data'!AD50</f>
        <v>0</v>
      </c>
      <c r="AI31" s="2">
        <f>'GDP data'!AE50</f>
        <v>0</v>
      </c>
      <c r="AJ31" s="2">
        <f>'GDP data'!AF50</f>
        <v>2</v>
      </c>
      <c r="AK31" s="2">
        <f>'GDP data'!AG50</f>
        <v>2</v>
      </c>
      <c r="AL31" s="2">
        <f>'GDP data'!AH50</f>
        <v>2</v>
      </c>
      <c r="AM31" s="2">
        <f>'GDP data'!AI50</f>
        <v>0</v>
      </c>
      <c r="AN31" s="2">
        <f>'GDP data'!AJ50</f>
        <v>0</v>
      </c>
      <c r="AO31" s="2">
        <f>'GDP data'!AK50</f>
        <v>0</v>
      </c>
      <c r="AP31" s="2">
        <f>'GDP data'!AL50</f>
        <v>2</v>
      </c>
      <c r="AQ31" s="2">
        <f>'GDP data'!AM50</f>
        <v>2</v>
      </c>
      <c r="AR31" s="2">
        <f>'GDP data'!AN50</f>
        <v>2</v>
      </c>
      <c r="AS31" s="2">
        <f>'GDP data'!AO50</f>
        <v>-2</v>
      </c>
      <c r="AT31" s="2">
        <f>'GDP data'!AP50</f>
        <v>-2</v>
      </c>
      <c r="AU31" s="2">
        <f>'GDP data'!AQ50</f>
        <v>-2</v>
      </c>
      <c r="AV31" s="2">
        <f>'GDP data'!AR50</f>
        <v>2</v>
      </c>
      <c r="AW31" s="2">
        <f>'GDP data'!AS50</f>
        <v>2</v>
      </c>
      <c r="AX31" s="2">
        <f>'GDP data'!AT50</f>
        <v>2</v>
      </c>
    </row>
    <row r="32" spans="5:50" ht="21">
      <c r="E32" s="240" t="s">
        <v>54</v>
      </c>
      <c r="F32" s="2">
        <f>'GDP data'!B51</f>
        <v>-4</v>
      </c>
      <c r="G32" s="2">
        <f>'GDP data'!C51</f>
        <v>-4</v>
      </c>
      <c r="H32" s="2">
        <f>'GDP data'!D51</f>
        <v>-4</v>
      </c>
      <c r="I32" s="2">
        <f>'GDP data'!E51</f>
        <v>-4</v>
      </c>
      <c r="J32" s="2">
        <f>'GDP data'!F51</f>
        <v>-4</v>
      </c>
      <c r="K32" s="2">
        <f>'GDP data'!G51</f>
        <v>-4</v>
      </c>
      <c r="L32" s="2">
        <f>'GDP data'!H51</f>
        <v>-2</v>
      </c>
      <c r="M32" s="2">
        <f>'GDP data'!I51</f>
        <v>-2</v>
      </c>
      <c r="N32" s="2">
        <f>'GDP data'!J51</f>
        <v>-2</v>
      </c>
      <c r="O32" s="2">
        <f>'GDP data'!K51</f>
        <v>-4</v>
      </c>
      <c r="P32" s="2">
        <f>'GDP data'!L51</f>
        <v>-4</v>
      </c>
      <c r="Q32" s="2">
        <f>'GDP data'!M51</f>
        <v>-4</v>
      </c>
      <c r="R32" s="2">
        <f>'GDP data'!N51</f>
        <v>-2</v>
      </c>
      <c r="S32" s="2">
        <f>'GDP data'!O51</f>
        <v>-2</v>
      </c>
      <c r="T32" s="2">
        <f>'GDP data'!P51</f>
        <v>-2</v>
      </c>
      <c r="U32" s="2">
        <f>'GDP data'!Q51</f>
        <v>-2</v>
      </c>
      <c r="V32" s="2">
        <f>'GDP data'!R51</f>
        <v>-2</v>
      </c>
      <c r="W32" s="2">
        <f>'GDP data'!S51</f>
        <v>-2</v>
      </c>
      <c r="X32" s="2">
        <f>'GDP data'!T51</f>
        <v>-2</v>
      </c>
      <c r="Y32" s="2">
        <f>'GDP data'!U51</f>
        <v>-2</v>
      </c>
      <c r="Z32" s="2">
        <f>'GDP data'!V51</f>
        <v>-2</v>
      </c>
      <c r="AA32" s="2">
        <f>'GDP data'!W51</f>
        <v>-2</v>
      </c>
      <c r="AB32" s="2">
        <f>'GDP data'!X51</f>
        <v>-2</v>
      </c>
      <c r="AC32" s="2">
        <f>'GDP data'!Y51</f>
        <v>-2</v>
      </c>
      <c r="AD32" s="2">
        <f>'GDP data'!Z51</f>
        <v>-2</v>
      </c>
      <c r="AE32" s="2">
        <f>'GDP data'!AA51</f>
        <v>-2</v>
      </c>
      <c r="AF32" s="2">
        <f>'GDP data'!AB51</f>
        <v>-2</v>
      </c>
      <c r="AG32" s="2">
        <f>'GDP data'!AC51</f>
        <v>0</v>
      </c>
      <c r="AH32" s="2">
        <f>'GDP data'!AD51</f>
        <v>0</v>
      </c>
      <c r="AI32" s="2">
        <f>'GDP data'!AE51</f>
        <v>0</v>
      </c>
      <c r="AJ32" s="2">
        <f>'GDP data'!AF51</f>
        <v>0</v>
      </c>
      <c r="AK32" s="2">
        <f>'GDP data'!AG51</f>
        <v>0</v>
      </c>
      <c r="AL32" s="2">
        <f>'GDP data'!AH51</f>
        <v>0</v>
      </c>
      <c r="AM32" s="2">
        <f>'GDP data'!AI51</f>
        <v>0</v>
      </c>
      <c r="AN32" s="2">
        <f>'GDP data'!AJ51</f>
        <v>0</v>
      </c>
      <c r="AO32" s="2">
        <f>'GDP data'!AK51</f>
        <v>0</v>
      </c>
      <c r="AP32" s="2">
        <f>'GDP data'!AL51</f>
        <v>2</v>
      </c>
      <c r="AQ32" s="2">
        <f>'GDP data'!AM51</f>
        <v>2</v>
      </c>
      <c r="AR32" s="2">
        <f>'GDP data'!AN51</f>
        <v>2</v>
      </c>
      <c r="AS32" s="2">
        <f>'GDP data'!AO51</f>
        <v>0</v>
      </c>
      <c r="AT32" s="2">
        <f>'GDP data'!AP51</f>
        <v>0</v>
      </c>
      <c r="AU32" s="2">
        <f>'GDP data'!AQ51</f>
        <v>0</v>
      </c>
      <c r="AV32" s="2">
        <f>'GDP data'!AR51</f>
        <v>0</v>
      </c>
      <c r="AW32" s="2">
        <f>'GDP data'!AS51</f>
        <v>0</v>
      </c>
      <c r="AX32" s="2">
        <f>'GDP data'!AT51</f>
        <v>0</v>
      </c>
    </row>
    <row r="33" spans="5:50" ht="21">
      <c r="E33" s="240" t="s">
        <v>55</v>
      </c>
      <c r="F33" s="2">
        <f>'GDP data'!B52</f>
        <v>-4</v>
      </c>
      <c r="G33" s="2">
        <f>'GDP data'!C52</f>
        <v>-4</v>
      </c>
      <c r="H33" s="2">
        <f>'GDP data'!D52</f>
        <v>-4</v>
      </c>
      <c r="I33" s="2">
        <f>'GDP data'!E52</f>
        <v>-4</v>
      </c>
      <c r="J33" s="2">
        <f>'GDP data'!F52</f>
        <v>-4</v>
      </c>
      <c r="K33" s="2">
        <f>'GDP data'!G52</f>
        <v>-4</v>
      </c>
      <c r="L33" s="2">
        <f>'GDP data'!H52</f>
        <v>-4</v>
      </c>
      <c r="M33" s="2">
        <f>'GDP data'!I52</f>
        <v>-4</v>
      </c>
      <c r="N33" s="2">
        <f>'GDP data'!J52</f>
        <v>-4</v>
      </c>
      <c r="O33" s="2">
        <f>'GDP data'!K52</f>
        <v>-4</v>
      </c>
      <c r="P33" s="2">
        <f>'GDP data'!L52</f>
        <v>-4</v>
      </c>
      <c r="Q33" s="2">
        <f>'GDP data'!M52</f>
        <v>-4</v>
      </c>
      <c r="R33" s="2">
        <f>'GDP data'!N52</f>
        <v>-2</v>
      </c>
      <c r="S33" s="2">
        <f>'GDP data'!O52</f>
        <v>-2</v>
      </c>
      <c r="T33" s="2">
        <f>'GDP data'!P52</f>
        <v>-2</v>
      </c>
      <c r="U33" s="2">
        <f>'GDP data'!Q52</f>
        <v>0</v>
      </c>
      <c r="V33" s="2">
        <f>'GDP data'!R52</f>
        <v>0</v>
      </c>
      <c r="W33" s="2">
        <f>'GDP data'!S52</f>
        <v>0</v>
      </c>
      <c r="X33" s="2">
        <f>'GDP data'!T52</f>
        <v>2</v>
      </c>
      <c r="Y33" s="2">
        <f>'GDP data'!U52</f>
        <v>2</v>
      </c>
      <c r="Z33" s="2">
        <f>'GDP data'!V52</f>
        <v>2</v>
      </c>
      <c r="AA33" s="2">
        <f>'GDP data'!W52</f>
        <v>2</v>
      </c>
      <c r="AB33" s="2">
        <f>'GDP data'!X52</f>
        <v>2</v>
      </c>
      <c r="AC33" s="2">
        <f>'GDP data'!Y52</f>
        <v>2</v>
      </c>
      <c r="AD33" s="2">
        <f>'GDP data'!Z52</f>
        <v>2</v>
      </c>
      <c r="AE33" s="2">
        <f>'GDP data'!AA52</f>
        <v>2</v>
      </c>
      <c r="AF33" s="2">
        <f>'GDP data'!AB52</f>
        <v>2</v>
      </c>
      <c r="AG33" s="2">
        <f>'GDP data'!AC52</f>
        <v>-2</v>
      </c>
      <c r="AH33" s="2">
        <f>'GDP data'!AD52</f>
        <v>-2</v>
      </c>
      <c r="AI33" s="2">
        <f>'GDP data'!AE52</f>
        <v>-2</v>
      </c>
      <c r="AJ33" s="2">
        <f>'GDP data'!AF52</f>
        <v>-2</v>
      </c>
      <c r="AK33" s="2">
        <f>'GDP data'!AG52</f>
        <v>-2</v>
      </c>
      <c r="AL33" s="2">
        <f>'GDP data'!AH52</f>
        <v>-2</v>
      </c>
      <c r="AM33" s="2">
        <f>'GDP data'!AI52</f>
        <v>-4</v>
      </c>
      <c r="AN33" s="2">
        <f>'GDP data'!AJ52</f>
        <v>-4</v>
      </c>
      <c r="AO33" s="2">
        <f>'GDP data'!AK52</f>
        <v>-4</v>
      </c>
      <c r="AP33" s="2">
        <f>'GDP data'!AL52</f>
        <v>-4</v>
      </c>
      <c r="AQ33" s="2">
        <f>'GDP data'!AM52</f>
        <v>-4</v>
      </c>
      <c r="AR33" s="2">
        <f>'GDP data'!AN52</f>
        <v>-4</v>
      </c>
      <c r="AS33" s="2">
        <f>'GDP data'!AO52</f>
        <v>-2</v>
      </c>
      <c r="AT33" s="2">
        <f>'GDP data'!AP52</f>
        <v>-2</v>
      </c>
      <c r="AU33" s="2">
        <f>'GDP data'!AQ52</f>
        <v>-2</v>
      </c>
      <c r="AV33" s="2">
        <f>'GDP data'!AR52</f>
        <v>0</v>
      </c>
      <c r="AW33" s="2">
        <f>'GDP data'!AS52</f>
        <v>0</v>
      </c>
      <c r="AX33" s="2">
        <f>'GDP data'!AT52</f>
        <v>0</v>
      </c>
    </row>
    <row r="34" spans="5:50" ht="21">
      <c r="E34" s="241" t="s">
        <v>56</v>
      </c>
      <c r="F34" s="2">
        <f>'GDP data'!B53</f>
        <v>-4</v>
      </c>
      <c r="G34" s="2">
        <f>'GDP data'!C53</f>
        <v>-4</v>
      </c>
      <c r="H34" s="2">
        <f>'GDP data'!D53</f>
        <v>-4</v>
      </c>
      <c r="I34" s="2">
        <f>'GDP data'!E53</f>
        <v>-6</v>
      </c>
      <c r="J34" s="2">
        <f>'GDP data'!F53</f>
        <v>-6</v>
      </c>
      <c r="K34" s="2">
        <f>'GDP data'!G53</f>
        <v>-6</v>
      </c>
      <c r="L34" s="2">
        <f>'GDP data'!H53</f>
        <v>-2</v>
      </c>
      <c r="M34" s="2">
        <f>'GDP data'!I53</f>
        <v>-2</v>
      </c>
      <c r="N34" s="2">
        <f>'GDP data'!J53</f>
        <v>-2</v>
      </c>
      <c r="O34" s="2">
        <f>'GDP data'!K53</f>
        <v>-4</v>
      </c>
      <c r="P34" s="2">
        <f>'GDP data'!L53</f>
        <v>-4</v>
      </c>
      <c r="Q34" s="2">
        <f>'GDP data'!M53</f>
        <v>-4</v>
      </c>
      <c r="R34" s="2">
        <f>'GDP data'!N53</f>
        <v>-2</v>
      </c>
      <c r="S34" s="2">
        <f>'GDP data'!O53</f>
        <v>-2</v>
      </c>
      <c r="T34" s="2">
        <f>'GDP data'!P53</f>
        <v>-2</v>
      </c>
      <c r="U34" s="2">
        <f>'GDP data'!Q53</f>
        <v>2</v>
      </c>
      <c r="V34" s="2">
        <f>'GDP data'!R53</f>
        <v>2</v>
      </c>
      <c r="W34" s="2">
        <f>'GDP data'!S53</f>
        <v>2</v>
      </c>
      <c r="X34" s="2">
        <f>'GDP data'!T53</f>
        <v>6</v>
      </c>
      <c r="Y34" s="2">
        <f>'GDP data'!U53</f>
        <v>6</v>
      </c>
      <c r="Z34" s="2">
        <f>'GDP data'!V53</f>
        <v>6</v>
      </c>
      <c r="AA34" s="2">
        <f>'GDP data'!W53</f>
        <v>8</v>
      </c>
      <c r="AB34" s="2">
        <f>'GDP data'!X53</f>
        <v>8</v>
      </c>
      <c r="AC34" s="2">
        <f>'GDP data'!Y53</f>
        <v>8</v>
      </c>
      <c r="AD34" s="2">
        <f>'GDP data'!Z53</f>
        <v>6</v>
      </c>
      <c r="AE34" s="2">
        <f>'GDP data'!AA53</f>
        <v>6</v>
      </c>
      <c r="AF34" s="2">
        <f>'GDP data'!AB53</f>
        <v>6</v>
      </c>
      <c r="AG34" s="2">
        <f>'GDP data'!AC53</f>
        <v>6</v>
      </c>
      <c r="AH34" s="2">
        <f>'GDP data'!AD53</f>
        <v>6</v>
      </c>
      <c r="AI34" s="2">
        <f>'GDP data'!AE53</f>
        <v>6</v>
      </c>
      <c r="AJ34" s="2">
        <f>'GDP data'!AF53</f>
        <v>0</v>
      </c>
      <c r="AK34" s="2">
        <f>'GDP data'!AG53</f>
        <v>0</v>
      </c>
      <c r="AL34" s="2">
        <f>'GDP data'!AH53</f>
        <v>0</v>
      </c>
      <c r="AM34" s="2">
        <f>'GDP data'!AI53</f>
        <v>0</v>
      </c>
      <c r="AN34" s="2">
        <f>'GDP data'!AJ53</f>
        <v>0</v>
      </c>
      <c r="AO34" s="2">
        <f>'GDP data'!AK53</f>
        <v>0</v>
      </c>
      <c r="AP34" s="2">
        <f>'GDP data'!AL53</f>
        <v>-2</v>
      </c>
      <c r="AQ34" s="2">
        <f>'GDP data'!AM53</f>
        <v>-2</v>
      </c>
      <c r="AR34" s="2">
        <f>'GDP data'!AN53</f>
        <v>-2</v>
      </c>
      <c r="AS34" s="2">
        <f>'GDP data'!AO53</f>
        <v>-2</v>
      </c>
      <c r="AT34" s="2">
        <f>'GDP data'!AP53</f>
        <v>-2</v>
      </c>
      <c r="AU34" s="2">
        <f>'GDP data'!AQ53</f>
        <v>-2</v>
      </c>
      <c r="AV34" s="2">
        <f>'GDP data'!AR53</f>
        <v>0</v>
      </c>
      <c r="AW34" s="2">
        <f>'GDP data'!AS53</f>
        <v>0</v>
      </c>
      <c r="AX34" s="2">
        <f>'GDP data'!AT53</f>
        <v>0</v>
      </c>
    </row>
    <row r="35" spans="5:50" ht="21">
      <c r="E35" s="242" t="s">
        <v>57</v>
      </c>
      <c r="F35" s="2">
        <f>'GDP data'!B54</f>
        <v>0</v>
      </c>
      <c r="G35" s="2">
        <f>'GDP data'!C54</f>
        <v>0</v>
      </c>
      <c r="H35" s="2">
        <f>'GDP data'!D54</f>
        <v>0</v>
      </c>
      <c r="I35" s="2">
        <f>'GDP data'!E54</f>
        <v>0</v>
      </c>
      <c r="J35" s="2">
        <f>'GDP data'!F54</f>
        <v>0</v>
      </c>
      <c r="K35" s="2">
        <f>'GDP data'!G54</f>
        <v>0</v>
      </c>
      <c r="L35" s="2">
        <f>'GDP data'!H54</f>
        <v>2</v>
      </c>
      <c r="M35" s="2">
        <f>'GDP data'!I54</f>
        <v>2</v>
      </c>
      <c r="N35" s="2">
        <f>'GDP data'!J54</f>
        <v>2</v>
      </c>
      <c r="O35" s="2">
        <f>'GDP data'!K54</f>
        <v>2</v>
      </c>
      <c r="P35" s="2">
        <f>'GDP data'!L54</f>
        <v>2</v>
      </c>
      <c r="Q35" s="2">
        <f>'GDP data'!M54</f>
        <v>2</v>
      </c>
      <c r="R35" s="2">
        <f>'GDP data'!N54</f>
        <v>2</v>
      </c>
      <c r="S35" s="2">
        <f>'GDP data'!O54</f>
        <v>2</v>
      </c>
      <c r="T35" s="2">
        <f>'GDP data'!P54</f>
        <v>2</v>
      </c>
      <c r="U35" s="2">
        <f>'GDP data'!Q54</f>
        <v>6</v>
      </c>
      <c r="V35" s="2">
        <f>'GDP data'!R54</f>
        <v>6</v>
      </c>
      <c r="W35" s="2">
        <f>'GDP data'!S54</f>
        <v>6</v>
      </c>
      <c r="X35" s="2">
        <f>'GDP data'!T54</f>
        <v>2</v>
      </c>
      <c r="Y35" s="2">
        <f>'GDP data'!U54</f>
        <v>2</v>
      </c>
      <c r="Z35" s="2">
        <f>'GDP data'!V54</f>
        <v>2</v>
      </c>
      <c r="AA35" s="2">
        <f>'GDP data'!W54</f>
        <v>2</v>
      </c>
      <c r="AB35" s="2">
        <f>'GDP data'!X54</f>
        <v>2</v>
      </c>
      <c r="AC35" s="2">
        <f>'GDP data'!Y54</f>
        <v>2</v>
      </c>
      <c r="AD35" s="2">
        <f>'GDP data'!Z54</f>
        <v>2</v>
      </c>
      <c r="AE35" s="2">
        <f>'GDP data'!AA54</f>
        <v>2</v>
      </c>
      <c r="AF35" s="2">
        <f>'GDP data'!AB54</f>
        <v>2</v>
      </c>
      <c r="AG35" s="2">
        <f>'GDP data'!AC54</f>
        <v>0</v>
      </c>
      <c r="AH35" s="2">
        <f>'GDP data'!AD54</f>
        <v>0</v>
      </c>
      <c r="AI35" s="2">
        <f>'GDP data'!AE54</f>
        <v>0</v>
      </c>
      <c r="AJ35" s="2">
        <f>'GDP data'!AF54</f>
        <v>0</v>
      </c>
      <c r="AK35" s="2">
        <f>'GDP data'!AG54</f>
        <v>0</v>
      </c>
      <c r="AL35" s="2">
        <f>'GDP data'!AH54</f>
        <v>0</v>
      </c>
      <c r="AM35" s="2">
        <f>'GDP data'!AI54</f>
        <v>2</v>
      </c>
      <c r="AN35" s="2">
        <f>'GDP data'!AJ54</f>
        <v>2</v>
      </c>
      <c r="AO35" s="2">
        <f>'GDP data'!AK54</f>
        <v>2</v>
      </c>
      <c r="AP35" s="2">
        <f>'GDP data'!AL54</f>
        <v>0</v>
      </c>
      <c r="AQ35" s="2">
        <f>'GDP data'!AM54</f>
        <v>0</v>
      </c>
      <c r="AR35" s="2">
        <f>'GDP data'!AN54</f>
        <v>0</v>
      </c>
      <c r="AS35" s="2">
        <f>'GDP data'!AO54</f>
        <v>4</v>
      </c>
      <c r="AT35" s="2">
        <f>'GDP data'!AP54</f>
        <v>4</v>
      </c>
      <c r="AU35" s="2">
        <f>'GDP data'!AQ54</f>
        <v>4</v>
      </c>
      <c r="AV35" s="2">
        <f>'GDP data'!AR54</f>
        <v>0</v>
      </c>
      <c r="AW35" s="2">
        <f>'GDP data'!AS54</f>
        <v>0</v>
      </c>
      <c r="AX35" s="2">
        <f>'GDP data'!AT54</f>
        <v>0</v>
      </c>
    </row>
    <row r="36" spans="5:50" ht="21">
      <c r="E36" s="243" t="s">
        <v>10</v>
      </c>
      <c r="F36" s="2">
        <f>'GDP data'!B55</f>
        <v>2</v>
      </c>
      <c r="G36" s="2">
        <f>'GDP data'!C55</f>
        <v>2</v>
      </c>
      <c r="H36" s="2">
        <f>'GDP data'!D55</f>
        <v>2</v>
      </c>
      <c r="I36" s="2">
        <f>'GDP data'!E55</f>
        <v>-2</v>
      </c>
      <c r="J36" s="2">
        <f>'GDP data'!F55</f>
        <v>-2</v>
      </c>
      <c r="K36" s="2">
        <f>'GDP data'!G55</f>
        <v>-2</v>
      </c>
      <c r="L36" s="2">
        <f>'GDP data'!H55</f>
        <v>-2</v>
      </c>
      <c r="M36" s="2">
        <f>'GDP data'!I55</f>
        <v>-2</v>
      </c>
      <c r="N36" s="2">
        <f>'GDP data'!J55</f>
        <v>-2</v>
      </c>
      <c r="O36" s="2">
        <f>'GDP data'!K55</f>
        <v>-4</v>
      </c>
      <c r="P36" s="2">
        <f>'GDP data'!L55</f>
        <v>-4</v>
      </c>
      <c r="Q36" s="2">
        <f>'GDP data'!M55</f>
        <v>-4</v>
      </c>
      <c r="R36" s="2">
        <f>'GDP data'!N55</f>
        <v>-4</v>
      </c>
      <c r="S36" s="2">
        <f>'GDP data'!O55</f>
        <v>-4</v>
      </c>
      <c r="T36" s="2">
        <f>'GDP data'!P55</f>
        <v>-4</v>
      </c>
      <c r="U36" s="2">
        <f>'GDP data'!Q55</f>
        <v>-4</v>
      </c>
      <c r="V36" s="2">
        <f>'GDP data'!R55</f>
        <v>-4</v>
      </c>
      <c r="W36" s="2">
        <f>'GDP data'!S55</f>
        <v>-4</v>
      </c>
      <c r="X36" s="2">
        <f>'GDP data'!T55</f>
        <v>-4</v>
      </c>
      <c r="Y36" s="2">
        <f>'GDP data'!U55</f>
        <v>-4</v>
      </c>
      <c r="Z36" s="2">
        <f>'GDP data'!V55</f>
        <v>-4</v>
      </c>
      <c r="AA36" s="2">
        <f>'GDP data'!W55</f>
        <v>-2</v>
      </c>
      <c r="AB36" s="2">
        <f>'GDP data'!X55</f>
        <v>-2</v>
      </c>
      <c r="AC36" s="2">
        <f>'GDP data'!Y55</f>
        <v>-2</v>
      </c>
      <c r="AD36" s="2">
        <f>'GDP data'!Z55</f>
        <v>-2</v>
      </c>
      <c r="AE36" s="2">
        <f>'GDP data'!AA55</f>
        <v>-2</v>
      </c>
      <c r="AF36" s="2">
        <f>'GDP data'!AB55</f>
        <v>-2</v>
      </c>
      <c r="AG36" s="2">
        <f>'GDP data'!AC55</f>
        <v>0</v>
      </c>
      <c r="AH36" s="2">
        <f>'GDP data'!AD55</f>
        <v>0</v>
      </c>
      <c r="AI36" s="2">
        <f>'GDP data'!AE55</f>
        <v>0</v>
      </c>
      <c r="AJ36" s="2">
        <f>'GDP data'!AF55</f>
        <v>0</v>
      </c>
      <c r="AK36" s="2">
        <f>'GDP data'!AG55</f>
        <v>0</v>
      </c>
      <c r="AL36" s="2">
        <f>'GDP data'!AH55</f>
        <v>0</v>
      </c>
      <c r="AM36" s="2">
        <f>'GDP data'!AI55</f>
        <v>2</v>
      </c>
      <c r="AN36" s="2">
        <f>'GDP data'!AJ55</f>
        <v>2</v>
      </c>
      <c r="AO36" s="2">
        <f>'GDP data'!AK55</f>
        <v>2</v>
      </c>
      <c r="AP36" s="2">
        <f>'GDP data'!AL55</f>
        <v>0</v>
      </c>
      <c r="AQ36" s="2">
        <f>'GDP data'!AM55</f>
        <v>0</v>
      </c>
      <c r="AR36" s="2">
        <f>'GDP data'!AN55</f>
        <v>0</v>
      </c>
      <c r="AS36" s="2">
        <f>'GDP data'!AO55</f>
        <v>0</v>
      </c>
      <c r="AT36" s="2">
        <f>'GDP data'!AP55</f>
        <v>0</v>
      </c>
      <c r="AU36" s="2">
        <f>'GDP data'!AQ55</f>
        <v>0</v>
      </c>
      <c r="AV36" s="2">
        <f>'GDP data'!AR55</f>
        <v>0</v>
      </c>
      <c r="AW36" s="2">
        <f>'GDP data'!AS55</f>
        <v>0</v>
      </c>
      <c r="AX36" s="2">
        <f>'GDP data'!AT55</f>
        <v>0</v>
      </c>
    </row>
    <row r="37" spans="5:50" ht="21">
      <c r="E37" s="243" t="s">
        <v>58</v>
      </c>
      <c r="F37" s="2">
        <f>'GDP data'!B56</f>
        <v>2</v>
      </c>
      <c r="G37" s="2">
        <f>'GDP data'!C56</f>
        <v>2</v>
      </c>
      <c r="H37" s="2">
        <f>'GDP data'!D56</f>
        <v>2</v>
      </c>
      <c r="I37" s="2">
        <f>'GDP data'!E56</f>
        <v>2</v>
      </c>
      <c r="J37" s="2">
        <f>'GDP data'!F56</f>
        <v>2</v>
      </c>
      <c r="K37" s="2">
        <f>'GDP data'!G56</f>
        <v>2</v>
      </c>
      <c r="L37" s="2">
        <f>'GDP data'!H56</f>
        <v>2</v>
      </c>
      <c r="M37" s="2">
        <f>'GDP data'!I56</f>
        <v>2</v>
      </c>
      <c r="N37" s="2">
        <f>'GDP data'!J56</f>
        <v>2</v>
      </c>
      <c r="O37" s="2">
        <f>'GDP data'!K56</f>
        <v>0</v>
      </c>
      <c r="P37" s="2">
        <f>'GDP data'!L56</f>
        <v>0</v>
      </c>
      <c r="Q37" s="2">
        <f>'GDP data'!M56</f>
        <v>0</v>
      </c>
      <c r="R37" s="2">
        <f>'GDP data'!N56</f>
        <v>2</v>
      </c>
      <c r="S37" s="2">
        <f>'GDP data'!O56</f>
        <v>2</v>
      </c>
      <c r="T37" s="2">
        <f>'GDP data'!P56</f>
        <v>2</v>
      </c>
      <c r="U37" s="2">
        <f>'GDP data'!Q56</f>
        <v>-2</v>
      </c>
      <c r="V37" s="2">
        <f>'GDP data'!R56</f>
        <v>-2</v>
      </c>
      <c r="W37" s="2">
        <f>'GDP data'!S56</f>
        <v>-2</v>
      </c>
      <c r="X37" s="2">
        <f>'GDP data'!T56</f>
        <v>-2</v>
      </c>
      <c r="Y37" s="2">
        <f>'GDP data'!U56</f>
        <v>-2</v>
      </c>
      <c r="Z37" s="2">
        <f>'GDP data'!V56</f>
        <v>-2</v>
      </c>
      <c r="AA37" s="2">
        <f>'GDP data'!W56</f>
        <v>0</v>
      </c>
      <c r="AB37" s="2">
        <f>'GDP data'!X56</f>
        <v>0</v>
      </c>
      <c r="AC37" s="2">
        <f>'GDP data'!Y56</f>
        <v>0</v>
      </c>
      <c r="AD37" s="2">
        <f>'GDP data'!Z56</f>
        <v>-2</v>
      </c>
      <c r="AE37" s="2">
        <f>'GDP data'!AA56</f>
        <v>-2</v>
      </c>
      <c r="AF37" s="2">
        <f>'GDP data'!AB56</f>
        <v>-2</v>
      </c>
      <c r="AG37" s="2">
        <f>'GDP data'!AC56</f>
        <v>0</v>
      </c>
      <c r="AH37" s="2">
        <f>'GDP data'!AD56</f>
        <v>0</v>
      </c>
      <c r="AI37" s="2">
        <f>'GDP data'!AE56</f>
        <v>0</v>
      </c>
      <c r="AJ37" s="2">
        <f>'GDP data'!AF56</f>
        <v>2</v>
      </c>
      <c r="AK37" s="2">
        <f>'GDP data'!AG56</f>
        <v>2</v>
      </c>
      <c r="AL37" s="2">
        <f>'GDP data'!AH56</f>
        <v>2</v>
      </c>
      <c r="AM37" s="2">
        <f>'GDP data'!AI56</f>
        <v>4</v>
      </c>
      <c r="AN37" s="2">
        <f>'GDP data'!AJ56</f>
        <v>4</v>
      </c>
      <c r="AO37" s="2">
        <f>'GDP data'!AK56</f>
        <v>4</v>
      </c>
      <c r="AP37" s="2">
        <f>'GDP data'!AL56</f>
        <v>4</v>
      </c>
      <c r="AQ37" s="2">
        <f>'GDP data'!AM56</f>
        <v>4</v>
      </c>
      <c r="AR37" s="2">
        <f>'GDP data'!AN56</f>
        <v>4</v>
      </c>
      <c r="AS37" s="2">
        <f>'GDP data'!AO56</f>
        <v>0</v>
      </c>
      <c r="AT37" s="2">
        <f>'GDP data'!AP56</f>
        <v>0</v>
      </c>
      <c r="AU37" s="2">
        <f>'GDP data'!AQ56</f>
        <v>0</v>
      </c>
      <c r="AV37" s="2">
        <f>'GDP data'!AR56</f>
        <v>2</v>
      </c>
      <c r="AW37" s="2">
        <f>'GDP data'!AS56</f>
        <v>2</v>
      </c>
      <c r="AX37" s="2">
        <f>'GDP data'!AT56</f>
        <v>2</v>
      </c>
    </row>
    <row r="38" spans="5:50" ht="21">
      <c r="E38" s="243" t="s">
        <v>18</v>
      </c>
      <c r="F38" s="2">
        <f>'GDP data'!B57</f>
        <v>2</v>
      </c>
      <c r="G38" s="2">
        <f>'GDP data'!C57</f>
        <v>2</v>
      </c>
      <c r="H38" s="2">
        <f>'GDP data'!D57</f>
        <v>2</v>
      </c>
      <c r="I38" s="2">
        <f>'GDP data'!E57</f>
        <v>2</v>
      </c>
      <c r="J38" s="2">
        <f>'GDP data'!F57</f>
        <v>2</v>
      </c>
      <c r="K38" s="2">
        <f>'GDP data'!G57</f>
        <v>2</v>
      </c>
      <c r="L38" s="2">
        <f>'GDP data'!H57</f>
        <v>4</v>
      </c>
      <c r="M38" s="2">
        <f>'GDP data'!I57</f>
        <v>4</v>
      </c>
      <c r="N38" s="2">
        <f>'GDP data'!J57</f>
        <v>4</v>
      </c>
      <c r="O38" s="2">
        <f>'GDP data'!K57</f>
        <v>2</v>
      </c>
      <c r="P38" s="2">
        <f>'GDP data'!L57</f>
        <v>2</v>
      </c>
      <c r="Q38" s="2">
        <f>'GDP data'!M57</f>
        <v>2</v>
      </c>
      <c r="R38" s="2">
        <f>'GDP data'!N57</f>
        <v>4</v>
      </c>
      <c r="S38" s="2">
        <f>'GDP data'!O57</f>
        <v>4</v>
      </c>
      <c r="T38" s="2">
        <f>'GDP data'!P57</f>
        <v>4</v>
      </c>
      <c r="U38" s="2">
        <f>'GDP data'!Q57</f>
        <v>4</v>
      </c>
      <c r="V38" s="2">
        <f>'GDP data'!R57</f>
        <v>4</v>
      </c>
      <c r="W38" s="2">
        <f>'GDP data'!S57</f>
        <v>4</v>
      </c>
      <c r="X38" s="2">
        <f>'GDP data'!T57</f>
        <v>0</v>
      </c>
      <c r="Y38" s="2">
        <f>'GDP data'!U57</f>
        <v>0</v>
      </c>
      <c r="Z38" s="2">
        <f>'GDP data'!V57</f>
        <v>0</v>
      </c>
      <c r="AA38" s="2">
        <f>'GDP data'!W57</f>
        <v>2</v>
      </c>
      <c r="AB38" s="2">
        <f>'GDP data'!X57</f>
        <v>2</v>
      </c>
      <c r="AC38" s="2">
        <f>'GDP data'!Y57</f>
        <v>2</v>
      </c>
      <c r="AD38" s="2">
        <f>'GDP data'!Z57</f>
        <v>0</v>
      </c>
      <c r="AE38" s="2">
        <f>'GDP data'!AA57</f>
        <v>0</v>
      </c>
      <c r="AF38" s="2">
        <f>'GDP data'!AB57</f>
        <v>0</v>
      </c>
      <c r="AG38" s="2">
        <f>'GDP data'!AC57</f>
        <v>0</v>
      </c>
      <c r="AH38" s="2">
        <f>'GDP data'!AD57</f>
        <v>0</v>
      </c>
      <c r="AI38" s="2">
        <f>'GDP data'!AE57</f>
        <v>0</v>
      </c>
      <c r="AJ38" s="2">
        <f>'GDP data'!AF57</f>
        <v>4</v>
      </c>
      <c r="AK38" s="2">
        <f>'GDP data'!AG57</f>
        <v>4</v>
      </c>
      <c r="AL38" s="2">
        <f>'GDP data'!AH57</f>
        <v>4</v>
      </c>
      <c r="AM38" s="2">
        <f>'GDP data'!AI57</f>
        <v>4</v>
      </c>
      <c r="AN38" s="2">
        <f>'GDP data'!AJ57</f>
        <v>4</v>
      </c>
      <c r="AO38" s="2">
        <f>'GDP data'!AK57</f>
        <v>4</v>
      </c>
      <c r="AP38" s="2">
        <f>'GDP data'!AL57</f>
        <v>4</v>
      </c>
      <c r="AQ38" s="2">
        <f>'GDP data'!AM57</f>
        <v>4</v>
      </c>
      <c r="AR38" s="2">
        <f>'GDP data'!AN57</f>
        <v>4</v>
      </c>
      <c r="AS38" s="2">
        <f>'GDP data'!AO57</f>
        <v>2</v>
      </c>
      <c r="AT38" s="2">
        <f>'GDP data'!AP57</f>
        <v>2</v>
      </c>
      <c r="AU38" s="2">
        <f>'GDP data'!AQ57</f>
        <v>2</v>
      </c>
      <c r="AV38" s="2">
        <f>'GDP data'!AR57</f>
        <v>2</v>
      </c>
      <c r="AW38" s="2">
        <f>'GDP data'!AS57</f>
        <v>2</v>
      </c>
      <c r="AX38" s="2">
        <f>'GDP data'!AT57</f>
        <v>2</v>
      </c>
    </row>
    <row r="39" spans="5:50" ht="21">
      <c r="E39" s="244" t="s">
        <v>59</v>
      </c>
      <c r="F39" s="2">
        <f>'GDP data'!B58</f>
        <v>0</v>
      </c>
      <c r="G39" s="2">
        <f>'GDP data'!C58</f>
        <v>0</v>
      </c>
      <c r="H39" s="2">
        <f>'GDP data'!D58</f>
        <v>0</v>
      </c>
      <c r="I39" s="2">
        <f>'GDP data'!E58</f>
        <v>-2</v>
      </c>
      <c r="J39" s="2">
        <f>'GDP data'!F58</f>
        <v>-2</v>
      </c>
      <c r="K39" s="2">
        <f>'GDP data'!G58</f>
        <v>-2</v>
      </c>
      <c r="L39" s="2">
        <f>'GDP data'!H58</f>
        <v>2</v>
      </c>
      <c r="M39" s="2">
        <f>'GDP data'!I58</f>
        <v>2</v>
      </c>
      <c r="N39" s="2">
        <f>'GDP data'!J58</f>
        <v>2</v>
      </c>
      <c r="O39" s="2">
        <f>'GDP data'!K58</f>
        <v>0</v>
      </c>
      <c r="P39" s="2">
        <f>'GDP data'!L58</f>
        <v>0</v>
      </c>
      <c r="Q39" s="2">
        <f>'GDP data'!M58</f>
        <v>0</v>
      </c>
      <c r="R39" s="2">
        <f>'GDP data'!N58</f>
        <v>-2</v>
      </c>
      <c r="S39" s="2">
        <f>'GDP data'!O58</f>
        <v>-2</v>
      </c>
      <c r="T39" s="2">
        <f>'GDP data'!P58</f>
        <v>-2</v>
      </c>
      <c r="U39" s="2">
        <f>'GDP data'!Q58</f>
        <v>2</v>
      </c>
      <c r="V39" s="2">
        <f>'GDP data'!R58</f>
        <v>2</v>
      </c>
      <c r="W39" s="2">
        <f>'GDP data'!S58</f>
        <v>2</v>
      </c>
      <c r="X39" s="2">
        <f>'GDP data'!T58</f>
        <v>4</v>
      </c>
      <c r="Y39" s="2">
        <f>'GDP data'!U58</f>
        <v>4</v>
      </c>
      <c r="Z39" s="2">
        <f>'GDP data'!V58</f>
        <v>4</v>
      </c>
      <c r="AA39" s="2">
        <f>'GDP data'!W58</f>
        <v>6</v>
      </c>
      <c r="AB39" s="2">
        <f>'GDP data'!X58</f>
        <v>6</v>
      </c>
      <c r="AC39" s="2">
        <f>'GDP data'!Y58</f>
        <v>6</v>
      </c>
      <c r="AD39" s="2">
        <f>'GDP data'!Z58</f>
        <v>4</v>
      </c>
      <c r="AE39" s="2">
        <f>'GDP data'!AA58</f>
        <v>4</v>
      </c>
      <c r="AF39" s="2">
        <f>'GDP data'!AB58</f>
        <v>4</v>
      </c>
      <c r="AG39" s="2">
        <f>'GDP data'!AC58</f>
        <v>6</v>
      </c>
      <c r="AH39" s="2">
        <f>'GDP data'!AD58</f>
        <v>6</v>
      </c>
      <c r="AI39" s="2">
        <f>'GDP data'!AE58</f>
        <v>6</v>
      </c>
      <c r="AJ39" s="2">
        <f>'GDP data'!AF58</f>
        <v>2</v>
      </c>
      <c r="AK39" s="2">
        <f>'GDP data'!AG58</f>
        <v>2</v>
      </c>
      <c r="AL39" s="2">
        <f>'GDP data'!AH58</f>
        <v>2</v>
      </c>
      <c r="AM39" s="2">
        <f>'GDP data'!AI58</f>
        <v>2</v>
      </c>
      <c r="AN39" s="2">
        <f>'GDP data'!AJ58</f>
        <v>2</v>
      </c>
      <c r="AO39" s="2">
        <f>'GDP data'!AK58</f>
        <v>2</v>
      </c>
      <c r="AP39" s="2">
        <f>'GDP data'!AL58</f>
        <v>2</v>
      </c>
      <c r="AQ39" s="2">
        <f>'GDP data'!AM58</f>
        <v>2</v>
      </c>
      <c r="AR39" s="2">
        <f>'GDP data'!AN58</f>
        <v>2</v>
      </c>
      <c r="AS39" s="2">
        <f>'GDP data'!AO58</f>
        <v>0</v>
      </c>
      <c r="AT39" s="2">
        <f>'GDP data'!AP58</f>
        <v>0</v>
      </c>
      <c r="AU39" s="2">
        <f>'GDP data'!AQ58</f>
        <v>0</v>
      </c>
      <c r="AV39" s="2">
        <f>'GDP data'!AR58</f>
        <v>0</v>
      </c>
      <c r="AW39" s="2">
        <f>'GDP data'!AS58</f>
        <v>0</v>
      </c>
      <c r="AX39" s="2">
        <f>'GDP data'!AT58</f>
        <v>0</v>
      </c>
    </row>
    <row r="40" spans="5:50" ht="21">
      <c r="E40" s="244" t="s">
        <v>20</v>
      </c>
      <c r="F40" s="2">
        <f>'GDP data'!B59</f>
        <v>0</v>
      </c>
      <c r="G40" s="2">
        <f>'GDP data'!C59</f>
        <v>0</v>
      </c>
      <c r="H40" s="2">
        <f>'GDP data'!D59</f>
        <v>0</v>
      </c>
      <c r="I40" s="2">
        <f>'GDP data'!E59</f>
        <v>0</v>
      </c>
      <c r="J40" s="2">
        <f>'GDP data'!F59</f>
        <v>0</v>
      </c>
      <c r="K40" s="2">
        <f>'GDP data'!G59</f>
        <v>0</v>
      </c>
      <c r="L40" s="2">
        <f>'GDP data'!H59</f>
        <v>2</v>
      </c>
      <c r="M40" s="2">
        <f>'GDP data'!I59</f>
        <v>2</v>
      </c>
      <c r="N40" s="2">
        <f>'GDP data'!J59</f>
        <v>2</v>
      </c>
      <c r="O40" s="2">
        <f>'GDP data'!K59</f>
        <v>0</v>
      </c>
      <c r="P40" s="2">
        <f>'GDP data'!L59</f>
        <v>0</v>
      </c>
      <c r="Q40" s="2">
        <f>'GDP data'!M59</f>
        <v>0</v>
      </c>
      <c r="R40" s="2">
        <f>'GDP data'!N59</f>
        <v>0</v>
      </c>
      <c r="S40" s="2">
        <f>'GDP data'!O59</f>
        <v>0</v>
      </c>
      <c r="T40" s="2">
        <f>'GDP data'!P59</f>
        <v>0</v>
      </c>
      <c r="U40" s="2">
        <f>'GDP data'!Q59</f>
        <v>-2</v>
      </c>
      <c r="V40" s="2">
        <f>'GDP data'!R59</f>
        <v>-2</v>
      </c>
      <c r="W40" s="2">
        <f>'GDP data'!S59</f>
        <v>-2</v>
      </c>
      <c r="X40" s="2">
        <f>'GDP data'!T59</f>
        <v>-4</v>
      </c>
      <c r="Y40" s="2">
        <f>'GDP data'!U59</f>
        <v>-4</v>
      </c>
      <c r="Z40" s="2">
        <f>'GDP data'!V59</f>
        <v>-4</v>
      </c>
      <c r="AA40" s="2">
        <f>'GDP data'!W59</f>
        <v>-4</v>
      </c>
      <c r="AB40" s="2">
        <f>'GDP data'!X59</f>
        <v>-4</v>
      </c>
      <c r="AC40" s="2">
        <f>'GDP data'!Y59</f>
        <v>-4</v>
      </c>
      <c r="AD40" s="2">
        <f>'GDP data'!Z59</f>
        <v>-4</v>
      </c>
      <c r="AE40" s="2">
        <f>'GDP data'!AA59</f>
        <v>-4</v>
      </c>
      <c r="AF40" s="2">
        <f>'GDP data'!AB59</f>
        <v>-4</v>
      </c>
      <c r="AG40" s="2">
        <f>'GDP data'!AC59</f>
        <v>0</v>
      </c>
      <c r="AH40" s="2">
        <f>'GDP data'!AD59</f>
        <v>0</v>
      </c>
      <c r="AI40" s="2">
        <f>'GDP data'!AE59</f>
        <v>0</v>
      </c>
      <c r="AJ40" s="2">
        <f>'GDP data'!AF59</f>
        <v>2</v>
      </c>
      <c r="AK40" s="2">
        <f>'GDP data'!AG59</f>
        <v>2</v>
      </c>
      <c r="AL40" s="2">
        <f>'GDP data'!AH59</f>
        <v>2</v>
      </c>
      <c r="AM40" s="2">
        <f>'GDP data'!AI59</f>
        <v>4</v>
      </c>
      <c r="AN40" s="2">
        <f>'GDP data'!AJ59</f>
        <v>4</v>
      </c>
      <c r="AO40" s="2">
        <f>'GDP data'!AK59</f>
        <v>4</v>
      </c>
      <c r="AP40" s="2">
        <f>'GDP data'!AL59</f>
        <v>4</v>
      </c>
      <c r="AQ40" s="2">
        <f>'GDP data'!AM59</f>
        <v>4</v>
      </c>
      <c r="AR40" s="2">
        <f>'GDP data'!AN59</f>
        <v>4</v>
      </c>
      <c r="AS40" s="2">
        <f>'GDP data'!AO59</f>
        <v>2</v>
      </c>
      <c r="AT40" s="2">
        <f>'GDP data'!AP59</f>
        <v>2</v>
      </c>
      <c r="AU40" s="2">
        <f>'GDP data'!AQ59</f>
        <v>2</v>
      </c>
      <c r="AV40" s="2">
        <f>'GDP data'!AR59</f>
        <v>0</v>
      </c>
      <c r="AW40" s="2">
        <f>'GDP data'!AS59</f>
        <v>0</v>
      </c>
      <c r="AX40" s="2">
        <f>'GDP data'!AT59</f>
        <v>0</v>
      </c>
    </row>
    <row r="41" spans="5:50" ht="21">
      <c r="E41" s="245" t="s">
        <v>19</v>
      </c>
      <c r="F41" s="2">
        <f>'GDP data'!B60</f>
        <v>2</v>
      </c>
      <c r="G41" s="2">
        <f>'GDP data'!C60</f>
        <v>2</v>
      </c>
      <c r="H41" s="2">
        <f>'GDP data'!D60</f>
        <v>2</v>
      </c>
      <c r="I41" s="2">
        <f>'GDP data'!E60</f>
        <v>2</v>
      </c>
      <c r="J41" s="2">
        <f>'GDP data'!F60</f>
        <v>2</v>
      </c>
      <c r="K41" s="2">
        <f>'GDP data'!G60</f>
        <v>2</v>
      </c>
      <c r="L41" s="2">
        <f>'GDP data'!H60</f>
        <v>2</v>
      </c>
      <c r="M41" s="2">
        <f>'GDP data'!I60</f>
        <v>2</v>
      </c>
      <c r="N41" s="2">
        <f>'GDP data'!J60</f>
        <v>2</v>
      </c>
      <c r="O41" s="2">
        <f>'GDP data'!K60</f>
        <v>2</v>
      </c>
      <c r="P41" s="2">
        <f>'GDP data'!L60</f>
        <v>2</v>
      </c>
      <c r="Q41" s="2">
        <f>'GDP data'!M60</f>
        <v>2</v>
      </c>
      <c r="R41" s="2">
        <f>'GDP data'!N60</f>
        <v>4</v>
      </c>
      <c r="S41" s="2">
        <f>'GDP data'!O60</f>
        <v>4</v>
      </c>
      <c r="T41" s="2">
        <f>'GDP data'!P60</f>
        <v>4</v>
      </c>
      <c r="U41" s="2">
        <f>'GDP data'!Q60</f>
        <v>6</v>
      </c>
      <c r="V41" s="2">
        <f>'GDP data'!R60</f>
        <v>6</v>
      </c>
      <c r="W41" s="2">
        <f>'GDP data'!S60</f>
        <v>6</v>
      </c>
      <c r="X41" s="2">
        <f>'GDP data'!T60</f>
        <v>4</v>
      </c>
      <c r="Y41" s="2">
        <f>'GDP data'!U60</f>
        <v>4</v>
      </c>
      <c r="Z41" s="2">
        <f>'GDP data'!V60</f>
        <v>4</v>
      </c>
      <c r="AA41" s="2">
        <f>'GDP data'!W60</f>
        <v>6</v>
      </c>
      <c r="AB41" s="2">
        <f>'GDP data'!X60</f>
        <v>6</v>
      </c>
      <c r="AC41" s="2">
        <f>'GDP data'!Y60</f>
        <v>6</v>
      </c>
      <c r="AD41" s="2">
        <f>'GDP data'!Z60</f>
        <v>2</v>
      </c>
      <c r="AE41" s="2">
        <f>'GDP data'!AA60</f>
        <v>2</v>
      </c>
      <c r="AF41" s="2">
        <f>'GDP data'!AB60</f>
        <v>2</v>
      </c>
      <c r="AG41" s="2">
        <f>'GDP data'!AC60</f>
        <v>0</v>
      </c>
      <c r="AH41" s="2">
        <f>'GDP data'!AD60</f>
        <v>0</v>
      </c>
      <c r="AI41" s="2">
        <f>'GDP data'!AE60</f>
        <v>0</v>
      </c>
      <c r="AJ41" s="2">
        <f>'GDP data'!AF60</f>
        <v>2</v>
      </c>
      <c r="AK41" s="2">
        <f>'GDP data'!AG60</f>
        <v>2</v>
      </c>
      <c r="AL41" s="2">
        <f>'GDP data'!AH60</f>
        <v>2</v>
      </c>
      <c r="AM41" s="2">
        <f>'GDP data'!AI60</f>
        <v>2</v>
      </c>
      <c r="AN41" s="2">
        <f>'GDP data'!AJ60</f>
        <v>2</v>
      </c>
      <c r="AO41" s="2">
        <f>'GDP data'!AK60</f>
        <v>2</v>
      </c>
      <c r="AP41" s="2">
        <f>'GDP data'!AL60</f>
        <v>-2</v>
      </c>
      <c r="AQ41" s="2">
        <f>'GDP data'!AM60</f>
        <v>-2</v>
      </c>
      <c r="AR41" s="2">
        <f>'GDP data'!AN60</f>
        <v>-2</v>
      </c>
      <c r="AS41" s="2">
        <f>'GDP data'!AO60</f>
        <v>0</v>
      </c>
      <c r="AT41" s="2">
        <f>'GDP data'!AP60</f>
        <v>0</v>
      </c>
      <c r="AU41" s="2">
        <f>'GDP data'!AQ60</f>
        <v>0</v>
      </c>
      <c r="AV41" s="2">
        <f>'GDP data'!AR60</f>
        <v>0</v>
      </c>
      <c r="AW41" s="2">
        <f>'GDP data'!AS60</f>
        <v>0</v>
      </c>
      <c r="AX41" s="2">
        <f>'GDP data'!AT60</f>
        <v>0</v>
      </c>
    </row>
    <row r="42" spans="5:50"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R42" s="2"/>
    </row>
    <row r="43" spans="5:50"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R43" s="2"/>
    </row>
    <row r="44" spans="5:50">
      <c r="E44" s="246" t="s">
        <v>7</v>
      </c>
      <c r="F44" s="249">
        <v>44927</v>
      </c>
      <c r="G44" s="208">
        <v>44958</v>
      </c>
      <c r="H44" s="208">
        <v>44986</v>
      </c>
      <c r="I44" s="249">
        <v>45017</v>
      </c>
      <c r="J44" s="208">
        <v>45047</v>
      </c>
      <c r="K44" s="208">
        <v>45078</v>
      </c>
      <c r="L44" s="249">
        <v>45108</v>
      </c>
      <c r="M44" s="208">
        <v>45139</v>
      </c>
      <c r="N44" s="208">
        <v>45170</v>
      </c>
      <c r="O44" s="249">
        <v>45200</v>
      </c>
      <c r="P44" s="208">
        <v>45231</v>
      </c>
      <c r="Q44" s="208">
        <v>45261</v>
      </c>
      <c r="R44" s="249">
        <v>45292</v>
      </c>
      <c r="S44" s="208">
        <v>45323</v>
      </c>
      <c r="T44" s="208">
        <v>45352</v>
      </c>
      <c r="U44" s="249">
        <v>45383</v>
      </c>
      <c r="V44" s="208">
        <v>45413</v>
      </c>
      <c r="W44" s="208">
        <v>45444</v>
      </c>
      <c r="X44" s="249">
        <v>45474</v>
      </c>
      <c r="Y44" s="208">
        <v>45505</v>
      </c>
      <c r="Z44" s="208">
        <v>45536</v>
      </c>
      <c r="AA44" s="249">
        <v>45566</v>
      </c>
      <c r="AB44" s="208">
        <v>45597</v>
      </c>
      <c r="AC44" s="208">
        <v>45627</v>
      </c>
      <c r="AD44" s="249">
        <v>45658</v>
      </c>
      <c r="AE44" s="208">
        <v>45689</v>
      </c>
      <c r="AF44" s="208">
        <v>45717</v>
      </c>
      <c r="AG44" s="208">
        <v>45748</v>
      </c>
      <c r="AH44" s="208">
        <v>45778</v>
      </c>
      <c r="AI44" s="208">
        <v>45809</v>
      </c>
      <c r="AJ44" s="208">
        <v>45839</v>
      </c>
      <c r="AK44" s="208">
        <v>45870</v>
      </c>
      <c r="AL44" s="208">
        <v>45901</v>
      </c>
      <c r="AM44" s="208">
        <v>45931</v>
      </c>
      <c r="AN44" s="208">
        <v>45962</v>
      </c>
      <c r="AO44" s="208">
        <v>45992</v>
      </c>
      <c r="AP44" s="208">
        <v>46023</v>
      </c>
      <c r="AQ44" s="208">
        <v>46054</v>
      </c>
      <c r="AR44" s="208">
        <v>46082</v>
      </c>
      <c r="AS44" s="208">
        <v>46113</v>
      </c>
      <c r="AT44" s="208">
        <v>46143</v>
      </c>
      <c r="AU44" s="208">
        <v>46174</v>
      </c>
      <c r="AV44" s="208">
        <v>46204</v>
      </c>
      <c r="AW44" s="208">
        <v>46235</v>
      </c>
      <c r="AX44" s="208">
        <v>46266</v>
      </c>
    </row>
    <row r="45" spans="5:50" ht="21">
      <c r="E45" s="236" t="s">
        <v>16</v>
      </c>
      <c r="F45" s="187">
        <f>'CA GDP DATA'!B44</f>
        <v>-3</v>
      </c>
      <c r="G45" s="187">
        <f>'CA GDP DATA'!C44</f>
        <v>-3</v>
      </c>
      <c r="H45" s="187">
        <f>'CA GDP DATA'!D44</f>
        <v>-3</v>
      </c>
      <c r="I45" s="187">
        <f>'CA GDP DATA'!E44</f>
        <v>-4</v>
      </c>
      <c r="J45" s="187">
        <f>'CA GDP DATA'!F44</f>
        <v>-4</v>
      </c>
      <c r="K45" s="187">
        <f>'CA GDP DATA'!G44</f>
        <v>-4</v>
      </c>
      <c r="L45" s="187">
        <f>'CA GDP DATA'!H44</f>
        <v>-4</v>
      </c>
      <c r="M45" s="187">
        <f>'CA GDP DATA'!I44</f>
        <v>-4</v>
      </c>
      <c r="N45" s="187">
        <f>'CA GDP DATA'!J44</f>
        <v>-4</v>
      </c>
      <c r="O45" s="187">
        <f>'CA GDP DATA'!K44</f>
        <v>-5</v>
      </c>
      <c r="P45" s="187">
        <f>'CA GDP DATA'!L44</f>
        <v>-5</v>
      </c>
      <c r="Q45" s="187">
        <f>'CA GDP DATA'!M44</f>
        <v>-5</v>
      </c>
      <c r="R45" s="187">
        <f>'CA GDP DATA'!N44</f>
        <v>-5</v>
      </c>
      <c r="S45" s="187">
        <f>'CA GDP DATA'!O44</f>
        <v>-5</v>
      </c>
      <c r="T45" s="187">
        <f>'CA GDP DATA'!P44</f>
        <v>-5</v>
      </c>
      <c r="U45" s="187">
        <f>'CA GDP DATA'!Q44</f>
        <v>-5</v>
      </c>
      <c r="V45" s="187">
        <f>'CA GDP DATA'!R44</f>
        <v>-5</v>
      </c>
      <c r="W45" s="187">
        <f>'CA GDP DATA'!S44</f>
        <v>-5</v>
      </c>
      <c r="X45" s="187">
        <f>'CA GDP DATA'!T44</f>
        <v>-6</v>
      </c>
      <c r="Y45" s="187">
        <f>'CA GDP DATA'!U44</f>
        <v>-6</v>
      </c>
      <c r="Z45" s="187">
        <f>'CA GDP DATA'!V44</f>
        <v>-6</v>
      </c>
      <c r="AA45" s="187">
        <f>'CA GDP DATA'!W44</f>
        <v>-6</v>
      </c>
      <c r="AB45" s="187">
        <f>'CA GDP DATA'!X44</f>
        <v>-6</v>
      </c>
      <c r="AC45" s="187">
        <f>'CA GDP DATA'!Y44</f>
        <v>-6</v>
      </c>
      <c r="AD45" s="187">
        <f>'CA GDP DATA'!Z44</f>
        <v>-7</v>
      </c>
      <c r="AE45" s="187">
        <f>'CA GDP DATA'!AA44</f>
        <v>-7</v>
      </c>
      <c r="AF45" s="187">
        <f>'CA GDP DATA'!AB44</f>
        <v>-7</v>
      </c>
      <c r="AG45" s="187">
        <f>'CA GDP DATA'!AC44</f>
        <v>-5</v>
      </c>
      <c r="AH45" s="187">
        <f>'CA GDP DATA'!AD44</f>
        <v>-5</v>
      </c>
      <c r="AI45" s="187">
        <f>'CA GDP DATA'!AE44</f>
        <v>-5</v>
      </c>
      <c r="AJ45" s="187">
        <f>'CA GDP DATA'!AF44</f>
        <v>-5</v>
      </c>
      <c r="AK45" s="187">
        <f>'CA GDP DATA'!AG44</f>
        <v>-5</v>
      </c>
      <c r="AL45" s="187">
        <f>'CA GDP DATA'!AH44</f>
        <v>-5</v>
      </c>
      <c r="AM45" s="187">
        <f>'CA GDP DATA'!AI44</f>
        <v>-5</v>
      </c>
      <c r="AN45" s="187">
        <f>'CA GDP DATA'!AJ44</f>
        <v>-5</v>
      </c>
      <c r="AO45" s="187">
        <f>'CA GDP DATA'!AK44</f>
        <v>-5</v>
      </c>
      <c r="AP45" s="187">
        <f>'CA GDP DATA'!AL44</f>
        <v>-6</v>
      </c>
      <c r="AQ45" s="187">
        <f>'CA GDP DATA'!AM44</f>
        <v>-6</v>
      </c>
      <c r="AR45" s="187">
        <f>'CA GDP DATA'!AN44</f>
        <v>-6</v>
      </c>
      <c r="AS45" s="187">
        <f>'CA GDP DATA'!AO44</f>
        <v>-6</v>
      </c>
      <c r="AT45" s="187">
        <f>'CA GDP DATA'!AP44</f>
        <v>-6</v>
      </c>
      <c r="AU45" s="187">
        <f>'CA GDP DATA'!AQ44</f>
        <v>-6</v>
      </c>
      <c r="AV45" s="187">
        <f>'CA GDP DATA'!AR44</f>
        <v>-5</v>
      </c>
      <c r="AW45" s="187">
        <f>'CA GDP DATA'!AS44</f>
        <v>-5</v>
      </c>
      <c r="AX45" s="187">
        <f>'CA GDP DATA'!AT44</f>
        <v>-5</v>
      </c>
    </row>
    <row r="46" spans="5:50" ht="21">
      <c r="E46" s="237" t="s">
        <v>46</v>
      </c>
      <c r="F46" s="187">
        <f>'CA GDP DATA'!B45</f>
        <v>-7</v>
      </c>
      <c r="G46" s="187">
        <f>'CA GDP DATA'!C45</f>
        <v>-7</v>
      </c>
      <c r="H46" s="187">
        <f>'CA GDP DATA'!D45</f>
        <v>-7</v>
      </c>
      <c r="I46" s="187">
        <f>'CA GDP DATA'!E45</f>
        <v>-8</v>
      </c>
      <c r="J46" s="187">
        <f>'CA GDP DATA'!F45</f>
        <v>-8</v>
      </c>
      <c r="K46" s="187">
        <f>'CA GDP DATA'!G45</f>
        <v>-8</v>
      </c>
      <c r="L46" s="187">
        <f>'CA GDP DATA'!H45</f>
        <v>-8</v>
      </c>
      <c r="M46" s="187">
        <f>'CA GDP DATA'!I45</f>
        <v>-8</v>
      </c>
      <c r="N46" s="187">
        <f>'CA GDP DATA'!J45</f>
        <v>-8</v>
      </c>
      <c r="O46" s="187">
        <f>'CA GDP DATA'!K45</f>
        <v>-2</v>
      </c>
      <c r="P46" s="187">
        <f>'CA GDP DATA'!L45</f>
        <v>-2</v>
      </c>
      <c r="Q46" s="187">
        <f>'CA GDP DATA'!M45</f>
        <v>-2</v>
      </c>
      <c r="R46" s="187">
        <f>'CA GDP DATA'!N45</f>
        <v>-10</v>
      </c>
      <c r="S46" s="187">
        <f>'CA GDP DATA'!O45</f>
        <v>-10</v>
      </c>
      <c r="T46" s="187">
        <f>'CA GDP DATA'!P45</f>
        <v>-10</v>
      </c>
      <c r="U46" s="187">
        <f>'CA GDP DATA'!Q45</f>
        <v>-10</v>
      </c>
      <c r="V46" s="187">
        <f>'CA GDP DATA'!R45</f>
        <v>-10</v>
      </c>
      <c r="W46" s="187">
        <f>'CA GDP DATA'!S45</f>
        <v>-10</v>
      </c>
      <c r="X46" s="187">
        <f>'CA GDP DATA'!T45</f>
        <v>-3</v>
      </c>
      <c r="Y46" s="187">
        <f>'CA GDP DATA'!U45</f>
        <v>-3</v>
      </c>
      <c r="Z46" s="187">
        <f>'CA GDP DATA'!V45</f>
        <v>-3</v>
      </c>
      <c r="AA46" s="187">
        <f>'CA GDP DATA'!W45</f>
        <v>-10</v>
      </c>
      <c r="AB46" s="187">
        <f>'CA GDP DATA'!X45</f>
        <v>-10</v>
      </c>
      <c r="AC46" s="187">
        <f>'CA GDP DATA'!Y45</f>
        <v>-10</v>
      </c>
      <c r="AD46" s="187">
        <f>'CA GDP DATA'!Z45</f>
        <v>-10</v>
      </c>
      <c r="AE46" s="187">
        <f>'CA GDP DATA'!AA45</f>
        <v>-10</v>
      </c>
      <c r="AF46" s="187">
        <f>'CA GDP DATA'!AB45</f>
        <v>-10</v>
      </c>
      <c r="AG46" s="187">
        <f>'CA GDP DATA'!AC45</f>
        <v>-4</v>
      </c>
      <c r="AH46" s="187">
        <f>'CA GDP DATA'!AD45</f>
        <v>-4</v>
      </c>
      <c r="AI46" s="187">
        <f>'CA GDP DATA'!AE45</f>
        <v>-4</v>
      </c>
      <c r="AJ46" s="187">
        <f>'CA GDP DATA'!AF45</f>
        <v>-5</v>
      </c>
      <c r="AK46" s="187">
        <f>'CA GDP DATA'!AG45</f>
        <v>-5</v>
      </c>
      <c r="AL46" s="187">
        <f>'CA GDP DATA'!AH45</f>
        <v>-5</v>
      </c>
      <c r="AM46" s="187">
        <f>'CA GDP DATA'!AI45</f>
        <v>-2</v>
      </c>
      <c r="AN46" s="187">
        <f>'CA GDP DATA'!AJ45</f>
        <v>-2</v>
      </c>
      <c r="AO46" s="187">
        <f>'CA GDP DATA'!AK45</f>
        <v>0</v>
      </c>
      <c r="AP46" s="187">
        <f>'CA GDP DATA'!AL45</f>
        <v>-5</v>
      </c>
      <c r="AQ46" s="187">
        <f>'CA GDP DATA'!AM45</f>
        <v>-5</v>
      </c>
      <c r="AR46" s="187">
        <f>'CA GDP DATA'!AN45</f>
        <v>-5</v>
      </c>
      <c r="AS46" s="187">
        <f>'CA GDP DATA'!AO45</f>
        <v>-2</v>
      </c>
      <c r="AT46" s="187">
        <f>'CA GDP DATA'!AP45</f>
        <v>-2</v>
      </c>
      <c r="AU46" s="187">
        <f>'CA GDP DATA'!AQ45</f>
        <v>-2</v>
      </c>
      <c r="AV46" s="187">
        <f>'CA GDP DATA'!AR45</f>
        <v>-2</v>
      </c>
      <c r="AW46" s="187">
        <f>'CA GDP DATA'!AS45</f>
        <v>-2</v>
      </c>
      <c r="AX46" s="187">
        <f>'CA GDP DATA'!AT45</f>
        <v>-2</v>
      </c>
    </row>
    <row r="47" spans="5:50" ht="21">
      <c r="E47" s="237" t="s">
        <v>17</v>
      </c>
      <c r="F47" s="187">
        <f>'CA GDP DATA'!B46</f>
        <v>-1</v>
      </c>
      <c r="G47" s="187">
        <f>'CA GDP DATA'!C46</f>
        <v>-1</v>
      </c>
      <c r="H47" s="187">
        <f>'CA GDP DATA'!D46</f>
        <v>-1</v>
      </c>
      <c r="I47" s="187">
        <f>'CA GDP DATA'!E46</f>
        <v>-1</v>
      </c>
      <c r="J47" s="187">
        <f>'CA GDP DATA'!F46</f>
        <v>-1</v>
      </c>
      <c r="K47" s="187">
        <f>'CA GDP DATA'!G46</f>
        <v>-1</v>
      </c>
      <c r="L47" s="187">
        <f>'CA GDP DATA'!H46</f>
        <v>-1</v>
      </c>
      <c r="M47" s="187">
        <f>'CA GDP DATA'!I46</f>
        <v>-1</v>
      </c>
      <c r="N47" s="187">
        <f>'CA GDP DATA'!J46</f>
        <v>-1</v>
      </c>
      <c r="O47" s="187">
        <f>'CA GDP DATA'!K46</f>
        <v>-2</v>
      </c>
      <c r="P47" s="187">
        <f>'CA GDP DATA'!L46</f>
        <v>-2</v>
      </c>
      <c r="Q47" s="187">
        <f>'CA GDP DATA'!M46</f>
        <v>-2</v>
      </c>
      <c r="R47" s="187">
        <f>'CA GDP DATA'!N46</f>
        <v>-1</v>
      </c>
      <c r="S47" s="187">
        <f>'CA GDP DATA'!O46</f>
        <v>-1</v>
      </c>
      <c r="T47" s="187">
        <f>'CA GDP DATA'!P46</f>
        <v>-1</v>
      </c>
      <c r="U47" s="187">
        <f>'CA GDP DATA'!Q46</f>
        <v>-2</v>
      </c>
      <c r="V47" s="187">
        <f>'CA GDP DATA'!R46</f>
        <v>-2</v>
      </c>
      <c r="W47" s="187">
        <f>'CA GDP DATA'!S46</f>
        <v>-2</v>
      </c>
      <c r="X47" s="187">
        <f>'CA GDP DATA'!T46</f>
        <v>-2</v>
      </c>
      <c r="Y47" s="187">
        <f>'CA GDP DATA'!U46</f>
        <v>-2</v>
      </c>
      <c r="Z47" s="187">
        <f>'CA GDP DATA'!V46</f>
        <v>-2</v>
      </c>
      <c r="AA47" s="187">
        <f>'CA GDP DATA'!W46</f>
        <v>-2</v>
      </c>
      <c r="AB47" s="187">
        <f>'CA GDP DATA'!X46</f>
        <v>-2</v>
      </c>
      <c r="AC47" s="187">
        <f>'CA GDP DATA'!Y46</f>
        <v>-2</v>
      </c>
      <c r="AD47" s="187">
        <f>'CA GDP DATA'!Z46</f>
        <v>-3</v>
      </c>
      <c r="AE47" s="187">
        <f>'CA GDP DATA'!AA46</f>
        <v>-3</v>
      </c>
      <c r="AF47" s="187">
        <f>'CA GDP DATA'!AB46</f>
        <v>-3</v>
      </c>
      <c r="AG47" s="187">
        <f>'CA GDP DATA'!AC46</f>
        <v>0</v>
      </c>
      <c r="AH47" s="187">
        <f>'CA GDP DATA'!AD46</f>
        <v>0</v>
      </c>
      <c r="AI47" s="187">
        <f>'CA GDP DATA'!AE46</f>
        <v>0</v>
      </c>
      <c r="AJ47" s="187">
        <f>'CA GDP DATA'!AF46</f>
        <v>-1</v>
      </c>
      <c r="AK47" s="187">
        <f>'CA GDP DATA'!AG46</f>
        <v>-1</v>
      </c>
      <c r="AL47" s="187">
        <f>'CA GDP DATA'!AH46</f>
        <v>-1</v>
      </c>
      <c r="AM47" s="187">
        <f>'CA GDP DATA'!AI46</f>
        <v>-1</v>
      </c>
      <c r="AN47" s="187">
        <f>'CA GDP DATA'!AJ46</f>
        <v>-1</v>
      </c>
      <c r="AO47" s="187">
        <f>'CA GDP DATA'!AK46</f>
        <v>-1</v>
      </c>
      <c r="AP47" s="187">
        <f>'CA GDP DATA'!AL46</f>
        <v>-1</v>
      </c>
      <c r="AQ47" s="187">
        <f>'CA GDP DATA'!AM46</f>
        <v>-1</v>
      </c>
      <c r="AR47" s="187">
        <f>'CA GDP DATA'!AN46</f>
        <v>-1</v>
      </c>
      <c r="AS47" s="187">
        <f>'CA GDP DATA'!AO46</f>
        <v>-1</v>
      </c>
      <c r="AT47" s="187">
        <f>'CA GDP DATA'!AP46</f>
        <v>-1</v>
      </c>
      <c r="AU47" s="187">
        <f>'CA GDP DATA'!AQ46</f>
        <v>-1</v>
      </c>
      <c r="AV47" s="187">
        <f>'CA GDP DATA'!AR46</f>
        <v>-1</v>
      </c>
      <c r="AW47" s="187">
        <f>'CA GDP DATA'!AS46</f>
        <v>-1</v>
      </c>
      <c r="AX47" s="187">
        <f>'CA GDP DATA'!AT46</f>
        <v>-1</v>
      </c>
    </row>
    <row r="48" spans="5:50" ht="21">
      <c r="E48" s="238" t="s">
        <v>47</v>
      </c>
      <c r="F48" s="187">
        <f>'CA GDP DATA'!B47</f>
        <v>2</v>
      </c>
      <c r="G48" s="187">
        <f>'CA GDP DATA'!C47</f>
        <v>2</v>
      </c>
      <c r="H48" s="187">
        <f>'CA GDP DATA'!D47</f>
        <v>2</v>
      </c>
      <c r="I48" s="187">
        <f>'CA GDP DATA'!E47</f>
        <v>3</v>
      </c>
      <c r="J48" s="187">
        <f>'CA GDP DATA'!F47</f>
        <v>3</v>
      </c>
      <c r="K48" s="187">
        <f>'CA GDP DATA'!G47</f>
        <v>3</v>
      </c>
      <c r="L48" s="187">
        <f>'CA GDP DATA'!H47</f>
        <v>3</v>
      </c>
      <c r="M48" s="187">
        <f>'CA GDP DATA'!I47</f>
        <v>3</v>
      </c>
      <c r="N48" s="187">
        <f>'CA GDP DATA'!J47</f>
        <v>3</v>
      </c>
      <c r="O48" s="187">
        <f>'CA GDP DATA'!K47</f>
        <v>3</v>
      </c>
      <c r="P48" s="187">
        <f>'CA GDP DATA'!L47</f>
        <v>3</v>
      </c>
      <c r="Q48" s="187">
        <f>'CA GDP DATA'!M47</f>
        <v>3</v>
      </c>
      <c r="R48" s="187">
        <f>'CA GDP DATA'!N47</f>
        <v>4</v>
      </c>
      <c r="S48" s="187">
        <f>'CA GDP DATA'!O47</f>
        <v>4</v>
      </c>
      <c r="T48" s="187">
        <f>'CA GDP DATA'!P47</f>
        <v>4</v>
      </c>
      <c r="U48" s="187">
        <f>'CA GDP DATA'!Q47</f>
        <v>4</v>
      </c>
      <c r="V48" s="187">
        <f>'CA GDP DATA'!R47</f>
        <v>4</v>
      </c>
      <c r="W48" s="187">
        <f>'CA GDP DATA'!S47</f>
        <v>4</v>
      </c>
      <c r="X48" s="187">
        <f>'CA GDP DATA'!T47</f>
        <v>4</v>
      </c>
      <c r="Y48" s="187">
        <f>'CA GDP DATA'!U47</f>
        <v>4</v>
      </c>
      <c r="Z48" s="187">
        <f>'CA GDP DATA'!V47</f>
        <v>4</v>
      </c>
      <c r="AA48" s="187">
        <f>'CA GDP DATA'!W47</f>
        <v>3</v>
      </c>
      <c r="AB48" s="187">
        <f>'CA GDP DATA'!X47</f>
        <v>3</v>
      </c>
      <c r="AC48" s="187">
        <f>'CA GDP DATA'!Y47</f>
        <v>3</v>
      </c>
      <c r="AD48" s="187">
        <f>'CA GDP DATA'!Z47</f>
        <v>5</v>
      </c>
      <c r="AE48" s="187">
        <f>'CA GDP DATA'!AA47</f>
        <v>5</v>
      </c>
      <c r="AF48" s="187">
        <f>'CA GDP DATA'!AB47</f>
        <v>5</v>
      </c>
      <c r="AG48" s="187">
        <f>'CA GDP DATA'!AC47</f>
        <v>3</v>
      </c>
      <c r="AH48" s="187">
        <f>'CA GDP DATA'!AD47</f>
        <v>3</v>
      </c>
      <c r="AI48" s="187">
        <f>'CA GDP DATA'!AE47</f>
        <v>3</v>
      </c>
      <c r="AJ48" s="187">
        <f>'CA GDP DATA'!AF47</f>
        <v>2</v>
      </c>
      <c r="AK48" s="187">
        <f>'CA GDP DATA'!AG47</f>
        <v>2</v>
      </c>
      <c r="AL48" s="187">
        <f>'CA GDP DATA'!AH47</f>
        <v>2</v>
      </c>
      <c r="AM48" s="187">
        <f>'CA GDP DATA'!AI47</f>
        <v>2</v>
      </c>
      <c r="AN48" s="187">
        <f>'CA GDP DATA'!AJ47</f>
        <v>2</v>
      </c>
      <c r="AO48" s="187">
        <f>'CA GDP DATA'!AK47</f>
        <v>2</v>
      </c>
      <c r="AP48" s="187">
        <f>'CA GDP DATA'!AL47</f>
        <v>2</v>
      </c>
      <c r="AQ48" s="187">
        <f>'CA GDP DATA'!AM47</f>
        <v>2</v>
      </c>
      <c r="AR48" s="187">
        <f>'CA GDP DATA'!AN47</f>
        <v>2</v>
      </c>
      <c r="AS48" s="187">
        <f>'CA GDP DATA'!AO47</f>
        <v>3</v>
      </c>
      <c r="AT48" s="187">
        <f>'CA GDP DATA'!AP47</f>
        <v>3</v>
      </c>
      <c r="AU48" s="187">
        <f>'CA GDP DATA'!AQ47</f>
        <v>3</v>
      </c>
      <c r="AV48" s="187">
        <f>'CA GDP DATA'!AR47</f>
        <v>2</v>
      </c>
      <c r="AW48" s="187">
        <f>'CA GDP DATA'!AS47</f>
        <v>2</v>
      </c>
      <c r="AX48" s="187">
        <f>'CA GDP DATA'!AT47</f>
        <v>2</v>
      </c>
    </row>
    <row r="49" spans="5:50" ht="21">
      <c r="E49" s="238" t="s">
        <v>14</v>
      </c>
      <c r="F49" s="187">
        <f>'CA GDP DATA'!B48</f>
        <v>-1</v>
      </c>
      <c r="G49" s="187">
        <f>'CA GDP DATA'!C48</f>
        <v>-1</v>
      </c>
      <c r="H49" s="187">
        <f>'CA GDP DATA'!D48</f>
        <v>-1</v>
      </c>
      <c r="I49" s="187">
        <f>'CA GDP DATA'!E48</f>
        <v>-1</v>
      </c>
      <c r="J49" s="187">
        <f>'CA GDP DATA'!F48</f>
        <v>-1</v>
      </c>
      <c r="K49" s="187">
        <f>'CA GDP DATA'!G48</f>
        <v>-1</v>
      </c>
      <c r="L49" s="187">
        <f>'CA GDP DATA'!H48</f>
        <v>-1</v>
      </c>
      <c r="M49" s="187">
        <f>'CA GDP DATA'!I48</f>
        <v>-1</v>
      </c>
      <c r="N49" s="187">
        <f>'CA GDP DATA'!J48</f>
        <v>-1</v>
      </c>
      <c r="O49" s="187">
        <f>'CA GDP DATA'!K48</f>
        <v>-1</v>
      </c>
      <c r="P49" s="187">
        <f>'CA GDP DATA'!L48</f>
        <v>-1</v>
      </c>
      <c r="Q49" s="187">
        <f>'CA GDP DATA'!M48</f>
        <v>-1</v>
      </c>
      <c r="R49" s="187">
        <f>'CA GDP DATA'!N48</f>
        <v>-1</v>
      </c>
      <c r="S49" s="187">
        <f>'CA GDP DATA'!O48</f>
        <v>-1</v>
      </c>
      <c r="T49" s="187">
        <f>'CA GDP DATA'!P48</f>
        <v>-1</v>
      </c>
      <c r="U49" s="187">
        <f>'CA GDP DATA'!Q48</f>
        <v>-1</v>
      </c>
      <c r="V49" s="187">
        <f>'CA GDP DATA'!R48</f>
        <v>-1</v>
      </c>
      <c r="W49" s="187">
        <f>'CA GDP DATA'!S48</f>
        <v>-1</v>
      </c>
      <c r="X49" s="187">
        <f>'CA GDP DATA'!T48</f>
        <v>-1</v>
      </c>
      <c r="Y49" s="187">
        <f>'CA GDP DATA'!U48</f>
        <v>-1</v>
      </c>
      <c r="Z49" s="187">
        <f>'CA GDP DATA'!V48</f>
        <v>-1</v>
      </c>
      <c r="AA49" s="187">
        <f>'CA GDP DATA'!W48</f>
        <v>-1</v>
      </c>
      <c r="AB49" s="187">
        <f>'CA GDP DATA'!X48</f>
        <v>-1</v>
      </c>
      <c r="AC49" s="187">
        <f>'CA GDP DATA'!Y48</f>
        <v>-1</v>
      </c>
      <c r="AD49" s="187">
        <f>'CA GDP DATA'!Z48</f>
        <v>-1</v>
      </c>
      <c r="AE49" s="187">
        <f>'CA GDP DATA'!AA48</f>
        <v>-1</v>
      </c>
      <c r="AF49" s="187">
        <f>'CA GDP DATA'!AB48</f>
        <v>-1</v>
      </c>
      <c r="AG49" s="187">
        <f>'CA GDP DATA'!AC48</f>
        <v>-1</v>
      </c>
      <c r="AH49" s="187">
        <f>'CA GDP DATA'!AD48</f>
        <v>-1</v>
      </c>
      <c r="AI49" s="187">
        <f>'CA GDP DATA'!AE48</f>
        <v>-1</v>
      </c>
      <c r="AJ49" s="187">
        <f>'CA GDP DATA'!AF48</f>
        <v>-2</v>
      </c>
      <c r="AK49" s="187">
        <f>'CA GDP DATA'!AG48</f>
        <v>-2</v>
      </c>
      <c r="AL49" s="187">
        <f>'CA GDP DATA'!AH48</f>
        <v>-2</v>
      </c>
      <c r="AM49" s="187">
        <f>'CA GDP DATA'!AI48</f>
        <v>-2</v>
      </c>
      <c r="AN49" s="187">
        <f>'CA GDP DATA'!AJ48</f>
        <v>-2</v>
      </c>
      <c r="AO49" s="187">
        <f>'CA GDP DATA'!AK48</f>
        <v>-2</v>
      </c>
      <c r="AP49" s="187">
        <f>'CA GDP DATA'!AL48</f>
        <v>-2</v>
      </c>
      <c r="AQ49" s="187">
        <f>'CA GDP DATA'!AM48</f>
        <v>-2</v>
      </c>
      <c r="AR49" s="187">
        <f>'CA GDP DATA'!AN48</f>
        <v>-2</v>
      </c>
      <c r="AS49" s="187">
        <f>'CA GDP DATA'!AO48</f>
        <v>-2</v>
      </c>
      <c r="AT49" s="187">
        <f>'CA GDP DATA'!AP48</f>
        <v>-2</v>
      </c>
      <c r="AU49" s="187">
        <f>'CA GDP DATA'!AQ48</f>
        <v>-2</v>
      </c>
      <c r="AV49" s="187">
        <f>'CA GDP DATA'!AR48</f>
        <v>-2</v>
      </c>
      <c r="AW49" s="187">
        <f>'CA GDP DATA'!AS48</f>
        <v>-2</v>
      </c>
      <c r="AX49" s="187">
        <f>'CA GDP DATA'!AT48</f>
        <v>-2</v>
      </c>
    </row>
    <row r="50" spans="5:50" ht="21">
      <c r="E50" s="238" t="s">
        <v>48</v>
      </c>
      <c r="F50" s="187">
        <f>'CA GDP DATA'!B49</f>
        <v>-3</v>
      </c>
      <c r="G50" s="187">
        <f>'CA GDP DATA'!C49</f>
        <v>-3</v>
      </c>
      <c r="H50" s="187">
        <f>'CA GDP DATA'!D49</f>
        <v>-3</v>
      </c>
      <c r="I50" s="187">
        <f>'CA GDP DATA'!E49</f>
        <v>-3</v>
      </c>
      <c r="J50" s="187">
        <f>'CA GDP DATA'!F49</f>
        <v>-3</v>
      </c>
      <c r="K50" s="187">
        <f>'CA GDP DATA'!G49</f>
        <v>-3</v>
      </c>
      <c r="L50" s="187">
        <f>'CA GDP DATA'!H49</f>
        <v>-3</v>
      </c>
      <c r="M50" s="187">
        <f>'CA GDP DATA'!I49</f>
        <v>-3</v>
      </c>
      <c r="N50" s="187">
        <f>'CA GDP DATA'!J49</f>
        <v>-3</v>
      </c>
      <c r="O50" s="187">
        <f>'CA GDP DATA'!K49</f>
        <v>1</v>
      </c>
      <c r="P50" s="187">
        <f>'CA GDP DATA'!L49</f>
        <v>1</v>
      </c>
      <c r="Q50" s="187">
        <f>'CA GDP DATA'!M49</f>
        <v>1</v>
      </c>
      <c r="R50" s="187">
        <f>'CA GDP DATA'!N49</f>
        <v>-8</v>
      </c>
      <c r="S50" s="187">
        <f>'CA GDP DATA'!O49</f>
        <v>-8</v>
      </c>
      <c r="T50" s="187">
        <f>'CA GDP DATA'!P49</f>
        <v>-8</v>
      </c>
      <c r="U50" s="187">
        <f>'CA GDP DATA'!Q49</f>
        <v>-5</v>
      </c>
      <c r="V50" s="187">
        <f>'CA GDP DATA'!R49</f>
        <v>-5</v>
      </c>
      <c r="W50" s="187">
        <f>'CA GDP DATA'!S49</f>
        <v>-5</v>
      </c>
      <c r="X50" s="187">
        <f>'CA GDP DATA'!T49</f>
        <v>0</v>
      </c>
      <c r="Y50" s="187">
        <f>'CA GDP DATA'!U49</f>
        <v>0</v>
      </c>
      <c r="Z50" s="187">
        <f>'CA GDP DATA'!V49</f>
        <v>0</v>
      </c>
      <c r="AA50" s="187">
        <f>'CA GDP DATA'!W49</f>
        <v>-5</v>
      </c>
      <c r="AB50" s="187">
        <f>'CA GDP DATA'!X49</f>
        <v>-5</v>
      </c>
      <c r="AC50" s="187">
        <f>'CA GDP DATA'!Y49</f>
        <v>-5</v>
      </c>
      <c r="AD50" s="187">
        <f>'CA GDP DATA'!Z49</f>
        <v>-9</v>
      </c>
      <c r="AE50" s="187">
        <f>'CA GDP DATA'!AA49</f>
        <v>-9</v>
      </c>
      <c r="AF50" s="187">
        <f>'CA GDP DATA'!AB49</f>
        <v>-9</v>
      </c>
      <c r="AG50" s="187">
        <f>'CA GDP DATA'!AC49</f>
        <v>-1</v>
      </c>
      <c r="AH50" s="187">
        <f>'CA GDP DATA'!AD49</f>
        <v>-1</v>
      </c>
      <c r="AI50" s="187">
        <f>'CA GDP DATA'!AE49</f>
        <v>-1</v>
      </c>
      <c r="AJ50" s="187">
        <f>'CA GDP DATA'!AF49</f>
        <v>-1</v>
      </c>
      <c r="AK50" s="187">
        <f>'CA GDP DATA'!AG49</f>
        <v>-1</v>
      </c>
      <c r="AL50" s="187">
        <f>'CA GDP DATA'!AH49</f>
        <v>-1</v>
      </c>
      <c r="AM50" s="187">
        <f>'CA GDP DATA'!AI49</f>
        <v>0</v>
      </c>
      <c r="AN50" s="187">
        <f>'CA GDP DATA'!AJ49</f>
        <v>0</v>
      </c>
      <c r="AO50" s="187">
        <f>'CA GDP DATA'!AK49</f>
        <v>0</v>
      </c>
      <c r="AP50" s="187">
        <f>'CA GDP DATA'!AL49</f>
        <v>-5</v>
      </c>
      <c r="AQ50" s="187">
        <f>'CA GDP DATA'!AM49</f>
        <v>-5</v>
      </c>
      <c r="AR50" s="187">
        <f>'CA GDP DATA'!AN49</f>
        <v>-5</v>
      </c>
      <c r="AS50" s="187">
        <f>'CA GDP DATA'!AO49</f>
        <v>-2</v>
      </c>
      <c r="AT50" s="187">
        <f>'CA GDP DATA'!AP49</f>
        <v>-2</v>
      </c>
      <c r="AU50" s="187">
        <f>'CA GDP DATA'!AQ49</f>
        <v>-2</v>
      </c>
      <c r="AV50" s="187">
        <f>'CA GDP DATA'!AR49</f>
        <v>-2</v>
      </c>
      <c r="AW50" s="187">
        <f>'CA GDP DATA'!AS49</f>
        <v>-2</v>
      </c>
      <c r="AX50" s="187">
        <f>'CA GDP DATA'!AT49</f>
        <v>-2</v>
      </c>
    </row>
    <row r="51" spans="5:50" ht="21">
      <c r="E51" s="238" t="s">
        <v>49</v>
      </c>
      <c r="F51" s="187">
        <f>'CA GDP DATA'!B50</f>
        <v>2</v>
      </c>
      <c r="G51" s="187">
        <f>'CA GDP DATA'!C50</f>
        <v>2</v>
      </c>
      <c r="H51" s="187">
        <f>'CA GDP DATA'!D50</f>
        <v>2</v>
      </c>
      <c r="I51" s="187">
        <f>'CA GDP DATA'!E50</f>
        <v>4</v>
      </c>
      <c r="J51" s="187">
        <f>'CA GDP DATA'!F50</f>
        <v>4</v>
      </c>
      <c r="K51" s="187">
        <f>'CA GDP DATA'!G50</f>
        <v>4</v>
      </c>
      <c r="L51" s="187">
        <f>'CA GDP DATA'!H50</f>
        <v>2</v>
      </c>
      <c r="M51" s="187">
        <f>'CA GDP DATA'!I50</f>
        <v>2</v>
      </c>
      <c r="N51" s="187">
        <f>'CA GDP DATA'!J50</f>
        <v>2</v>
      </c>
      <c r="O51" s="187">
        <f>'CA GDP DATA'!K50</f>
        <v>4</v>
      </c>
      <c r="P51" s="187">
        <f>'CA GDP DATA'!L50</f>
        <v>4</v>
      </c>
      <c r="Q51" s="187">
        <f>'CA GDP DATA'!M50</f>
        <v>4</v>
      </c>
      <c r="R51" s="187">
        <f>'CA GDP DATA'!N50</f>
        <v>3</v>
      </c>
      <c r="S51" s="187">
        <f>'CA GDP DATA'!O50</f>
        <v>3</v>
      </c>
      <c r="T51" s="187">
        <f>'CA GDP DATA'!P50</f>
        <v>3</v>
      </c>
      <c r="U51" s="187">
        <f>'CA GDP DATA'!Q50</f>
        <v>3</v>
      </c>
      <c r="V51" s="187">
        <f>'CA GDP DATA'!R50</f>
        <v>3</v>
      </c>
      <c r="W51" s="187">
        <f>'CA GDP DATA'!S50</f>
        <v>3</v>
      </c>
      <c r="X51" s="187">
        <f>'CA GDP DATA'!T50</f>
        <v>0</v>
      </c>
      <c r="Y51" s="187">
        <f>'CA GDP DATA'!U50</f>
        <v>0</v>
      </c>
      <c r="Z51" s="187">
        <f>'CA GDP DATA'!V50</f>
        <v>0</v>
      </c>
      <c r="AA51" s="187">
        <f>'CA GDP DATA'!W50</f>
        <v>3</v>
      </c>
      <c r="AB51" s="187">
        <f>'CA GDP DATA'!X50</f>
        <v>3</v>
      </c>
      <c r="AC51" s="187">
        <f>'CA GDP DATA'!Y50</f>
        <v>3</v>
      </c>
      <c r="AD51" s="187">
        <f>'CA GDP DATA'!Z50</f>
        <v>3</v>
      </c>
      <c r="AE51" s="187">
        <f>'CA GDP DATA'!AA50</f>
        <v>3</v>
      </c>
      <c r="AF51" s="187">
        <f>'CA GDP DATA'!AB50</f>
        <v>3</v>
      </c>
      <c r="AG51" s="187">
        <f>'CA GDP DATA'!AC50</f>
        <v>3</v>
      </c>
      <c r="AH51" s="187">
        <f>'CA GDP DATA'!AD50</f>
        <v>3</v>
      </c>
      <c r="AI51" s="187">
        <f>'CA GDP DATA'!AE50</f>
        <v>3</v>
      </c>
      <c r="AJ51" s="187">
        <f>'CA GDP DATA'!AF50</f>
        <v>2</v>
      </c>
      <c r="AK51" s="187">
        <f>'CA GDP DATA'!AG50</f>
        <v>2</v>
      </c>
      <c r="AL51" s="187">
        <f>'CA GDP DATA'!AH50</f>
        <v>2</v>
      </c>
      <c r="AM51" s="187">
        <f>'CA GDP DATA'!AI50</f>
        <v>3</v>
      </c>
      <c r="AN51" s="187">
        <f>'CA GDP DATA'!AJ50</f>
        <v>3</v>
      </c>
      <c r="AO51" s="187">
        <f>'CA GDP DATA'!AK50</f>
        <v>3</v>
      </c>
      <c r="AP51" s="187">
        <f>'CA GDP DATA'!AL50</f>
        <v>2</v>
      </c>
      <c r="AQ51" s="187">
        <f>'CA GDP DATA'!AM50</f>
        <v>2</v>
      </c>
      <c r="AR51" s="187">
        <f>'CA GDP DATA'!AN50</f>
        <v>2</v>
      </c>
      <c r="AS51" s="187">
        <f>'CA GDP DATA'!AO50</f>
        <v>2</v>
      </c>
      <c r="AT51" s="187">
        <f>'CA GDP DATA'!AP50</f>
        <v>2</v>
      </c>
      <c r="AU51" s="187">
        <f>'CA GDP DATA'!AQ50</f>
        <v>2</v>
      </c>
      <c r="AV51" s="187">
        <f>'CA GDP DATA'!AR50</f>
        <v>2</v>
      </c>
      <c r="AW51" s="187">
        <f>'CA GDP DATA'!AS50</f>
        <v>2</v>
      </c>
      <c r="AX51" s="187">
        <f>'CA GDP DATA'!AT50</f>
        <v>2</v>
      </c>
    </row>
    <row r="52" spans="5:50" ht="21">
      <c r="E52" s="239" t="s">
        <v>15</v>
      </c>
      <c r="F52" s="187">
        <f>'CA GDP DATA'!B51</f>
        <v>1</v>
      </c>
      <c r="G52" s="187">
        <f>'CA GDP DATA'!C51</f>
        <v>1</v>
      </c>
      <c r="H52" s="187">
        <f>'CA GDP DATA'!D51</f>
        <v>1</v>
      </c>
      <c r="I52" s="187">
        <f>'CA GDP DATA'!E51</f>
        <v>1</v>
      </c>
      <c r="J52" s="187">
        <f>'CA GDP DATA'!F51</f>
        <v>1</v>
      </c>
      <c r="K52" s="187">
        <f>'CA GDP DATA'!G51</f>
        <v>1</v>
      </c>
      <c r="L52" s="187">
        <f>'CA GDP DATA'!H51</f>
        <v>1</v>
      </c>
      <c r="M52" s="187">
        <f>'CA GDP DATA'!I51</f>
        <v>1</v>
      </c>
      <c r="N52" s="187">
        <f>'CA GDP DATA'!J51</f>
        <v>1</v>
      </c>
      <c r="O52" s="187">
        <f>'CA GDP DATA'!K51</f>
        <v>1</v>
      </c>
      <c r="P52" s="187">
        <f>'CA GDP DATA'!L51</f>
        <v>1</v>
      </c>
      <c r="Q52" s="187">
        <f>'CA GDP DATA'!M51</f>
        <v>1</v>
      </c>
      <c r="R52" s="187">
        <f>'CA GDP DATA'!N51</f>
        <v>2</v>
      </c>
      <c r="S52" s="187">
        <f>'CA GDP DATA'!O51</f>
        <v>2</v>
      </c>
      <c r="T52" s="187">
        <f>'CA GDP DATA'!P51</f>
        <v>2</v>
      </c>
      <c r="U52" s="187">
        <f>'CA GDP DATA'!Q51</f>
        <v>2</v>
      </c>
      <c r="V52" s="187">
        <f>'CA GDP DATA'!R51</f>
        <v>2</v>
      </c>
      <c r="W52" s="187">
        <f>'CA GDP DATA'!S51</f>
        <v>2</v>
      </c>
      <c r="X52" s="187">
        <f>'CA GDP DATA'!T51</f>
        <v>1</v>
      </c>
      <c r="Y52" s="187">
        <f>'CA GDP DATA'!U51</f>
        <v>1</v>
      </c>
      <c r="Z52" s="187">
        <f>'CA GDP DATA'!V51</f>
        <v>1</v>
      </c>
      <c r="AA52" s="187">
        <f>'CA GDP DATA'!W51</f>
        <v>1</v>
      </c>
      <c r="AB52" s="187">
        <f>'CA GDP DATA'!X51</f>
        <v>1</v>
      </c>
      <c r="AC52" s="187">
        <f>'CA GDP DATA'!Y51</f>
        <v>1</v>
      </c>
      <c r="AD52" s="187">
        <f>'CA GDP DATA'!Z51</f>
        <v>1</v>
      </c>
      <c r="AE52" s="187">
        <f>'CA GDP DATA'!AA51</f>
        <v>1</v>
      </c>
      <c r="AF52" s="187">
        <f>'CA GDP DATA'!AB51</f>
        <v>1</v>
      </c>
      <c r="AG52" s="187">
        <f>'CA GDP DATA'!AC51</f>
        <v>2</v>
      </c>
      <c r="AH52" s="187">
        <f>'CA GDP DATA'!AD51</f>
        <v>2</v>
      </c>
      <c r="AI52" s="187">
        <f>'CA GDP DATA'!AE51</f>
        <v>2</v>
      </c>
      <c r="AJ52" s="187">
        <f>'CA GDP DATA'!AF51</f>
        <v>1</v>
      </c>
      <c r="AK52" s="187">
        <f>'CA GDP DATA'!AG51</f>
        <v>1</v>
      </c>
      <c r="AL52" s="187">
        <f>'CA GDP DATA'!AH51</f>
        <v>1</v>
      </c>
      <c r="AM52" s="187">
        <f>'CA GDP DATA'!AI51</f>
        <v>1</v>
      </c>
      <c r="AN52" s="187">
        <f>'CA GDP DATA'!AJ51</f>
        <v>1</v>
      </c>
      <c r="AO52" s="187">
        <f>'CA GDP DATA'!AK51</f>
        <v>1</v>
      </c>
      <c r="AP52" s="187">
        <f>'CA GDP DATA'!AL51</f>
        <v>1</v>
      </c>
      <c r="AQ52" s="187">
        <f>'CA GDP DATA'!AM51</f>
        <v>1</v>
      </c>
      <c r="AR52" s="187">
        <f>'CA GDP DATA'!AN51</f>
        <v>1</v>
      </c>
      <c r="AS52" s="187">
        <f>'CA GDP DATA'!AO51</f>
        <v>1</v>
      </c>
      <c r="AT52" s="187">
        <f>'CA GDP DATA'!AP51</f>
        <v>1</v>
      </c>
      <c r="AU52" s="187">
        <f>'CA GDP DATA'!AQ51</f>
        <v>1</v>
      </c>
      <c r="AV52" s="187">
        <f>'CA GDP DATA'!AR51</f>
        <v>1</v>
      </c>
      <c r="AW52" s="187">
        <f>'CA GDP DATA'!AS51</f>
        <v>1</v>
      </c>
      <c r="AX52" s="187">
        <f>'CA GDP DATA'!AT51</f>
        <v>1</v>
      </c>
    </row>
    <row r="53" spans="5:50" ht="21">
      <c r="E53" s="238" t="s">
        <v>12</v>
      </c>
      <c r="F53" s="187">
        <f>'CA GDP DATA'!B52</f>
        <v>0</v>
      </c>
      <c r="G53" s="187">
        <f>'CA GDP DATA'!C52</f>
        <v>0</v>
      </c>
      <c r="H53" s="187">
        <f>'CA GDP DATA'!D52</f>
        <v>0</v>
      </c>
      <c r="I53" s="187">
        <f>'CA GDP DATA'!E52</f>
        <v>0</v>
      </c>
      <c r="J53" s="187">
        <f>'CA GDP DATA'!F52</f>
        <v>0</v>
      </c>
      <c r="K53" s="187">
        <f>'CA GDP DATA'!G52</f>
        <v>0</v>
      </c>
      <c r="L53" s="187">
        <f>'CA GDP DATA'!H52</f>
        <v>0</v>
      </c>
      <c r="M53" s="187">
        <f>'CA GDP DATA'!I52</f>
        <v>0</v>
      </c>
      <c r="N53" s="187">
        <f>'CA GDP DATA'!J52</f>
        <v>0</v>
      </c>
      <c r="O53" s="187">
        <f>'CA GDP DATA'!K52</f>
        <v>0</v>
      </c>
      <c r="P53" s="187">
        <f>'CA GDP DATA'!L52</f>
        <v>0</v>
      </c>
      <c r="Q53" s="187">
        <f>'CA GDP DATA'!M52</f>
        <v>0</v>
      </c>
      <c r="R53" s="187">
        <f>'CA GDP DATA'!N52</f>
        <v>0</v>
      </c>
      <c r="S53" s="187">
        <f>'CA GDP DATA'!O52</f>
        <v>0</v>
      </c>
      <c r="T53" s="187">
        <f>'CA GDP DATA'!P52</f>
        <v>0</v>
      </c>
      <c r="U53" s="187">
        <f>'CA GDP DATA'!Q52</f>
        <v>0</v>
      </c>
      <c r="V53" s="187">
        <f>'CA GDP DATA'!R52</f>
        <v>0</v>
      </c>
      <c r="W53" s="187">
        <f>'CA GDP DATA'!S52</f>
        <v>0</v>
      </c>
      <c r="X53" s="187">
        <f>'CA GDP DATA'!T52</f>
        <v>0</v>
      </c>
      <c r="Y53" s="187">
        <f>'CA GDP DATA'!U52</f>
        <v>0</v>
      </c>
      <c r="Z53" s="187">
        <f>'CA GDP DATA'!V52</f>
        <v>0</v>
      </c>
      <c r="AA53" s="187">
        <f>'CA GDP DATA'!W52</f>
        <v>0</v>
      </c>
      <c r="AB53" s="187">
        <f>'CA GDP DATA'!X52</f>
        <v>0</v>
      </c>
      <c r="AC53" s="187">
        <f>'CA GDP DATA'!Y52</f>
        <v>0</v>
      </c>
      <c r="AD53" s="187">
        <f>'CA GDP DATA'!Z52</f>
        <v>0</v>
      </c>
      <c r="AE53" s="187">
        <f>'CA GDP DATA'!AA52</f>
        <v>0</v>
      </c>
      <c r="AF53" s="187">
        <f>'CA GDP DATA'!AB52</f>
        <v>0</v>
      </c>
      <c r="AG53" s="187">
        <f>'CA GDP DATA'!AC52</f>
        <v>2</v>
      </c>
      <c r="AH53" s="187">
        <f>'CA GDP DATA'!AD52</f>
        <v>2</v>
      </c>
      <c r="AI53" s="187">
        <f>'CA GDP DATA'!AE52</f>
        <v>2</v>
      </c>
      <c r="AJ53" s="187">
        <f>'CA GDP DATA'!AF52</f>
        <v>2</v>
      </c>
      <c r="AK53" s="187">
        <f>'CA GDP DATA'!AG52</f>
        <v>2</v>
      </c>
      <c r="AL53" s="187">
        <f>'CA GDP DATA'!AH52</f>
        <v>2</v>
      </c>
      <c r="AM53" s="187">
        <f>'CA GDP DATA'!AI52</f>
        <v>2</v>
      </c>
      <c r="AN53" s="187">
        <f>'CA GDP DATA'!AJ52</f>
        <v>2</v>
      </c>
      <c r="AO53" s="187">
        <f>'CA GDP DATA'!AK52</f>
        <v>2</v>
      </c>
      <c r="AP53" s="187">
        <f>'CA GDP DATA'!AL52</f>
        <v>3</v>
      </c>
      <c r="AQ53" s="187">
        <f>'CA GDP DATA'!AM52</f>
        <v>3</v>
      </c>
      <c r="AR53" s="187">
        <f>'CA GDP DATA'!AN52</f>
        <v>3</v>
      </c>
      <c r="AS53" s="187">
        <f>'CA GDP DATA'!AO52</f>
        <v>3</v>
      </c>
      <c r="AT53" s="187">
        <f>'CA GDP DATA'!AP52</f>
        <v>3</v>
      </c>
      <c r="AU53" s="187">
        <f>'CA GDP DATA'!AQ52</f>
        <v>3</v>
      </c>
      <c r="AV53" s="187">
        <f>'CA GDP DATA'!AR52</f>
        <v>3</v>
      </c>
      <c r="AW53" s="187">
        <f>'CA GDP DATA'!AS52</f>
        <v>3</v>
      </c>
      <c r="AX53" s="187">
        <f>'CA GDP DATA'!AT52</f>
        <v>3</v>
      </c>
    </row>
    <row r="54" spans="5:50" ht="21">
      <c r="E54" s="239" t="s">
        <v>50</v>
      </c>
      <c r="F54" s="187">
        <f>'CA GDP DATA'!B53</f>
        <v>6</v>
      </c>
      <c r="G54" s="187">
        <f>'CA GDP DATA'!C53</f>
        <v>6</v>
      </c>
      <c r="H54" s="187">
        <f>'CA GDP DATA'!D53</f>
        <v>6</v>
      </c>
      <c r="I54" s="187">
        <f>'CA GDP DATA'!E53</f>
        <v>5</v>
      </c>
      <c r="J54" s="187">
        <f>'CA GDP DATA'!F53</f>
        <v>5</v>
      </c>
      <c r="K54" s="187">
        <f>'CA GDP DATA'!G53</f>
        <v>5</v>
      </c>
      <c r="L54" s="187">
        <f>'CA GDP DATA'!H53</f>
        <v>5</v>
      </c>
      <c r="M54" s="187">
        <f>'CA GDP DATA'!I53</f>
        <v>5</v>
      </c>
      <c r="N54" s="187">
        <f>'CA GDP DATA'!J53</f>
        <v>5</v>
      </c>
      <c r="O54" s="187">
        <f>'CA GDP DATA'!K53</f>
        <v>5</v>
      </c>
      <c r="P54" s="187">
        <f>'CA GDP DATA'!L53</f>
        <v>5</v>
      </c>
      <c r="Q54" s="187">
        <f>'CA GDP DATA'!M53</f>
        <v>5</v>
      </c>
      <c r="R54" s="187">
        <f>'CA GDP DATA'!N53</f>
        <v>5</v>
      </c>
      <c r="S54" s="187">
        <f>'CA GDP DATA'!O53</f>
        <v>5</v>
      </c>
      <c r="T54" s="187">
        <f>'CA GDP DATA'!P53</f>
        <v>5</v>
      </c>
      <c r="U54" s="187">
        <f>'CA GDP DATA'!Q53</f>
        <v>5</v>
      </c>
      <c r="V54" s="187">
        <f>'CA GDP DATA'!R53</f>
        <v>5</v>
      </c>
      <c r="W54" s="187">
        <f>'CA GDP DATA'!S53</f>
        <v>5</v>
      </c>
      <c r="X54" s="187">
        <f>'CA GDP DATA'!T53</f>
        <v>4</v>
      </c>
      <c r="Y54" s="187">
        <f>'CA GDP DATA'!U53</f>
        <v>4</v>
      </c>
      <c r="Z54" s="187">
        <f>'CA GDP DATA'!V53</f>
        <v>4</v>
      </c>
      <c r="AA54" s="187">
        <f>'CA GDP DATA'!W53</f>
        <v>3</v>
      </c>
      <c r="AB54" s="187">
        <f>'CA GDP DATA'!X53</f>
        <v>3</v>
      </c>
      <c r="AC54" s="187">
        <f>'CA GDP DATA'!Y53</f>
        <v>3</v>
      </c>
      <c r="AD54" s="187">
        <f>'CA GDP DATA'!Z53</f>
        <v>3</v>
      </c>
      <c r="AE54" s="187">
        <f>'CA GDP DATA'!AA53</f>
        <v>3</v>
      </c>
      <c r="AF54" s="187">
        <f>'CA GDP DATA'!AB53</f>
        <v>3</v>
      </c>
      <c r="AG54" s="187">
        <f>'CA GDP DATA'!AC53</f>
        <v>3</v>
      </c>
      <c r="AH54" s="187">
        <f>'CA GDP DATA'!AD53</f>
        <v>3</v>
      </c>
      <c r="AI54" s="187">
        <f>'CA GDP DATA'!AE53</f>
        <v>3</v>
      </c>
      <c r="AJ54" s="187">
        <f>'CA GDP DATA'!AF53</f>
        <v>-1</v>
      </c>
      <c r="AK54" s="187">
        <f>'CA GDP DATA'!AG53</f>
        <v>3</v>
      </c>
      <c r="AL54" s="187">
        <f>'CA GDP DATA'!AH53</f>
        <v>3</v>
      </c>
      <c r="AM54" s="187">
        <f>'CA GDP DATA'!AI53</f>
        <v>3</v>
      </c>
      <c r="AN54" s="187">
        <f>'CA GDP DATA'!AJ53</f>
        <v>3</v>
      </c>
      <c r="AO54" s="187">
        <f>'CA GDP DATA'!AK53</f>
        <v>3</v>
      </c>
      <c r="AP54" s="187">
        <f>'CA GDP DATA'!AL53</f>
        <v>3</v>
      </c>
      <c r="AQ54" s="187">
        <f>'CA GDP DATA'!AM53</f>
        <v>3</v>
      </c>
      <c r="AR54" s="187">
        <f>'CA GDP DATA'!AN53</f>
        <v>3</v>
      </c>
      <c r="AS54" s="187">
        <f>'CA GDP DATA'!AO53</f>
        <v>3</v>
      </c>
      <c r="AT54" s="187">
        <f>'CA GDP DATA'!AP53</f>
        <v>3</v>
      </c>
      <c r="AU54" s="187">
        <f>'CA GDP DATA'!AQ53</f>
        <v>3</v>
      </c>
      <c r="AV54" s="187">
        <f>'CA GDP DATA'!AR53</f>
        <v>3</v>
      </c>
      <c r="AW54" s="187">
        <f>'CA GDP DATA'!AS53</f>
        <v>3</v>
      </c>
      <c r="AX54" s="187">
        <f>'CA GDP DATA'!AT53</f>
        <v>3</v>
      </c>
    </row>
    <row r="55" spans="5:50" ht="21">
      <c r="E55" s="240" t="s">
        <v>51</v>
      </c>
      <c r="F55" s="187">
        <f>'CA GDP DATA'!B54</f>
        <v>0</v>
      </c>
      <c r="G55" s="187">
        <f>'CA GDP DATA'!C54</f>
        <v>0</v>
      </c>
      <c r="H55" s="187">
        <f>'CA GDP DATA'!D54</f>
        <v>0</v>
      </c>
      <c r="I55" s="187">
        <f>'CA GDP DATA'!E54</f>
        <v>-1</v>
      </c>
      <c r="J55" s="187">
        <f>'CA GDP DATA'!F54</f>
        <v>-1</v>
      </c>
      <c r="K55" s="187">
        <f>'CA GDP DATA'!G54</f>
        <v>-1</v>
      </c>
      <c r="L55" s="187">
        <f>'CA GDP DATA'!H54</f>
        <v>0</v>
      </c>
      <c r="M55" s="187">
        <f>'CA GDP DATA'!I54</f>
        <v>0</v>
      </c>
      <c r="N55" s="187">
        <f>'CA GDP DATA'!J54</f>
        <v>0</v>
      </c>
      <c r="O55" s="187">
        <f>'CA GDP DATA'!K54</f>
        <v>0</v>
      </c>
      <c r="P55" s="187">
        <f>'CA GDP DATA'!L54</f>
        <v>0</v>
      </c>
      <c r="Q55" s="187">
        <f>'CA GDP DATA'!M54</f>
        <v>0</v>
      </c>
      <c r="R55" s="187">
        <f>'CA GDP DATA'!N54</f>
        <v>0</v>
      </c>
      <c r="S55" s="187">
        <f>'CA GDP DATA'!O54</f>
        <v>0</v>
      </c>
      <c r="T55" s="187">
        <f>'CA GDP DATA'!P54</f>
        <v>0</v>
      </c>
      <c r="U55" s="187">
        <f>'CA GDP DATA'!Q54</f>
        <v>0</v>
      </c>
      <c r="V55" s="187">
        <f>'CA GDP DATA'!R54</f>
        <v>0</v>
      </c>
      <c r="W55" s="187">
        <f>'CA GDP DATA'!S54</f>
        <v>0</v>
      </c>
      <c r="X55" s="187">
        <f>'CA GDP DATA'!T54</f>
        <v>3</v>
      </c>
      <c r="Y55" s="187">
        <f>'CA GDP DATA'!U54</f>
        <v>3</v>
      </c>
      <c r="Z55" s="187">
        <f>'CA GDP DATA'!V54</f>
        <v>3</v>
      </c>
      <c r="AA55" s="187">
        <f>'CA GDP DATA'!W54</f>
        <v>0</v>
      </c>
      <c r="AB55" s="187">
        <f>'CA GDP DATA'!X54</f>
        <v>0</v>
      </c>
      <c r="AC55" s="187">
        <f>'CA GDP DATA'!Y54</f>
        <v>0</v>
      </c>
      <c r="AD55" s="187">
        <f>'CA GDP DATA'!Z54</f>
        <v>1</v>
      </c>
      <c r="AE55" s="187">
        <f>'CA GDP DATA'!AA54</f>
        <v>1</v>
      </c>
      <c r="AF55" s="187">
        <f>'CA GDP DATA'!AB54</f>
        <v>1</v>
      </c>
      <c r="AG55" s="187">
        <f>'CA GDP DATA'!AC54</f>
        <v>0</v>
      </c>
      <c r="AH55" s="187">
        <f>'CA GDP DATA'!AD54</f>
        <v>0</v>
      </c>
      <c r="AI55" s="187">
        <f>'CA GDP DATA'!AE54</f>
        <v>0</v>
      </c>
      <c r="AJ55" s="187">
        <f>'CA GDP DATA'!AF54</f>
        <v>0</v>
      </c>
      <c r="AK55" s="187">
        <f>'CA GDP DATA'!AG54</f>
        <v>0</v>
      </c>
      <c r="AL55" s="187">
        <f>'CA GDP DATA'!AH54</f>
        <v>0</v>
      </c>
      <c r="AM55" s="187">
        <f>'CA GDP DATA'!AI54</f>
        <v>0</v>
      </c>
      <c r="AN55" s="187">
        <f>'CA GDP DATA'!AJ54</f>
        <v>0</v>
      </c>
      <c r="AO55" s="187">
        <f>'CA GDP DATA'!AK54</f>
        <v>0</v>
      </c>
      <c r="AP55" s="187">
        <f>'CA GDP DATA'!AL54</f>
        <v>0</v>
      </c>
      <c r="AQ55" s="187">
        <f>'CA GDP DATA'!AM54</f>
        <v>0</v>
      </c>
      <c r="AR55" s="187">
        <f>'CA GDP DATA'!AN54</f>
        <v>0</v>
      </c>
      <c r="AS55" s="187">
        <f>'CA GDP DATA'!AO54</f>
        <v>0</v>
      </c>
      <c r="AT55" s="187">
        <f>'CA GDP DATA'!AP54</f>
        <v>0</v>
      </c>
      <c r="AU55" s="187">
        <f>'CA GDP DATA'!AQ54</f>
        <v>0</v>
      </c>
      <c r="AV55" s="187">
        <f>'CA GDP DATA'!AR54</f>
        <v>0</v>
      </c>
      <c r="AW55" s="187">
        <f>'CA GDP DATA'!AS54</f>
        <v>0</v>
      </c>
      <c r="AX55" s="187">
        <f>'CA GDP DATA'!AT54</f>
        <v>0</v>
      </c>
    </row>
    <row r="56" spans="5:50" ht="21">
      <c r="E56" s="240" t="s">
        <v>52</v>
      </c>
      <c r="F56" s="187">
        <f>'CA GDP DATA'!B55</f>
        <v>-3</v>
      </c>
      <c r="G56" s="187">
        <f>'CA GDP DATA'!C55</f>
        <v>-3</v>
      </c>
      <c r="H56" s="187">
        <f>'CA GDP DATA'!D55</f>
        <v>-3</v>
      </c>
      <c r="I56" s="187">
        <f>'CA GDP DATA'!E55</f>
        <v>-6</v>
      </c>
      <c r="J56" s="187">
        <f>'CA GDP DATA'!F55</f>
        <v>-6</v>
      </c>
      <c r="K56" s="187">
        <f>'CA GDP DATA'!G55</f>
        <v>-6</v>
      </c>
      <c r="L56" s="187">
        <f>'CA GDP DATA'!H55</f>
        <v>-3</v>
      </c>
      <c r="M56" s="187">
        <f>'CA GDP DATA'!I55</f>
        <v>-3</v>
      </c>
      <c r="N56" s="187">
        <f>'CA GDP DATA'!J55</f>
        <v>-3</v>
      </c>
      <c r="O56" s="187">
        <f>'CA GDP DATA'!K55</f>
        <v>-5</v>
      </c>
      <c r="P56" s="187">
        <f>'CA GDP DATA'!L55</f>
        <v>-5</v>
      </c>
      <c r="Q56" s="187">
        <f>'CA GDP DATA'!M55</f>
        <v>-5</v>
      </c>
      <c r="R56" s="187">
        <f>'CA GDP DATA'!N55</f>
        <v>-4</v>
      </c>
      <c r="S56" s="187">
        <f>'CA GDP DATA'!O55</f>
        <v>-4</v>
      </c>
      <c r="T56" s="187">
        <f>'CA GDP DATA'!P55</f>
        <v>-4</v>
      </c>
      <c r="U56" s="187">
        <f>'CA GDP DATA'!Q55</f>
        <v>-5</v>
      </c>
      <c r="V56" s="187">
        <f>'CA GDP DATA'!R55</f>
        <v>-5</v>
      </c>
      <c r="W56" s="187">
        <f>'CA GDP DATA'!S55</f>
        <v>-5</v>
      </c>
      <c r="X56" s="187">
        <f>'CA GDP DATA'!T55</f>
        <v>-1</v>
      </c>
      <c r="Y56" s="187">
        <f>'CA GDP DATA'!U55</f>
        <v>-1</v>
      </c>
      <c r="Z56" s="187">
        <f>'CA GDP DATA'!V55</f>
        <v>-1</v>
      </c>
      <c r="AA56" s="187">
        <f>'CA GDP DATA'!W55</f>
        <v>-6</v>
      </c>
      <c r="AB56" s="187">
        <f>'CA GDP DATA'!X55</f>
        <v>-6</v>
      </c>
      <c r="AC56" s="187">
        <f>'CA GDP DATA'!Y55</f>
        <v>-6</v>
      </c>
      <c r="AD56" s="187">
        <f>'CA GDP DATA'!Z55</f>
        <v>-5</v>
      </c>
      <c r="AE56" s="187">
        <f>'CA GDP DATA'!AA55</f>
        <v>-5</v>
      </c>
      <c r="AF56" s="187">
        <f>'CA GDP DATA'!AB55</f>
        <v>-5</v>
      </c>
      <c r="AG56" s="187">
        <f>'CA GDP DATA'!AC55</f>
        <v>-5</v>
      </c>
      <c r="AH56" s="187">
        <f>'CA GDP DATA'!AD55</f>
        <v>-5</v>
      </c>
      <c r="AI56" s="187">
        <f>'CA GDP DATA'!AE55</f>
        <v>-5</v>
      </c>
      <c r="AJ56" s="187">
        <f>'CA GDP DATA'!AF55</f>
        <v>-5</v>
      </c>
      <c r="AK56" s="187">
        <f>'CA GDP DATA'!AG55</f>
        <v>-5</v>
      </c>
      <c r="AL56" s="187">
        <f>'CA GDP DATA'!AH55</f>
        <v>-5</v>
      </c>
      <c r="AM56" s="187">
        <f>'CA GDP DATA'!AI55</f>
        <v>-5</v>
      </c>
      <c r="AN56" s="187">
        <f>'CA GDP DATA'!AJ55</f>
        <v>-5</v>
      </c>
      <c r="AO56" s="187">
        <f>'CA GDP DATA'!AK55</f>
        <v>-5</v>
      </c>
      <c r="AP56" s="187">
        <f>'CA GDP DATA'!AL55</f>
        <v>-6</v>
      </c>
      <c r="AQ56" s="187">
        <f>'CA GDP DATA'!AM55</f>
        <v>-6</v>
      </c>
      <c r="AR56" s="187">
        <f>'CA GDP DATA'!AN55</f>
        <v>-6</v>
      </c>
      <c r="AS56" s="187">
        <f>'CA GDP DATA'!AO55</f>
        <v>-5</v>
      </c>
      <c r="AT56" s="187">
        <f>'CA GDP DATA'!AP55</f>
        <v>-5</v>
      </c>
      <c r="AU56" s="187">
        <f>'CA GDP DATA'!AQ55</f>
        <v>-5</v>
      </c>
      <c r="AV56" s="187">
        <f>'CA GDP DATA'!AR55</f>
        <v>-5</v>
      </c>
      <c r="AW56" s="187">
        <f>'CA GDP DATA'!AS55</f>
        <v>-5</v>
      </c>
      <c r="AX56" s="187">
        <f>'CA GDP DATA'!AT55</f>
        <v>-5</v>
      </c>
    </row>
    <row r="57" spans="5:50" ht="21">
      <c r="E57" s="240" t="s">
        <v>53</v>
      </c>
      <c r="F57" s="187">
        <f>'CA GDP DATA'!B56</f>
        <v>-6</v>
      </c>
      <c r="G57" s="187">
        <f>'CA GDP DATA'!C56</f>
        <v>-6</v>
      </c>
      <c r="H57" s="187">
        <f>'CA GDP DATA'!D56</f>
        <v>-6</v>
      </c>
      <c r="I57" s="187">
        <f>'CA GDP DATA'!E56</f>
        <v>-9</v>
      </c>
      <c r="J57" s="187">
        <f>'CA GDP DATA'!F56</f>
        <v>-9</v>
      </c>
      <c r="K57" s="187">
        <f>'CA GDP DATA'!G56</f>
        <v>-9</v>
      </c>
      <c r="L57" s="187">
        <f>'CA GDP DATA'!H56</f>
        <v>-7</v>
      </c>
      <c r="M57" s="187">
        <f>'CA GDP DATA'!I56</f>
        <v>-7</v>
      </c>
      <c r="N57" s="187">
        <f>'CA GDP DATA'!J56</f>
        <v>-7</v>
      </c>
      <c r="O57" s="187">
        <f>'CA GDP DATA'!K56</f>
        <v>-2</v>
      </c>
      <c r="P57" s="187">
        <f>'CA GDP DATA'!L56</f>
        <v>-2</v>
      </c>
      <c r="Q57" s="187">
        <f>'CA GDP DATA'!M56</f>
        <v>-2</v>
      </c>
      <c r="R57" s="187">
        <f>'CA GDP DATA'!N56</f>
        <v>-10</v>
      </c>
      <c r="S57" s="187">
        <f>'CA GDP DATA'!O56</f>
        <v>-10</v>
      </c>
      <c r="T57" s="187">
        <f>'CA GDP DATA'!P56</f>
        <v>-10</v>
      </c>
      <c r="U57" s="187">
        <f>'CA GDP DATA'!Q56</f>
        <v>-10</v>
      </c>
      <c r="V57" s="187">
        <f>'CA GDP DATA'!R56</f>
        <v>-10</v>
      </c>
      <c r="W57" s="187">
        <f>'CA GDP DATA'!S56</f>
        <v>-10</v>
      </c>
      <c r="X57" s="187">
        <f>'CA GDP DATA'!T56</f>
        <v>0</v>
      </c>
      <c r="Y57" s="187">
        <f>'CA GDP DATA'!U56</f>
        <v>0</v>
      </c>
      <c r="Z57" s="187">
        <f>'CA GDP DATA'!V56</f>
        <v>0</v>
      </c>
      <c r="AA57" s="187">
        <f>'CA GDP DATA'!W56</f>
        <v>-10</v>
      </c>
      <c r="AB57" s="187">
        <f>'CA GDP DATA'!X56</f>
        <v>-10</v>
      </c>
      <c r="AC57" s="187">
        <f>'CA GDP DATA'!Y56</f>
        <v>-10</v>
      </c>
      <c r="AD57" s="187">
        <f>'CA GDP DATA'!Z56</f>
        <v>-10</v>
      </c>
      <c r="AE57" s="187">
        <f>'CA GDP DATA'!AA56</f>
        <v>-10</v>
      </c>
      <c r="AF57" s="187">
        <f>'CA GDP DATA'!AB56</f>
        <v>-10</v>
      </c>
      <c r="AG57" s="187">
        <f>'CA GDP DATA'!AC56</f>
        <v>-4</v>
      </c>
      <c r="AH57" s="187">
        <f>'CA GDP DATA'!AD56</f>
        <v>-4</v>
      </c>
      <c r="AI57" s="187">
        <f>'CA GDP DATA'!AE56</f>
        <v>-4</v>
      </c>
      <c r="AJ57" s="187">
        <f>'CA GDP DATA'!AF56</f>
        <v>-4</v>
      </c>
      <c r="AK57" s="187">
        <f>'CA GDP DATA'!AG56</f>
        <v>-4</v>
      </c>
      <c r="AL57" s="187">
        <f>'CA GDP DATA'!AH56</f>
        <v>-4</v>
      </c>
      <c r="AM57" s="187">
        <f>'CA GDP DATA'!AI56</f>
        <v>-2</v>
      </c>
      <c r="AN57" s="187">
        <f>'CA GDP DATA'!AJ56</f>
        <v>-2</v>
      </c>
      <c r="AO57" s="187">
        <f>'CA GDP DATA'!AK56</f>
        <v>-2</v>
      </c>
      <c r="AP57" s="187">
        <f>'CA GDP DATA'!AL56</f>
        <v>-9</v>
      </c>
      <c r="AQ57" s="187">
        <f>'CA GDP DATA'!AM56</f>
        <v>-9</v>
      </c>
      <c r="AR57" s="187">
        <f>'CA GDP DATA'!AN56</f>
        <v>-9</v>
      </c>
      <c r="AS57" s="187">
        <f>'CA GDP DATA'!AO56</f>
        <v>-5</v>
      </c>
      <c r="AT57" s="187">
        <f>'CA GDP DATA'!AP56</f>
        <v>-5</v>
      </c>
      <c r="AU57" s="187">
        <f>'CA GDP DATA'!AQ56</f>
        <v>-5</v>
      </c>
      <c r="AV57" s="187">
        <f>'CA GDP DATA'!AR56</f>
        <v>-5</v>
      </c>
      <c r="AW57" s="187">
        <f>'CA GDP DATA'!AS56</f>
        <v>-5</v>
      </c>
      <c r="AX57" s="187">
        <f>'CA GDP DATA'!AT56</f>
        <v>-5</v>
      </c>
    </row>
    <row r="58" spans="5:50" ht="21">
      <c r="E58" s="240" t="s">
        <v>54</v>
      </c>
      <c r="F58" s="187">
        <f>'CA GDP DATA'!B57</f>
        <v>-1</v>
      </c>
      <c r="G58" s="187">
        <f>'CA GDP DATA'!C57</f>
        <v>-1</v>
      </c>
      <c r="H58" s="187">
        <f>'CA GDP DATA'!D57</f>
        <v>-1</v>
      </c>
      <c r="I58" s="187">
        <f>'CA GDP DATA'!E57</f>
        <v>-2</v>
      </c>
      <c r="J58" s="187">
        <f>'CA GDP DATA'!F57</f>
        <v>-2</v>
      </c>
      <c r="K58" s="187">
        <f>'CA GDP DATA'!G57</f>
        <v>-2</v>
      </c>
      <c r="L58" s="187">
        <f>'CA GDP DATA'!H57</f>
        <v>-1</v>
      </c>
      <c r="M58" s="187">
        <f>'CA GDP DATA'!I57</f>
        <v>-1</v>
      </c>
      <c r="N58" s="187">
        <f>'CA GDP DATA'!J57</f>
        <v>-1</v>
      </c>
      <c r="O58" s="187">
        <f>'CA GDP DATA'!K57</f>
        <v>-2</v>
      </c>
      <c r="P58" s="187">
        <f>'CA GDP DATA'!L57</f>
        <v>-2</v>
      </c>
      <c r="Q58" s="187">
        <f>'CA GDP DATA'!M57</f>
        <v>-2</v>
      </c>
      <c r="R58" s="187">
        <f>'CA GDP DATA'!N57</f>
        <v>-1</v>
      </c>
      <c r="S58" s="187">
        <f>'CA GDP DATA'!O57</f>
        <v>-1</v>
      </c>
      <c r="T58" s="187">
        <f>'CA GDP DATA'!P57</f>
        <v>-1</v>
      </c>
      <c r="U58" s="187">
        <f>'CA GDP DATA'!Q57</f>
        <v>-1</v>
      </c>
      <c r="V58" s="187">
        <f>'CA GDP DATA'!R57</f>
        <v>-1</v>
      </c>
      <c r="W58" s="187">
        <f>'CA GDP DATA'!S57</f>
        <v>-1</v>
      </c>
      <c r="X58" s="187">
        <f>'CA GDP DATA'!T57</f>
        <v>1</v>
      </c>
      <c r="Y58" s="187">
        <f>'CA GDP DATA'!U57</f>
        <v>1</v>
      </c>
      <c r="Z58" s="187">
        <f>'CA GDP DATA'!V57</f>
        <v>1</v>
      </c>
      <c r="AA58" s="187">
        <f>'CA GDP DATA'!W57</f>
        <v>-2</v>
      </c>
      <c r="AB58" s="187">
        <f>'CA GDP DATA'!X57</f>
        <v>-2</v>
      </c>
      <c r="AC58" s="187">
        <f>'CA GDP DATA'!Y57</f>
        <v>-2</v>
      </c>
      <c r="AD58" s="187">
        <f>'CA GDP DATA'!Z57</f>
        <v>-1</v>
      </c>
      <c r="AE58" s="187">
        <f>'CA GDP DATA'!AA57</f>
        <v>-1</v>
      </c>
      <c r="AF58" s="187">
        <f>'CA GDP DATA'!AB57</f>
        <v>-1</v>
      </c>
      <c r="AG58" s="187">
        <f>'CA GDP DATA'!AC57</f>
        <v>0</v>
      </c>
      <c r="AH58" s="187">
        <f>'CA GDP DATA'!AD57</f>
        <v>0</v>
      </c>
      <c r="AI58" s="187">
        <f>'CA GDP DATA'!AE57</f>
        <v>0</v>
      </c>
      <c r="AJ58" s="187">
        <f>'CA GDP DATA'!AF57</f>
        <v>-1</v>
      </c>
      <c r="AK58" s="187">
        <f>'CA GDP DATA'!AG57</f>
        <v>-1</v>
      </c>
      <c r="AL58" s="187">
        <f>'CA GDP DATA'!AH57</f>
        <v>-1</v>
      </c>
      <c r="AM58" s="187">
        <f>'CA GDP DATA'!AI57</f>
        <v>-2</v>
      </c>
      <c r="AN58" s="187">
        <f>'CA GDP DATA'!AJ57</f>
        <v>-2</v>
      </c>
      <c r="AO58" s="187">
        <f>'CA GDP DATA'!AK57</f>
        <v>-2</v>
      </c>
      <c r="AP58" s="187">
        <f>'CA GDP DATA'!AL57</f>
        <v>-1</v>
      </c>
      <c r="AQ58" s="187">
        <f>'CA GDP DATA'!AM57</f>
        <v>-1</v>
      </c>
      <c r="AR58" s="187">
        <f>'CA GDP DATA'!AN57</f>
        <v>-1</v>
      </c>
      <c r="AS58" s="187">
        <f>'CA GDP DATA'!AO57</f>
        <v>-1</v>
      </c>
      <c r="AT58" s="187">
        <f>'CA GDP DATA'!AP57</f>
        <v>-1</v>
      </c>
      <c r="AU58" s="187">
        <f>'CA GDP DATA'!AQ57</f>
        <v>-1</v>
      </c>
      <c r="AV58" s="187">
        <f>'CA GDP DATA'!AR57</f>
        <v>-1</v>
      </c>
      <c r="AW58" s="187">
        <f>'CA GDP DATA'!AS57</f>
        <v>-1</v>
      </c>
      <c r="AX58" s="187">
        <f>'CA GDP DATA'!AT57</f>
        <v>-1</v>
      </c>
    </row>
    <row r="59" spans="5:50" ht="21">
      <c r="E59" s="240" t="s">
        <v>55</v>
      </c>
      <c r="F59" s="187">
        <f>'CA GDP DATA'!B58</f>
        <v>-2</v>
      </c>
      <c r="G59" s="187">
        <f>'CA GDP DATA'!C58</f>
        <v>-2</v>
      </c>
      <c r="H59" s="187">
        <f>'CA GDP DATA'!D58</f>
        <v>-2</v>
      </c>
      <c r="I59" s="187">
        <f>'CA GDP DATA'!E58</f>
        <v>-2</v>
      </c>
      <c r="J59" s="187">
        <f>'CA GDP DATA'!F58</f>
        <v>-2</v>
      </c>
      <c r="K59" s="187">
        <f>'CA GDP DATA'!G58</f>
        <v>-2</v>
      </c>
      <c r="L59" s="187">
        <f>'CA GDP DATA'!H58</f>
        <v>-1</v>
      </c>
      <c r="M59" s="187">
        <f>'CA GDP DATA'!I58</f>
        <v>-1</v>
      </c>
      <c r="N59" s="187">
        <f>'CA GDP DATA'!J58</f>
        <v>-1</v>
      </c>
      <c r="O59" s="187">
        <f>'CA GDP DATA'!K58</f>
        <v>-2</v>
      </c>
      <c r="P59" s="187">
        <f>'CA GDP DATA'!L58</f>
        <v>-2</v>
      </c>
      <c r="Q59" s="187">
        <f>'CA GDP DATA'!M58</f>
        <v>-2</v>
      </c>
      <c r="R59" s="187">
        <f>'CA GDP DATA'!N58</f>
        <v>-1</v>
      </c>
      <c r="S59" s="187">
        <f>'CA GDP DATA'!O58</f>
        <v>-1</v>
      </c>
      <c r="T59" s="187">
        <f>'CA GDP DATA'!P58</f>
        <v>-1</v>
      </c>
      <c r="U59" s="187">
        <f>'CA GDP DATA'!Q58</f>
        <v>0</v>
      </c>
      <c r="V59" s="187">
        <f>'CA GDP DATA'!R58</f>
        <v>0</v>
      </c>
      <c r="W59" s="187">
        <f>'CA GDP DATA'!S58</f>
        <v>0</v>
      </c>
      <c r="X59" s="187">
        <f>'CA GDP DATA'!T58</f>
        <v>2</v>
      </c>
      <c r="Y59" s="187">
        <f>'CA GDP DATA'!U58</f>
        <v>2</v>
      </c>
      <c r="Z59" s="187">
        <f>'CA GDP DATA'!V58</f>
        <v>2</v>
      </c>
      <c r="AA59" s="187">
        <f>'CA GDP DATA'!W58</f>
        <v>-1</v>
      </c>
      <c r="AB59" s="187">
        <f>'CA GDP DATA'!X58</f>
        <v>-1</v>
      </c>
      <c r="AC59" s="187">
        <f>'CA GDP DATA'!Y58</f>
        <v>-1</v>
      </c>
      <c r="AD59" s="187">
        <f>'CA GDP DATA'!Z58</f>
        <v>0</v>
      </c>
      <c r="AE59" s="187">
        <f>'CA GDP DATA'!AA58</f>
        <v>0</v>
      </c>
      <c r="AF59" s="187">
        <f>'CA GDP DATA'!AB58</f>
        <v>0</v>
      </c>
      <c r="AG59" s="187">
        <f>'CA GDP DATA'!AC58</f>
        <v>0</v>
      </c>
      <c r="AH59" s="187">
        <f>'CA GDP DATA'!AD58</f>
        <v>0</v>
      </c>
      <c r="AI59" s="187">
        <f>'CA GDP DATA'!AE58</f>
        <v>0</v>
      </c>
      <c r="AJ59" s="187">
        <f>'CA GDP DATA'!AF58</f>
        <v>0</v>
      </c>
      <c r="AK59" s="187">
        <f>'CA GDP DATA'!AG58</f>
        <v>0</v>
      </c>
      <c r="AL59" s="187">
        <f>'CA GDP DATA'!AH58</f>
        <v>0</v>
      </c>
      <c r="AM59" s="187">
        <f>'CA GDP DATA'!AI58</f>
        <v>0</v>
      </c>
      <c r="AN59" s="187">
        <f>'CA GDP DATA'!AJ58</f>
        <v>0</v>
      </c>
      <c r="AO59" s="187">
        <f>'CA GDP DATA'!AK58</f>
        <v>0</v>
      </c>
      <c r="AP59" s="187">
        <f>'CA GDP DATA'!AL58</f>
        <v>0</v>
      </c>
      <c r="AQ59" s="187">
        <f>'CA GDP DATA'!AM58</f>
        <v>0</v>
      </c>
      <c r="AR59" s="187">
        <f>'CA GDP DATA'!AN58</f>
        <v>0</v>
      </c>
      <c r="AS59" s="187">
        <f>'CA GDP DATA'!AO58</f>
        <v>1</v>
      </c>
      <c r="AT59" s="187">
        <f>'CA GDP DATA'!AP58</f>
        <v>1</v>
      </c>
      <c r="AU59" s="187">
        <f>'CA GDP DATA'!AQ58</f>
        <v>1</v>
      </c>
      <c r="AV59" s="187">
        <f>'CA GDP DATA'!AR58</f>
        <v>1</v>
      </c>
      <c r="AW59" s="187">
        <f>'CA GDP DATA'!AS58</f>
        <v>1</v>
      </c>
      <c r="AX59" s="187">
        <f>'CA GDP DATA'!AT58</f>
        <v>1</v>
      </c>
    </row>
    <row r="60" spans="5:50" ht="21">
      <c r="E60" s="241" t="s">
        <v>56</v>
      </c>
      <c r="F60" s="187">
        <f>'CA GDP DATA'!B59</f>
        <v>2</v>
      </c>
      <c r="G60" s="187">
        <f>'CA GDP DATA'!C59</f>
        <v>2</v>
      </c>
      <c r="H60" s="187">
        <f>'CA GDP DATA'!D59</f>
        <v>2</v>
      </c>
      <c r="I60" s="187">
        <f>'CA GDP DATA'!E59</f>
        <v>0</v>
      </c>
      <c r="J60" s="187">
        <f>'CA GDP DATA'!F59</f>
        <v>0</v>
      </c>
      <c r="K60" s="187">
        <f>'CA GDP DATA'!G59</f>
        <v>0</v>
      </c>
      <c r="L60" s="187">
        <f>'CA GDP DATA'!H59</f>
        <v>2</v>
      </c>
      <c r="M60" s="187">
        <f>'CA GDP DATA'!I59</f>
        <v>2</v>
      </c>
      <c r="N60" s="187">
        <f>'CA GDP DATA'!J59</f>
        <v>2</v>
      </c>
      <c r="O60" s="187">
        <f>'CA GDP DATA'!K59</f>
        <v>1</v>
      </c>
      <c r="P60" s="187">
        <f>'CA GDP DATA'!L59</f>
        <v>1</v>
      </c>
      <c r="Q60" s="187">
        <f>'CA GDP DATA'!M59</f>
        <v>1</v>
      </c>
      <c r="R60" s="187">
        <f>'CA GDP DATA'!N59</f>
        <v>1</v>
      </c>
      <c r="S60" s="187">
        <f>'CA GDP DATA'!O59</f>
        <v>1</v>
      </c>
      <c r="T60" s="187">
        <f>'CA GDP DATA'!P59</f>
        <v>1</v>
      </c>
      <c r="U60" s="187">
        <f>'CA GDP DATA'!Q59</f>
        <v>1</v>
      </c>
      <c r="V60" s="187">
        <f>'CA GDP DATA'!R59</f>
        <v>1</v>
      </c>
      <c r="W60" s="187">
        <f>'CA GDP DATA'!S59</f>
        <v>1</v>
      </c>
      <c r="X60" s="187">
        <f>'CA GDP DATA'!T59</f>
        <v>4</v>
      </c>
      <c r="Y60" s="187">
        <f>'CA GDP DATA'!U59</f>
        <v>4</v>
      </c>
      <c r="Z60" s="187">
        <f>'CA GDP DATA'!V59</f>
        <v>4</v>
      </c>
      <c r="AA60" s="187">
        <f>'CA GDP DATA'!W59</f>
        <v>0</v>
      </c>
      <c r="AB60" s="187">
        <f>'CA GDP DATA'!X59</f>
        <v>0</v>
      </c>
      <c r="AC60" s="187">
        <f>'CA GDP DATA'!Y59</f>
        <v>0</v>
      </c>
      <c r="AD60" s="187">
        <f>'CA GDP DATA'!Z59</f>
        <v>0</v>
      </c>
      <c r="AE60" s="187">
        <f>'CA GDP DATA'!AA59</f>
        <v>0</v>
      </c>
      <c r="AF60" s="187">
        <f>'CA GDP DATA'!AB59</f>
        <v>0</v>
      </c>
      <c r="AG60" s="187">
        <f>'CA GDP DATA'!AC59</f>
        <v>0</v>
      </c>
      <c r="AH60" s="187">
        <f>'CA GDP DATA'!AD59</f>
        <v>0</v>
      </c>
      <c r="AI60" s="187">
        <f>'CA GDP DATA'!AE59</f>
        <v>0</v>
      </c>
      <c r="AJ60" s="187">
        <f>'CA GDP DATA'!AF59</f>
        <v>-4</v>
      </c>
      <c r="AK60" s="187">
        <f>'CA GDP DATA'!AG59</f>
        <v>0</v>
      </c>
      <c r="AL60" s="187">
        <f>'CA GDP DATA'!AH59</f>
        <v>0</v>
      </c>
      <c r="AM60" s="187">
        <f>'CA GDP DATA'!AI59</f>
        <v>0</v>
      </c>
      <c r="AN60" s="187">
        <f>'CA GDP DATA'!AJ59</f>
        <v>0</v>
      </c>
      <c r="AO60" s="187">
        <f>'CA GDP DATA'!AK59</f>
        <v>0</v>
      </c>
      <c r="AP60" s="187">
        <f>'CA GDP DATA'!AL59</f>
        <v>1</v>
      </c>
      <c r="AQ60" s="187">
        <f>'CA GDP DATA'!AM59</f>
        <v>1</v>
      </c>
      <c r="AR60" s="187">
        <f>'CA GDP DATA'!AN59</f>
        <v>1</v>
      </c>
      <c r="AS60" s="187">
        <f>'CA GDP DATA'!AO59</f>
        <v>1</v>
      </c>
      <c r="AT60" s="187">
        <f>'CA GDP DATA'!AP59</f>
        <v>1</v>
      </c>
      <c r="AU60" s="187">
        <f>'CA GDP DATA'!AQ59</f>
        <v>1</v>
      </c>
      <c r="AV60" s="187">
        <f>'CA GDP DATA'!AR59</f>
        <v>1</v>
      </c>
      <c r="AW60" s="187">
        <f>'CA GDP DATA'!AS59</f>
        <v>1</v>
      </c>
      <c r="AX60" s="187">
        <f>'CA GDP DATA'!AT59</f>
        <v>1</v>
      </c>
    </row>
    <row r="61" spans="5:50" ht="21">
      <c r="E61" s="242" t="s">
        <v>57</v>
      </c>
      <c r="F61" s="187">
        <f>'CA GDP DATA'!B60</f>
        <v>2</v>
      </c>
      <c r="G61" s="187">
        <f>'CA GDP DATA'!C60</f>
        <v>2</v>
      </c>
      <c r="H61" s="187">
        <f>'CA GDP DATA'!D60</f>
        <v>2</v>
      </c>
      <c r="I61" s="187">
        <f>'CA GDP DATA'!E60</f>
        <v>2</v>
      </c>
      <c r="J61" s="187">
        <f>'CA GDP DATA'!F60</f>
        <v>2</v>
      </c>
      <c r="K61" s="187">
        <f>'CA GDP DATA'!G60</f>
        <v>2</v>
      </c>
      <c r="L61" s="187">
        <f>'CA GDP DATA'!H60</f>
        <v>2</v>
      </c>
      <c r="M61" s="187">
        <f>'CA GDP DATA'!I60</f>
        <v>2</v>
      </c>
      <c r="N61" s="187">
        <f>'CA GDP DATA'!J60</f>
        <v>2</v>
      </c>
      <c r="O61" s="187">
        <f>'CA GDP DATA'!K60</f>
        <v>-2</v>
      </c>
      <c r="P61" s="187">
        <f>'CA GDP DATA'!L60</f>
        <v>-2</v>
      </c>
      <c r="Q61" s="187">
        <f>'CA GDP DATA'!M60</f>
        <v>-2</v>
      </c>
      <c r="R61" s="187">
        <f>'CA GDP DATA'!N60</f>
        <v>7</v>
      </c>
      <c r="S61" s="187">
        <f>'CA GDP DATA'!O60</f>
        <v>7</v>
      </c>
      <c r="T61" s="187">
        <f>'CA GDP DATA'!P60</f>
        <v>7</v>
      </c>
      <c r="U61" s="187">
        <f>'CA GDP DATA'!Q60</f>
        <v>4</v>
      </c>
      <c r="V61" s="187">
        <f>'CA GDP DATA'!R60</f>
        <v>4</v>
      </c>
      <c r="W61" s="187">
        <f>'CA GDP DATA'!S60</f>
        <v>4</v>
      </c>
      <c r="X61" s="187">
        <f>'CA GDP DATA'!T60</f>
        <v>-1</v>
      </c>
      <c r="Y61" s="187">
        <f>'CA GDP DATA'!U60</f>
        <v>-1</v>
      </c>
      <c r="Z61" s="187">
        <f>'CA GDP DATA'!V60</f>
        <v>-1</v>
      </c>
      <c r="AA61" s="187">
        <f>'CA GDP DATA'!W60</f>
        <v>3</v>
      </c>
      <c r="AB61" s="187">
        <f>'CA GDP DATA'!X60</f>
        <v>3</v>
      </c>
      <c r="AC61" s="187">
        <f>'CA GDP DATA'!Y60</f>
        <v>3</v>
      </c>
      <c r="AD61" s="187">
        <f>'CA GDP DATA'!Z60</f>
        <v>7</v>
      </c>
      <c r="AE61" s="187">
        <f>'CA GDP DATA'!AA60</f>
        <v>7</v>
      </c>
      <c r="AF61" s="187">
        <f>'CA GDP DATA'!AB60</f>
        <v>7</v>
      </c>
      <c r="AG61" s="187">
        <f>'CA GDP DATA'!AC60</f>
        <v>0</v>
      </c>
      <c r="AH61" s="187">
        <f>'CA GDP DATA'!AD60</f>
        <v>0</v>
      </c>
      <c r="AI61" s="187">
        <f>'CA GDP DATA'!AE60</f>
        <v>0</v>
      </c>
      <c r="AJ61" s="187">
        <f>'CA GDP DATA'!AF60</f>
        <v>0</v>
      </c>
      <c r="AK61" s="187">
        <f>'CA GDP DATA'!AG60</f>
        <v>0</v>
      </c>
      <c r="AL61" s="187">
        <f>'CA GDP DATA'!AH60</f>
        <v>0</v>
      </c>
      <c r="AM61" s="187">
        <f>'CA GDP DATA'!AI60</f>
        <v>-2</v>
      </c>
      <c r="AN61" s="187">
        <f>'CA GDP DATA'!AJ60</f>
        <v>-2</v>
      </c>
      <c r="AO61" s="187">
        <f>'CA GDP DATA'!AK60</f>
        <v>-2</v>
      </c>
      <c r="AP61" s="187">
        <f>'CA GDP DATA'!AL60</f>
        <v>2</v>
      </c>
      <c r="AQ61" s="187">
        <f>'CA GDP DATA'!AM60</f>
        <v>2</v>
      </c>
      <c r="AR61" s="187">
        <f>'CA GDP DATA'!AN60</f>
        <v>2</v>
      </c>
      <c r="AS61" s="187">
        <f>'CA GDP DATA'!AO60</f>
        <v>0</v>
      </c>
      <c r="AT61" s="187">
        <f>'CA GDP DATA'!AP60</f>
        <v>0</v>
      </c>
      <c r="AU61" s="187">
        <f>'CA GDP DATA'!AQ60</f>
        <v>0</v>
      </c>
      <c r="AV61" s="187">
        <f>'CA GDP DATA'!AR60</f>
        <v>0</v>
      </c>
      <c r="AW61" s="187">
        <f>'CA GDP DATA'!AS60</f>
        <v>0</v>
      </c>
      <c r="AX61" s="187">
        <f>'CA GDP DATA'!AT60</f>
        <v>0</v>
      </c>
    </row>
    <row r="62" spans="5:50" ht="21">
      <c r="E62" s="243" t="s">
        <v>10</v>
      </c>
      <c r="F62" s="187">
        <f>'CA GDP DATA'!B61</f>
        <v>2</v>
      </c>
      <c r="G62" s="187">
        <f>'CA GDP DATA'!C61</f>
        <v>2</v>
      </c>
      <c r="H62" s="187">
        <f>'CA GDP DATA'!D61</f>
        <v>2</v>
      </c>
      <c r="I62" s="187">
        <f>'CA GDP DATA'!E61</f>
        <v>2</v>
      </c>
      <c r="J62" s="187">
        <f>'CA GDP DATA'!F61</f>
        <v>2</v>
      </c>
      <c r="K62" s="187">
        <f>'CA GDP DATA'!G61</f>
        <v>2</v>
      </c>
      <c r="L62" s="187">
        <f>'CA GDP DATA'!H61</f>
        <v>1</v>
      </c>
      <c r="M62" s="187">
        <f>'CA GDP DATA'!I61</f>
        <v>1</v>
      </c>
      <c r="N62" s="187">
        <f>'CA GDP DATA'!J61</f>
        <v>1</v>
      </c>
      <c r="O62" s="187">
        <f>'CA GDP DATA'!K61</f>
        <v>2</v>
      </c>
      <c r="P62" s="187">
        <f>'CA GDP DATA'!L61</f>
        <v>2</v>
      </c>
      <c r="Q62" s="187">
        <f>'CA GDP DATA'!M61</f>
        <v>2</v>
      </c>
      <c r="R62" s="187">
        <f>'CA GDP DATA'!N61</f>
        <v>1</v>
      </c>
      <c r="S62" s="187">
        <f>'CA GDP DATA'!O61</f>
        <v>1</v>
      </c>
      <c r="T62" s="187">
        <f>'CA GDP DATA'!P61</f>
        <v>1</v>
      </c>
      <c r="U62" s="187">
        <f>'CA GDP DATA'!Q61</f>
        <v>1</v>
      </c>
      <c r="V62" s="187">
        <f>'CA GDP DATA'!R61</f>
        <v>1</v>
      </c>
      <c r="W62" s="187">
        <f>'CA GDP DATA'!S61</f>
        <v>1</v>
      </c>
      <c r="X62" s="187">
        <f>'CA GDP DATA'!T61</f>
        <v>1</v>
      </c>
      <c r="Y62" s="187">
        <f>'CA GDP DATA'!U61</f>
        <v>1</v>
      </c>
      <c r="Z62" s="187">
        <f>'CA GDP DATA'!V61</f>
        <v>1</v>
      </c>
      <c r="AA62" s="187">
        <f>'CA GDP DATA'!W61</f>
        <v>1</v>
      </c>
      <c r="AB62" s="187">
        <f>'CA GDP DATA'!X61</f>
        <v>1</v>
      </c>
      <c r="AC62" s="187">
        <f>'CA GDP DATA'!Y61</f>
        <v>1</v>
      </c>
      <c r="AD62" s="187">
        <f>'CA GDP DATA'!Z61</f>
        <v>2</v>
      </c>
      <c r="AE62" s="187">
        <f>'CA GDP DATA'!AA61</f>
        <v>2</v>
      </c>
      <c r="AF62" s="187">
        <f>'CA GDP DATA'!AB61</f>
        <v>2</v>
      </c>
      <c r="AG62" s="187">
        <f>'CA GDP DATA'!AC61</f>
        <v>0</v>
      </c>
      <c r="AH62" s="187">
        <f>'CA GDP DATA'!AD61</f>
        <v>0</v>
      </c>
      <c r="AI62" s="187">
        <f>'CA GDP DATA'!AE61</f>
        <v>0</v>
      </c>
      <c r="AJ62" s="187">
        <f>'CA GDP DATA'!AF61</f>
        <v>0</v>
      </c>
      <c r="AK62" s="187">
        <f>'CA GDP DATA'!AG61</f>
        <v>0</v>
      </c>
      <c r="AL62" s="187">
        <f>'CA GDP DATA'!AH61</f>
        <v>0</v>
      </c>
      <c r="AM62" s="187">
        <f>'CA GDP DATA'!AI61</f>
        <v>0</v>
      </c>
      <c r="AN62" s="187">
        <f>'CA GDP DATA'!AJ61</f>
        <v>0</v>
      </c>
      <c r="AO62" s="187">
        <f>'CA GDP DATA'!AK61</f>
        <v>0</v>
      </c>
      <c r="AP62" s="187">
        <f>'CA GDP DATA'!AL61</f>
        <v>0</v>
      </c>
      <c r="AQ62" s="187">
        <f>'CA GDP DATA'!AM61</f>
        <v>0</v>
      </c>
      <c r="AR62" s="187">
        <f>'CA GDP DATA'!AN61</f>
        <v>0</v>
      </c>
      <c r="AS62" s="187">
        <f>'CA GDP DATA'!AO61</f>
        <v>0</v>
      </c>
      <c r="AT62" s="187">
        <f>'CA GDP DATA'!AP61</f>
        <v>0</v>
      </c>
      <c r="AU62" s="187">
        <f>'CA GDP DATA'!AQ61</f>
        <v>0</v>
      </c>
      <c r="AV62" s="187">
        <f>'CA GDP DATA'!AR61</f>
        <v>0</v>
      </c>
      <c r="AW62" s="187">
        <f>'CA GDP DATA'!AS61</f>
        <v>0</v>
      </c>
      <c r="AX62" s="187">
        <f>'CA GDP DATA'!AT61</f>
        <v>0</v>
      </c>
    </row>
    <row r="63" spans="5:50" ht="21">
      <c r="E63" s="243" t="s">
        <v>58</v>
      </c>
      <c r="F63" s="187">
        <f>'CA GDP DATA'!B62</f>
        <v>-3</v>
      </c>
      <c r="G63" s="187">
        <f>'CA GDP DATA'!C62</f>
        <v>-3</v>
      </c>
      <c r="H63" s="187">
        <f>'CA GDP DATA'!D62</f>
        <v>-3</v>
      </c>
      <c r="I63" s="187">
        <f>'CA GDP DATA'!E62</f>
        <v>-5</v>
      </c>
      <c r="J63" s="187">
        <f>'CA GDP DATA'!F62</f>
        <v>-5</v>
      </c>
      <c r="K63" s="187">
        <f>'CA GDP DATA'!G62</f>
        <v>-5</v>
      </c>
      <c r="L63" s="187">
        <f>'CA GDP DATA'!H62</f>
        <v>-6</v>
      </c>
      <c r="M63" s="187">
        <f>'CA GDP DATA'!I62</f>
        <v>-6</v>
      </c>
      <c r="N63" s="187">
        <f>'CA GDP DATA'!J62</f>
        <v>-6</v>
      </c>
      <c r="O63" s="187">
        <f>'CA GDP DATA'!K62</f>
        <v>-1</v>
      </c>
      <c r="P63" s="187">
        <f>'CA GDP DATA'!L62</f>
        <v>-1</v>
      </c>
      <c r="Q63" s="187">
        <f>'CA GDP DATA'!M62</f>
        <v>-1</v>
      </c>
      <c r="R63" s="187">
        <f>'CA GDP DATA'!N62</f>
        <v>-10</v>
      </c>
      <c r="S63" s="187">
        <f>'CA GDP DATA'!O62</f>
        <v>-10</v>
      </c>
      <c r="T63" s="187">
        <f>'CA GDP DATA'!P62</f>
        <v>-10</v>
      </c>
      <c r="U63" s="187">
        <f>'CA GDP DATA'!Q62</f>
        <v>-10</v>
      </c>
      <c r="V63" s="187">
        <f>'CA GDP DATA'!R62</f>
        <v>-10</v>
      </c>
      <c r="W63" s="187">
        <f>'CA GDP DATA'!S62</f>
        <v>-10</v>
      </c>
      <c r="X63" s="187">
        <f>'CA GDP DATA'!T62</f>
        <v>-2</v>
      </c>
      <c r="Y63" s="187">
        <f>'CA GDP DATA'!U62</f>
        <v>-2</v>
      </c>
      <c r="Z63" s="187">
        <f>'CA GDP DATA'!V62</f>
        <v>-2</v>
      </c>
      <c r="AA63" s="187">
        <f>'CA GDP DATA'!W62</f>
        <v>-9</v>
      </c>
      <c r="AB63" s="187">
        <f>'CA GDP DATA'!X62</f>
        <v>-9</v>
      </c>
      <c r="AC63" s="187">
        <f>'CA GDP DATA'!Y62</f>
        <v>-9</v>
      </c>
      <c r="AD63" s="187">
        <f>'CA GDP DATA'!Z62</f>
        <v>-10</v>
      </c>
      <c r="AE63" s="187">
        <f>'CA GDP DATA'!AA62</f>
        <v>-10</v>
      </c>
      <c r="AF63" s="187">
        <f>'CA GDP DATA'!AB62</f>
        <v>-10</v>
      </c>
      <c r="AG63" s="187">
        <f>'CA GDP DATA'!AC62</f>
        <v>-4</v>
      </c>
      <c r="AH63" s="187">
        <f>'CA GDP DATA'!AD62</f>
        <v>-4</v>
      </c>
      <c r="AI63" s="187">
        <f>'CA GDP DATA'!AE62</f>
        <v>-4</v>
      </c>
      <c r="AJ63" s="187">
        <f>'CA GDP DATA'!AF62</f>
        <v>-4</v>
      </c>
      <c r="AK63" s="187">
        <f>'CA GDP DATA'!AG62</f>
        <v>-4</v>
      </c>
      <c r="AL63" s="187">
        <f>'CA GDP DATA'!AH62</f>
        <v>-4</v>
      </c>
      <c r="AM63" s="187">
        <f>'CA GDP DATA'!AI62</f>
        <v>-2</v>
      </c>
      <c r="AN63" s="187">
        <f>'CA GDP DATA'!AJ62</f>
        <v>-2</v>
      </c>
      <c r="AO63" s="187">
        <f>'CA GDP DATA'!AK62</f>
        <v>-2</v>
      </c>
      <c r="AP63" s="187">
        <f>'CA GDP DATA'!AL62</f>
        <v>-10</v>
      </c>
      <c r="AQ63" s="187">
        <f>'CA GDP DATA'!AM62</f>
        <v>-10</v>
      </c>
      <c r="AR63" s="187">
        <f>'CA GDP DATA'!AN62</f>
        <v>-10</v>
      </c>
      <c r="AS63" s="187">
        <f>'CA GDP DATA'!AO62</f>
        <v>-7</v>
      </c>
      <c r="AT63" s="187">
        <f>'CA GDP DATA'!AP62</f>
        <v>-7</v>
      </c>
      <c r="AU63" s="187">
        <f>'CA GDP DATA'!AQ62</f>
        <v>-7</v>
      </c>
      <c r="AV63" s="187">
        <f>'CA GDP DATA'!AR62</f>
        <v>-6</v>
      </c>
      <c r="AW63" s="187">
        <f>'CA GDP DATA'!AS62</f>
        <v>-6</v>
      </c>
      <c r="AX63" s="187">
        <f>'CA GDP DATA'!AT62</f>
        <v>-6</v>
      </c>
    </row>
    <row r="64" spans="5:50" ht="21">
      <c r="E64" s="243" t="s">
        <v>18</v>
      </c>
      <c r="F64" s="187">
        <f>'CA GDP DATA'!B63</f>
        <v>-1</v>
      </c>
      <c r="G64" s="187">
        <f>'CA GDP DATA'!C63</f>
        <v>-1</v>
      </c>
      <c r="H64" s="187">
        <f>'CA GDP DATA'!D63</f>
        <v>-1</v>
      </c>
      <c r="I64" s="187">
        <f>'CA GDP DATA'!E63</f>
        <v>-2</v>
      </c>
      <c r="J64" s="187">
        <f>'CA GDP DATA'!F63</f>
        <v>-2</v>
      </c>
      <c r="K64" s="187">
        <f>'CA GDP DATA'!G63</f>
        <v>-2</v>
      </c>
      <c r="L64" s="187">
        <f>'CA GDP DATA'!H63</f>
        <v>-3</v>
      </c>
      <c r="M64" s="187">
        <f>'CA GDP DATA'!I63</f>
        <v>-3</v>
      </c>
      <c r="N64" s="187">
        <f>'CA GDP DATA'!J63</f>
        <v>-3</v>
      </c>
      <c r="O64" s="187">
        <f>'CA GDP DATA'!K63</f>
        <v>-2</v>
      </c>
      <c r="P64" s="187">
        <f>'CA GDP DATA'!L63</f>
        <v>-2</v>
      </c>
      <c r="Q64" s="187">
        <f>'CA GDP DATA'!M63</f>
        <v>-2</v>
      </c>
      <c r="R64" s="187">
        <f>'CA GDP DATA'!N63</f>
        <v>-3</v>
      </c>
      <c r="S64" s="187">
        <f>'CA GDP DATA'!O63</f>
        <v>-3</v>
      </c>
      <c r="T64" s="187">
        <f>'CA GDP DATA'!P63</f>
        <v>-3</v>
      </c>
      <c r="U64" s="187">
        <f>'CA GDP DATA'!Q63</f>
        <v>-4</v>
      </c>
      <c r="V64" s="187">
        <f>'CA GDP DATA'!R63</f>
        <v>-4</v>
      </c>
      <c r="W64" s="187">
        <f>'CA GDP DATA'!S63</f>
        <v>-4</v>
      </c>
      <c r="X64" s="187">
        <f>'CA GDP DATA'!T63</f>
        <v>-4</v>
      </c>
      <c r="Y64" s="187">
        <f>'CA GDP DATA'!U63</f>
        <v>-4</v>
      </c>
      <c r="Z64" s="187">
        <f>'CA GDP DATA'!V63</f>
        <v>-4</v>
      </c>
      <c r="AA64" s="187">
        <f>'CA GDP DATA'!W63</f>
        <v>-4</v>
      </c>
      <c r="AB64" s="187">
        <f>'CA GDP DATA'!X63</f>
        <v>-4</v>
      </c>
      <c r="AC64" s="187">
        <f>'CA GDP DATA'!Y63</f>
        <v>-4</v>
      </c>
      <c r="AD64" s="187">
        <f>'CA GDP DATA'!Z63</f>
        <v>-4</v>
      </c>
      <c r="AE64" s="187">
        <f>'CA GDP DATA'!AA63</f>
        <v>-4</v>
      </c>
      <c r="AF64" s="187">
        <f>'CA GDP DATA'!AB63</f>
        <v>-4</v>
      </c>
      <c r="AG64" s="187">
        <f>'CA GDP DATA'!AC63</f>
        <v>-4</v>
      </c>
      <c r="AH64" s="187">
        <f>'CA GDP DATA'!AD63</f>
        <v>-4</v>
      </c>
      <c r="AI64" s="187">
        <f>'CA GDP DATA'!AE63</f>
        <v>-4</v>
      </c>
      <c r="AJ64" s="187">
        <f>'CA GDP DATA'!AF63</f>
        <v>-5</v>
      </c>
      <c r="AK64" s="187">
        <f>'CA GDP DATA'!AG63</f>
        <v>-5</v>
      </c>
      <c r="AL64" s="187">
        <f>'CA GDP DATA'!AH63</f>
        <v>-5</v>
      </c>
      <c r="AM64" s="187">
        <f>'CA GDP DATA'!AI63</f>
        <v>-5</v>
      </c>
      <c r="AN64" s="187">
        <f>'CA GDP DATA'!AJ63</f>
        <v>-5</v>
      </c>
      <c r="AO64" s="187">
        <f>'CA GDP DATA'!AK63</f>
        <v>-5</v>
      </c>
      <c r="AP64" s="187">
        <f>'CA GDP DATA'!AL63</f>
        <v>-6</v>
      </c>
      <c r="AQ64" s="187">
        <f>'CA GDP DATA'!AM63</f>
        <v>-6</v>
      </c>
      <c r="AR64" s="187">
        <f>'CA GDP DATA'!AN63</f>
        <v>-6</v>
      </c>
      <c r="AS64" s="187">
        <f>'CA GDP DATA'!AO63</f>
        <v>-6</v>
      </c>
      <c r="AT64" s="187">
        <f>'CA GDP DATA'!AP63</f>
        <v>-6</v>
      </c>
      <c r="AU64" s="187">
        <f>'CA GDP DATA'!AQ63</f>
        <v>-6</v>
      </c>
      <c r="AV64" s="187">
        <f>'CA GDP DATA'!AR63</f>
        <v>-6</v>
      </c>
      <c r="AW64" s="187">
        <f>'CA GDP DATA'!AS63</f>
        <v>-6</v>
      </c>
      <c r="AX64" s="187">
        <f>'CA GDP DATA'!AT63</f>
        <v>-6</v>
      </c>
    </row>
    <row r="65" spans="5:50" ht="21">
      <c r="E65" s="244" t="s">
        <v>59</v>
      </c>
      <c r="F65" s="187">
        <f>'CA GDP DATA'!B64</f>
        <v>5</v>
      </c>
      <c r="G65" s="187">
        <f>'CA GDP DATA'!C64</f>
        <v>5</v>
      </c>
      <c r="H65" s="187">
        <f>'CA GDP DATA'!D64</f>
        <v>5</v>
      </c>
      <c r="I65" s="187">
        <f>'CA GDP DATA'!E64</f>
        <v>3</v>
      </c>
      <c r="J65" s="187">
        <f>'CA GDP DATA'!F64</f>
        <v>3</v>
      </c>
      <c r="K65" s="187">
        <f>'CA GDP DATA'!G64</f>
        <v>3</v>
      </c>
      <c r="L65" s="187">
        <f>'CA GDP DATA'!H64</f>
        <v>2</v>
      </c>
      <c r="M65" s="187">
        <f>'CA GDP DATA'!I64</f>
        <v>2</v>
      </c>
      <c r="N65" s="187">
        <f>'CA GDP DATA'!J64</f>
        <v>2</v>
      </c>
      <c r="O65" s="187">
        <f>'CA GDP DATA'!K64</f>
        <v>3</v>
      </c>
      <c r="P65" s="187">
        <f>'CA GDP DATA'!L64</f>
        <v>3</v>
      </c>
      <c r="Q65" s="187">
        <f>'CA GDP DATA'!M64</f>
        <v>3</v>
      </c>
      <c r="R65" s="187">
        <f>'CA GDP DATA'!N64</f>
        <v>2</v>
      </c>
      <c r="S65" s="187">
        <f>'CA GDP DATA'!O64</f>
        <v>2</v>
      </c>
      <c r="T65" s="187">
        <f>'CA GDP DATA'!P64</f>
        <v>2</v>
      </c>
      <c r="U65" s="187">
        <f>'CA GDP DATA'!Q64</f>
        <v>1</v>
      </c>
      <c r="V65" s="187">
        <f>'CA GDP DATA'!R64</f>
        <v>1</v>
      </c>
      <c r="W65" s="187">
        <f>'CA GDP DATA'!S64</f>
        <v>1</v>
      </c>
      <c r="X65" s="187">
        <f>'CA GDP DATA'!T64</f>
        <v>1</v>
      </c>
      <c r="Y65" s="187">
        <f>'CA GDP DATA'!U64</f>
        <v>1</v>
      </c>
      <c r="Z65" s="187">
        <f>'CA GDP DATA'!V64</f>
        <v>1</v>
      </c>
      <c r="AA65" s="187">
        <f>'CA GDP DATA'!W64</f>
        <v>1</v>
      </c>
      <c r="AB65" s="187">
        <f>'CA GDP DATA'!X64</f>
        <v>1</v>
      </c>
      <c r="AC65" s="187">
        <f>'CA GDP DATA'!Y64</f>
        <v>1</v>
      </c>
      <c r="AD65" s="187">
        <f>'CA GDP DATA'!Z64</f>
        <v>1</v>
      </c>
      <c r="AE65" s="187">
        <f>'CA GDP DATA'!AA64</f>
        <v>1</v>
      </c>
      <c r="AF65" s="187">
        <f>'CA GDP DATA'!AB64</f>
        <v>1</v>
      </c>
      <c r="AG65" s="187">
        <f>'CA GDP DATA'!AC64</f>
        <v>0</v>
      </c>
      <c r="AH65" s="187">
        <f>'CA GDP DATA'!AD64</f>
        <v>0</v>
      </c>
      <c r="AI65" s="187">
        <f>'CA GDP DATA'!AE64</f>
        <v>0</v>
      </c>
      <c r="AJ65" s="187">
        <f>'CA GDP DATA'!AF64</f>
        <v>-4</v>
      </c>
      <c r="AK65" s="187">
        <f>'CA GDP DATA'!AG64</f>
        <v>0</v>
      </c>
      <c r="AL65" s="187">
        <f>'CA GDP DATA'!AH64</f>
        <v>0</v>
      </c>
      <c r="AM65" s="187">
        <f>'CA GDP DATA'!AI64</f>
        <v>0</v>
      </c>
      <c r="AN65" s="187">
        <f>'CA GDP DATA'!AJ64</f>
        <v>0</v>
      </c>
      <c r="AO65" s="187">
        <f>'CA GDP DATA'!AK64</f>
        <v>0</v>
      </c>
      <c r="AP65" s="187">
        <f>'CA GDP DATA'!AL64</f>
        <v>0</v>
      </c>
      <c r="AQ65" s="187">
        <f>'CA GDP DATA'!AM64</f>
        <v>0</v>
      </c>
      <c r="AR65" s="187">
        <f>'CA GDP DATA'!AN64</f>
        <v>0</v>
      </c>
      <c r="AS65" s="187">
        <f>'CA GDP DATA'!AO64</f>
        <v>0</v>
      </c>
      <c r="AT65" s="187">
        <f>'CA GDP DATA'!AP64</f>
        <v>0</v>
      </c>
      <c r="AU65" s="187">
        <f>'CA GDP DATA'!AQ64</f>
        <v>0</v>
      </c>
      <c r="AV65" s="187">
        <f>'CA GDP DATA'!AR64</f>
        <v>0</v>
      </c>
      <c r="AW65" s="187">
        <f>'CA GDP DATA'!AS64</f>
        <v>0</v>
      </c>
      <c r="AX65" s="187">
        <f>'CA GDP DATA'!AT64</f>
        <v>0</v>
      </c>
    </row>
    <row r="66" spans="5:50" ht="21">
      <c r="E66" s="244" t="s">
        <v>20</v>
      </c>
      <c r="F66" s="187">
        <f>'CA GDP DATA'!B65</f>
        <v>1</v>
      </c>
      <c r="G66" s="187">
        <f>'CA GDP DATA'!C65</f>
        <v>1</v>
      </c>
      <c r="H66" s="187">
        <f>'CA GDP DATA'!D65</f>
        <v>1</v>
      </c>
      <c r="I66" s="187">
        <f>'CA GDP DATA'!E65</f>
        <v>0</v>
      </c>
      <c r="J66" s="187">
        <f>'CA GDP DATA'!F65</f>
        <v>0</v>
      </c>
      <c r="K66" s="187">
        <f>'CA GDP DATA'!G65</f>
        <v>0</v>
      </c>
      <c r="L66" s="187">
        <f>'CA GDP DATA'!H65</f>
        <v>0</v>
      </c>
      <c r="M66" s="187">
        <f>'CA GDP DATA'!I65</f>
        <v>0</v>
      </c>
      <c r="N66" s="187">
        <f>'CA GDP DATA'!J65</f>
        <v>0</v>
      </c>
      <c r="O66" s="187">
        <f>'CA GDP DATA'!K65</f>
        <v>0</v>
      </c>
      <c r="P66" s="187">
        <f>'CA GDP DATA'!L65</f>
        <v>0</v>
      </c>
      <c r="Q66" s="187">
        <f>'CA GDP DATA'!M65</f>
        <v>0</v>
      </c>
      <c r="R66" s="187">
        <f>'CA GDP DATA'!N65</f>
        <v>0</v>
      </c>
      <c r="S66" s="187">
        <f>'CA GDP DATA'!O65</f>
        <v>0</v>
      </c>
      <c r="T66" s="187">
        <f>'CA GDP DATA'!P65</f>
        <v>0</v>
      </c>
      <c r="U66" s="187">
        <f>'CA GDP DATA'!Q65</f>
        <v>-1</v>
      </c>
      <c r="V66" s="187">
        <f>'CA GDP DATA'!R65</f>
        <v>-1</v>
      </c>
      <c r="W66" s="187">
        <f>'CA GDP DATA'!S65</f>
        <v>-1</v>
      </c>
      <c r="X66" s="187">
        <f>'CA GDP DATA'!T65</f>
        <v>-1</v>
      </c>
      <c r="Y66" s="187">
        <f>'CA GDP DATA'!U65</f>
        <v>-1</v>
      </c>
      <c r="Z66" s="187">
        <f>'CA GDP DATA'!V65</f>
        <v>-1</v>
      </c>
      <c r="AA66" s="187">
        <f>'CA GDP DATA'!W65</f>
        <v>-1</v>
      </c>
      <c r="AB66" s="187">
        <f>'CA GDP DATA'!X65</f>
        <v>-1</v>
      </c>
      <c r="AC66" s="187">
        <f>'CA GDP DATA'!Y65</f>
        <v>-1</v>
      </c>
      <c r="AD66" s="187">
        <f>'CA GDP DATA'!Z65</f>
        <v>-1</v>
      </c>
      <c r="AE66" s="187">
        <f>'CA GDP DATA'!AA65</f>
        <v>-1</v>
      </c>
      <c r="AF66" s="187">
        <f>'CA GDP DATA'!AB65</f>
        <v>-1</v>
      </c>
      <c r="AG66" s="187">
        <f>'CA GDP DATA'!AC65</f>
        <v>0</v>
      </c>
      <c r="AH66" s="187">
        <f>'CA GDP DATA'!AD65</f>
        <v>0</v>
      </c>
      <c r="AI66" s="187">
        <f>'CA GDP DATA'!AE65</f>
        <v>0</v>
      </c>
      <c r="AJ66" s="187">
        <f>'CA GDP DATA'!AF65</f>
        <v>-1</v>
      </c>
      <c r="AK66" s="187">
        <f>'CA GDP DATA'!AG65</f>
        <v>-1</v>
      </c>
      <c r="AL66" s="187">
        <f>'CA GDP DATA'!AH65</f>
        <v>-1</v>
      </c>
      <c r="AM66" s="187">
        <f>'CA GDP DATA'!AI65</f>
        <v>-2</v>
      </c>
      <c r="AN66" s="187">
        <f>'CA GDP DATA'!AJ65</f>
        <v>-2</v>
      </c>
      <c r="AO66" s="187">
        <f>'CA GDP DATA'!AK65</f>
        <v>-2</v>
      </c>
      <c r="AP66" s="187">
        <f>'CA GDP DATA'!AL65</f>
        <v>-1</v>
      </c>
      <c r="AQ66" s="187">
        <f>'CA GDP DATA'!AM65</f>
        <v>-1</v>
      </c>
      <c r="AR66" s="187">
        <f>'CA GDP DATA'!AN65</f>
        <v>-1</v>
      </c>
      <c r="AS66" s="187">
        <f>'CA GDP DATA'!AO65</f>
        <v>-1</v>
      </c>
      <c r="AT66" s="187">
        <f>'CA GDP DATA'!AP65</f>
        <v>-1</v>
      </c>
      <c r="AU66" s="187">
        <f>'CA GDP DATA'!AQ65</f>
        <v>-1</v>
      </c>
      <c r="AV66" s="187">
        <f>'CA GDP DATA'!AR65</f>
        <v>-1</v>
      </c>
      <c r="AW66" s="187">
        <f>'CA GDP DATA'!AS65</f>
        <v>-1</v>
      </c>
      <c r="AX66" s="187">
        <f>'CA GDP DATA'!AT65</f>
        <v>-1</v>
      </c>
    </row>
    <row r="67" spans="5:50" ht="21">
      <c r="E67" s="245" t="s">
        <v>19</v>
      </c>
      <c r="F67" s="187">
        <f>'CA GDP DATA'!B66</f>
        <v>-2</v>
      </c>
      <c r="G67" s="187">
        <f>'CA GDP DATA'!C66</f>
        <v>-2</v>
      </c>
      <c r="H67" s="187">
        <f>'CA GDP DATA'!D66</f>
        <v>-2</v>
      </c>
      <c r="I67" s="187">
        <f>'CA GDP DATA'!E66</f>
        <v>-2</v>
      </c>
      <c r="J67" s="187">
        <f>'CA GDP DATA'!F66</f>
        <v>-2</v>
      </c>
      <c r="K67" s="187">
        <f>'CA GDP DATA'!G66</f>
        <v>-2</v>
      </c>
      <c r="L67" s="187">
        <f>'CA GDP DATA'!H66</f>
        <v>-3</v>
      </c>
      <c r="M67" s="187">
        <f>'CA GDP DATA'!I66</f>
        <v>-3</v>
      </c>
      <c r="N67" s="187">
        <f>'CA GDP DATA'!J66</f>
        <v>-3</v>
      </c>
      <c r="O67" s="187">
        <f>'CA GDP DATA'!K66</f>
        <v>-2</v>
      </c>
      <c r="P67" s="187">
        <f>'CA GDP DATA'!L66</f>
        <v>-2</v>
      </c>
      <c r="Q67" s="187">
        <f>'CA GDP DATA'!M66</f>
        <v>-2</v>
      </c>
      <c r="R67" s="187">
        <f>'CA GDP DATA'!N66</f>
        <v>-2</v>
      </c>
      <c r="S67" s="187">
        <f>'CA GDP DATA'!O66</f>
        <v>-2</v>
      </c>
      <c r="T67" s="187">
        <f>'CA GDP DATA'!P66</f>
        <v>-2</v>
      </c>
      <c r="U67" s="187">
        <f>'CA GDP DATA'!Q66</f>
        <v>-2</v>
      </c>
      <c r="V67" s="187">
        <f>'CA GDP DATA'!R66</f>
        <v>-2</v>
      </c>
      <c r="W67" s="187">
        <f>'CA GDP DATA'!S66</f>
        <v>-2</v>
      </c>
      <c r="X67" s="187">
        <f>'CA GDP DATA'!T66</f>
        <v>-2</v>
      </c>
      <c r="Y67" s="187">
        <f>'CA GDP DATA'!U66</f>
        <v>-2</v>
      </c>
      <c r="Z67" s="187">
        <f>'CA GDP DATA'!V66</f>
        <v>-2</v>
      </c>
      <c r="AA67" s="187">
        <f>'CA GDP DATA'!W66</f>
        <v>-3</v>
      </c>
      <c r="AB67" s="187">
        <f>'CA GDP DATA'!X66</f>
        <v>-3</v>
      </c>
      <c r="AC67" s="187">
        <f>'CA GDP DATA'!Y66</f>
        <v>-3</v>
      </c>
      <c r="AD67" s="187">
        <f>'CA GDP DATA'!Z66</f>
        <v>-2</v>
      </c>
      <c r="AE67" s="187">
        <f>'CA GDP DATA'!AA66</f>
        <v>-2</v>
      </c>
      <c r="AF67" s="187">
        <f>'CA GDP DATA'!AB66</f>
        <v>-2</v>
      </c>
      <c r="AG67" s="187">
        <f>'CA GDP DATA'!AC66</f>
        <v>-4</v>
      </c>
      <c r="AH67" s="187">
        <f>'CA GDP DATA'!AD66</f>
        <v>-4</v>
      </c>
      <c r="AI67" s="187">
        <f>'CA GDP DATA'!AE66</f>
        <v>-4</v>
      </c>
      <c r="AJ67" s="187">
        <f>'CA GDP DATA'!AF66</f>
        <v>-3</v>
      </c>
      <c r="AK67" s="187">
        <f>'CA GDP DATA'!AG66</f>
        <v>-3</v>
      </c>
      <c r="AL67" s="187">
        <f>'CA GDP DATA'!AH66</f>
        <v>-3</v>
      </c>
      <c r="AM67" s="187">
        <f>'CA GDP DATA'!AI66</f>
        <v>-3</v>
      </c>
      <c r="AN67" s="187">
        <f>'CA GDP DATA'!AJ66</f>
        <v>-3</v>
      </c>
      <c r="AO67" s="187">
        <f>'CA GDP DATA'!AK66</f>
        <v>-3</v>
      </c>
      <c r="AP67" s="187">
        <f>'CA GDP DATA'!AL66</f>
        <v>-4</v>
      </c>
      <c r="AQ67" s="187">
        <f>'CA GDP DATA'!AM66</f>
        <v>-4</v>
      </c>
      <c r="AR67" s="187">
        <f>'CA GDP DATA'!AN66</f>
        <v>-4</v>
      </c>
      <c r="AS67" s="187">
        <f>'CA GDP DATA'!AO66</f>
        <v>-3</v>
      </c>
      <c r="AT67" s="187">
        <f>'CA GDP DATA'!AP66</f>
        <v>-3</v>
      </c>
      <c r="AU67" s="187">
        <f>'CA GDP DATA'!AQ66</f>
        <v>-3</v>
      </c>
      <c r="AV67" s="187">
        <f>'CA GDP DATA'!AR66</f>
        <v>-3</v>
      </c>
      <c r="AW67" s="187">
        <f>'CA GDP DATA'!AS66</f>
        <v>-3</v>
      </c>
      <c r="AX67" s="187">
        <f>'CA GDP DATA'!AT66</f>
        <v>-3</v>
      </c>
    </row>
    <row r="68" spans="5:50"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 spans="5:50"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 spans="5:50"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 spans="5:50">
      <c r="E71" s="247" t="s">
        <v>5</v>
      </c>
      <c r="F71" s="249">
        <v>44927</v>
      </c>
      <c r="G71" s="208">
        <v>44958</v>
      </c>
      <c r="H71" s="208">
        <v>44986</v>
      </c>
      <c r="I71" s="249">
        <v>45017</v>
      </c>
      <c r="J71" s="208">
        <v>45047</v>
      </c>
      <c r="K71" s="208">
        <v>45078</v>
      </c>
      <c r="L71" s="249">
        <v>45108</v>
      </c>
      <c r="M71" s="208">
        <v>45139</v>
      </c>
      <c r="N71" s="208">
        <v>45170</v>
      </c>
      <c r="O71" s="249">
        <v>45200</v>
      </c>
      <c r="P71" s="208">
        <v>45231</v>
      </c>
      <c r="Q71" s="208">
        <v>45261</v>
      </c>
      <c r="R71" s="249">
        <v>45292</v>
      </c>
      <c r="S71" s="208">
        <v>45323</v>
      </c>
      <c r="T71" s="208">
        <v>45352</v>
      </c>
      <c r="U71" s="249">
        <v>45383</v>
      </c>
      <c r="V71" s="208">
        <v>45413</v>
      </c>
      <c r="W71" s="208">
        <v>45444</v>
      </c>
      <c r="X71" s="249">
        <v>45474</v>
      </c>
      <c r="Y71" s="208">
        <v>45505</v>
      </c>
      <c r="Z71" s="208">
        <v>45536</v>
      </c>
      <c r="AA71" s="249">
        <v>45566</v>
      </c>
      <c r="AB71" s="208">
        <v>45597</v>
      </c>
      <c r="AC71" s="208">
        <v>45627</v>
      </c>
      <c r="AD71" s="249">
        <v>45658</v>
      </c>
      <c r="AE71" s="208">
        <v>45689</v>
      </c>
      <c r="AF71" s="208">
        <v>45717</v>
      </c>
      <c r="AG71" s="208">
        <v>45748</v>
      </c>
      <c r="AH71" s="208">
        <v>45778</v>
      </c>
      <c r="AI71" s="208">
        <v>45809</v>
      </c>
      <c r="AJ71" s="208">
        <v>45839</v>
      </c>
      <c r="AK71" s="208">
        <v>45870</v>
      </c>
      <c r="AL71" s="208">
        <v>45901</v>
      </c>
      <c r="AM71" s="208">
        <v>45931</v>
      </c>
      <c r="AN71" s="208">
        <v>45962</v>
      </c>
      <c r="AO71" s="208">
        <v>45992</v>
      </c>
      <c r="AP71" s="208">
        <v>46023</v>
      </c>
      <c r="AQ71" s="208">
        <v>46054</v>
      </c>
      <c r="AR71" s="208">
        <v>46082</v>
      </c>
      <c r="AS71" s="208">
        <v>46113</v>
      </c>
      <c r="AT71" s="208">
        <v>46143</v>
      </c>
      <c r="AU71" s="208">
        <v>46174</v>
      </c>
      <c r="AV71" s="208">
        <v>46204</v>
      </c>
      <c r="AW71" s="208">
        <v>46235</v>
      </c>
      <c r="AX71" s="208">
        <v>46266</v>
      </c>
    </row>
    <row r="72" spans="5:50" ht="21">
      <c r="E72" s="236" t="s">
        <v>16</v>
      </c>
      <c r="F72" s="187" t="str">
        <f>'CPI data'!B44</f>
        <v>10</v>
      </c>
      <c r="G72" s="187" t="str">
        <f>'CPI data'!C44</f>
        <v>10</v>
      </c>
      <c r="H72" s="187" t="str">
        <f>'CPI data'!D44</f>
        <v>9</v>
      </c>
      <c r="I72" s="187" t="str">
        <f>'CPI data'!E44</f>
        <v>8</v>
      </c>
      <c r="J72" s="187" t="str">
        <f>'CPI data'!F44</f>
        <v>-10</v>
      </c>
      <c r="K72" s="187" t="str">
        <f>'CPI data'!G44</f>
        <v>4</v>
      </c>
      <c r="L72" s="187">
        <f>'CPI data'!H44</f>
        <v>0</v>
      </c>
      <c r="M72" s="187" t="str">
        <f>'CPI data'!I44</f>
        <v>-6</v>
      </c>
      <c r="N72" s="187" t="str">
        <f>'CPI data'!J44</f>
        <v>-8</v>
      </c>
      <c r="O72" s="187">
        <f>'CPI data'!K44</f>
        <v>0</v>
      </c>
      <c r="P72" s="187" t="str">
        <f>'CPI data'!L44</f>
        <v>-4</v>
      </c>
      <c r="Q72" s="187" t="str">
        <f>'CPI data'!M44</f>
        <v>-8</v>
      </c>
      <c r="R72" s="187" t="str">
        <f>'CPI data'!N44</f>
        <v>-10</v>
      </c>
      <c r="S72" s="187" t="str">
        <f>'CPI data'!O44</f>
        <v>-6</v>
      </c>
      <c r="T72" s="187" t="str">
        <f>'CPI data'!P44</f>
        <v>-8</v>
      </c>
      <c r="U72" s="187" t="str">
        <f>'CPI data'!Q44</f>
        <v>-10</v>
      </c>
      <c r="V72" s="187" t="str">
        <f>'CPI data'!R44</f>
        <v>-6</v>
      </c>
      <c r="W72" s="187" t="str">
        <f>'CPI data'!S44</f>
        <v>-4</v>
      </c>
      <c r="X72" s="187">
        <f>'CPI data'!T44</f>
        <v>0</v>
      </c>
      <c r="Y72" s="187" t="str">
        <f>'CPI data'!U44</f>
        <v>6</v>
      </c>
      <c r="Z72" s="187">
        <f>'CPI data'!V44</f>
        <v>0</v>
      </c>
      <c r="AA72" s="187" t="str">
        <f>'CPI data'!W44</f>
        <v>-4</v>
      </c>
      <c r="AB72" s="187" t="str">
        <f>'CPI data'!X44</f>
        <v>4</v>
      </c>
      <c r="AC72" s="187" t="str">
        <f>'CPI data'!Y44</f>
        <v>8</v>
      </c>
      <c r="AD72" s="187" t="str">
        <f>'CPI data'!Z44</f>
        <v>10</v>
      </c>
      <c r="AE72" s="187" t="str">
        <f>'CPI data'!AA44</f>
        <v>10</v>
      </c>
      <c r="AF72" s="187" t="str">
        <f>'CPI data'!AB44</f>
        <v>6</v>
      </c>
      <c r="AG72" s="187" t="str">
        <f>'CPI data'!AC44</f>
        <v>6</v>
      </c>
      <c r="AH72" s="187" t="str">
        <f>'CPI data'!AD44</f>
        <v>10</v>
      </c>
      <c r="AI72" s="187" t="str">
        <f>'CPI data'!AE44</f>
        <v>6</v>
      </c>
      <c r="AJ72" s="187" t="str">
        <f>'CPI data'!AF44</f>
        <v>6</v>
      </c>
      <c r="AK72" s="187" t="str">
        <f>'CPI data'!AG44</f>
        <v>-4</v>
      </c>
      <c r="AL72" s="187">
        <f>'CPI data'!AH44</f>
        <v>0</v>
      </c>
      <c r="AM72" s="187" t="str">
        <f>'CPI data'!AI44</f>
        <v>4</v>
      </c>
      <c r="AN72" s="187" t="str">
        <f>'CPI data'!AJ44</f>
        <v>4</v>
      </c>
      <c r="AO72" s="187" t="str">
        <f>'CPI data'!AK44</f>
        <v>-6</v>
      </c>
      <c r="AP72" s="187" t="str">
        <f>'CPI data'!AL44</f>
        <v>-10</v>
      </c>
      <c r="AQ72" s="187" t="str">
        <f>'CPI data'!AM44</f>
        <v>-10</v>
      </c>
      <c r="AR72" s="187" t="str">
        <f>'CPI data'!AN44</f>
        <v>9</v>
      </c>
      <c r="AS72" s="187" t="str">
        <f>'CPI data'!AO44</f>
        <v>10</v>
      </c>
      <c r="AT72" s="187" t="str">
        <f>'CPI data'!AP44</f>
        <v>10</v>
      </c>
      <c r="AU72" s="187" t="str">
        <f>'CPI data'!AQ44</f>
        <v>10</v>
      </c>
      <c r="AV72" s="187" t="str">
        <f>'CPI data'!AR44</f>
        <v>8</v>
      </c>
      <c r="AW72" s="187" t="str">
        <f>'CPI data'!AS44</f>
        <v>10</v>
      </c>
      <c r="AX72" s="187" t="str">
        <f>'CPI data'!AT44</f>
        <v>10</v>
      </c>
    </row>
    <row r="73" spans="5:50" ht="21">
      <c r="E73" s="237" t="s">
        <v>46</v>
      </c>
      <c r="F73" s="187" t="str">
        <f>'CPI data'!B45</f>
        <v>10</v>
      </c>
      <c r="G73" s="187" t="str">
        <f>'CPI data'!C45</f>
        <v>10</v>
      </c>
      <c r="H73" s="187" t="str">
        <f>'CPI data'!D45</f>
        <v>10</v>
      </c>
      <c r="I73" s="187" t="str">
        <f>'CPI data'!E45</f>
        <v>10</v>
      </c>
      <c r="J73" s="187" t="str">
        <f>'CPI data'!F45</f>
        <v>10</v>
      </c>
      <c r="K73" s="187" t="str">
        <f>'CPI data'!G45</f>
        <v>6</v>
      </c>
      <c r="L73" s="187" t="str">
        <f>'CPI data'!H45</f>
        <v>8</v>
      </c>
      <c r="M73" s="187" t="str">
        <f>'CPI data'!I45</f>
        <v>10</v>
      </c>
      <c r="N73" s="187" t="str">
        <f>'CPI data'!J45</f>
        <v>10</v>
      </c>
      <c r="O73" s="187" t="str">
        <f>'CPI data'!K45</f>
        <v>8</v>
      </c>
      <c r="P73" s="187" t="str">
        <f>'CPI data'!L45</f>
        <v>9</v>
      </c>
      <c r="Q73" s="187" t="str">
        <f>'CPI data'!M45</f>
        <v>9</v>
      </c>
      <c r="R73" s="187" t="str">
        <f>'CPI data'!N45</f>
        <v>9</v>
      </c>
      <c r="S73" s="187" t="str">
        <f>'CPI data'!O45</f>
        <v>10</v>
      </c>
      <c r="T73" s="187" t="str">
        <f>'CPI data'!P45</f>
        <v>10</v>
      </c>
      <c r="U73" s="187" t="str">
        <f>'CPI data'!Q45</f>
        <v>10</v>
      </c>
      <c r="V73" s="187" t="str">
        <f>'CPI data'!R45</f>
        <v>10</v>
      </c>
      <c r="W73" s="187" t="str">
        <f>'CPI data'!S45</f>
        <v>9</v>
      </c>
      <c r="X73" s="187" t="str">
        <f>'CPI data'!T45</f>
        <v>8</v>
      </c>
      <c r="Y73" s="187" t="str">
        <f>'CPI data'!U45</f>
        <v>8</v>
      </c>
      <c r="Z73" s="187" t="str">
        <f>'CPI data'!V45</f>
        <v>8</v>
      </c>
      <c r="AA73" s="187" t="str">
        <f>'CPI data'!W45</f>
        <v>10</v>
      </c>
      <c r="AB73" s="187" t="str">
        <f>'CPI data'!X45</f>
        <v>10</v>
      </c>
      <c r="AC73" s="187" t="str">
        <f>'CPI data'!Y45</f>
        <v>10</v>
      </c>
      <c r="AD73" s="187" t="str">
        <f>'CPI data'!Z45</f>
        <v>10</v>
      </c>
      <c r="AE73" s="187" t="str">
        <f>'CPI data'!AA45</f>
        <v>10</v>
      </c>
      <c r="AF73" s="187" t="str">
        <f>'CPI data'!AB45</f>
        <v>10</v>
      </c>
      <c r="AG73" s="187" t="str">
        <f>'CPI data'!AC45</f>
        <v>10</v>
      </c>
      <c r="AH73" s="187" t="str">
        <f>'CPI data'!AD45</f>
        <v>10</v>
      </c>
      <c r="AI73" s="187" t="str">
        <f>'CPI data'!AE45</f>
        <v>10</v>
      </c>
      <c r="AJ73" s="187" t="str">
        <f>'CPI data'!AF45</f>
        <v>10</v>
      </c>
      <c r="AK73" s="187" t="str">
        <f>'CPI data'!AG45</f>
        <v>10</v>
      </c>
      <c r="AL73" s="187" t="str">
        <f>'CPI data'!AH45</f>
        <v>10</v>
      </c>
      <c r="AM73" s="187" t="str">
        <f>'CPI data'!AI45</f>
        <v>10</v>
      </c>
      <c r="AN73" s="187" t="str">
        <f>'CPI data'!AJ45</f>
        <v>10</v>
      </c>
      <c r="AO73" s="187" t="str">
        <f>'CPI data'!AK45</f>
        <v>10</v>
      </c>
      <c r="AP73" s="187" t="str">
        <f>'CPI data'!AL45</f>
        <v>10</v>
      </c>
      <c r="AQ73" s="187" t="str">
        <f>'CPI data'!AM45</f>
        <v>10</v>
      </c>
      <c r="AR73" s="187" t="str">
        <f>'CPI data'!AN45</f>
        <v>10</v>
      </c>
      <c r="AS73" s="187" t="str">
        <f>'CPI data'!AO45</f>
        <v>10</v>
      </c>
      <c r="AT73" s="187" t="str">
        <f>'CPI data'!AP45</f>
        <v>10</v>
      </c>
      <c r="AU73" s="187" t="str">
        <f>'CPI data'!AQ45</f>
        <v>10</v>
      </c>
      <c r="AV73" s="187" t="str">
        <f>'CPI data'!AR45</f>
        <v>10</v>
      </c>
      <c r="AW73" s="187" t="str">
        <f>'CPI data'!AS45</f>
        <v>10</v>
      </c>
      <c r="AX73" s="187" t="str">
        <f>'CPI data'!AT45</f>
        <v>10</v>
      </c>
    </row>
    <row r="74" spans="5:50" ht="21">
      <c r="E74" s="237" t="s">
        <v>17</v>
      </c>
      <c r="F74" s="187" t="str">
        <f>'CPI data'!B46</f>
        <v>-6</v>
      </c>
      <c r="G74" s="187" t="str">
        <f>'CPI data'!C46</f>
        <v>-8</v>
      </c>
      <c r="H74" s="187" t="str">
        <f>'CPI data'!D46</f>
        <v>-8</v>
      </c>
      <c r="I74" s="187" t="str">
        <f>'CPI data'!E46</f>
        <v>-6</v>
      </c>
      <c r="J74" s="187" t="str">
        <f>'CPI data'!F46</f>
        <v>-8</v>
      </c>
      <c r="K74" s="187" t="str">
        <f>'CPI data'!G46</f>
        <v>-4</v>
      </c>
      <c r="L74" s="187">
        <f>'CPI data'!H46</f>
        <v>0</v>
      </c>
      <c r="M74" s="187" t="str">
        <f>'CPI data'!I46</f>
        <v>4</v>
      </c>
      <c r="N74" s="187">
        <f>'CPI data'!J46</f>
        <v>0</v>
      </c>
      <c r="O74" s="187">
        <f>'CPI data'!K46</f>
        <v>0</v>
      </c>
      <c r="P74" s="187">
        <f>'CPI data'!L46</f>
        <v>0</v>
      </c>
      <c r="Q74" s="187">
        <f>'CPI data'!M46</f>
        <v>0</v>
      </c>
      <c r="R74" s="187" t="str">
        <f>'CPI data'!N46</f>
        <v>-4</v>
      </c>
      <c r="S74" s="187" t="str">
        <f>'CPI data'!O46</f>
        <v>-6</v>
      </c>
      <c r="T74" s="187" t="str">
        <f>'CPI data'!P46</f>
        <v>-6</v>
      </c>
      <c r="U74" s="187" t="str">
        <f>'CPI data'!Q46</f>
        <v>-8</v>
      </c>
      <c r="V74" s="187" t="str">
        <f>'CPI data'!R46</f>
        <v>-6</v>
      </c>
      <c r="W74" s="187" t="str">
        <f>'CPI data'!S46</f>
        <v>-4</v>
      </c>
      <c r="X74" s="187" t="str">
        <f>'CPI data'!T46</f>
        <v>-6</v>
      </c>
      <c r="Y74" s="187" t="str">
        <f>'CPI data'!U46</f>
        <v>-6</v>
      </c>
      <c r="Z74" s="187" t="str">
        <f>'CPI data'!V46</f>
        <v>-8</v>
      </c>
      <c r="AA74" s="187" t="str">
        <f>'CPI data'!W46</f>
        <v>-6</v>
      </c>
      <c r="AB74" s="187" t="str">
        <f>'CPI data'!X46</f>
        <v>-8</v>
      </c>
      <c r="AC74" s="187" t="str">
        <f>'CPI data'!Y46</f>
        <v>-10</v>
      </c>
      <c r="AD74" s="187" t="str">
        <f>'CPI data'!Z46</f>
        <v>-10</v>
      </c>
      <c r="AE74" s="187" t="str">
        <f>'CPI data'!AA46</f>
        <v>-4</v>
      </c>
      <c r="AF74" s="187">
        <f>'CPI data'!AB46</f>
        <v>0</v>
      </c>
      <c r="AG74" s="187" t="str">
        <f>'CPI data'!AC46</f>
        <v>-6</v>
      </c>
      <c r="AH74" s="187" t="str">
        <f>'CPI data'!AD46</f>
        <v>-8</v>
      </c>
      <c r="AI74" s="187" t="str">
        <f>'CPI data'!AE46</f>
        <v>-8</v>
      </c>
      <c r="AJ74" s="187" t="str">
        <f>'CPI data'!AF46</f>
        <v>-10</v>
      </c>
      <c r="AK74" s="187" t="str">
        <f>'CPI data'!AG46</f>
        <v>-10</v>
      </c>
      <c r="AL74" s="187" t="str">
        <f>'CPI data'!AH46</f>
        <v>-6</v>
      </c>
      <c r="AM74" s="187" t="str">
        <f>'CPI data'!AI46</f>
        <v>-6</v>
      </c>
      <c r="AN74" s="187" t="str">
        <f>'CPI data'!AJ46</f>
        <v>-6</v>
      </c>
      <c r="AO74" s="187" t="str">
        <f>'CPI data'!AK46</f>
        <v>-4</v>
      </c>
      <c r="AP74" s="187">
        <f>'CPI data'!AL46</f>
        <v>0</v>
      </c>
      <c r="AQ74" s="187" t="str">
        <f>'CPI data'!AM46</f>
        <v>-6</v>
      </c>
      <c r="AR74" s="187" t="str">
        <f>'CPI data'!AN46</f>
        <v>-10</v>
      </c>
      <c r="AS74" s="187" t="str">
        <f>'CPI data'!AO46</f>
        <v>-10</v>
      </c>
      <c r="AT74" s="187" t="str">
        <f>'CPI data'!AP46</f>
        <v>-10</v>
      </c>
      <c r="AU74" s="187" t="str">
        <f>'CPI data'!AQ46</f>
        <v>-8</v>
      </c>
      <c r="AV74" s="187" t="str">
        <f>'CPI data'!AR46</f>
        <v>-6</v>
      </c>
      <c r="AW74" s="187" t="str">
        <f>'CPI data'!AS46</f>
        <v>-8</v>
      </c>
      <c r="AX74" s="187" t="str">
        <f>'CPI data'!AT46</f>
        <v>-8</v>
      </c>
    </row>
    <row r="75" spans="5:50" ht="21">
      <c r="E75" s="238" t="s">
        <v>47</v>
      </c>
      <c r="F75" s="187" t="str">
        <f>'CPI data'!B47</f>
        <v>10</v>
      </c>
      <c r="G75" s="187" t="str">
        <f>'CPI data'!C47</f>
        <v>10</v>
      </c>
      <c r="H75" s="187" t="str">
        <f>'CPI data'!D47</f>
        <v>10</v>
      </c>
      <c r="I75" s="187" t="str">
        <f>'CPI data'!E47</f>
        <v>10</v>
      </c>
      <c r="J75" s="187" t="str">
        <f>'CPI data'!F47</f>
        <v>10</v>
      </c>
      <c r="K75" s="187" t="str">
        <f>'CPI data'!G47</f>
        <v>10</v>
      </c>
      <c r="L75" s="187" t="str">
        <f>'CPI data'!H47</f>
        <v>10</v>
      </c>
      <c r="M75" s="187" t="str">
        <f>'CPI data'!I47</f>
        <v>8</v>
      </c>
      <c r="N75" s="187" t="str">
        <f>'CPI data'!J47</f>
        <v>-6</v>
      </c>
      <c r="O75" s="187" t="str">
        <f>'CPI data'!K47</f>
        <v>4</v>
      </c>
      <c r="P75" s="187" t="str">
        <f>'CPI data'!L47</f>
        <v>8</v>
      </c>
      <c r="Q75" s="187" t="str">
        <f>'CPI data'!M47</f>
        <v>6</v>
      </c>
      <c r="R75" s="187" t="str">
        <f>'CPI data'!N47</f>
        <v>4</v>
      </c>
      <c r="S75" s="187" t="str">
        <f>'CPI data'!O47</f>
        <v>6</v>
      </c>
      <c r="T75" s="187" t="str">
        <f>'CPI data'!P47</f>
        <v>10</v>
      </c>
      <c r="U75" s="187" t="str">
        <f>'CPI data'!Q47</f>
        <v>10</v>
      </c>
      <c r="V75" s="187" t="str">
        <f>'CPI data'!R47</f>
        <v>8</v>
      </c>
      <c r="W75" s="187" t="str">
        <f>'CPI data'!S47</f>
        <v>6</v>
      </c>
      <c r="X75" s="187" t="str">
        <f>'CPI data'!T47</f>
        <v>4</v>
      </c>
      <c r="Y75" s="187" t="str">
        <f>'CPI data'!U47</f>
        <v>4</v>
      </c>
      <c r="Z75" s="187" t="str">
        <f>'CPI data'!V47</f>
        <v>8</v>
      </c>
      <c r="AA75" s="187" t="str">
        <f>'CPI data'!W47</f>
        <v>6</v>
      </c>
      <c r="AB75" s="187" t="str">
        <f>'CPI data'!X47</f>
        <v>6</v>
      </c>
      <c r="AC75" s="187" t="str">
        <f>'CPI data'!Y47</f>
        <v>6</v>
      </c>
      <c r="AD75" s="187" t="str">
        <f>'CPI data'!Z47</f>
        <v>6</v>
      </c>
      <c r="AE75" s="187" t="str">
        <f>'CPI data'!AA47</f>
        <v>6</v>
      </c>
      <c r="AF75" s="187" t="str">
        <f>'CPI data'!AB47</f>
        <v>4</v>
      </c>
      <c r="AG75" s="187">
        <f>'CPI data'!AC47</f>
        <v>0</v>
      </c>
      <c r="AH75" s="187" t="str">
        <f>'CPI data'!AD47</f>
        <v>6</v>
      </c>
      <c r="AI75" s="187" t="str">
        <f>'CPI data'!AE47</f>
        <v>8</v>
      </c>
      <c r="AJ75" s="187" t="str">
        <f>'CPI data'!AF47</f>
        <v>8</v>
      </c>
      <c r="AK75" s="187" t="str">
        <f>'CPI data'!AG47</f>
        <v>10</v>
      </c>
      <c r="AL75" s="187" t="str">
        <f>'CPI data'!AH47</f>
        <v>8</v>
      </c>
      <c r="AM75" s="187" t="str">
        <f>'CPI data'!AI47</f>
        <v>6</v>
      </c>
      <c r="AN75" s="187" t="str">
        <f>'CPI data'!AJ47</f>
        <v>6</v>
      </c>
      <c r="AO75" s="187" t="str">
        <f>'CPI data'!AK47</f>
        <v>8</v>
      </c>
      <c r="AP75" s="187" t="str">
        <f>'CPI data'!AL47</f>
        <v>8</v>
      </c>
      <c r="AQ75" s="187" t="str">
        <f>'CPI data'!AM47</f>
        <v>6</v>
      </c>
      <c r="AR75" s="187" t="str">
        <f>'CPI data'!AN47</f>
        <v>8</v>
      </c>
      <c r="AS75" s="187" t="str">
        <f>'CPI data'!AO47</f>
        <v>8</v>
      </c>
      <c r="AT75" s="187" t="str">
        <f>'CPI data'!AP47</f>
        <v>10</v>
      </c>
      <c r="AU75" s="187" t="str">
        <f>'CPI data'!AQ47</f>
        <v>8</v>
      </c>
      <c r="AV75" s="187" t="str">
        <f>'CPI data'!AR47</f>
        <v>6</v>
      </c>
      <c r="AW75" s="187" t="str">
        <f>'CPI data'!AS47</f>
        <v>6</v>
      </c>
      <c r="AX75" s="187" t="str">
        <f>'CPI data'!AT47</f>
        <v>4</v>
      </c>
    </row>
    <row r="76" spans="5:50" ht="21">
      <c r="E76" s="238" t="s">
        <v>14</v>
      </c>
      <c r="F76" s="187" t="str">
        <f>'CPI data'!B48</f>
        <v>10</v>
      </c>
      <c r="G76" s="187" t="str">
        <f>'CPI data'!C48</f>
        <v>10</v>
      </c>
      <c r="H76" s="187" t="str">
        <f>'CPI data'!D48</f>
        <v>10</v>
      </c>
      <c r="I76" s="187" t="str">
        <f>'CPI data'!E48</f>
        <v>10</v>
      </c>
      <c r="J76" s="187" t="str">
        <f>'CPI data'!F48</f>
        <v>10</v>
      </c>
      <c r="K76" s="187" t="str">
        <f>'CPI data'!G48</f>
        <v>10</v>
      </c>
      <c r="L76" s="187" t="str">
        <f>'CPI data'!H48</f>
        <v>10</v>
      </c>
      <c r="M76" s="187" t="str">
        <f>'CPI data'!I48</f>
        <v>10</v>
      </c>
      <c r="N76" s="187" t="str">
        <f>'CPI data'!J48</f>
        <v>6</v>
      </c>
      <c r="O76" s="187" t="str">
        <f>'CPI data'!K48</f>
        <v>6</v>
      </c>
      <c r="P76" s="187" t="str">
        <f>'CPI data'!L48</f>
        <v>6</v>
      </c>
      <c r="Q76" s="187" t="str">
        <f>'CPI data'!M48</f>
        <v>-4</v>
      </c>
      <c r="R76" s="187" t="str">
        <f>'CPI data'!N48</f>
        <v>-6</v>
      </c>
      <c r="S76" s="187" t="str">
        <f>'CPI data'!O48</f>
        <v>4</v>
      </c>
      <c r="T76" s="187" t="str">
        <f>'CPI data'!P48</f>
        <v>4</v>
      </c>
      <c r="U76" s="187">
        <f>'CPI data'!Q48</f>
        <v>0</v>
      </c>
      <c r="V76" s="187" t="str">
        <f>'CPI data'!R48</f>
        <v>4</v>
      </c>
      <c r="W76" s="187" t="str">
        <f>'CPI data'!S48</f>
        <v>4</v>
      </c>
      <c r="X76" s="187" t="str">
        <f>'CPI data'!T48</f>
        <v>4</v>
      </c>
      <c r="Y76" s="187" t="str">
        <f>'CPI data'!U48</f>
        <v>8</v>
      </c>
      <c r="Z76" s="187" t="str">
        <f>'CPI data'!V48</f>
        <v>8</v>
      </c>
      <c r="AA76" s="187" t="str">
        <f>'CPI data'!W48</f>
        <v>4</v>
      </c>
      <c r="AB76" s="187" t="str">
        <f>'CPI data'!X48</f>
        <v>8</v>
      </c>
      <c r="AC76" s="187" t="str">
        <f>'CPI data'!Y48</f>
        <v>6</v>
      </c>
      <c r="AD76" s="187" t="str">
        <f>'CPI data'!Z48</f>
        <v>4</v>
      </c>
      <c r="AE76" s="187" t="str">
        <f>'CPI data'!AA48</f>
        <v>4</v>
      </c>
      <c r="AF76" s="187" t="str">
        <f>'CPI data'!AB48</f>
        <v>4</v>
      </c>
      <c r="AG76" s="187" t="str">
        <f>'CPI data'!AC48</f>
        <v>4</v>
      </c>
      <c r="AH76" s="187" t="str">
        <f>'CPI data'!AD48</f>
        <v>4</v>
      </c>
      <c r="AI76" s="187" t="str">
        <f>'CPI data'!AE48</f>
        <v>6</v>
      </c>
      <c r="AJ76" s="187" t="str">
        <f>'CPI data'!AF48</f>
        <v>10</v>
      </c>
      <c r="AK76" s="187" t="str">
        <f>'CPI data'!AG48</f>
        <v>8</v>
      </c>
      <c r="AL76" s="187" t="str">
        <f>'CPI data'!AH48</f>
        <v>8</v>
      </c>
      <c r="AM76" s="187" t="str">
        <f>'CPI data'!AI48</f>
        <v>10</v>
      </c>
      <c r="AN76" s="187" t="str">
        <f>'CPI data'!AJ48</f>
        <v>8</v>
      </c>
      <c r="AO76" s="187">
        <f>'CPI data'!AK48</f>
        <v>0</v>
      </c>
      <c r="AP76" s="187" t="str">
        <f>'CPI data'!AL48</f>
        <v>-4</v>
      </c>
      <c r="AQ76" s="187" t="str">
        <f>'CPI data'!AM48</f>
        <v>-6</v>
      </c>
      <c r="AR76" s="187" t="str">
        <f>'CPI data'!AN48</f>
        <v>-10</v>
      </c>
      <c r="AS76" s="187" t="str">
        <f>'CPI data'!AO48</f>
        <v>8</v>
      </c>
      <c r="AT76" s="187" t="str">
        <f>'CPI data'!AP48</f>
        <v>9</v>
      </c>
      <c r="AU76" s="187" t="str">
        <f>'CPI data'!AQ48</f>
        <v>6</v>
      </c>
      <c r="AV76" s="187" t="str">
        <f>'CPI data'!AR48</f>
        <v>-10</v>
      </c>
      <c r="AW76" s="187" t="str">
        <f>'CPI data'!AS48</f>
        <v>8</v>
      </c>
      <c r="AX76" s="187" t="str">
        <f>'CPI data'!AT48</f>
        <v>9</v>
      </c>
    </row>
    <row r="77" spans="5:50" ht="21">
      <c r="E77" s="238" t="s">
        <v>48</v>
      </c>
      <c r="F77" s="187" t="str">
        <f>'CPI data'!B49</f>
        <v>10</v>
      </c>
      <c r="G77" s="187" t="str">
        <f>'CPI data'!C49</f>
        <v>10</v>
      </c>
      <c r="H77" s="187" t="str">
        <f>'CPI data'!D49</f>
        <v>10</v>
      </c>
      <c r="I77" s="187" t="str">
        <f>'CPI data'!E49</f>
        <v>10</v>
      </c>
      <c r="J77" s="187" t="str">
        <f>'CPI data'!F49</f>
        <v>10</v>
      </c>
      <c r="K77" s="187" t="str">
        <f>'CPI data'!G49</f>
        <v>10</v>
      </c>
      <c r="L77" s="187" t="str">
        <f>'CPI data'!H49</f>
        <v>10</v>
      </c>
      <c r="M77" s="187" t="str">
        <f>'CPI data'!I49</f>
        <v>10</v>
      </c>
      <c r="N77" s="187" t="str">
        <f>'CPI data'!J49</f>
        <v>10</v>
      </c>
      <c r="O77" s="187" t="str">
        <f>'CPI data'!K49</f>
        <v>6</v>
      </c>
      <c r="P77" s="187" t="str">
        <f>'CPI data'!L49</f>
        <v>-10</v>
      </c>
      <c r="Q77" s="187" t="str">
        <f>'CPI data'!M49</f>
        <v>6</v>
      </c>
      <c r="R77" s="187" t="str">
        <f>'CPI data'!N49</f>
        <v>8</v>
      </c>
      <c r="S77" s="187" t="str">
        <f>'CPI data'!O49</f>
        <v>8</v>
      </c>
      <c r="T77" s="187" t="str">
        <f>'CPI data'!P49</f>
        <v>8</v>
      </c>
      <c r="U77" s="187" t="str">
        <f>'CPI data'!Q49</f>
        <v>-10</v>
      </c>
      <c r="V77" s="187" t="str">
        <f>'CPI data'!R49</f>
        <v>6</v>
      </c>
      <c r="W77" s="187" t="str">
        <f>'CPI data'!S49</f>
        <v>6</v>
      </c>
      <c r="X77" s="187" t="str">
        <f>'CPI data'!T49</f>
        <v>6</v>
      </c>
      <c r="Y77" s="187" t="str">
        <f>'CPI data'!U49</f>
        <v>-10</v>
      </c>
      <c r="Z77" s="187" t="str">
        <f>'CPI data'!V49</f>
        <v>-10</v>
      </c>
      <c r="AA77" s="187" t="str">
        <f>'CPI data'!W49</f>
        <v>8</v>
      </c>
      <c r="AB77" s="187" t="str">
        <f>'CPI data'!X49</f>
        <v>8</v>
      </c>
      <c r="AC77" s="187" t="str">
        <f>'CPI data'!Y49</f>
        <v>9</v>
      </c>
      <c r="AD77" s="187" t="str">
        <f>'CPI data'!Z49</f>
        <v>10</v>
      </c>
      <c r="AE77" s="187" t="str">
        <f>'CPI data'!AA49</f>
        <v>10</v>
      </c>
      <c r="AF77" s="187" t="str">
        <f>'CPI data'!AB49</f>
        <v>10</v>
      </c>
      <c r="AG77" s="187" t="str">
        <f>'CPI data'!AC49</f>
        <v>10</v>
      </c>
      <c r="AH77" s="187" t="str">
        <f>'CPI data'!AD49</f>
        <v>10</v>
      </c>
      <c r="AI77" s="187" t="str">
        <f>'CPI data'!AE49</f>
        <v>10</v>
      </c>
      <c r="AJ77" s="187" t="str">
        <f>'CPI data'!AF49</f>
        <v>9</v>
      </c>
      <c r="AK77" s="187" t="str">
        <f>'CPI data'!AG49</f>
        <v>9</v>
      </c>
      <c r="AL77" s="187" t="str">
        <f>'CPI data'!AH49</f>
        <v>10</v>
      </c>
      <c r="AM77" s="187" t="str">
        <f>'CPI data'!AI49</f>
        <v>10</v>
      </c>
      <c r="AN77" s="187" t="str">
        <f>'CPI data'!AJ49</f>
        <v>10</v>
      </c>
      <c r="AO77" s="187" t="str">
        <f>'CPI data'!AK49</f>
        <v>10</v>
      </c>
      <c r="AP77" s="187" t="str">
        <f>'CPI data'!AL49</f>
        <v>8</v>
      </c>
      <c r="AQ77" s="187" t="str">
        <f>'CPI data'!AM49</f>
        <v>9</v>
      </c>
      <c r="AR77" s="187" t="str">
        <f>'CPI data'!AN49</f>
        <v>10</v>
      </c>
      <c r="AS77" s="187" t="str">
        <f>'CPI data'!AO49</f>
        <v>10</v>
      </c>
      <c r="AT77" s="187" t="str">
        <f>'CPI data'!AP49</f>
        <v>10</v>
      </c>
      <c r="AU77" s="187" t="str">
        <f>'CPI data'!AQ49</f>
        <v>10</v>
      </c>
      <c r="AV77" s="187" t="str">
        <f>'CPI data'!AR49</f>
        <v>10</v>
      </c>
      <c r="AW77" s="187" t="str">
        <f>'CPI data'!AS49</f>
        <v>10</v>
      </c>
      <c r="AX77" s="187" t="str">
        <f>'CPI data'!AT49</f>
        <v>10</v>
      </c>
    </row>
    <row r="78" spans="5:50" ht="21">
      <c r="E78" s="238" t="s">
        <v>49</v>
      </c>
      <c r="F78" s="187" t="str">
        <f>'CPI data'!B50</f>
        <v>4</v>
      </c>
      <c r="G78" s="187" t="str">
        <f>'CPI data'!C50</f>
        <v>2</v>
      </c>
      <c r="H78" s="187" t="str">
        <f>'CPI data'!D50</f>
        <v>2</v>
      </c>
      <c r="I78" s="187" t="str">
        <f>'CPI data'!E50</f>
        <v>3</v>
      </c>
      <c r="J78" s="187" t="str">
        <f>'CPI data'!F50</f>
        <v>2</v>
      </c>
      <c r="K78" s="187" t="str">
        <f>'CPI data'!G50</f>
        <v>2</v>
      </c>
      <c r="L78" s="187" t="str">
        <f>'CPI data'!H50</f>
        <v>4</v>
      </c>
      <c r="M78" s="187" t="str">
        <f>'CPI data'!I50</f>
        <v>4</v>
      </c>
      <c r="N78" s="187" t="str">
        <f>'CPI data'!J50</f>
        <v>2</v>
      </c>
      <c r="O78" s="187" t="str">
        <f>'CPI data'!K50</f>
        <v>3</v>
      </c>
      <c r="P78" s="187" t="str">
        <f>'CPI data'!L50</f>
        <v>4</v>
      </c>
      <c r="Q78" s="187" t="str">
        <f>'CPI data'!M50</f>
        <v>10</v>
      </c>
      <c r="R78" s="187" t="str">
        <f>'CPI data'!N50</f>
        <v>6</v>
      </c>
      <c r="S78" s="187" t="str">
        <f>'CPI data'!O50</f>
        <v>8</v>
      </c>
      <c r="T78" s="187" t="str">
        <f>'CPI data'!P50</f>
        <v>8</v>
      </c>
      <c r="U78" s="187">
        <f>'CPI data'!Q50</f>
        <v>0</v>
      </c>
      <c r="V78" s="187" t="str">
        <f>'CPI data'!R50</f>
        <v>-6</v>
      </c>
      <c r="W78" s="187" t="str">
        <f>'CPI data'!S50</f>
        <v>-6</v>
      </c>
      <c r="X78" s="187" t="str">
        <f>'CPI data'!T50</f>
        <v>-6</v>
      </c>
      <c r="Y78" s="187">
        <f>'CPI data'!U50</f>
        <v>0</v>
      </c>
      <c r="Z78" s="187">
        <f>'CPI data'!V50</f>
        <v>0</v>
      </c>
      <c r="AA78" s="187" t="str">
        <f>'CPI data'!W50</f>
        <v>4</v>
      </c>
      <c r="AB78" s="187" t="str">
        <f>'CPI data'!X50</f>
        <v>6</v>
      </c>
      <c r="AC78" s="187">
        <f>'CPI data'!Y50</f>
        <v>0</v>
      </c>
      <c r="AD78" s="187" t="str">
        <f>'CPI data'!Z50</f>
        <v>6</v>
      </c>
      <c r="AE78" s="187" t="str">
        <f>'CPI data'!AA50</f>
        <v>6</v>
      </c>
      <c r="AF78" s="187" t="str">
        <f>'CPI data'!AB50</f>
        <v>6</v>
      </c>
      <c r="AG78" s="187" t="str">
        <f>'CPI data'!AC50</f>
        <v>6</v>
      </c>
      <c r="AH78" s="187" t="str">
        <f>'CPI data'!AD50</f>
        <v>4</v>
      </c>
      <c r="AI78" s="187" t="str">
        <f>'CPI data'!AE50</f>
        <v>4</v>
      </c>
      <c r="AJ78" s="187" t="str">
        <f>'CPI data'!AF50</f>
        <v>3</v>
      </c>
      <c r="AK78" s="187" t="str">
        <f>'CPI data'!AG50</f>
        <v>3</v>
      </c>
      <c r="AL78" s="187" t="str">
        <f>'CPI data'!AH50</f>
        <v>4</v>
      </c>
      <c r="AM78" s="187" t="str">
        <f>'CPI data'!AI50</f>
        <v>4</v>
      </c>
      <c r="AN78" s="187" t="str">
        <f>'CPI data'!AJ50</f>
        <v>10</v>
      </c>
      <c r="AO78" s="187" t="str">
        <f>'CPI data'!AK50</f>
        <v>4</v>
      </c>
      <c r="AP78" s="187" t="str">
        <f>'CPI data'!AL50</f>
        <v>6</v>
      </c>
      <c r="AQ78" s="187" t="str">
        <f>'CPI data'!AM50</f>
        <v>10</v>
      </c>
      <c r="AR78" s="187" t="str">
        <f>'CPI data'!AN50</f>
        <v>8</v>
      </c>
      <c r="AS78" s="187" t="str">
        <f>'CPI data'!AO50</f>
        <v>-4</v>
      </c>
      <c r="AT78" s="187" t="str">
        <f>'CPI data'!AP50</f>
        <v>-6</v>
      </c>
      <c r="AU78" s="187" t="str">
        <f>'CPI data'!AQ50</f>
        <v>-4</v>
      </c>
      <c r="AV78" s="187">
        <f>'CPI data'!AR50</f>
        <v>0</v>
      </c>
      <c r="AW78" s="187" t="str">
        <f>'CPI data'!AS50</f>
        <v>-6</v>
      </c>
      <c r="AX78" s="187">
        <f>'CPI data'!AT50</f>
        <v>0</v>
      </c>
    </row>
    <row r="79" spans="5:50" ht="21">
      <c r="E79" s="239" t="s">
        <v>15</v>
      </c>
      <c r="F79" s="187" t="str">
        <f>'CPI data'!B51</f>
        <v>10</v>
      </c>
      <c r="G79" s="187" t="str">
        <f>'CPI data'!C51</f>
        <v>10</v>
      </c>
      <c r="H79" s="187" t="str">
        <f>'CPI data'!D51</f>
        <v>10</v>
      </c>
      <c r="I79" s="187" t="str">
        <f>'CPI data'!E51</f>
        <v>10</v>
      </c>
      <c r="J79" s="187" t="str">
        <f>'CPI data'!F51</f>
        <v>10</v>
      </c>
      <c r="K79" s="187" t="str">
        <f>'CPI data'!G51</f>
        <v>10</v>
      </c>
      <c r="L79" s="187" t="str">
        <f>'CPI data'!H51</f>
        <v>10</v>
      </c>
      <c r="M79" s="187" t="str">
        <f>'CPI data'!I51</f>
        <v>6</v>
      </c>
      <c r="N79" s="187" t="str">
        <f>'CPI data'!J51</f>
        <v>-6</v>
      </c>
      <c r="O79" s="187" t="str">
        <f>'CPI data'!K51</f>
        <v>4</v>
      </c>
      <c r="P79" s="187" t="str">
        <f>'CPI data'!L51</f>
        <v>8</v>
      </c>
      <c r="Q79" s="187" t="str">
        <f>'CPI data'!M51</f>
        <v>6</v>
      </c>
      <c r="R79" s="187">
        <f>'CPI data'!N51</f>
        <v>0</v>
      </c>
      <c r="S79" s="187" t="str">
        <f>'CPI data'!O51</f>
        <v>4</v>
      </c>
      <c r="T79" s="187" t="str">
        <f>'CPI data'!P51</f>
        <v>6</v>
      </c>
      <c r="U79" s="187" t="str">
        <f>'CPI data'!Q51</f>
        <v>4</v>
      </c>
      <c r="V79" s="187" t="str">
        <f>'CPI data'!R51</f>
        <v>4</v>
      </c>
      <c r="W79" s="187" t="str">
        <f>'CPI data'!S51</f>
        <v>4</v>
      </c>
      <c r="X79" s="187">
        <f>'CPI data'!T51</f>
        <v>0</v>
      </c>
      <c r="Y79" s="187" t="str">
        <f>'CPI data'!U51</f>
        <v>-4</v>
      </c>
      <c r="Z79" s="187">
        <f>'CPI data'!V51</f>
        <v>0</v>
      </c>
      <c r="AA79" s="187">
        <f>'CPI data'!W51</f>
        <v>0</v>
      </c>
      <c r="AB79" s="187" t="str">
        <f>'CPI data'!X51</f>
        <v>-4</v>
      </c>
      <c r="AC79" s="187" t="str">
        <f>'CPI data'!Y51</f>
        <v>-6</v>
      </c>
      <c r="AD79" s="187" t="str">
        <f>'CPI data'!Z51</f>
        <v>-6</v>
      </c>
      <c r="AE79" s="187" t="str">
        <f>'CPI data'!AA51</f>
        <v>4</v>
      </c>
      <c r="AF79" s="187">
        <f>'CPI data'!AB51</f>
        <v>0</v>
      </c>
      <c r="AG79" s="187" t="str">
        <f>'CPI data'!AC51</f>
        <v>-6</v>
      </c>
      <c r="AH79" s="187" t="str">
        <f>'CPI data'!AD51</f>
        <v>-4</v>
      </c>
      <c r="AI79" s="187">
        <f>'CPI data'!AE51</f>
        <v>0</v>
      </c>
      <c r="AJ79" s="187" t="str">
        <f>'CPI data'!AF51</f>
        <v>-4</v>
      </c>
      <c r="AK79" s="187">
        <f>'CPI data'!AG51</f>
        <v>0</v>
      </c>
      <c r="AL79" s="187" t="str">
        <f>'CPI data'!AH51</f>
        <v>4</v>
      </c>
      <c r="AM79" s="187">
        <f>'CPI data'!AI51</f>
        <v>0</v>
      </c>
      <c r="AN79" s="187">
        <f>'CPI data'!AJ51</f>
        <v>0</v>
      </c>
      <c r="AO79" s="187" t="str">
        <f>'CPI data'!AK51</f>
        <v>6</v>
      </c>
      <c r="AP79" s="187" t="str">
        <f>'CPI data'!AL51</f>
        <v>6</v>
      </c>
      <c r="AQ79" s="187">
        <f>'CPI data'!AM51</f>
        <v>0</v>
      </c>
      <c r="AR79" s="187" t="str">
        <f>'CPI data'!AN51</f>
        <v>-4</v>
      </c>
      <c r="AS79" s="187" t="str">
        <f>'CPI data'!AO51</f>
        <v>-4</v>
      </c>
      <c r="AT79" s="187">
        <f>'CPI data'!AP51</f>
        <v>0</v>
      </c>
      <c r="AU79" s="187">
        <f>'CPI data'!AQ51</f>
        <v>0</v>
      </c>
      <c r="AV79" s="187">
        <f>'CPI data'!AR51</f>
        <v>0</v>
      </c>
      <c r="AW79" s="187" t="str">
        <f>'CPI data'!AS51</f>
        <v>-6</v>
      </c>
      <c r="AX79" s="187" t="str">
        <f>'CPI data'!AT51</f>
        <v>-6</v>
      </c>
    </row>
    <row r="80" spans="5:50" ht="21">
      <c r="E80" s="238" t="s">
        <v>12</v>
      </c>
      <c r="F80" s="187">
        <f>'CPI data'!B52</f>
        <v>0</v>
      </c>
      <c r="G80" s="187">
        <f>'CPI data'!C52</f>
        <v>0</v>
      </c>
      <c r="H80" s="187">
        <f>'CPI data'!D52</f>
        <v>0</v>
      </c>
      <c r="I80" s="187">
        <f>'CPI data'!E52</f>
        <v>0</v>
      </c>
      <c r="J80" s="187">
        <f>'CPI data'!F52</f>
        <v>0</v>
      </c>
      <c r="K80" s="187">
        <f>'CPI data'!G52</f>
        <v>0</v>
      </c>
      <c r="L80" s="187">
        <f>'CPI data'!H52</f>
        <v>0</v>
      </c>
      <c r="M80" s="187">
        <f>'CPI data'!I52</f>
        <v>0</v>
      </c>
      <c r="N80" s="187">
        <f>'CPI data'!J52</f>
        <v>0</v>
      </c>
      <c r="O80" s="187">
        <f>'CPI data'!K52</f>
        <v>0</v>
      </c>
      <c r="P80" s="187">
        <f>'CPI data'!L52</f>
        <v>0</v>
      </c>
      <c r="Q80" s="187">
        <f>'CPI data'!M52</f>
        <v>0</v>
      </c>
      <c r="R80" s="187">
        <f>'CPI data'!N52</f>
        <v>0</v>
      </c>
      <c r="S80" s="187">
        <f>'CPI data'!O52</f>
        <v>0</v>
      </c>
      <c r="T80" s="187">
        <f>'CPI data'!P52</f>
        <v>0</v>
      </c>
      <c r="U80" s="187">
        <f>'CPI data'!Q52</f>
        <v>0</v>
      </c>
      <c r="V80" s="187">
        <f>'CPI data'!R52</f>
        <v>0</v>
      </c>
      <c r="W80" s="187">
        <f>'CPI data'!S52</f>
        <v>0</v>
      </c>
      <c r="X80" s="187">
        <f>'CPI data'!T52</f>
        <v>0</v>
      </c>
      <c r="Y80" s="187">
        <f>'CPI data'!U52</f>
        <v>0</v>
      </c>
      <c r="Z80" s="187">
        <f>'CPI data'!V52</f>
        <v>0</v>
      </c>
      <c r="AA80" s="187">
        <f>'CPI data'!W52</f>
        <v>0</v>
      </c>
      <c r="AB80" s="187">
        <f>'CPI data'!X52</f>
        <v>0</v>
      </c>
      <c r="AC80" s="187">
        <f>'CPI data'!Y52</f>
        <v>0</v>
      </c>
      <c r="AD80" s="187">
        <f>'CPI data'!Z52</f>
        <v>0</v>
      </c>
      <c r="AE80" s="187">
        <f>'CPI data'!AA52</f>
        <v>0</v>
      </c>
      <c r="AF80" s="187">
        <f>'CPI data'!AB52</f>
        <v>0</v>
      </c>
      <c r="AG80" s="187" t="str">
        <f>'CPI data'!AC52</f>
        <v>4</v>
      </c>
      <c r="AH80" s="187" t="str">
        <f>'CPI data'!AD52</f>
        <v>4</v>
      </c>
      <c r="AI80" s="187">
        <f>'CPI data'!AE52</f>
        <v>0</v>
      </c>
      <c r="AJ80" s="187" t="str">
        <f>'CPI data'!AF52</f>
        <v>10</v>
      </c>
      <c r="AK80" s="187" t="str">
        <f>'CPI data'!AG52</f>
        <v>6</v>
      </c>
      <c r="AL80" s="187" t="str">
        <f>'CPI data'!AH52</f>
        <v>4</v>
      </c>
      <c r="AM80" s="187" t="str">
        <f>'CPI data'!AI52</f>
        <v>3</v>
      </c>
      <c r="AN80" s="187" t="str">
        <f>'CPI data'!AJ52</f>
        <v>6</v>
      </c>
      <c r="AO80" s="187" t="str">
        <f>'CPI data'!AK52</f>
        <v>3</v>
      </c>
      <c r="AP80" s="187" t="str">
        <f>'CPI data'!AL52</f>
        <v>2</v>
      </c>
      <c r="AQ80" s="187" t="str">
        <f>'CPI data'!AM52</f>
        <v>3</v>
      </c>
      <c r="AR80" s="187" t="str">
        <f>'CPI data'!AN52</f>
        <v>2</v>
      </c>
      <c r="AS80" s="187" t="str">
        <f>'CPI data'!AO52</f>
        <v>6</v>
      </c>
      <c r="AT80" s="187" t="str">
        <f>'CPI data'!AP52</f>
        <v>8</v>
      </c>
      <c r="AU80" s="187" t="str">
        <f>'CPI data'!AQ52</f>
        <v>10</v>
      </c>
      <c r="AV80" s="187" t="str">
        <f>'CPI data'!AR52</f>
        <v>6</v>
      </c>
      <c r="AW80" s="187" t="str">
        <f>'CPI data'!AS52</f>
        <v>8</v>
      </c>
      <c r="AX80" s="187" t="str">
        <f>'CPI data'!AT52</f>
        <v>6</v>
      </c>
    </row>
    <row r="81" spans="5:50" ht="21">
      <c r="E81" s="239" t="s">
        <v>50</v>
      </c>
      <c r="F81" s="187" t="str">
        <f>'CPI data'!B53</f>
        <v>10</v>
      </c>
      <c r="G81" s="187" t="str">
        <f>'CPI data'!C53</f>
        <v>9</v>
      </c>
      <c r="H81" s="187" t="str">
        <f>'CPI data'!D53</f>
        <v>-4</v>
      </c>
      <c r="I81" s="187" t="str">
        <f>'CPI data'!E53</f>
        <v>-10</v>
      </c>
      <c r="J81" s="187">
        <f>'CPI data'!F53</f>
        <v>0</v>
      </c>
      <c r="K81" s="187" t="str">
        <f>'CPI data'!G53</f>
        <v>6</v>
      </c>
      <c r="L81" s="187" t="str">
        <f>'CPI data'!H53</f>
        <v>4</v>
      </c>
      <c r="M81" s="187" t="str">
        <f>'CPI data'!I53</f>
        <v>6</v>
      </c>
      <c r="N81" s="187" t="str">
        <f>'CPI data'!J53</f>
        <v>6</v>
      </c>
      <c r="O81" s="187" t="str">
        <f>'CPI data'!K53</f>
        <v>3</v>
      </c>
      <c r="P81" s="187" t="str">
        <f>'CPI data'!L53</f>
        <v>2</v>
      </c>
      <c r="Q81" s="187" t="str">
        <f>'CPI data'!M53</f>
        <v>3</v>
      </c>
      <c r="R81" s="187" t="str">
        <f>'CPI data'!N53</f>
        <v>6</v>
      </c>
      <c r="S81" s="187" t="str">
        <f>'CPI data'!O53</f>
        <v>4</v>
      </c>
      <c r="T81" s="187" t="str">
        <f>'CPI data'!P53</f>
        <v>4</v>
      </c>
      <c r="U81" s="187" t="str">
        <f>'CPI data'!Q53</f>
        <v>10</v>
      </c>
      <c r="V81" s="187" t="str">
        <f>'CPI data'!R53</f>
        <v>8</v>
      </c>
      <c r="W81" s="187" t="str">
        <f>'CPI data'!S53</f>
        <v>8</v>
      </c>
      <c r="X81" s="187" t="str">
        <f>'CPI data'!T53</f>
        <v>-6</v>
      </c>
      <c r="Y81" s="187">
        <f>'CPI data'!U53</f>
        <v>0</v>
      </c>
      <c r="Z81" s="187" t="str">
        <f>'CPI data'!V53</f>
        <v>6</v>
      </c>
      <c r="AA81" s="187" t="str">
        <f>'CPI data'!W53</f>
        <v>4</v>
      </c>
      <c r="AB81" s="187">
        <f>'CPI data'!X53</f>
        <v>0</v>
      </c>
      <c r="AC81" s="187" t="str">
        <f>'CPI data'!Y53</f>
        <v>-4</v>
      </c>
      <c r="AD81" s="187">
        <f>'CPI data'!Z53</f>
        <v>0</v>
      </c>
      <c r="AE81" s="187" t="str">
        <f>'CPI data'!AA53</f>
        <v>4</v>
      </c>
      <c r="AF81" s="187" t="str">
        <f>'CPI data'!AB53</f>
        <v>4</v>
      </c>
      <c r="AG81" s="187" t="str">
        <f>'CPI data'!AC53</f>
        <v>6</v>
      </c>
      <c r="AH81" s="187" t="str">
        <f>'CPI data'!AD53</f>
        <v>8</v>
      </c>
      <c r="AI81" s="187" t="str">
        <f>'CPI data'!AE53</f>
        <v>8</v>
      </c>
      <c r="AJ81" s="187" t="str">
        <f>'CPI data'!AF53</f>
        <v>10</v>
      </c>
      <c r="AK81" s="187" t="str">
        <f>'CPI data'!AG53</f>
        <v>10</v>
      </c>
      <c r="AL81" s="187" t="str">
        <f>'CPI data'!AH53</f>
        <v>8</v>
      </c>
      <c r="AM81" s="187" t="str">
        <f>'CPI data'!AI53</f>
        <v>10</v>
      </c>
      <c r="AN81" s="187" t="str">
        <f>'CPI data'!AJ53</f>
        <v>10</v>
      </c>
      <c r="AO81" s="187" t="str">
        <f>'CPI data'!AK53</f>
        <v>10</v>
      </c>
      <c r="AP81" s="187" t="str">
        <f>'CPI data'!AL53</f>
        <v>4</v>
      </c>
      <c r="AQ81" s="187" t="str">
        <f>'CPI data'!AM53</f>
        <v>6</v>
      </c>
      <c r="AR81" s="187" t="str">
        <f>'CPI data'!AN53</f>
        <v>6</v>
      </c>
      <c r="AS81" s="187" t="str">
        <f>'CPI data'!AO53</f>
        <v>10</v>
      </c>
      <c r="AT81" s="187" t="str">
        <f>'CPI data'!AP53</f>
        <v>10</v>
      </c>
      <c r="AU81" s="187" t="str">
        <f>'CPI data'!AQ53</f>
        <v>6</v>
      </c>
      <c r="AV81" s="187" t="str">
        <f>'CPI data'!AR53</f>
        <v>8</v>
      </c>
      <c r="AW81" s="187" t="str">
        <f>'CPI data'!AS53</f>
        <v>6</v>
      </c>
      <c r="AX81" s="187" t="str">
        <f>'CPI data'!AT53</f>
        <v>4</v>
      </c>
    </row>
    <row r="82" spans="5:50" ht="21">
      <c r="E82" s="240" t="s">
        <v>51</v>
      </c>
      <c r="F82" s="187" t="str">
        <f>'CPI data'!B54</f>
        <v>10</v>
      </c>
      <c r="G82" s="187" t="str">
        <f>'CPI data'!C54</f>
        <v>10</v>
      </c>
      <c r="H82" s="187" t="str">
        <f>'CPI data'!D54</f>
        <v>10</v>
      </c>
      <c r="I82" s="187" t="str">
        <f>'CPI data'!E54</f>
        <v>10</v>
      </c>
      <c r="J82" s="187" t="str">
        <f>'CPI data'!F54</f>
        <v>10</v>
      </c>
      <c r="K82" s="187" t="str">
        <f>'CPI data'!G54</f>
        <v>10</v>
      </c>
      <c r="L82" s="187" t="str">
        <f>'CPI data'!H54</f>
        <v>10</v>
      </c>
      <c r="M82" s="187" t="str">
        <f>'CPI data'!I54</f>
        <v>10</v>
      </c>
      <c r="N82" s="187" t="str">
        <f>'CPI data'!J54</f>
        <v>10</v>
      </c>
      <c r="O82" s="187" t="str">
        <f>'CPI data'!K54</f>
        <v>8</v>
      </c>
      <c r="P82" s="187" t="str">
        <f>'CPI data'!L54</f>
        <v>-8</v>
      </c>
      <c r="Q82" s="187" t="str">
        <f>'CPI data'!M54</f>
        <v>-6</v>
      </c>
      <c r="R82" s="187" t="str">
        <f>'CPI data'!N54</f>
        <v>-10</v>
      </c>
      <c r="S82" s="187" t="str">
        <f>'CPI data'!O54</f>
        <v>-4</v>
      </c>
      <c r="T82" s="187" t="str">
        <f>'CPI data'!P54</f>
        <v>4</v>
      </c>
      <c r="U82" s="187" t="str">
        <f>'CPI data'!Q54</f>
        <v>10</v>
      </c>
      <c r="V82" s="187" t="str">
        <f>'CPI data'!R54</f>
        <v>6</v>
      </c>
      <c r="W82" s="187" t="str">
        <f>'CPI data'!S54</f>
        <v>10</v>
      </c>
      <c r="X82" s="187" t="str">
        <f>'CPI data'!T54</f>
        <v>8</v>
      </c>
      <c r="Y82" s="187" t="str">
        <f>'CPI data'!U54</f>
        <v>4</v>
      </c>
      <c r="Z82" s="187" t="str">
        <f>'CPI data'!V54</f>
        <v>8</v>
      </c>
      <c r="AA82" s="187" t="str">
        <f>'CPI data'!W54</f>
        <v>4</v>
      </c>
      <c r="AB82" s="187">
        <f>'CPI data'!X54</f>
        <v>0</v>
      </c>
      <c r="AC82" s="187" t="str">
        <f>'CPI data'!Y54</f>
        <v>6</v>
      </c>
      <c r="AD82" s="187">
        <f>'CPI data'!Z54</f>
        <v>0</v>
      </c>
      <c r="AE82" s="187">
        <f>'CPI data'!AA54</f>
        <v>0</v>
      </c>
      <c r="AF82" s="187" t="str">
        <f>'CPI data'!AB54</f>
        <v>-4</v>
      </c>
      <c r="AG82" s="187" t="str">
        <f>'CPI data'!AC54</f>
        <v>6</v>
      </c>
      <c r="AH82" s="187" t="str">
        <f>'CPI data'!AD54</f>
        <v>-10</v>
      </c>
      <c r="AI82" s="187" t="str">
        <f>'CPI data'!AE54</f>
        <v>-10</v>
      </c>
      <c r="AJ82" s="187" t="str">
        <f>'CPI data'!AF54</f>
        <v>-10</v>
      </c>
      <c r="AK82" s="187" t="str">
        <f>'CPI data'!AG54</f>
        <v>-10</v>
      </c>
      <c r="AL82" s="187" t="str">
        <f>'CPI data'!AH54</f>
        <v>-8</v>
      </c>
      <c r="AM82" s="187" t="str">
        <f>'CPI data'!AI54</f>
        <v>-10</v>
      </c>
      <c r="AN82" s="187" t="str">
        <f>'CPI data'!AJ54</f>
        <v>-6</v>
      </c>
      <c r="AO82" s="187" t="str">
        <f>'CPI data'!AK54</f>
        <v>-8</v>
      </c>
      <c r="AP82" s="187" t="str">
        <f>'CPI data'!AL54</f>
        <v>-6</v>
      </c>
      <c r="AQ82" s="187" t="str">
        <f>'CPI data'!AM54</f>
        <v>-6</v>
      </c>
      <c r="AR82" s="187">
        <f>'CPI data'!AN54</f>
        <v>0</v>
      </c>
      <c r="AS82" s="187" t="str">
        <f>'CPI data'!AO54</f>
        <v>10</v>
      </c>
      <c r="AT82" s="187" t="str">
        <f>'CPI data'!AP54</f>
        <v>4</v>
      </c>
      <c r="AU82" s="187" t="str">
        <f>'CPI data'!AQ54</f>
        <v>10</v>
      </c>
      <c r="AV82" s="187" t="str">
        <f>'CPI data'!AR54</f>
        <v>6</v>
      </c>
      <c r="AW82" s="187" t="str">
        <f>'CPI data'!AS54</f>
        <v>8</v>
      </c>
      <c r="AX82" s="187">
        <f>'CPI data'!AT54</f>
        <v>0</v>
      </c>
    </row>
    <row r="83" spans="5:50" ht="21">
      <c r="E83" s="240" t="s">
        <v>52</v>
      </c>
      <c r="F83" s="187" t="str">
        <f>'CPI data'!B55</f>
        <v>10</v>
      </c>
      <c r="G83" s="187" t="str">
        <f>'CPI data'!C55</f>
        <v>10</v>
      </c>
      <c r="H83" s="187" t="str">
        <f>'CPI data'!D55</f>
        <v>10</v>
      </c>
      <c r="I83" s="187" t="str">
        <f>'CPI data'!E55</f>
        <v>10</v>
      </c>
      <c r="J83" s="187" t="str">
        <f>'CPI data'!F55</f>
        <v>10</v>
      </c>
      <c r="K83" s="187" t="str">
        <f>'CPI data'!G55</f>
        <v>10</v>
      </c>
      <c r="L83" s="187" t="str">
        <f>'CPI data'!H55</f>
        <v>10</v>
      </c>
      <c r="M83" s="187" t="str">
        <f>'CPI data'!I55</f>
        <v>10</v>
      </c>
      <c r="N83" s="187" t="str">
        <f>'CPI data'!J55</f>
        <v>10</v>
      </c>
      <c r="O83" s="187" t="str">
        <f>'CPI data'!K55</f>
        <v>6</v>
      </c>
      <c r="P83" s="187" t="str">
        <f>'CPI data'!L55</f>
        <v>-10</v>
      </c>
      <c r="Q83" s="187" t="str">
        <f>'CPI data'!M55</f>
        <v>8</v>
      </c>
      <c r="R83" s="187" t="str">
        <f>'CPI data'!N55</f>
        <v>9</v>
      </c>
      <c r="S83" s="187" t="str">
        <f>'CPI data'!O55</f>
        <v>-6</v>
      </c>
      <c r="T83" s="187" t="str">
        <f>'CPI data'!P55</f>
        <v>-6</v>
      </c>
      <c r="U83" s="187" t="str">
        <f>'CPI data'!Q55</f>
        <v>4</v>
      </c>
      <c r="V83" s="187" t="str">
        <f>'CPI data'!R55</f>
        <v>8</v>
      </c>
      <c r="W83" s="187" t="str">
        <f>'CPI data'!S55</f>
        <v>8</v>
      </c>
      <c r="X83" s="187" t="str">
        <f>'CPI data'!T55</f>
        <v>6</v>
      </c>
      <c r="Y83" s="187" t="str">
        <f>'CPI data'!U55</f>
        <v>8</v>
      </c>
      <c r="Z83" s="187" t="str">
        <f>'CPI data'!V55</f>
        <v>8</v>
      </c>
      <c r="AA83" s="187">
        <f>'CPI data'!W55</f>
        <v>0</v>
      </c>
      <c r="AB83" s="187" t="str">
        <f>'CPI data'!X55</f>
        <v>4</v>
      </c>
      <c r="AC83" s="187" t="str">
        <f>'CPI data'!Y55</f>
        <v>10</v>
      </c>
      <c r="AD83" s="187" t="str">
        <f>'CPI data'!Z55</f>
        <v>10</v>
      </c>
      <c r="AE83" s="187" t="str">
        <f>'CPI data'!AA55</f>
        <v>10</v>
      </c>
      <c r="AF83" s="187" t="str">
        <f>'CPI data'!AB55</f>
        <v>10</v>
      </c>
      <c r="AG83" s="187">
        <f>'CPI data'!AC55</f>
        <v>0</v>
      </c>
      <c r="AH83" s="187">
        <f>'CPI data'!AD55</f>
        <v>0</v>
      </c>
      <c r="AI83" s="187" t="str">
        <f>'CPI data'!AE55</f>
        <v>-4</v>
      </c>
      <c r="AJ83" s="187" t="str">
        <f>'CPI data'!AF55</f>
        <v>-8</v>
      </c>
      <c r="AK83" s="187" t="str">
        <f>'CPI data'!AG55</f>
        <v>-10</v>
      </c>
      <c r="AL83" s="187" t="str">
        <f>'CPI data'!AH55</f>
        <v>-10</v>
      </c>
      <c r="AM83" s="187" t="str">
        <f>'CPI data'!AI55</f>
        <v>-6</v>
      </c>
      <c r="AN83" s="187" t="str">
        <f>'CPI data'!AJ55</f>
        <v>-4</v>
      </c>
      <c r="AO83" s="187" t="str">
        <f>'CPI data'!AK55</f>
        <v>6</v>
      </c>
      <c r="AP83" s="187" t="str">
        <f>'CPI data'!AL55</f>
        <v>8</v>
      </c>
      <c r="AQ83" s="187" t="str">
        <f>'CPI data'!AM55</f>
        <v>9</v>
      </c>
      <c r="AR83" s="187" t="str">
        <f>'CPI data'!AN55</f>
        <v>9</v>
      </c>
      <c r="AS83" s="187" t="str">
        <f>'CPI data'!AO55</f>
        <v>8</v>
      </c>
      <c r="AT83" s="187" t="str">
        <f>'CPI data'!AP55</f>
        <v>6</v>
      </c>
      <c r="AU83" s="187" t="str">
        <f>'CPI data'!AQ55</f>
        <v>-10</v>
      </c>
      <c r="AV83" s="187" t="str">
        <f>'CPI data'!AR55</f>
        <v>-10</v>
      </c>
      <c r="AW83" s="187" t="str">
        <f>'CPI data'!AS55</f>
        <v>-10</v>
      </c>
      <c r="AX83" s="187" t="str">
        <f>'CPI data'!AT55</f>
        <v>9</v>
      </c>
    </row>
    <row r="84" spans="5:50" ht="21">
      <c r="E84" s="240" t="s">
        <v>53</v>
      </c>
      <c r="F84" s="187" t="str">
        <f>'CPI data'!B56</f>
        <v>10</v>
      </c>
      <c r="G84" s="187" t="str">
        <f>'CPI data'!C56</f>
        <v>10</v>
      </c>
      <c r="H84" s="187" t="str">
        <f>'CPI data'!D56</f>
        <v>10</v>
      </c>
      <c r="I84" s="187" t="str">
        <f>'CPI data'!E56</f>
        <v>10</v>
      </c>
      <c r="J84" s="187" t="str">
        <f>'CPI data'!F56</f>
        <v>10</v>
      </c>
      <c r="K84" s="187" t="str">
        <f>'CPI data'!G56</f>
        <v>10</v>
      </c>
      <c r="L84" s="187" t="str">
        <f>'CPI data'!H56</f>
        <v>10</v>
      </c>
      <c r="M84" s="187" t="str">
        <f>'CPI data'!I56</f>
        <v>10</v>
      </c>
      <c r="N84" s="187" t="str">
        <f>'CPI data'!J56</f>
        <v>10</v>
      </c>
      <c r="O84" s="187" t="str">
        <f>'CPI data'!K56</f>
        <v>10</v>
      </c>
      <c r="P84" s="187" t="str">
        <f>'CPI data'!L56</f>
        <v>10</v>
      </c>
      <c r="Q84" s="187" t="str">
        <f>'CPI data'!M56</f>
        <v>10</v>
      </c>
      <c r="R84" s="187" t="str">
        <f>'CPI data'!N56</f>
        <v>10</v>
      </c>
      <c r="S84" s="187" t="str">
        <f>'CPI data'!O56</f>
        <v>10</v>
      </c>
      <c r="T84" s="187" t="str">
        <f>'CPI data'!P56</f>
        <v>10</v>
      </c>
      <c r="U84" s="187" t="str">
        <f>'CPI data'!Q56</f>
        <v>-10</v>
      </c>
      <c r="V84" s="187" t="str">
        <f>'CPI data'!R56</f>
        <v>-6</v>
      </c>
      <c r="W84" s="187" t="str">
        <f>'CPI data'!S56</f>
        <v>-8</v>
      </c>
      <c r="X84" s="187" t="str">
        <f>'CPI data'!T56</f>
        <v>-10</v>
      </c>
      <c r="Y84" s="187" t="str">
        <f>'CPI data'!U56</f>
        <v>-10</v>
      </c>
      <c r="Z84" s="187" t="str">
        <f>'CPI data'!V56</f>
        <v>-10</v>
      </c>
      <c r="AA84" s="187" t="str">
        <f>'CPI data'!W56</f>
        <v>9</v>
      </c>
      <c r="AB84" s="187" t="str">
        <f>'CPI data'!X56</f>
        <v>10</v>
      </c>
      <c r="AC84" s="187" t="str">
        <f>'CPI data'!Y56</f>
        <v>10</v>
      </c>
      <c r="AD84" s="187" t="str">
        <f>'CPI data'!Z56</f>
        <v>10</v>
      </c>
      <c r="AE84" s="187" t="str">
        <f>'CPI data'!AA56</f>
        <v>10</v>
      </c>
      <c r="AF84" s="187" t="str">
        <f>'CPI data'!AB56</f>
        <v>10</v>
      </c>
      <c r="AG84" s="187" t="str">
        <f>'CPI data'!AC56</f>
        <v>10</v>
      </c>
      <c r="AH84" s="187" t="str">
        <f>'CPI data'!AD56</f>
        <v>10</v>
      </c>
      <c r="AI84" s="187" t="str">
        <f>'CPI data'!AE56</f>
        <v>10</v>
      </c>
      <c r="AJ84" s="187" t="str">
        <f>'CPI data'!AF56</f>
        <v>10</v>
      </c>
      <c r="AK84" s="187" t="str">
        <f>'CPI data'!AG56</f>
        <v>10</v>
      </c>
      <c r="AL84" s="187" t="str">
        <f>'CPI data'!AH56</f>
        <v>10</v>
      </c>
      <c r="AM84" s="187" t="str">
        <f>'CPI data'!AI56</f>
        <v>10</v>
      </c>
      <c r="AN84" s="187" t="str">
        <f>'CPI data'!AJ56</f>
        <v>10</v>
      </c>
      <c r="AO84" s="187" t="str">
        <f>'CPI data'!AK56</f>
        <v>10</v>
      </c>
      <c r="AP84" s="187" t="str">
        <f>'CPI data'!AL56</f>
        <v>10</v>
      </c>
      <c r="AQ84" s="187" t="str">
        <f>'CPI data'!AM56</f>
        <v>10</v>
      </c>
      <c r="AR84" s="187" t="str">
        <f>'CPI data'!AN56</f>
        <v>10</v>
      </c>
      <c r="AS84" s="187" t="str">
        <f>'CPI data'!AO56</f>
        <v>10</v>
      </c>
      <c r="AT84" s="187" t="str">
        <f>'CPI data'!AP56</f>
        <v>10</v>
      </c>
      <c r="AU84" s="187" t="str">
        <f>'CPI data'!AQ56</f>
        <v>10</v>
      </c>
      <c r="AV84" s="187" t="str">
        <f>'CPI data'!AR56</f>
        <v>10</v>
      </c>
      <c r="AW84" s="187" t="str">
        <f>'CPI data'!AS56</f>
        <v>10</v>
      </c>
      <c r="AX84" s="187" t="str">
        <f>'CPI data'!AT56</f>
        <v>10</v>
      </c>
    </row>
    <row r="85" spans="5:50" ht="21">
      <c r="E85" s="240" t="s">
        <v>54</v>
      </c>
      <c r="F85" s="187" t="str">
        <f>'CPI data'!B57</f>
        <v>10</v>
      </c>
      <c r="G85" s="187" t="str">
        <f>'CPI data'!C57</f>
        <v>10</v>
      </c>
      <c r="H85" s="187" t="str">
        <f>'CPI data'!D57</f>
        <v>10</v>
      </c>
      <c r="I85" s="187" t="str">
        <f>'CPI data'!E57</f>
        <v>10</v>
      </c>
      <c r="J85" s="187" t="str">
        <f>'CPI data'!F57</f>
        <v>10</v>
      </c>
      <c r="K85" s="187" t="str">
        <f>'CPI data'!G57</f>
        <v>10</v>
      </c>
      <c r="L85" s="187" t="str">
        <f>'CPI data'!H57</f>
        <v>10</v>
      </c>
      <c r="M85" s="187" t="str">
        <f>'CPI data'!I57</f>
        <v>10</v>
      </c>
      <c r="N85" s="187" t="str">
        <f>'CPI data'!J57</f>
        <v>10</v>
      </c>
      <c r="O85" s="187" t="str">
        <f>'CPI data'!K57</f>
        <v>8</v>
      </c>
      <c r="P85" s="187" t="str">
        <f>'CPI data'!L57</f>
        <v>-8</v>
      </c>
      <c r="Q85" s="187" t="str">
        <f>'CPI data'!M57</f>
        <v>-6</v>
      </c>
      <c r="R85" s="187" t="str">
        <f>'CPI data'!N57</f>
        <v>-10</v>
      </c>
      <c r="S85" s="187" t="str">
        <f>'CPI data'!O57</f>
        <v>-6</v>
      </c>
      <c r="T85" s="187" t="str">
        <f>'CPI data'!P57</f>
        <v>-4</v>
      </c>
      <c r="U85" s="187" t="str">
        <f>'CPI data'!Q57</f>
        <v>6</v>
      </c>
      <c r="V85" s="187" t="str">
        <f>'CPI data'!R57</f>
        <v>10</v>
      </c>
      <c r="W85" s="187" t="str">
        <f>'CPI data'!S57</f>
        <v>8</v>
      </c>
      <c r="X85" s="187" t="str">
        <f>'CPI data'!T57</f>
        <v>4</v>
      </c>
      <c r="Y85" s="187" t="str">
        <f>'CPI data'!U57</f>
        <v>-4</v>
      </c>
      <c r="Z85" s="187">
        <f>'CPI data'!V57</f>
        <v>0</v>
      </c>
      <c r="AA85" s="187" t="str">
        <f>'CPI data'!W57</f>
        <v>-4</v>
      </c>
      <c r="AB85" s="187" t="str">
        <f>'CPI data'!X57</f>
        <v>-8</v>
      </c>
      <c r="AC85" s="187" t="str">
        <f>'CPI data'!Y57</f>
        <v>-8</v>
      </c>
      <c r="AD85" s="187" t="str">
        <f>'CPI data'!Z57</f>
        <v>-10</v>
      </c>
      <c r="AE85" s="187" t="str">
        <f>'CPI data'!AA57</f>
        <v>-4</v>
      </c>
      <c r="AF85" s="187" t="str">
        <f>'CPI data'!AB57</f>
        <v>-4</v>
      </c>
      <c r="AG85" s="187" t="str">
        <f>'CPI data'!AC57</f>
        <v>9</v>
      </c>
      <c r="AH85" s="187" t="str">
        <f>'CPI data'!AD57</f>
        <v>9</v>
      </c>
      <c r="AI85" s="187" t="str">
        <f>'CPI data'!AE57</f>
        <v>9</v>
      </c>
      <c r="AJ85" s="187" t="str">
        <f>'CPI data'!AF57</f>
        <v>10</v>
      </c>
      <c r="AK85" s="187" t="str">
        <f>'CPI data'!AG57</f>
        <v>10</v>
      </c>
      <c r="AL85" s="187" t="str">
        <f>'CPI data'!AH57</f>
        <v>8</v>
      </c>
      <c r="AM85" s="187" t="str">
        <f>'CPI data'!AI57</f>
        <v>8</v>
      </c>
      <c r="AN85" s="187" t="str">
        <f>'CPI data'!AJ57</f>
        <v>-10</v>
      </c>
      <c r="AO85" s="187" t="str">
        <f>'CPI data'!AK57</f>
        <v>-10</v>
      </c>
      <c r="AP85" s="187" t="str">
        <f>'CPI data'!AL57</f>
        <v>-8</v>
      </c>
      <c r="AQ85" s="187" t="str">
        <f>'CPI data'!AM57</f>
        <v>6</v>
      </c>
      <c r="AR85" s="187" t="str">
        <f>'CPI data'!AN57</f>
        <v>-10</v>
      </c>
      <c r="AS85" s="187">
        <f>'CPI data'!AO57</f>
        <v>0</v>
      </c>
      <c r="AT85" s="187" t="str">
        <f>'CPI data'!AP57</f>
        <v>6</v>
      </c>
      <c r="AU85" s="187" t="str">
        <f>'CPI data'!AQ57</f>
        <v>4</v>
      </c>
      <c r="AV85" s="187">
        <f>'CPI data'!AR57</f>
        <v>0</v>
      </c>
      <c r="AW85" s="187">
        <f>'CPI data'!AS57</f>
        <v>0</v>
      </c>
      <c r="AX85" s="187" t="str">
        <f>'CPI data'!AT57</f>
        <v>-8</v>
      </c>
    </row>
    <row r="86" spans="5:50" ht="21">
      <c r="E86" s="240" t="s">
        <v>55</v>
      </c>
      <c r="F86" s="187" t="str">
        <f>'CPI data'!B58</f>
        <v>10</v>
      </c>
      <c r="G86" s="187" t="str">
        <f>'CPI data'!C58</f>
        <v>10</v>
      </c>
      <c r="H86" s="187" t="str">
        <f>'CPI data'!D58</f>
        <v>10</v>
      </c>
      <c r="I86" s="187" t="str">
        <f>'CPI data'!E58</f>
        <v>10</v>
      </c>
      <c r="J86" s="187" t="str">
        <f>'CPI data'!F58</f>
        <v>10</v>
      </c>
      <c r="K86" s="187" t="str">
        <f>'CPI data'!G58</f>
        <v>10</v>
      </c>
      <c r="L86" s="187" t="str">
        <f>'CPI data'!H58</f>
        <v>10</v>
      </c>
      <c r="M86" s="187" t="str">
        <f>'CPI data'!I58</f>
        <v>8</v>
      </c>
      <c r="N86" s="187" t="str">
        <f>'CPI data'!J58</f>
        <v>-10</v>
      </c>
      <c r="O86" s="187" t="str">
        <f>'CPI data'!K58</f>
        <v>4</v>
      </c>
      <c r="P86" s="187" t="str">
        <f>'CPI data'!L58</f>
        <v>6</v>
      </c>
      <c r="Q86" s="187" t="str">
        <f>'CPI data'!M58</f>
        <v>-6</v>
      </c>
      <c r="R86" s="187" t="str">
        <f>'CPI data'!N58</f>
        <v>-6</v>
      </c>
      <c r="S86" s="187">
        <f>'CPI data'!O58</f>
        <v>0</v>
      </c>
      <c r="T86" s="187" t="str">
        <f>'CPI data'!P58</f>
        <v>4</v>
      </c>
      <c r="U86" s="187" t="str">
        <f>'CPI data'!Q58</f>
        <v>6</v>
      </c>
      <c r="V86" s="187" t="str">
        <f>'CPI data'!R58</f>
        <v>2</v>
      </c>
      <c r="W86" s="187" t="str">
        <f>'CPI data'!S58</f>
        <v>3</v>
      </c>
      <c r="X86" s="187" t="str">
        <f>'CPI data'!T58</f>
        <v>6</v>
      </c>
      <c r="Y86" s="187" t="str">
        <f>'CPI data'!U58</f>
        <v>6</v>
      </c>
      <c r="Z86" s="187" t="str">
        <f>'CPI data'!V58</f>
        <v>6</v>
      </c>
      <c r="AA86" s="187" t="str">
        <f>'CPI data'!W58</f>
        <v>-4</v>
      </c>
      <c r="AB86" s="187" t="str">
        <f>'CPI data'!X58</f>
        <v>-4</v>
      </c>
      <c r="AC86" s="187">
        <f>'CPI data'!Y58</f>
        <v>0</v>
      </c>
      <c r="AD86" s="187" t="str">
        <f>'CPI data'!Z58</f>
        <v>-6</v>
      </c>
      <c r="AE86" s="187" t="str">
        <f>'CPI data'!AA58</f>
        <v>-6</v>
      </c>
      <c r="AF86" s="187" t="str">
        <f>'CPI data'!AB58</f>
        <v>-4</v>
      </c>
      <c r="AG86" s="187" t="str">
        <f>'CPI data'!AC58</f>
        <v>-10</v>
      </c>
      <c r="AH86" s="187" t="str">
        <f>'CPI data'!AD58</f>
        <v>6</v>
      </c>
      <c r="AI86" s="187" t="str">
        <f>'CPI data'!AE58</f>
        <v>9</v>
      </c>
      <c r="AJ86" s="187" t="str">
        <f>'CPI data'!AF58</f>
        <v>-8</v>
      </c>
      <c r="AK86" s="187" t="str">
        <f>'CPI data'!AG58</f>
        <v>-6</v>
      </c>
      <c r="AL86" s="187" t="str">
        <f>'CPI data'!AH58</f>
        <v>-4</v>
      </c>
      <c r="AM86" s="187" t="str">
        <f>'CPI data'!AI58</f>
        <v>4</v>
      </c>
      <c r="AN86" s="187" t="str">
        <f>'CPI data'!AJ58</f>
        <v>4</v>
      </c>
      <c r="AO86" s="187" t="str">
        <f>'CPI data'!AK58</f>
        <v>6</v>
      </c>
      <c r="AP86" s="187" t="str">
        <f>'CPI data'!AL58</f>
        <v>8</v>
      </c>
      <c r="AQ86" s="187" t="str">
        <f>'CPI data'!AM58</f>
        <v>8</v>
      </c>
      <c r="AR86" s="187" t="str">
        <f>'CPI data'!AN58</f>
        <v>6</v>
      </c>
      <c r="AS86" s="187" t="str">
        <f>'CPI data'!AO58</f>
        <v>4</v>
      </c>
      <c r="AT86" s="187" t="str">
        <f>'CPI data'!AP58</f>
        <v>6</v>
      </c>
      <c r="AU86" s="187" t="str">
        <f>'CPI data'!AQ58</f>
        <v>6</v>
      </c>
      <c r="AV86" s="187" t="str">
        <f>'CPI data'!AR58</f>
        <v>6</v>
      </c>
      <c r="AW86" s="187" t="str">
        <f>'CPI data'!AS58</f>
        <v>10</v>
      </c>
      <c r="AX86" s="187" t="str">
        <f>'CPI data'!AT58</f>
        <v>6</v>
      </c>
    </row>
    <row r="87" spans="5:50" ht="21">
      <c r="E87" s="241" t="s">
        <v>56</v>
      </c>
      <c r="F87" s="187" t="str">
        <f>'CPI data'!B59</f>
        <v>10</v>
      </c>
      <c r="G87" s="187" t="str">
        <f>'CPI data'!C59</f>
        <v>10</v>
      </c>
      <c r="H87" s="187" t="str">
        <f>'CPI data'!D59</f>
        <v>10</v>
      </c>
      <c r="I87" s="187" t="str">
        <f>'CPI data'!E59</f>
        <v>10</v>
      </c>
      <c r="J87" s="187" t="str">
        <f>'CPI data'!F59</f>
        <v>10</v>
      </c>
      <c r="K87" s="187" t="str">
        <f>'CPI data'!G59</f>
        <v>10</v>
      </c>
      <c r="L87" s="187" t="str">
        <f>'CPI data'!H59</f>
        <v>6</v>
      </c>
      <c r="M87" s="187" t="str">
        <f>'CPI data'!I59</f>
        <v>-10</v>
      </c>
      <c r="N87" s="187" t="str">
        <f>'CPI data'!J59</f>
        <v>-10</v>
      </c>
      <c r="O87" s="187">
        <f>'CPI data'!K59</f>
        <v>0</v>
      </c>
      <c r="P87" s="187" t="str">
        <f>'CPI data'!L59</f>
        <v>8</v>
      </c>
      <c r="Q87" s="187" t="str">
        <f>'CPI data'!M59</f>
        <v>8</v>
      </c>
      <c r="R87" s="187">
        <f>'CPI data'!N59</f>
        <v>0</v>
      </c>
      <c r="S87" s="187" t="str">
        <f>'CPI data'!O59</f>
        <v>6</v>
      </c>
      <c r="T87" s="187" t="str">
        <f>'CPI data'!P59</f>
        <v>8</v>
      </c>
      <c r="U87" s="187" t="str">
        <f>'CPI data'!Q59</f>
        <v>10</v>
      </c>
      <c r="V87" s="187" t="str">
        <f>'CPI data'!R59</f>
        <v>6</v>
      </c>
      <c r="W87" s="187" t="str">
        <f>'CPI data'!S59</f>
        <v>6</v>
      </c>
      <c r="X87" s="187">
        <f>'CPI data'!T59</f>
        <v>0</v>
      </c>
      <c r="Y87" s="187">
        <f>'CPI data'!U59</f>
        <v>0</v>
      </c>
      <c r="Z87" s="187" t="str">
        <f>'CPI data'!V59</f>
        <v>6</v>
      </c>
      <c r="AA87" s="187">
        <f>'CPI data'!W59</f>
        <v>0</v>
      </c>
      <c r="AB87" s="187" t="str">
        <f>'CPI data'!X59</f>
        <v>-6</v>
      </c>
      <c r="AC87" s="187" t="str">
        <f>'CPI data'!Y59</f>
        <v>-4</v>
      </c>
      <c r="AD87" s="187" t="str">
        <f>'CPI data'!Z59</f>
        <v>-6</v>
      </c>
      <c r="AE87" s="187" t="str">
        <f>'CPI data'!AA59</f>
        <v>-4</v>
      </c>
      <c r="AF87" s="187">
        <f>'CPI data'!AB59</f>
        <v>0</v>
      </c>
      <c r="AG87" s="187" t="str">
        <f>'CPI data'!AC59</f>
        <v>-8</v>
      </c>
      <c r="AH87" s="187" t="str">
        <f>'CPI data'!AD59</f>
        <v>-8</v>
      </c>
      <c r="AI87" s="187" t="str">
        <f>'CPI data'!AE59</f>
        <v>-10</v>
      </c>
      <c r="AJ87" s="187" t="str">
        <f>'CPI data'!AF59</f>
        <v>-8</v>
      </c>
      <c r="AK87" s="187" t="str">
        <f>'CPI data'!AG59</f>
        <v>-8</v>
      </c>
      <c r="AL87" s="187" t="str">
        <f>'CPI data'!AH59</f>
        <v>-8</v>
      </c>
      <c r="AM87" s="187" t="str">
        <f>'CPI data'!AI59</f>
        <v>-6</v>
      </c>
      <c r="AN87" s="187">
        <f>'CPI data'!AJ59</f>
        <v>0</v>
      </c>
      <c r="AO87" s="187" t="str">
        <f>'CPI data'!AK59</f>
        <v>-4</v>
      </c>
      <c r="AP87" s="187">
        <f>'CPI data'!AL59</f>
        <v>0</v>
      </c>
      <c r="AQ87" s="187">
        <f>'CPI data'!AM59</f>
        <v>0</v>
      </c>
      <c r="AR87" s="187" t="str">
        <f>'CPI data'!AN59</f>
        <v>-4</v>
      </c>
      <c r="AS87" s="187" t="str">
        <f>'CPI data'!AO59</f>
        <v>6</v>
      </c>
      <c r="AT87" s="187" t="str">
        <f>'CPI data'!AP59</f>
        <v>6</v>
      </c>
      <c r="AU87" s="187" t="str">
        <f>'CPI data'!AQ59</f>
        <v>4</v>
      </c>
      <c r="AV87" s="187" t="str">
        <f>'CPI data'!AR59</f>
        <v>8</v>
      </c>
      <c r="AW87" s="187" t="str">
        <f>'CPI data'!AS59</f>
        <v>8</v>
      </c>
      <c r="AX87" s="187">
        <f>'CPI data'!AT59</f>
        <v>0</v>
      </c>
    </row>
    <row r="88" spans="5:50" ht="21">
      <c r="E88" s="242" t="s">
        <v>57</v>
      </c>
      <c r="F88" s="187" t="str">
        <f>'CPI data'!B60</f>
        <v>10</v>
      </c>
      <c r="G88" s="187">
        <f>'CPI data'!C60</f>
        <v>0</v>
      </c>
      <c r="H88" s="187" t="str">
        <f>'CPI data'!D60</f>
        <v>4</v>
      </c>
      <c r="I88" s="187" t="str">
        <f>'CPI data'!E60</f>
        <v>10</v>
      </c>
      <c r="J88" s="187" t="str">
        <f>'CPI data'!F60</f>
        <v>10</v>
      </c>
      <c r="K88" s="187" t="str">
        <f>'CPI data'!G60</f>
        <v>4</v>
      </c>
      <c r="L88" s="187" t="str">
        <f>'CPI data'!H60</f>
        <v>3</v>
      </c>
      <c r="M88" s="187" t="str">
        <f>'CPI data'!I60</f>
        <v>4</v>
      </c>
      <c r="N88" s="187" t="str">
        <f>'CPI data'!J60</f>
        <v>6</v>
      </c>
      <c r="O88" s="187" t="str">
        <f>'CPI data'!K60</f>
        <v>4</v>
      </c>
      <c r="P88" s="187" t="str">
        <f>'CPI data'!L60</f>
        <v>4</v>
      </c>
      <c r="Q88" s="187" t="str">
        <f>'CPI data'!M60</f>
        <v>10</v>
      </c>
      <c r="R88" s="187" t="str">
        <f>'CPI data'!N60</f>
        <v>10</v>
      </c>
      <c r="S88" s="187" t="str">
        <f>'CPI data'!O60</f>
        <v>4</v>
      </c>
      <c r="T88" s="187" t="str">
        <f>'CPI data'!P60</f>
        <v>3</v>
      </c>
      <c r="U88" s="187" t="str">
        <f>'CPI data'!Q60</f>
        <v>10</v>
      </c>
      <c r="V88" s="187" t="str">
        <f>'CPI data'!R60</f>
        <v>4</v>
      </c>
      <c r="W88" s="187" t="str">
        <f>'CPI data'!S60</f>
        <v>4</v>
      </c>
      <c r="X88" s="187" t="str">
        <f>'CPI data'!T60</f>
        <v>4</v>
      </c>
      <c r="Y88" s="187" t="str">
        <f>'CPI data'!U60</f>
        <v>2</v>
      </c>
      <c r="Z88" s="187" t="str">
        <f>'CPI data'!V60</f>
        <v>3</v>
      </c>
      <c r="AA88" s="187" t="str">
        <f>'CPI data'!W60</f>
        <v>3</v>
      </c>
      <c r="AB88" s="187" t="str">
        <f>'CPI data'!X60</f>
        <v>2</v>
      </c>
      <c r="AC88" s="187" t="str">
        <f>'CPI data'!Y60</f>
        <v>2</v>
      </c>
      <c r="AD88" s="187" t="str">
        <f>'CPI data'!Z60</f>
        <v>2</v>
      </c>
      <c r="AE88" s="187" t="str">
        <f>'CPI data'!AA60</f>
        <v>2</v>
      </c>
      <c r="AF88" s="187" t="str">
        <f>'CPI data'!AB60</f>
        <v>2</v>
      </c>
      <c r="AG88" s="187" t="str">
        <f>'CPI data'!AC60</f>
        <v>2</v>
      </c>
      <c r="AH88" s="187" t="str">
        <f>'CPI data'!AD60</f>
        <v>2</v>
      </c>
      <c r="AI88" s="187" t="str">
        <f>'CPI data'!AE60</f>
        <v>2</v>
      </c>
      <c r="AJ88" s="187" t="str">
        <f>'CPI data'!AF60</f>
        <v>2</v>
      </c>
      <c r="AK88" s="187" t="str">
        <f>'CPI data'!AG60</f>
        <v>2</v>
      </c>
      <c r="AL88" s="187" t="str">
        <f>'CPI data'!AH60</f>
        <v>2</v>
      </c>
      <c r="AM88" s="187" t="str">
        <f>'CPI data'!AI60</f>
        <v>2</v>
      </c>
      <c r="AN88" s="187" t="str">
        <f>'CPI data'!AJ60</f>
        <v>2</v>
      </c>
      <c r="AO88" s="187" t="str">
        <f>'CPI data'!AK60</f>
        <v>2</v>
      </c>
      <c r="AP88" s="187" t="str">
        <f>'CPI data'!AL60</f>
        <v>4</v>
      </c>
      <c r="AQ88" s="187" t="str">
        <f>'CPI data'!AM60</f>
        <v>6</v>
      </c>
      <c r="AR88" s="187" t="str">
        <f>'CPI data'!AN60</f>
        <v>6</v>
      </c>
      <c r="AS88" s="187" t="str">
        <f>'CPI data'!AO60</f>
        <v>8</v>
      </c>
      <c r="AT88" s="187" t="str">
        <f>'CPI data'!AP60</f>
        <v>10</v>
      </c>
      <c r="AU88" s="187" t="str">
        <f>'CPI data'!AQ60</f>
        <v>10</v>
      </c>
      <c r="AV88" s="187" t="str">
        <f>'CPI data'!AR60</f>
        <v>4</v>
      </c>
      <c r="AW88" s="187" t="str">
        <f>'CPI data'!AS60</f>
        <v>10</v>
      </c>
      <c r="AX88" s="187" t="str">
        <f>'CPI data'!AT60</f>
        <v>10</v>
      </c>
    </row>
    <row r="89" spans="5:50" ht="21">
      <c r="E89" s="243" t="s">
        <v>10</v>
      </c>
      <c r="F89" s="187" t="str">
        <f>'CPI data'!B61</f>
        <v>-10</v>
      </c>
      <c r="G89" s="187" t="str">
        <f>'CPI data'!C61</f>
        <v>-8</v>
      </c>
      <c r="H89" s="187" t="str">
        <f>'CPI data'!D61</f>
        <v>6</v>
      </c>
      <c r="I89" s="187" t="str">
        <f>'CPI data'!E61</f>
        <v>9</v>
      </c>
      <c r="J89" s="187" t="str">
        <f>'CPI data'!F61</f>
        <v>8</v>
      </c>
      <c r="K89" s="187" t="str">
        <f>'CPI data'!G61</f>
        <v>10</v>
      </c>
      <c r="L89" s="187" t="str">
        <f>'CPI data'!H61</f>
        <v>9</v>
      </c>
      <c r="M89" s="187" t="str">
        <f>'CPI data'!I61</f>
        <v>8</v>
      </c>
      <c r="N89" s="187" t="str">
        <f>'CPI data'!J61</f>
        <v>10</v>
      </c>
      <c r="O89" s="187" t="str">
        <f>'CPI data'!K61</f>
        <v>9</v>
      </c>
      <c r="P89" s="187" t="str">
        <f>'CPI data'!L61</f>
        <v>6</v>
      </c>
      <c r="Q89" s="187">
        <f>'CPI data'!M61</f>
        <v>0</v>
      </c>
      <c r="R89" s="187" t="str">
        <f>'CPI data'!N61</f>
        <v>-4</v>
      </c>
      <c r="S89" s="187" t="str">
        <f>'CPI data'!O61</f>
        <v>-4</v>
      </c>
      <c r="T89" s="187">
        <f>'CPI data'!P61</f>
        <v>0</v>
      </c>
      <c r="U89" s="187" t="str">
        <f>'CPI data'!Q61</f>
        <v>-4</v>
      </c>
      <c r="V89" s="187" t="str">
        <f>'CPI data'!R61</f>
        <v>-8</v>
      </c>
      <c r="W89" s="187" t="str">
        <f>'CPI data'!S61</f>
        <v>-8</v>
      </c>
      <c r="X89" s="187" t="str">
        <f>'CPI data'!T61</f>
        <v>-6</v>
      </c>
      <c r="Y89" s="187" t="str">
        <f>'CPI data'!U61</f>
        <v>-4</v>
      </c>
      <c r="Z89" s="187" t="str">
        <f>'CPI data'!V61</f>
        <v>4</v>
      </c>
      <c r="AA89" s="187" t="str">
        <f>'CPI data'!W61</f>
        <v>6</v>
      </c>
      <c r="AB89" s="187" t="str">
        <f>'CPI data'!X61</f>
        <v>4</v>
      </c>
      <c r="AC89" s="187" t="str">
        <f>'CPI data'!Y61</f>
        <v>6</v>
      </c>
      <c r="AD89" s="187" t="str">
        <f>'CPI data'!Z61</f>
        <v>6</v>
      </c>
      <c r="AE89" s="187" t="str">
        <f>'CPI data'!AA61</f>
        <v>6</v>
      </c>
      <c r="AF89" s="187">
        <f>'CPI data'!AB61</f>
        <v>0</v>
      </c>
      <c r="AG89" s="187">
        <f>'CPI data'!AC61</f>
        <v>0</v>
      </c>
      <c r="AH89" s="187" t="str">
        <f>'CPI data'!AD61</f>
        <v>4</v>
      </c>
      <c r="AI89" s="187" t="str">
        <f>'CPI data'!AE61</f>
        <v>8</v>
      </c>
      <c r="AJ89" s="187" t="str">
        <f>'CPI data'!AF61</f>
        <v>-4</v>
      </c>
      <c r="AK89" s="187" t="str">
        <f>'CPI data'!AG61</f>
        <v>-4</v>
      </c>
      <c r="AL89" s="187" t="str">
        <f>'CPI data'!AH61</f>
        <v>-6</v>
      </c>
      <c r="AM89" s="187" t="str">
        <f>'CPI data'!AI61</f>
        <v>-10</v>
      </c>
      <c r="AN89" s="187" t="str">
        <f>'CPI data'!AJ61</f>
        <v>-8</v>
      </c>
      <c r="AO89" s="187" t="str">
        <f>'CPI data'!AK61</f>
        <v>-10</v>
      </c>
      <c r="AP89" s="187" t="str">
        <f>'CPI data'!AL61</f>
        <v>8</v>
      </c>
      <c r="AQ89" s="187" t="str">
        <f>'CPI data'!AM61</f>
        <v>6</v>
      </c>
      <c r="AR89" s="187" t="str">
        <f>'CPI data'!AN61</f>
        <v>6</v>
      </c>
      <c r="AS89" s="187" t="str">
        <f>'CPI data'!AO61</f>
        <v>-6</v>
      </c>
      <c r="AT89" s="187" t="str">
        <f>'CPI data'!AP61</f>
        <v>4</v>
      </c>
      <c r="AU89" s="187" t="str">
        <f>'CPI data'!AQ61</f>
        <v>-4</v>
      </c>
      <c r="AV89" s="187">
        <f>'CPI data'!AR61</f>
        <v>0</v>
      </c>
      <c r="AW89" s="187" t="str">
        <f>'CPI data'!AS61</f>
        <v>-4</v>
      </c>
      <c r="AX89" s="187" t="str">
        <f>'CPI data'!AT61</f>
        <v>-6</v>
      </c>
    </row>
    <row r="90" spans="5:50" ht="21">
      <c r="E90" s="243" t="s">
        <v>58</v>
      </c>
      <c r="F90" s="187" t="str">
        <f>'CPI data'!B62</f>
        <v>10</v>
      </c>
      <c r="G90" s="187" t="str">
        <f>'CPI data'!C62</f>
        <v>10</v>
      </c>
      <c r="H90" s="187" t="str">
        <f>'CPI data'!D62</f>
        <v>10</v>
      </c>
      <c r="I90" s="187" t="str">
        <f>'CPI data'!E62</f>
        <v>10</v>
      </c>
      <c r="J90" s="187" t="str">
        <f>'CPI data'!F62</f>
        <v>10</v>
      </c>
      <c r="K90" s="187" t="str">
        <f>'CPI data'!G62</f>
        <v>10</v>
      </c>
      <c r="L90" s="187" t="str">
        <f>'CPI data'!H62</f>
        <v>10</v>
      </c>
      <c r="M90" s="187" t="str">
        <f>'CPI data'!I62</f>
        <v>10</v>
      </c>
      <c r="N90" s="187" t="str">
        <f>'CPI data'!J62</f>
        <v>10</v>
      </c>
      <c r="O90" s="187" t="str">
        <f>'CPI data'!K62</f>
        <v>10</v>
      </c>
      <c r="P90" s="187" t="str">
        <f>'CPI data'!L62</f>
        <v>10</v>
      </c>
      <c r="Q90" s="187" t="str">
        <f>'CPI data'!M62</f>
        <v>9</v>
      </c>
      <c r="R90" s="187" t="str">
        <f>'CPI data'!N62</f>
        <v>10</v>
      </c>
      <c r="S90" s="187" t="str">
        <f>'CPI data'!O62</f>
        <v>10</v>
      </c>
      <c r="T90" s="187" t="str">
        <f>'CPI data'!P62</f>
        <v>10</v>
      </c>
      <c r="U90" s="187" t="str">
        <f>'CPI data'!Q62</f>
        <v>10</v>
      </c>
      <c r="V90" s="187" t="str">
        <f>'CPI data'!R62</f>
        <v>10</v>
      </c>
      <c r="W90" s="187" t="str">
        <f>'CPI data'!S62</f>
        <v>10</v>
      </c>
      <c r="X90" s="187" t="str">
        <f>'CPI data'!T62</f>
        <v>10</v>
      </c>
      <c r="Y90" s="187" t="str">
        <f>'CPI data'!U62</f>
        <v>8</v>
      </c>
      <c r="Z90" s="187" t="str">
        <f>'CPI data'!V62</f>
        <v>6</v>
      </c>
      <c r="AA90" s="187" t="str">
        <f>'CPI data'!W62</f>
        <v>8</v>
      </c>
      <c r="AB90" s="187" t="str">
        <f>'CPI data'!X62</f>
        <v>9</v>
      </c>
      <c r="AC90" s="187" t="str">
        <f>'CPI data'!Y62</f>
        <v>9</v>
      </c>
      <c r="AD90" s="187" t="str">
        <f>'CPI data'!Z62</f>
        <v>10</v>
      </c>
      <c r="AE90" s="187" t="str">
        <f>'CPI data'!AA62</f>
        <v>10</v>
      </c>
      <c r="AF90" s="187" t="str">
        <f>'CPI data'!AB62</f>
        <v>10</v>
      </c>
      <c r="AG90" s="187" t="str">
        <f>'CPI data'!AC62</f>
        <v>10</v>
      </c>
      <c r="AH90" s="187" t="str">
        <f>'CPI data'!AD62</f>
        <v>10</v>
      </c>
      <c r="AI90" s="187" t="str">
        <f>'CPI data'!AE62</f>
        <v>9</v>
      </c>
      <c r="AJ90" s="187" t="str">
        <f>'CPI data'!AF62</f>
        <v>10</v>
      </c>
      <c r="AK90" s="187" t="str">
        <f>'CPI data'!AG62</f>
        <v>10</v>
      </c>
      <c r="AL90" s="187" t="str">
        <f>'CPI data'!AH62</f>
        <v>10</v>
      </c>
      <c r="AM90" s="187" t="str">
        <f>'CPI data'!AI62</f>
        <v>10</v>
      </c>
      <c r="AN90" s="187" t="str">
        <f>'CPI data'!AJ62</f>
        <v>10</v>
      </c>
      <c r="AO90" s="187" t="str">
        <f>'CPI data'!AK62</f>
        <v>10</v>
      </c>
      <c r="AP90" s="187" t="str">
        <f>'CPI data'!AL62</f>
        <v>10</v>
      </c>
      <c r="AQ90" s="187" t="str">
        <f>'CPI data'!AM62</f>
        <v>10</v>
      </c>
      <c r="AR90" s="187" t="str">
        <f>'CPI data'!AN62</f>
        <v>10</v>
      </c>
      <c r="AS90" s="187" t="str">
        <f>'CPI data'!AO62</f>
        <v>10</v>
      </c>
      <c r="AT90" s="187" t="str">
        <f>'CPI data'!AP62</f>
        <v>10</v>
      </c>
      <c r="AU90" s="187" t="str">
        <f>'CPI data'!AQ62</f>
        <v>10</v>
      </c>
      <c r="AV90" s="187" t="str">
        <f>'CPI data'!AR62</f>
        <v>10</v>
      </c>
      <c r="AW90" s="187" t="str">
        <f>'CPI data'!AS62</f>
        <v>10</v>
      </c>
      <c r="AX90" s="187" t="str">
        <f>'CPI data'!AT62</f>
        <v>10</v>
      </c>
    </row>
    <row r="91" spans="5:50" ht="21">
      <c r="E91" s="243" t="s">
        <v>18</v>
      </c>
      <c r="F91" s="187" t="str">
        <f>'CPI data'!B63</f>
        <v>10</v>
      </c>
      <c r="G91" s="187" t="str">
        <f>'CPI data'!C63</f>
        <v>10</v>
      </c>
      <c r="H91" s="187" t="str">
        <f>'CPI data'!D63</f>
        <v>10</v>
      </c>
      <c r="I91" s="187" t="str">
        <f>'CPI data'!E63</f>
        <v>10</v>
      </c>
      <c r="J91" s="187" t="str">
        <f>'CPI data'!F63</f>
        <v>10</v>
      </c>
      <c r="K91" s="187" t="str">
        <f>'CPI data'!G63</f>
        <v>10</v>
      </c>
      <c r="L91" s="187" t="str">
        <f>'CPI data'!H63</f>
        <v>8</v>
      </c>
      <c r="M91" s="187" t="str">
        <f>'CPI data'!I63</f>
        <v>10</v>
      </c>
      <c r="N91" s="187" t="str">
        <f>'CPI data'!J63</f>
        <v>10</v>
      </c>
      <c r="O91" s="187" t="str">
        <f>'CPI data'!K63</f>
        <v>8</v>
      </c>
      <c r="P91" s="187" t="str">
        <f>'CPI data'!L63</f>
        <v>8</v>
      </c>
      <c r="Q91" s="187" t="str">
        <f>'CPI data'!M63</f>
        <v>-8</v>
      </c>
      <c r="R91" s="187" t="str">
        <f>'CPI data'!N63</f>
        <v>6</v>
      </c>
      <c r="S91" s="187" t="str">
        <f>'CPI data'!O63</f>
        <v>-6</v>
      </c>
      <c r="T91" s="187" t="str">
        <f>'CPI data'!P63</f>
        <v>-8</v>
      </c>
      <c r="U91" s="187" t="str">
        <f>'CPI data'!Q63</f>
        <v>-10</v>
      </c>
      <c r="V91" s="187" t="str">
        <f>'CPI data'!R63</f>
        <v>6</v>
      </c>
      <c r="W91" s="187" t="str">
        <f>'CPI data'!S63</f>
        <v>-10</v>
      </c>
      <c r="X91" s="187" t="str">
        <f>'CPI data'!T63</f>
        <v>-8</v>
      </c>
      <c r="Y91" s="187" t="str">
        <f>'CPI data'!U63</f>
        <v>4</v>
      </c>
      <c r="Z91" s="187" t="str">
        <f>'CPI data'!V63</f>
        <v>6</v>
      </c>
      <c r="AA91" s="187" t="str">
        <f>'CPI data'!W63</f>
        <v>4</v>
      </c>
      <c r="AB91" s="187" t="str">
        <f>'CPI data'!X63</f>
        <v>6</v>
      </c>
      <c r="AC91" s="187" t="str">
        <f>'CPI data'!Y63</f>
        <v>6</v>
      </c>
      <c r="AD91" s="187" t="str">
        <f>'CPI data'!Z63</f>
        <v>4</v>
      </c>
      <c r="AE91" s="187" t="str">
        <f>'CPI data'!AA63</f>
        <v>6</v>
      </c>
      <c r="AF91" s="187" t="str">
        <f>'CPI data'!AB63</f>
        <v>6</v>
      </c>
      <c r="AG91" s="187" t="str">
        <f>'CPI data'!AC63</f>
        <v>6</v>
      </c>
      <c r="AH91" s="187" t="str">
        <f>'CPI data'!AD63</f>
        <v>4</v>
      </c>
      <c r="AI91" s="187" t="str">
        <f>'CPI data'!AE63</f>
        <v>4</v>
      </c>
      <c r="AJ91" s="187">
        <f>'CPI data'!AF63</f>
        <v>0</v>
      </c>
      <c r="AK91" s="187" t="str">
        <f>'CPI data'!AG63</f>
        <v>-6</v>
      </c>
      <c r="AL91" s="187" t="str">
        <f>'CPI data'!AH63</f>
        <v>-8</v>
      </c>
      <c r="AM91" s="187" t="str">
        <f>'CPI data'!AI63</f>
        <v>-8</v>
      </c>
      <c r="AN91" s="187" t="str">
        <f>'CPI data'!AJ63</f>
        <v>-6</v>
      </c>
      <c r="AO91" s="187" t="str">
        <f>'CPI data'!AK63</f>
        <v>9</v>
      </c>
      <c r="AP91" s="187" t="str">
        <f>'CPI data'!AL63</f>
        <v>10</v>
      </c>
      <c r="AQ91" s="187" t="str">
        <f>'CPI data'!AM63</f>
        <v>10</v>
      </c>
      <c r="AR91" s="187" t="str">
        <f>'CPI data'!AN63</f>
        <v>10</v>
      </c>
      <c r="AS91" s="187" t="str">
        <f>'CPI data'!AO63</f>
        <v>10</v>
      </c>
      <c r="AT91" s="187" t="str">
        <f>'CPI data'!AP63</f>
        <v>10</v>
      </c>
      <c r="AU91" s="187" t="str">
        <f>'CPI data'!AQ63</f>
        <v>10</v>
      </c>
      <c r="AV91" s="187" t="str">
        <f>'CPI data'!AR63</f>
        <v>8</v>
      </c>
      <c r="AW91" s="187" t="str">
        <f>'CPI data'!AS63</f>
        <v>10</v>
      </c>
      <c r="AX91" s="187" t="str">
        <f>'CPI data'!AT63</f>
        <v>10</v>
      </c>
    </row>
    <row r="92" spans="5:50" ht="21">
      <c r="E92" s="244" t="s">
        <v>59</v>
      </c>
      <c r="F92" s="187" t="str">
        <f>'CPI data'!B64</f>
        <v>-8</v>
      </c>
      <c r="G92" s="187">
        <f>'CPI data'!C64</f>
        <v>0</v>
      </c>
      <c r="H92" s="187" t="str">
        <f>'CPI data'!D64</f>
        <v>6</v>
      </c>
      <c r="I92" s="187" t="str">
        <f>'CPI data'!E64</f>
        <v>-8</v>
      </c>
      <c r="J92" s="187" t="str">
        <f>'CPI data'!F64</f>
        <v>6</v>
      </c>
      <c r="K92" s="187" t="str">
        <f>'CPI data'!G64</f>
        <v>6</v>
      </c>
      <c r="L92" s="187" t="str">
        <f>'CPI data'!H64</f>
        <v>8</v>
      </c>
      <c r="M92" s="187" t="str">
        <f>'CPI data'!I64</f>
        <v>6</v>
      </c>
      <c r="N92" s="187">
        <f>'CPI data'!J64</f>
        <v>0</v>
      </c>
      <c r="O92" s="187" t="str">
        <f>'CPI data'!K64</f>
        <v>-4</v>
      </c>
      <c r="P92" s="187" t="str">
        <f>'CPI data'!L64</f>
        <v>6</v>
      </c>
      <c r="Q92" s="187" t="str">
        <f>'CPI data'!M64</f>
        <v>6</v>
      </c>
      <c r="R92" s="187" t="str">
        <f>'CPI data'!N64</f>
        <v>6</v>
      </c>
      <c r="S92" s="187" t="str">
        <f>'CPI data'!O64</f>
        <v>6</v>
      </c>
      <c r="T92" s="187" t="str">
        <f>'CPI data'!P64</f>
        <v>6</v>
      </c>
      <c r="U92" s="187" t="str">
        <f>'CPI data'!Q64</f>
        <v>-4</v>
      </c>
      <c r="V92" s="187" t="str">
        <f>'CPI data'!R64</f>
        <v>-8</v>
      </c>
      <c r="W92" s="187" t="str">
        <f>'CPI data'!S64</f>
        <v>-6</v>
      </c>
      <c r="X92" s="187" t="str">
        <f>'CPI data'!T64</f>
        <v>6</v>
      </c>
      <c r="Y92" s="187" t="str">
        <f>'CPI data'!U64</f>
        <v>-6</v>
      </c>
      <c r="Z92" s="187">
        <f>'CPI data'!V64</f>
        <v>0</v>
      </c>
      <c r="AA92" s="187">
        <f>'CPI data'!W64</f>
        <v>0</v>
      </c>
      <c r="AB92" s="187" t="str">
        <f>'CPI data'!X64</f>
        <v>-4</v>
      </c>
      <c r="AC92" s="187" t="str">
        <f>'CPI data'!Y64</f>
        <v>-4</v>
      </c>
      <c r="AD92" s="187">
        <f>'CPI data'!Z64</f>
        <v>0</v>
      </c>
      <c r="AE92" s="187">
        <f>'CPI data'!AA64</f>
        <v>0</v>
      </c>
      <c r="AF92" s="187">
        <f>'CPI data'!AB64</f>
        <v>0</v>
      </c>
      <c r="AG92" s="187" t="str">
        <f>'CPI data'!AC64</f>
        <v>4</v>
      </c>
      <c r="AH92" s="187" t="str">
        <f>'CPI data'!AD64</f>
        <v>6</v>
      </c>
      <c r="AI92" s="187" t="str">
        <f>'CPI data'!AE64</f>
        <v>8</v>
      </c>
      <c r="AJ92" s="187">
        <f>'CPI data'!AF64</f>
        <v>0</v>
      </c>
      <c r="AK92" s="187" t="str">
        <f>'CPI data'!AG64</f>
        <v>-4</v>
      </c>
      <c r="AL92" s="187" t="str">
        <f>'CPI data'!AH64</f>
        <v>-6</v>
      </c>
      <c r="AM92" s="187" t="str">
        <f>'CPI data'!AI64</f>
        <v>-8</v>
      </c>
      <c r="AN92" s="187" t="str">
        <f>'CPI data'!AJ64</f>
        <v>-4</v>
      </c>
      <c r="AO92" s="187" t="str">
        <f>'CPI data'!AK64</f>
        <v>-8</v>
      </c>
      <c r="AP92" s="187" t="str">
        <f>'CPI data'!AL64</f>
        <v>-8</v>
      </c>
      <c r="AQ92" s="187" t="str">
        <f>'CPI data'!AM64</f>
        <v>-6</v>
      </c>
      <c r="AR92" s="187" t="str">
        <f>'CPI data'!AN64</f>
        <v>8</v>
      </c>
      <c r="AS92" s="187">
        <f>'CPI data'!AO64</f>
        <v>0</v>
      </c>
      <c r="AT92" s="187">
        <f>'CPI data'!AP64</f>
        <v>0</v>
      </c>
      <c r="AU92" s="187" t="str">
        <f>'CPI data'!AQ64</f>
        <v>4</v>
      </c>
      <c r="AV92" s="187" t="str">
        <f>'CPI data'!AR64</f>
        <v>4</v>
      </c>
      <c r="AW92" s="187" t="str">
        <f>'CPI data'!AS64</f>
        <v>-4</v>
      </c>
      <c r="AX92" s="187" t="str">
        <f>'CPI data'!AT64</f>
        <v>-6</v>
      </c>
    </row>
    <row r="93" spans="5:50" ht="21">
      <c r="E93" s="244" t="s">
        <v>20</v>
      </c>
      <c r="F93" s="187" t="str">
        <f>'CPI data'!B65</f>
        <v>8</v>
      </c>
      <c r="G93" s="187" t="str">
        <f>'CPI data'!C65</f>
        <v>8</v>
      </c>
      <c r="H93" s="187" t="str">
        <f>'CPI data'!D65</f>
        <v>10</v>
      </c>
      <c r="I93" s="187" t="str">
        <f>'CPI data'!E65</f>
        <v>10</v>
      </c>
      <c r="J93" s="187" t="str">
        <f>'CPI data'!F65</f>
        <v>10</v>
      </c>
      <c r="K93" s="187" t="str">
        <f>'CPI data'!G65</f>
        <v>10</v>
      </c>
      <c r="L93" s="187" t="str">
        <f>'CPI data'!H65</f>
        <v>8</v>
      </c>
      <c r="M93" s="187" t="str">
        <f>'CPI data'!I65</f>
        <v>6</v>
      </c>
      <c r="N93" s="187" t="str">
        <f>'CPI data'!J65</f>
        <v>9</v>
      </c>
      <c r="O93" s="187" t="str">
        <f>'CPI data'!K65</f>
        <v>9</v>
      </c>
      <c r="P93" s="187" t="str">
        <f>'CPI data'!L65</f>
        <v>6</v>
      </c>
      <c r="Q93" s="187">
        <f>'CPI data'!M65</f>
        <v>0</v>
      </c>
      <c r="R93" s="187" t="str">
        <f>'CPI data'!N65</f>
        <v>-6</v>
      </c>
      <c r="S93" s="187" t="str">
        <f>'CPI data'!O65</f>
        <v>-6</v>
      </c>
      <c r="T93" s="187" t="str">
        <f>'CPI data'!P65</f>
        <v>-6</v>
      </c>
      <c r="U93" s="187" t="str">
        <f>'CPI data'!Q65</f>
        <v>-10</v>
      </c>
      <c r="V93" s="187" t="str">
        <f>'CPI data'!R65</f>
        <v>-10</v>
      </c>
      <c r="W93" s="187" t="str">
        <f>'CPI data'!S65</f>
        <v>-10</v>
      </c>
      <c r="X93" s="187" t="str">
        <f>'CPI data'!T65</f>
        <v>-10</v>
      </c>
      <c r="Y93" s="187" t="str">
        <f>'CPI data'!U65</f>
        <v>-8</v>
      </c>
      <c r="Z93" s="187" t="str">
        <f>'CPI data'!V65</f>
        <v>-6</v>
      </c>
      <c r="AA93" s="187">
        <f>'CPI data'!W65</f>
        <v>0</v>
      </c>
      <c r="AB93" s="187" t="str">
        <f>'CPI data'!X65</f>
        <v>-6</v>
      </c>
      <c r="AC93" s="187" t="str">
        <f>'CPI data'!Y65</f>
        <v>-6</v>
      </c>
      <c r="AD93" s="187" t="str">
        <f>'CPI data'!Z65</f>
        <v>-6</v>
      </c>
      <c r="AE93" s="187" t="str">
        <f>'CPI data'!AA65</f>
        <v>4</v>
      </c>
      <c r="AF93" s="187">
        <f>'CPI data'!AB65</f>
        <v>0</v>
      </c>
      <c r="AG93" s="187" t="str">
        <f>'CPI data'!AC65</f>
        <v>-8</v>
      </c>
      <c r="AH93" s="187" t="str">
        <f>'CPI data'!AD65</f>
        <v>-6</v>
      </c>
      <c r="AI93" s="187">
        <f>'CPI data'!AE65</f>
        <v>0</v>
      </c>
      <c r="AJ93" s="187" t="str">
        <f>'CPI data'!AF65</f>
        <v>6</v>
      </c>
      <c r="AK93" s="187" t="str">
        <f>'CPI data'!AG65</f>
        <v>6</v>
      </c>
      <c r="AL93" s="187" t="str">
        <f>'CPI data'!AH65</f>
        <v>6</v>
      </c>
      <c r="AM93" s="187" t="str">
        <f>'CPI data'!AI65</f>
        <v>8</v>
      </c>
      <c r="AN93" s="187" t="str">
        <f>'CPI data'!AJ65</f>
        <v>6</v>
      </c>
      <c r="AO93" s="187" t="str">
        <f>'CPI data'!AK65</f>
        <v>8</v>
      </c>
      <c r="AP93" s="187" t="str">
        <f>'CPI data'!AL65</f>
        <v>8</v>
      </c>
      <c r="AQ93" s="187" t="str">
        <f>'CPI data'!AM65</f>
        <v>10</v>
      </c>
      <c r="AR93" s="187" t="str">
        <f>'CPI data'!AN65</f>
        <v>10</v>
      </c>
      <c r="AS93" s="187" t="str">
        <f>'CPI data'!AO65</f>
        <v>8</v>
      </c>
      <c r="AT93" s="187" t="str">
        <f>'CPI data'!AP65</f>
        <v>-8</v>
      </c>
      <c r="AU93" s="187" t="str">
        <f>'CPI data'!AQ65</f>
        <v>-10</v>
      </c>
      <c r="AV93" s="187" t="str">
        <f>'CPI data'!AR65</f>
        <v>-6</v>
      </c>
      <c r="AW93" s="187" t="str">
        <f>'CPI data'!AS65</f>
        <v>-10</v>
      </c>
      <c r="AX93" s="187" t="str">
        <f>'CPI data'!AT65</f>
        <v>6</v>
      </c>
    </row>
    <row r="94" spans="5:50" ht="21">
      <c r="E94" s="245" t="s">
        <v>19</v>
      </c>
      <c r="F94" s="187" t="str">
        <f>'CPI data'!B66</f>
        <v>8</v>
      </c>
      <c r="G94" s="187" t="str">
        <f>'CPI data'!C66</f>
        <v>10</v>
      </c>
      <c r="H94" s="187" t="str">
        <f>'CPI data'!D66</f>
        <v>-10</v>
      </c>
      <c r="I94" s="187" t="str">
        <f>'CPI data'!E66</f>
        <v>-10</v>
      </c>
      <c r="J94" s="187" t="str">
        <f>'CPI data'!F66</f>
        <v>-4</v>
      </c>
      <c r="K94" s="187" t="str">
        <f>'CPI data'!G66</f>
        <v>6</v>
      </c>
      <c r="L94" s="187">
        <f>'CPI data'!H66</f>
        <v>0</v>
      </c>
      <c r="M94" s="187" t="str">
        <f>'CPI data'!I66</f>
        <v>-8</v>
      </c>
      <c r="N94" s="187" t="str">
        <f>'CPI data'!J66</f>
        <v>-8</v>
      </c>
      <c r="O94" s="187" t="str">
        <f>'CPI data'!K66</f>
        <v>4</v>
      </c>
      <c r="P94" s="187" t="str">
        <f>'CPI data'!L66</f>
        <v>-4</v>
      </c>
      <c r="Q94" s="187" t="str">
        <f>'CPI data'!M66</f>
        <v>-8</v>
      </c>
      <c r="R94" s="187" t="str">
        <f>'CPI data'!N66</f>
        <v>-8</v>
      </c>
      <c r="S94" s="187">
        <f>'CPI data'!O66</f>
        <v>0</v>
      </c>
      <c r="T94" s="187" t="str">
        <f>'CPI data'!P66</f>
        <v>-4</v>
      </c>
      <c r="U94" s="187" t="str">
        <f>'CPI data'!Q66</f>
        <v>-4</v>
      </c>
      <c r="V94" s="187">
        <f>'CPI data'!R66</f>
        <v>0</v>
      </c>
      <c r="W94" s="187">
        <f>'CPI data'!S66</f>
        <v>0</v>
      </c>
      <c r="X94" s="187" t="str">
        <f>'CPI data'!T66</f>
        <v>4</v>
      </c>
      <c r="Y94" s="187" t="str">
        <f>'CPI data'!U66</f>
        <v>10</v>
      </c>
      <c r="Z94" s="187" t="str">
        <f>'CPI data'!V66</f>
        <v>10</v>
      </c>
      <c r="AA94" s="187" t="str">
        <f>'CPI data'!W66</f>
        <v>4</v>
      </c>
      <c r="AB94" s="187" t="str">
        <f>'CPI data'!X66</f>
        <v>10</v>
      </c>
      <c r="AC94" s="187" t="str">
        <f>'CPI data'!Y66</f>
        <v>3</v>
      </c>
      <c r="AD94" s="187" t="str">
        <f>'CPI data'!Z66</f>
        <v>2</v>
      </c>
      <c r="AE94" s="187" t="str">
        <f>'CPI data'!AA66</f>
        <v>10</v>
      </c>
      <c r="AF94" s="187" t="str">
        <f>'CPI data'!AB66</f>
        <v>6</v>
      </c>
      <c r="AG94" s="187" t="str">
        <f>'CPI data'!AC66</f>
        <v>2</v>
      </c>
      <c r="AH94" s="187" t="str">
        <f>'CPI data'!AD66</f>
        <v>3</v>
      </c>
      <c r="AI94" s="187" t="str">
        <f>'CPI data'!AE66</f>
        <v>4</v>
      </c>
      <c r="AJ94" s="187" t="str">
        <f>'CPI data'!AF66</f>
        <v>4</v>
      </c>
      <c r="AK94" s="187" t="str">
        <f>'CPI data'!AG66</f>
        <v>8</v>
      </c>
      <c r="AL94" s="187" t="str">
        <f>'CPI data'!AH66</f>
        <v>6</v>
      </c>
      <c r="AM94" s="187" t="str">
        <f>'CPI data'!AI66</f>
        <v>8</v>
      </c>
      <c r="AN94" s="187" t="str">
        <f>'CPI data'!AJ66</f>
        <v>8</v>
      </c>
      <c r="AO94" s="187" t="str">
        <f>'CPI data'!AK66</f>
        <v>-4</v>
      </c>
      <c r="AP94" s="187" t="str">
        <f>'CPI data'!AL66</f>
        <v>-8</v>
      </c>
      <c r="AQ94" s="187" t="str">
        <f>'CPI data'!AM66</f>
        <v>-6</v>
      </c>
      <c r="AR94" s="187" t="str">
        <f>'CPI data'!AN66</f>
        <v>-10</v>
      </c>
      <c r="AS94" s="187" t="str">
        <f>'CPI data'!AO66</f>
        <v>8</v>
      </c>
      <c r="AT94" s="187" t="str">
        <f>'CPI data'!AP66</f>
        <v>9</v>
      </c>
      <c r="AU94" s="187" t="str">
        <f>'CPI data'!AQ66</f>
        <v>6</v>
      </c>
      <c r="AV94" s="187" t="str">
        <f>'CPI data'!AR66</f>
        <v>-10</v>
      </c>
      <c r="AW94" s="187" t="str">
        <f>'CPI data'!AS66</f>
        <v>-10</v>
      </c>
      <c r="AX94" s="187" t="str">
        <f>'CPI data'!AT66</f>
        <v>-10</v>
      </c>
    </row>
    <row r="95" spans="5:50"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 spans="5:50"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 spans="5:50">
      <c r="E97" s="247" t="s">
        <v>8</v>
      </c>
      <c r="F97" s="249">
        <v>44927</v>
      </c>
      <c r="G97" s="208">
        <v>44958</v>
      </c>
      <c r="H97" s="208">
        <v>44986</v>
      </c>
      <c r="I97" s="249">
        <v>45017</v>
      </c>
      <c r="J97" s="208">
        <v>45047</v>
      </c>
      <c r="K97" s="208">
        <v>45078</v>
      </c>
      <c r="L97" s="249">
        <v>45108</v>
      </c>
      <c r="M97" s="208">
        <v>45139</v>
      </c>
      <c r="N97" s="208">
        <v>45170</v>
      </c>
      <c r="O97" s="249">
        <v>45200</v>
      </c>
      <c r="P97" s="208">
        <v>45231</v>
      </c>
      <c r="Q97" s="208">
        <v>45261</v>
      </c>
      <c r="R97" s="249">
        <v>45292</v>
      </c>
      <c r="S97" s="208">
        <v>45323</v>
      </c>
      <c r="T97" s="208">
        <v>45352</v>
      </c>
      <c r="U97" s="249">
        <v>45383</v>
      </c>
      <c r="V97" s="208">
        <v>45413</v>
      </c>
      <c r="W97" s="208">
        <v>45444</v>
      </c>
      <c r="X97" s="249">
        <v>45474</v>
      </c>
      <c r="Y97" s="208">
        <v>45505</v>
      </c>
      <c r="Z97" s="208">
        <v>45536</v>
      </c>
      <c r="AA97" s="249">
        <v>45566</v>
      </c>
      <c r="AB97" s="208">
        <v>45597</v>
      </c>
      <c r="AC97" s="208">
        <v>45627</v>
      </c>
      <c r="AD97" s="249">
        <v>45658</v>
      </c>
      <c r="AE97" s="208">
        <v>45689</v>
      </c>
      <c r="AF97" s="208">
        <v>45717</v>
      </c>
      <c r="AG97" s="208">
        <v>45748</v>
      </c>
      <c r="AH97" s="208">
        <v>45778</v>
      </c>
      <c r="AI97" s="208">
        <v>45809</v>
      </c>
      <c r="AJ97" s="208">
        <v>45839</v>
      </c>
      <c r="AK97" s="208">
        <v>45870</v>
      </c>
      <c r="AL97" s="208">
        <v>45901</v>
      </c>
      <c r="AM97" s="208">
        <v>45931</v>
      </c>
      <c r="AN97" s="208">
        <v>45962</v>
      </c>
      <c r="AO97" s="208">
        <v>45992</v>
      </c>
      <c r="AP97" s="208">
        <v>46023</v>
      </c>
      <c r="AQ97" s="208">
        <v>46054</v>
      </c>
      <c r="AR97" s="208">
        <v>46082</v>
      </c>
      <c r="AS97" s="208">
        <v>46113</v>
      </c>
      <c r="AT97" s="208">
        <v>46143</v>
      </c>
      <c r="AU97" s="208">
        <v>46174</v>
      </c>
      <c r="AV97" s="208">
        <v>46204</v>
      </c>
      <c r="AW97" s="208">
        <v>46235</v>
      </c>
      <c r="AX97" s="208">
        <v>46266</v>
      </c>
    </row>
    <row r="98" spans="5:50" ht="21">
      <c r="E98" s="236" t="s">
        <v>16</v>
      </c>
      <c r="F98" s="187">
        <f>'FX RESERVE DATA'!N66</f>
        <v>-10</v>
      </c>
      <c r="G98" s="187">
        <f>'FX RESERVE DATA'!O66</f>
        <v>-10</v>
      </c>
      <c r="H98" s="187">
        <f>'FX RESERVE DATA'!P66</f>
        <v>-10</v>
      </c>
      <c r="I98" s="187">
        <f>'FX RESERVE DATA'!Q66</f>
        <v>-10</v>
      </c>
      <c r="J98" s="187">
        <f>'FX RESERVE DATA'!R66</f>
        <v>-10</v>
      </c>
      <c r="K98" s="187">
        <f>'FX RESERVE DATA'!S66</f>
        <v>-10</v>
      </c>
      <c r="L98" s="187">
        <f>'FX RESERVE DATA'!T66</f>
        <v>-10</v>
      </c>
      <c r="M98" s="187">
        <f>'FX RESERVE DATA'!U66</f>
        <v>-10</v>
      </c>
      <c r="N98" s="187">
        <f>'FX RESERVE DATA'!V66</f>
        <v>-3</v>
      </c>
      <c r="O98" s="187">
        <f>'FX RESERVE DATA'!W66</f>
        <v>10</v>
      </c>
      <c r="P98" s="187">
        <f>'FX RESERVE DATA'!X66</f>
        <v>10</v>
      </c>
      <c r="Q98" s="187">
        <f>'FX RESERVE DATA'!Y66</f>
        <v>10</v>
      </c>
      <c r="R98" s="187">
        <f>'FX RESERVE DATA'!Z66</f>
        <v>10</v>
      </c>
      <c r="S98" s="187">
        <f>'FX RESERVE DATA'!AA66</f>
        <v>10</v>
      </c>
      <c r="T98" s="187">
        <f>'FX RESERVE DATA'!AB66</f>
        <v>10</v>
      </c>
      <c r="U98" s="187">
        <f>'FX RESERVE DATA'!AC66</f>
        <v>4</v>
      </c>
      <c r="V98" s="187">
        <f>'FX RESERVE DATA'!AD66</f>
        <v>-10</v>
      </c>
      <c r="W98" s="187">
        <f>'FX RESERVE DATA'!AE66</f>
        <v>-10</v>
      </c>
      <c r="X98" s="187">
        <f>'FX RESERVE DATA'!AF66</f>
        <v>-10</v>
      </c>
      <c r="Y98" s="187">
        <f>'FX RESERVE DATA'!AG66</f>
        <v>-10</v>
      </c>
      <c r="Z98" s="187">
        <f>'FX RESERVE DATA'!AH66</f>
        <v>-4</v>
      </c>
      <c r="AA98" s="187">
        <f>'FX RESERVE DATA'!AI66</f>
        <v>-9</v>
      </c>
      <c r="AB98" s="187">
        <f>'FX RESERVE DATA'!AJ66</f>
        <v>-10</v>
      </c>
      <c r="AC98" s="187">
        <f>'FX RESERVE DATA'!AK66</f>
        <v>-10</v>
      </c>
      <c r="AD98" s="187">
        <f>'FX RESERVE DATA'!AL66</f>
        <v>-10</v>
      </c>
      <c r="AE98" s="187">
        <f>'FX RESERVE DATA'!AM66</f>
        <v>-10</v>
      </c>
      <c r="AF98" s="187">
        <f>'FX RESERVE DATA'!AN66</f>
        <v>-10</v>
      </c>
      <c r="AG98" s="187">
        <f>'FX RESERVE DATA'!AO66</f>
        <v>-7</v>
      </c>
      <c r="AH98" s="187">
        <f>'FX RESERVE DATA'!AP66</f>
        <v>10</v>
      </c>
      <c r="AI98" s="187">
        <f>'FX RESERVE DATA'!AQ66</f>
        <v>10</v>
      </c>
      <c r="AJ98" s="187">
        <f>'FX RESERVE DATA'!AR66</f>
        <v>10</v>
      </c>
      <c r="AK98" s="187">
        <f>'FX RESERVE DATA'!AS66</f>
        <v>10</v>
      </c>
      <c r="AL98" s="187">
        <f>'FX RESERVE DATA'!AT66</f>
        <v>10</v>
      </c>
      <c r="AM98" s="187">
        <f>'FX RESERVE DATA'!AU66</f>
        <v>10</v>
      </c>
      <c r="AN98" s="187">
        <f>'FX RESERVE DATA'!AV66</f>
        <v>10</v>
      </c>
      <c r="AO98" s="187">
        <f>'FX RESERVE DATA'!AW66</f>
        <v>10</v>
      </c>
      <c r="AP98" s="187">
        <f>'FX RESERVE DATA'!AX66</f>
        <v>10</v>
      </c>
      <c r="AQ98" s="187">
        <f>'FX RESERVE DATA'!AY66</f>
        <v>10</v>
      </c>
      <c r="AR98" s="187">
        <f>'FX RESERVE DATA'!AZ66</f>
        <v>10</v>
      </c>
      <c r="AS98" s="187">
        <f>'FX RESERVE DATA'!BA66</f>
        <v>10</v>
      </c>
      <c r="AT98" s="187">
        <f>'FX RESERVE DATA'!BB66</f>
        <v>-10</v>
      </c>
      <c r="AU98" s="187">
        <f>'FX RESERVE DATA'!BC66</f>
        <v>-10</v>
      </c>
      <c r="AV98" s="187">
        <f>'FX RESERVE DATA'!BD66</f>
        <v>-10</v>
      </c>
      <c r="AW98" s="187">
        <f>'FX RESERVE DATA'!BE66</f>
        <v>-10</v>
      </c>
      <c r="AX98" s="187">
        <f>'FX RESERVE DATA'!BF66</f>
        <v>-10</v>
      </c>
    </row>
    <row r="99" spans="5:50" ht="21">
      <c r="E99" s="237" t="s">
        <v>46</v>
      </c>
      <c r="F99" s="187">
        <f>'FX RESERVE DATA'!N67</f>
        <v>-10</v>
      </c>
      <c r="G99" s="187">
        <f>'FX RESERVE DATA'!O67</f>
        <v>-10</v>
      </c>
      <c r="H99" s="187">
        <f>'FX RESERVE DATA'!P67</f>
        <v>-10</v>
      </c>
      <c r="I99" s="187">
        <f>'FX RESERVE DATA'!Q67</f>
        <v>-10</v>
      </c>
      <c r="J99" s="187">
        <f>'FX RESERVE DATA'!R67</f>
        <v>-10</v>
      </c>
      <c r="K99" s="187">
        <f>'FX RESERVE DATA'!S67</f>
        <v>-10</v>
      </c>
      <c r="L99" s="187">
        <f>'FX RESERVE DATA'!T67</f>
        <v>-10</v>
      </c>
      <c r="M99" s="187">
        <f>'FX RESERVE DATA'!U67</f>
        <v>-10</v>
      </c>
      <c r="N99" s="187">
        <f>'FX RESERVE DATA'!V67</f>
        <v>-10</v>
      </c>
      <c r="O99" s="187">
        <f>'FX RESERVE DATA'!W67</f>
        <v>-10</v>
      </c>
      <c r="P99" s="187">
        <f>'FX RESERVE DATA'!X67</f>
        <v>-10</v>
      </c>
      <c r="Q99" s="187">
        <f>'FX RESERVE DATA'!Y67</f>
        <v>-10</v>
      </c>
      <c r="R99" s="187">
        <f>'FX RESERVE DATA'!Z67</f>
        <v>-10</v>
      </c>
      <c r="S99" s="187">
        <f>'FX RESERVE DATA'!AA67</f>
        <v>-10</v>
      </c>
      <c r="T99" s="187">
        <f>'FX RESERVE DATA'!AB67</f>
        <v>-8</v>
      </c>
      <c r="U99" s="187">
        <f>'FX RESERVE DATA'!AC67</f>
        <v>-10</v>
      </c>
      <c r="V99" s="187">
        <f>'FX RESERVE DATA'!AD67</f>
        <v>-4</v>
      </c>
      <c r="W99" s="187">
        <f>'FX RESERVE DATA'!AE67</f>
        <v>-6</v>
      </c>
      <c r="X99" s="187">
        <f>'FX RESERVE DATA'!AF67</f>
        <v>0</v>
      </c>
      <c r="Y99" s="187">
        <f>'FX RESERVE DATA'!AG67</f>
        <v>10</v>
      </c>
      <c r="Z99" s="187">
        <f>'FX RESERVE DATA'!AH67</f>
        <v>10</v>
      </c>
      <c r="AA99" s="187">
        <f>'FX RESERVE DATA'!AI67</f>
        <v>10</v>
      </c>
      <c r="AB99" s="187">
        <f>'FX RESERVE DATA'!AJ67</f>
        <v>10</v>
      </c>
      <c r="AC99" s="187">
        <f>'FX RESERVE DATA'!AK67</f>
        <v>10</v>
      </c>
      <c r="AD99" s="187">
        <f>'FX RESERVE DATA'!AL67</f>
        <v>10</v>
      </c>
      <c r="AE99" s="187">
        <f>'FX RESERVE DATA'!AM67</f>
        <v>10</v>
      </c>
      <c r="AF99" s="187">
        <f>'FX RESERVE DATA'!AN67</f>
        <v>10</v>
      </c>
      <c r="AG99" s="187">
        <f>'FX RESERVE DATA'!AO67</f>
        <v>10</v>
      </c>
      <c r="AH99" s="187">
        <f>'FX RESERVE DATA'!AP67</f>
        <v>10</v>
      </c>
      <c r="AI99" s="187">
        <f>'FX RESERVE DATA'!AQ67</f>
        <v>10</v>
      </c>
      <c r="AJ99" s="187">
        <f>'FX RESERVE DATA'!AR67</f>
        <v>10</v>
      </c>
      <c r="AK99" s="187">
        <f>'FX RESERVE DATA'!AS67</f>
        <v>10</v>
      </c>
      <c r="AL99" s="187">
        <f>'FX RESERVE DATA'!AT67</f>
        <v>10</v>
      </c>
      <c r="AM99" s="187">
        <f>'FX RESERVE DATA'!AU67</f>
        <v>10</v>
      </c>
      <c r="AN99" s="187">
        <f>'FX RESERVE DATA'!AV67</f>
        <v>10</v>
      </c>
      <c r="AO99" s="187">
        <f>'FX RESERVE DATA'!AW67</f>
        <v>10</v>
      </c>
      <c r="AP99" s="187">
        <f>'FX RESERVE DATA'!AX67</f>
        <v>10</v>
      </c>
      <c r="AQ99" s="187">
        <f>'FX RESERVE DATA'!AY67</f>
        <v>10</v>
      </c>
      <c r="AR99" s="187">
        <f>'FX RESERVE DATA'!AZ67</f>
        <v>10</v>
      </c>
      <c r="AS99" s="187">
        <f>'FX RESERVE DATA'!BA67</f>
        <v>10</v>
      </c>
      <c r="AT99" s="187">
        <f>'FX RESERVE DATA'!BB67</f>
        <v>10</v>
      </c>
      <c r="AU99" s="187">
        <f>'FX RESERVE DATA'!BC67</f>
        <v>10</v>
      </c>
      <c r="AV99" s="187">
        <f>'FX RESERVE DATA'!BD67</f>
        <v>10</v>
      </c>
      <c r="AW99" s="187">
        <f>'FX RESERVE DATA'!BE67</f>
        <v>10</v>
      </c>
      <c r="AX99" s="187">
        <f>'FX RESERVE DATA'!BF67</f>
        <v>10</v>
      </c>
    </row>
    <row r="100" spans="5:50" ht="21">
      <c r="E100" s="237" t="s">
        <v>17</v>
      </c>
      <c r="F100" s="187">
        <f>'FX RESERVE DATA'!N68</f>
        <v>4</v>
      </c>
      <c r="G100" s="187">
        <f>'FX RESERVE DATA'!O68</f>
        <v>4</v>
      </c>
      <c r="H100" s="187">
        <f>'FX RESERVE DATA'!P68</f>
        <v>3</v>
      </c>
      <c r="I100" s="187">
        <f>'FX RESERVE DATA'!Q68</f>
        <v>3</v>
      </c>
      <c r="J100" s="187">
        <f>'FX RESERVE DATA'!R68</f>
        <v>3</v>
      </c>
      <c r="K100" s="187">
        <f>'FX RESERVE DATA'!S68</f>
        <v>3</v>
      </c>
      <c r="L100" s="187">
        <f>'FX RESERVE DATA'!T68</f>
        <v>2</v>
      </c>
      <c r="M100" s="187">
        <f>'FX RESERVE DATA'!U68</f>
        <v>2</v>
      </c>
      <c r="N100" s="187">
        <f>'FX RESERVE DATA'!V68</f>
        <v>3</v>
      </c>
      <c r="O100" s="187">
        <f>'FX RESERVE DATA'!W68</f>
        <v>3</v>
      </c>
      <c r="P100" s="187">
        <f>'FX RESERVE DATA'!X68</f>
        <v>3</v>
      </c>
      <c r="Q100" s="187">
        <f>'FX RESERVE DATA'!Y68</f>
        <v>4</v>
      </c>
      <c r="R100" s="187">
        <f>'FX RESERVE DATA'!Z68</f>
        <v>3</v>
      </c>
      <c r="S100" s="187">
        <f>'FX RESERVE DATA'!AA68</f>
        <v>3</v>
      </c>
      <c r="T100" s="187">
        <f>'FX RESERVE DATA'!AB68</f>
        <v>4</v>
      </c>
      <c r="U100" s="187">
        <f>'FX RESERVE DATA'!AC68</f>
        <v>4</v>
      </c>
      <c r="V100" s="187">
        <f>'FX RESERVE DATA'!AD68</f>
        <v>4</v>
      </c>
      <c r="W100" s="187">
        <f>'FX RESERVE DATA'!AE68</f>
        <v>4</v>
      </c>
      <c r="X100" s="187">
        <f>'FX RESERVE DATA'!AF68</f>
        <v>4</v>
      </c>
      <c r="Y100" s="187">
        <f>'FX RESERVE DATA'!AG68</f>
        <v>4</v>
      </c>
      <c r="Z100" s="187">
        <f>'FX RESERVE DATA'!AH68</f>
        <v>5</v>
      </c>
      <c r="AA100" s="187">
        <f>'FX RESERVE DATA'!AI68</f>
        <v>4</v>
      </c>
      <c r="AB100" s="187">
        <f>'FX RESERVE DATA'!AJ68</f>
        <v>3</v>
      </c>
      <c r="AC100" s="187">
        <f>'FX RESERVE DATA'!AK68</f>
        <v>3</v>
      </c>
      <c r="AD100" s="187">
        <f>'FX RESERVE DATA'!AL68</f>
        <v>1</v>
      </c>
      <c r="AE100" s="187">
        <f>'FX RESERVE DATA'!AM68</f>
        <v>2</v>
      </c>
      <c r="AF100" s="187">
        <f>'FX RESERVE DATA'!AN68</f>
        <v>3</v>
      </c>
      <c r="AG100" s="187">
        <f>'FX RESERVE DATA'!AO68</f>
        <v>0</v>
      </c>
      <c r="AH100" s="187">
        <f>'FX RESERVE DATA'!AP68</f>
        <v>-1</v>
      </c>
      <c r="AI100" s="187">
        <f>'FX RESERVE DATA'!AQ68</f>
        <v>0</v>
      </c>
      <c r="AJ100" s="187">
        <f>'FX RESERVE DATA'!AR68</f>
        <v>0</v>
      </c>
      <c r="AK100" s="187">
        <f>'FX RESERVE DATA'!AS68</f>
        <v>0</v>
      </c>
      <c r="AL100" s="187">
        <f>'FX RESERVE DATA'!AT68</f>
        <v>-1</v>
      </c>
      <c r="AM100" s="187">
        <f>'FX RESERVE DATA'!AU68</f>
        <v>1</v>
      </c>
      <c r="AN100" s="187">
        <f>'FX RESERVE DATA'!AV68</f>
        <v>1</v>
      </c>
      <c r="AO100" s="187">
        <f>'FX RESERVE DATA'!AW68</f>
        <v>0</v>
      </c>
      <c r="AP100" s="187">
        <f>'FX RESERVE DATA'!AX68</f>
        <v>2</v>
      </c>
      <c r="AQ100" s="187">
        <f>'FX RESERVE DATA'!AY68</f>
        <v>1</v>
      </c>
      <c r="AR100" s="187">
        <f>'FX RESERVE DATA'!AZ68</f>
        <v>-1</v>
      </c>
      <c r="AS100" s="187">
        <f>'FX RESERVE DATA'!BA68</f>
        <v>0</v>
      </c>
      <c r="AT100" s="187">
        <f>'FX RESERVE DATA'!BB68</f>
        <v>0</v>
      </c>
      <c r="AU100" s="187">
        <f>'FX RESERVE DATA'!BC68</f>
        <v>0</v>
      </c>
      <c r="AV100" s="187">
        <f>'FX RESERVE DATA'!BD68</f>
        <v>-1</v>
      </c>
      <c r="AW100" s="187">
        <f>'FX RESERVE DATA'!BE68</f>
        <v>-1</v>
      </c>
      <c r="AX100" s="187">
        <f>'FX RESERVE DATA'!BF68</f>
        <v>0</v>
      </c>
    </row>
    <row r="101" spans="5:50" ht="21">
      <c r="E101" s="238" t="s">
        <v>47</v>
      </c>
      <c r="F101" s="187">
        <f>'FX RESERVE DATA'!N69</f>
        <v>0</v>
      </c>
      <c r="G101" s="187">
        <f>'FX RESERVE DATA'!O69</f>
        <v>7</v>
      </c>
      <c r="H101" s="187">
        <f>'FX RESERVE DATA'!P69</f>
        <v>4</v>
      </c>
      <c r="I101" s="187">
        <f>'FX RESERVE DATA'!Q69</f>
        <v>4</v>
      </c>
      <c r="J101" s="187">
        <f>'FX RESERVE DATA'!R69</f>
        <v>6</v>
      </c>
      <c r="K101" s="187">
        <f>'FX RESERVE DATA'!S69</f>
        <v>6</v>
      </c>
      <c r="L101" s="187">
        <f>'FX RESERVE DATA'!T69</f>
        <v>6</v>
      </c>
      <c r="M101" s="187">
        <f>'FX RESERVE DATA'!U69</f>
        <v>6</v>
      </c>
      <c r="N101" s="187">
        <f>'FX RESERVE DATA'!V69</f>
        <v>8</v>
      </c>
      <c r="O101" s="187">
        <f>'FX RESERVE DATA'!W69</f>
        <v>8</v>
      </c>
      <c r="P101" s="187">
        <f>'FX RESERVE DATA'!X69</f>
        <v>6</v>
      </c>
      <c r="Q101" s="187">
        <f>'FX RESERVE DATA'!Y69</f>
        <v>6</v>
      </c>
      <c r="R101" s="187">
        <f>'FX RESERVE DATA'!Z69</f>
        <v>4</v>
      </c>
      <c r="S101" s="187">
        <f>'FX RESERVE DATA'!AA69</f>
        <v>-2</v>
      </c>
      <c r="T101" s="187">
        <f>'FX RESERVE DATA'!AB69</f>
        <v>-1</v>
      </c>
      <c r="U101" s="187">
        <f>'FX RESERVE DATA'!AC69</f>
        <v>-1</v>
      </c>
      <c r="V101" s="187">
        <f>'FX RESERVE DATA'!AD69</f>
        <v>-3</v>
      </c>
      <c r="W101" s="187">
        <f>'FX RESERVE DATA'!AE69</f>
        <v>-4</v>
      </c>
      <c r="X101" s="187">
        <f>'FX RESERVE DATA'!AF69</f>
        <v>-3</v>
      </c>
      <c r="Y101" s="187">
        <f>'FX RESERVE DATA'!AG69</f>
        <v>-3</v>
      </c>
      <c r="Z101" s="187">
        <f>'FX RESERVE DATA'!AH69</f>
        <v>-7</v>
      </c>
      <c r="AA101" s="187">
        <f>'FX RESERVE DATA'!AI69</f>
        <v>-5</v>
      </c>
      <c r="AB101" s="187">
        <f>'FX RESERVE DATA'!AJ69</f>
        <v>-2</v>
      </c>
      <c r="AC101" s="187">
        <f>'FX RESERVE DATA'!AK69</f>
        <v>-1</v>
      </c>
      <c r="AD101" s="187">
        <f>'FX RESERVE DATA'!AL69</f>
        <v>0</v>
      </c>
      <c r="AE101" s="187">
        <f>'FX RESERVE DATA'!AM69</f>
        <v>-2</v>
      </c>
      <c r="AF101" s="187">
        <f>'FX RESERVE DATA'!AN69</f>
        <v>-3</v>
      </c>
      <c r="AG101" s="187">
        <f>'FX RESERVE DATA'!AO69</f>
        <v>-5</v>
      </c>
      <c r="AH101" s="187">
        <f>'FX RESERVE DATA'!AP69</f>
        <v>-5</v>
      </c>
      <c r="AI101" s="187">
        <f>'FX RESERVE DATA'!AQ69</f>
        <v>-5</v>
      </c>
      <c r="AJ101" s="187">
        <f>'FX RESERVE DATA'!AR69</f>
        <v>-5</v>
      </c>
      <c r="AK101" s="187">
        <f>'FX RESERVE DATA'!AS69</f>
        <v>-6</v>
      </c>
      <c r="AL101" s="187">
        <f>'FX RESERVE DATA'!AT69</f>
        <v>-7</v>
      </c>
      <c r="AM101" s="187">
        <f>'FX RESERVE DATA'!AU69</f>
        <v>-9</v>
      </c>
      <c r="AN101" s="187">
        <f>'FX RESERVE DATA'!AV69</f>
        <v>-9</v>
      </c>
      <c r="AO101" s="187">
        <f>'FX RESERVE DATA'!AW69</f>
        <v>-10</v>
      </c>
      <c r="AP101" s="187">
        <f>'FX RESERVE DATA'!AX69</f>
        <v>-10</v>
      </c>
      <c r="AQ101" s="187">
        <f>'FX RESERVE DATA'!AY69</f>
        <v>-10</v>
      </c>
      <c r="AR101" s="187">
        <f>'FX RESERVE DATA'!AZ69</f>
        <v>-10</v>
      </c>
      <c r="AS101" s="187">
        <f>'FX RESERVE DATA'!BA69</f>
        <v>-10</v>
      </c>
      <c r="AT101" s="187">
        <f>'FX RESERVE DATA'!BB69</f>
        <v>-10</v>
      </c>
      <c r="AU101" s="187">
        <f>'FX RESERVE DATA'!BC69</f>
        <v>-10</v>
      </c>
      <c r="AV101" s="187">
        <f>'FX RESERVE DATA'!BD69</f>
        <v>-10</v>
      </c>
      <c r="AW101" s="187">
        <f>'FX RESERVE DATA'!BE69</f>
        <v>-10</v>
      </c>
      <c r="AX101" s="187">
        <f>'FX RESERVE DATA'!BF69</f>
        <v>-8</v>
      </c>
    </row>
    <row r="102" spans="5:50" ht="21">
      <c r="E102" s="238" t="s">
        <v>14</v>
      </c>
      <c r="F102" s="187">
        <f>'FX RESERVE DATA'!N70</f>
        <v>-10</v>
      </c>
      <c r="G102" s="187">
        <f>'FX RESERVE DATA'!O70</f>
        <v>-10</v>
      </c>
      <c r="H102" s="187">
        <f>'FX RESERVE DATA'!P70</f>
        <v>-10</v>
      </c>
      <c r="I102" s="187">
        <f>'FX RESERVE DATA'!Q70</f>
        <v>-10</v>
      </c>
      <c r="J102" s="187">
        <f>'FX RESERVE DATA'!R70</f>
        <v>-10</v>
      </c>
      <c r="K102" s="187">
        <f>'FX RESERVE DATA'!S70</f>
        <v>-10</v>
      </c>
      <c r="L102" s="187">
        <f>'FX RESERVE DATA'!T70</f>
        <v>-10</v>
      </c>
      <c r="M102" s="187">
        <f>'FX RESERVE DATA'!U70</f>
        <v>-10</v>
      </c>
      <c r="N102" s="187">
        <f>'FX RESERVE DATA'!V70</f>
        <v>5</v>
      </c>
      <c r="O102" s="187">
        <f>'FX RESERVE DATA'!W70</f>
        <v>10</v>
      </c>
      <c r="P102" s="187">
        <f>'FX RESERVE DATA'!X70</f>
        <v>10</v>
      </c>
      <c r="Q102" s="187">
        <f>'FX RESERVE DATA'!Y70</f>
        <v>10</v>
      </c>
      <c r="R102" s="187">
        <f>'FX RESERVE DATA'!Z70</f>
        <v>10</v>
      </c>
      <c r="S102" s="187">
        <f>'FX RESERVE DATA'!AA70</f>
        <v>10</v>
      </c>
      <c r="T102" s="187">
        <f>'FX RESERVE DATA'!AB70</f>
        <v>10</v>
      </c>
      <c r="U102" s="187">
        <f>'FX RESERVE DATA'!AC70</f>
        <v>3</v>
      </c>
      <c r="V102" s="187">
        <f>'FX RESERVE DATA'!AD70</f>
        <v>-10</v>
      </c>
      <c r="W102" s="187">
        <f>'FX RESERVE DATA'!AE70</f>
        <v>-10</v>
      </c>
      <c r="X102" s="187">
        <f>'FX RESERVE DATA'!AF70</f>
        <v>-10</v>
      </c>
      <c r="Y102" s="187">
        <f>'FX RESERVE DATA'!AG70</f>
        <v>-10</v>
      </c>
      <c r="Z102" s="187">
        <f>'FX RESERVE DATA'!AH70</f>
        <v>-10</v>
      </c>
      <c r="AA102" s="187">
        <f>'FX RESERVE DATA'!AI70</f>
        <v>-10</v>
      </c>
      <c r="AB102" s="187">
        <f>'FX RESERVE DATA'!AJ70</f>
        <v>-10</v>
      </c>
      <c r="AC102" s="187">
        <f>'FX RESERVE DATA'!AK70</f>
        <v>-10</v>
      </c>
      <c r="AD102" s="187">
        <f>'FX RESERVE DATA'!AL70</f>
        <v>-10</v>
      </c>
      <c r="AE102" s="187">
        <f>'FX RESERVE DATA'!AM70</f>
        <v>-10</v>
      </c>
      <c r="AF102" s="187">
        <f>'FX RESERVE DATA'!AN70</f>
        <v>-10</v>
      </c>
      <c r="AG102" s="187">
        <f>'FX RESERVE DATA'!AO70</f>
        <v>-10</v>
      </c>
      <c r="AH102" s="187">
        <f>'FX RESERVE DATA'!AP70</f>
        <v>10</v>
      </c>
      <c r="AI102" s="187">
        <f>'FX RESERVE DATA'!AQ70</f>
        <v>10</v>
      </c>
      <c r="AJ102" s="187">
        <f>'FX RESERVE DATA'!AR70</f>
        <v>10</v>
      </c>
      <c r="AK102" s="187">
        <f>'FX RESERVE DATA'!AS70</f>
        <v>10</v>
      </c>
      <c r="AL102" s="187">
        <f>'FX RESERVE DATA'!AT70</f>
        <v>10</v>
      </c>
      <c r="AM102" s="187">
        <f>'FX RESERVE DATA'!AU70</f>
        <v>10</v>
      </c>
      <c r="AN102" s="187">
        <f>'FX RESERVE DATA'!AV70</f>
        <v>10</v>
      </c>
      <c r="AO102" s="187">
        <f>'FX RESERVE DATA'!AW70</f>
        <v>10</v>
      </c>
      <c r="AP102" s="187">
        <f>'FX RESERVE DATA'!AX70</f>
        <v>10</v>
      </c>
      <c r="AQ102" s="187">
        <f>'FX RESERVE DATA'!AY70</f>
        <v>10</v>
      </c>
      <c r="AR102" s="187">
        <f>'FX RESERVE DATA'!AZ70</f>
        <v>7</v>
      </c>
      <c r="AS102" s="187">
        <f>'FX RESERVE DATA'!BA70</f>
        <v>0</v>
      </c>
      <c r="AT102" s="187">
        <f>'FX RESERVE DATA'!BB70</f>
        <v>-10</v>
      </c>
      <c r="AU102" s="187">
        <f>'FX RESERVE DATA'!BC70</f>
        <v>-10</v>
      </c>
      <c r="AV102" s="187">
        <f>'FX RESERVE DATA'!BD70</f>
        <v>-10</v>
      </c>
      <c r="AW102" s="187">
        <f>'FX RESERVE DATA'!BE70</f>
        <v>-10</v>
      </c>
      <c r="AX102" s="187">
        <f>'FX RESERVE DATA'!BF70</f>
        <v>-10</v>
      </c>
    </row>
    <row r="103" spans="5:50" ht="21">
      <c r="E103" s="238" t="s">
        <v>48</v>
      </c>
      <c r="F103" s="187">
        <f>'FX RESERVE DATA'!N71</f>
        <v>-10</v>
      </c>
      <c r="G103" s="187">
        <f>'FX RESERVE DATA'!O71</f>
        <v>-10</v>
      </c>
      <c r="H103" s="187">
        <f>'FX RESERVE DATA'!P71</f>
        <v>-10</v>
      </c>
      <c r="I103" s="187">
        <f>'FX RESERVE DATA'!Q71</f>
        <v>-10</v>
      </c>
      <c r="J103" s="187">
        <f>'FX RESERVE DATA'!R71</f>
        <v>-10</v>
      </c>
      <c r="K103" s="187">
        <f>'FX RESERVE DATA'!S71</f>
        <v>-10</v>
      </c>
      <c r="L103" s="187">
        <f>'FX RESERVE DATA'!T71</f>
        <v>-10</v>
      </c>
      <c r="M103" s="187">
        <f>'FX RESERVE DATA'!U71</f>
        <v>-10</v>
      </c>
      <c r="N103" s="187">
        <f>'FX RESERVE DATA'!V71</f>
        <v>-10</v>
      </c>
      <c r="O103" s="187">
        <f>'FX RESERVE DATA'!W71</f>
        <v>-10</v>
      </c>
      <c r="P103" s="187">
        <f>'FX RESERVE DATA'!X71</f>
        <v>-10</v>
      </c>
      <c r="Q103" s="187">
        <f>'FX RESERVE DATA'!Y71</f>
        <v>-10</v>
      </c>
      <c r="R103" s="187">
        <f>'FX RESERVE DATA'!Z71</f>
        <v>-10</v>
      </c>
      <c r="S103" s="187">
        <f>'FX RESERVE DATA'!AA71</f>
        <v>-10</v>
      </c>
      <c r="T103" s="187">
        <f>'FX RESERVE DATA'!AB71</f>
        <v>-8</v>
      </c>
      <c r="U103" s="187">
        <f>'FX RESERVE DATA'!AC71</f>
        <v>-10</v>
      </c>
      <c r="V103" s="187">
        <f>'FX RESERVE DATA'!AD71</f>
        <v>-7</v>
      </c>
      <c r="W103" s="187">
        <f>'FX RESERVE DATA'!AE71</f>
        <v>-10</v>
      </c>
      <c r="X103" s="187">
        <f>'FX RESERVE DATA'!AF71</f>
        <v>-3</v>
      </c>
      <c r="Y103" s="187">
        <f>'FX RESERVE DATA'!AG71</f>
        <v>9</v>
      </c>
      <c r="Z103" s="187">
        <f>'FX RESERVE DATA'!AH71</f>
        <v>10</v>
      </c>
      <c r="AA103" s="187">
        <f>'FX RESERVE DATA'!AI71</f>
        <v>10</v>
      </c>
      <c r="AB103" s="187">
        <f>'FX RESERVE DATA'!AJ71</f>
        <v>10</v>
      </c>
      <c r="AC103" s="187">
        <f>'FX RESERVE DATA'!AK71</f>
        <v>10</v>
      </c>
      <c r="AD103" s="187">
        <f>'FX RESERVE DATA'!AL71</f>
        <v>10</v>
      </c>
      <c r="AE103" s="187">
        <f>'FX RESERVE DATA'!AM71</f>
        <v>10</v>
      </c>
      <c r="AF103" s="187">
        <f>'FX RESERVE DATA'!AN71</f>
        <v>9</v>
      </c>
      <c r="AG103" s="187">
        <f>'FX RESERVE DATA'!AO71</f>
        <v>10</v>
      </c>
      <c r="AH103" s="187">
        <f>'FX RESERVE DATA'!AP71</f>
        <v>10</v>
      </c>
      <c r="AI103" s="187">
        <f>'FX RESERVE DATA'!AQ71</f>
        <v>10</v>
      </c>
      <c r="AJ103" s="187">
        <f>'FX RESERVE DATA'!AR71</f>
        <v>10</v>
      </c>
      <c r="AK103" s="187">
        <f>'FX RESERVE DATA'!AS71</f>
        <v>10</v>
      </c>
      <c r="AL103" s="187">
        <f>'FX RESERVE DATA'!AT71</f>
        <v>10</v>
      </c>
      <c r="AM103" s="187">
        <f>'FX RESERVE DATA'!AU71</f>
        <v>10</v>
      </c>
      <c r="AN103" s="187">
        <f>'FX RESERVE DATA'!AV71</f>
        <v>10</v>
      </c>
      <c r="AO103" s="187">
        <f>'FX RESERVE DATA'!AW71</f>
        <v>10</v>
      </c>
      <c r="AP103" s="187">
        <f>'FX RESERVE DATA'!AX71</f>
        <v>10</v>
      </c>
      <c r="AQ103" s="187">
        <f>'FX RESERVE DATA'!AY71</f>
        <v>10</v>
      </c>
      <c r="AR103" s="187">
        <f>'FX RESERVE DATA'!AZ71</f>
        <v>10</v>
      </c>
      <c r="AS103" s="187">
        <f>'FX RESERVE DATA'!BA71</f>
        <v>10</v>
      </c>
      <c r="AT103" s="187">
        <f>'FX RESERVE DATA'!BB71</f>
        <v>10</v>
      </c>
      <c r="AU103" s="187">
        <f>'FX RESERVE DATA'!BC71</f>
        <v>10</v>
      </c>
      <c r="AV103" s="187">
        <f>'FX RESERVE DATA'!BD71</f>
        <v>10</v>
      </c>
      <c r="AW103" s="187">
        <f>'FX RESERVE DATA'!BE71</f>
        <v>10</v>
      </c>
      <c r="AX103" s="187">
        <f>'FX RESERVE DATA'!BF71</f>
        <v>10</v>
      </c>
    </row>
    <row r="104" spans="5:50" ht="21">
      <c r="E104" s="238" t="s">
        <v>49</v>
      </c>
      <c r="F104" s="187">
        <f>'FX RESERVE DATA'!N72</f>
        <v>-4</v>
      </c>
      <c r="G104" s="187">
        <f>'FX RESERVE DATA'!O72</f>
        <v>1</v>
      </c>
      <c r="H104" s="187">
        <f>'FX RESERVE DATA'!P72</f>
        <v>-3</v>
      </c>
      <c r="I104" s="187">
        <f>'FX RESERVE DATA'!Q72</f>
        <v>1</v>
      </c>
      <c r="J104" s="187">
        <f>'FX RESERVE DATA'!R72</f>
        <v>3</v>
      </c>
      <c r="K104" s="187">
        <f>'FX RESERVE DATA'!S72</f>
        <v>4</v>
      </c>
      <c r="L104" s="187">
        <f>'FX RESERVE DATA'!T72</f>
        <v>7</v>
      </c>
      <c r="M104" s="187">
        <f>'FX RESERVE DATA'!U72</f>
        <v>6</v>
      </c>
      <c r="N104" s="187">
        <f>'FX RESERVE DATA'!V72</f>
        <v>10</v>
      </c>
      <c r="O104" s="187">
        <f>'FX RESERVE DATA'!W72</f>
        <v>8</v>
      </c>
      <c r="P104" s="187">
        <f>'FX RESERVE DATA'!X72</f>
        <v>5</v>
      </c>
      <c r="Q104" s="187">
        <f>'FX RESERVE DATA'!Y72</f>
        <v>5</v>
      </c>
      <c r="R104" s="187">
        <f>'FX RESERVE DATA'!Z72</f>
        <v>4</v>
      </c>
      <c r="S104" s="187">
        <f>'FX RESERVE DATA'!AA72</f>
        <v>-1</v>
      </c>
      <c r="T104" s="187">
        <f>'FX RESERVE DATA'!AB72</f>
        <v>0</v>
      </c>
      <c r="U104" s="187">
        <f>'FX RESERVE DATA'!AC72</f>
        <v>-3</v>
      </c>
      <c r="V104" s="187">
        <f>'FX RESERVE DATA'!AD72</f>
        <v>-3</v>
      </c>
      <c r="W104" s="187">
        <f>'FX RESERVE DATA'!AE72</f>
        <v>-5</v>
      </c>
      <c r="X104" s="187">
        <f>'FX RESERVE DATA'!AF72</f>
        <v>-4</v>
      </c>
      <c r="Y104" s="187">
        <f>'FX RESERVE DATA'!AG72</f>
        <v>-4</v>
      </c>
      <c r="Z104" s="187">
        <f>'FX RESERVE DATA'!AH72</f>
        <v>-7</v>
      </c>
      <c r="AA104" s="187">
        <f>'FX RESERVE DATA'!AI72</f>
        <v>-5</v>
      </c>
      <c r="AB104" s="187">
        <f>'FX RESERVE DATA'!AJ72</f>
        <v>-3</v>
      </c>
      <c r="AC104" s="187">
        <f>'FX RESERVE DATA'!AK72</f>
        <v>-2</v>
      </c>
      <c r="AD104" s="187">
        <f>'FX RESERVE DATA'!AL72</f>
        <v>-1</v>
      </c>
      <c r="AE104" s="187">
        <f>'FX RESERVE DATA'!AM72</f>
        <v>-2</v>
      </c>
      <c r="AF104" s="187">
        <f>'FX RESERVE DATA'!AN72</f>
        <v>-2</v>
      </c>
      <c r="AG104" s="187">
        <f>'FX RESERVE DATA'!AO72</f>
        <v>-2</v>
      </c>
      <c r="AH104" s="187">
        <f>'FX RESERVE DATA'!AP72</f>
        <v>-2</v>
      </c>
      <c r="AI104" s="187">
        <f>'FX RESERVE DATA'!AQ72</f>
        <v>0</v>
      </c>
      <c r="AJ104" s="187">
        <f>'FX RESERVE DATA'!AR72</f>
        <v>-1</v>
      </c>
      <c r="AK104" s="187">
        <f>'FX RESERVE DATA'!AS72</f>
        <v>-2</v>
      </c>
      <c r="AL104" s="187">
        <f>'FX RESERVE DATA'!AT72</f>
        <v>-2</v>
      </c>
      <c r="AM104" s="187">
        <f>'FX RESERVE DATA'!AU72</f>
        <v>-3</v>
      </c>
      <c r="AN104" s="187">
        <f>'FX RESERVE DATA'!AV72</f>
        <v>-3</v>
      </c>
      <c r="AO104" s="187">
        <f>'FX RESERVE DATA'!AW72</f>
        <v>-5</v>
      </c>
      <c r="AP104" s="187">
        <f>'FX RESERVE DATA'!AX72</f>
        <v>-10</v>
      </c>
      <c r="AQ104" s="187">
        <f>'FX RESERVE DATA'!AY72</f>
        <v>-8</v>
      </c>
      <c r="AR104" s="187">
        <f>'FX RESERVE DATA'!AZ72</f>
        <v>-10</v>
      </c>
      <c r="AS104" s="187">
        <f>'FX RESERVE DATA'!BA72</f>
        <v>-10</v>
      </c>
      <c r="AT104" s="187">
        <f>'FX RESERVE DATA'!BB72</f>
        <v>-10</v>
      </c>
      <c r="AU104" s="187">
        <f>'FX RESERVE DATA'!BC72</f>
        <v>-7</v>
      </c>
      <c r="AV104" s="187">
        <f>'FX RESERVE DATA'!BD72</f>
        <v>-8</v>
      </c>
      <c r="AW104" s="187">
        <f>'FX RESERVE DATA'!BE72</f>
        <v>-8</v>
      </c>
      <c r="AX104" s="187">
        <f>'FX RESERVE DATA'!BF72</f>
        <v>-7</v>
      </c>
    </row>
    <row r="105" spans="5:50" ht="21">
      <c r="E105" s="239" t="s">
        <v>15</v>
      </c>
      <c r="F105" s="187">
        <f>'FX RESERVE DATA'!N73</f>
        <v>3</v>
      </c>
      <c r="G105" s="187">
        <f>'FX RESERVE DATA'!O73</f>
        <v>10</v>
      </c>
      <c r="H105" s="187">
        <f>'FX RESERVE DATA'!P73</f>
        <v>8</v>
      </c>
      <c r="I105" s="187">
        <f>'FX RESERVE DATA'!Q73</f>
        <v>8</v>
      </c>
      <c r="J105" s="187">
        <f>'FX RESERVE DATA'!R73</f>
        <v>9</v>
      </c>
      <c r="K105" s="187">
        <f>'FX RESERVE DATA'!S73</f>
        <v>8</v>
      </c>
      <c r="L105" s="187">
        <f>'FX RESERVE DATA'!T73</f>
        <v>9</v>
      </c>
      <c r="M105" s="187">
        <f>'FX RESERVE DATA'!U73</f>
        <v>8</v>
      </c>
      <c r="N105" s="187">
        <f>'FX RESERVE DATA'!V73</f>
        <v>10</v>
      </c>
      <c r="O105" s="187">
        <f>'FX RESERVE DATA'!W73</f>
        <v>10</v>
      </c>
      <c r="P105" s="187">
        <f>'FX RESERVE DATA'!X73</f>
        <v>9</v>
      </c>
      <c r="Q105" s="187">
        <f>'FX RESERVE DATA'!Y73</f>
        <v>10</v>
      </c>
      <c r="R105" s="187">
        <f>'FX RESERVE DATA'!Z73</f>
        <v>8</v>
      </c>
      <c r="S105" s="187">
        <f>'FX RESERVE DATA'!AA73</f>
        <v>1</v>
      </c>
      <c r="T105" s="187">
        <f>'FX RESERVE DATA'!AB73</f>
        <v>3</v>
      </c>
      <c r="U105" s="187">
        <f>'FX RESERVE DATA'!AC73</f>
        <v>3</v>
      </c>
      <c r="V105" s="187">
        <f>'FX RESERVE DATA'!AD73</f>
        <v>1</v>
      </c>
      <c r="W105" s="187">
        <f>'FX RESERVE DATA'!AE73</f>
        <v>0</v>
      </c>
      <c r="X105" s="187">
        <f>'FX RESERVE DATA'!AF73</f>
        <v>1</v>
      </c>
      <c r="Y105" s="187">
        <f>'FX RESERVE DATA'!AG73</f>
        <v>1</v>
      </c>
      <c r="Z105" s="187">
        <f>'FX RESERVE DATA'!AH73</f>
        <v>-2</v>
      </c>
      <c r="AA105" s="187">
        <f>'FX RESERVE DATA'!AI73</f>
        <v>-1</v>
      </c>
      <c r="AB105" s="187">
        <f>'FX RESERVE DATA'!AJ73</f>
        <v>1</v>
      </c>
      <c r="AC105" s="187">
        <f>'FX RESERVE DATA'!AK73</f>
        <v>2</v>
      </c>
      <c r="AD105" s="187">
        <f>'FX RESERVE DATA'!AL73</f>
        <v>1</v>
      </c>
      <c r="AE105" s="187">
        <f>'FX RESERVE DATA'!AM73</f>
        <v>0</v>
      </c>
      <c r="AF105" s="187">
        <f>'FX RESERVE DATA'!AN73</f>
        <v>1</v>
      </c>
      <c r="AG105" s="187">
        <f>'FX RESERVE DATA'!AO73</f>
        <v>-5</v>
      </c>
      <c r="AH105" s="187">
        <f>'FX RESERVE DATA'!AP73</f>
        <v>-5</v>
      </c>
      <c r="AI105" s="187">
        <f>'FX RESERVE DATA'!AQ73</f>
        <v>-5</v>
      </c>
      <c r="AJ105" s="187">
        <f>'FX RESERVE DATA'!AR73</f>
        <v>-5</v>
      </c>
      <c r="AK105" s="187">
        <f>'FX RESERVE DATA'!AS73</f>
        <v>-6</v>
      </c>
      <c r="AL105" s="187">
        <f>'FX RESERVE DATA'!AT73</f>
        <v>-9</v>
      </c>
      <c r="AM105" s="187">
        <f>'FX RESERVE DATA'!AU73</f>
        <v>-7</v>
      </c>
      <c r="AN105" s="187">
        <f>'FX RESERVE DATA'!AV73</f>
        <v>-9</v>
      </c>
      <c r="AO105" s="187">
        <f>'FX RESERVE DATA'!AW73</f>
        <v>-10</v>
      </c>
      <c r="AP105" s="187">
        <f>'FX RESERVE DATA'!AX73</f>
        <v>-10</v>
      </c>
      <c r="AQ105" s="187">
        <f>'FX RESERVE DATA'!AY73</f>
        <v>-10</v>
      </c>
      <c r="AR105" s="187">
        <f>'FX RESERVE DATA'!AZ73</f>
        <v>-10</v>
      </c>
      <c r="AS105" s="187">
        <f>'FX RESERVE DATA'!BA73</f>
        <v>-10</v>
      </c>
      <c r="AT105" s="187">
        <f>'FX RESERVE DATA'!BB73</f>
        <v>-10</v>
      </c>
      <c r="AU105" s="187">
        <f>'FX RESERVE DATA'!BC73</f>
        <v>-10</v>
      </c>
      <c r="AV105" s="187">
        <f>'FX RESERVE DATA'!BD73</f>
        <v>-10</v>
      </c>
      <c r="AW105" s="187">
        <f>'FX RESERVE DATA'!BE73</f>
        <v>-10</v>
      </c>
      <c r="AX105" s="187">
        <f>'FX RESERVE DATA'!BF73</f>
        <v>-8</v>
      </c>
    </row>
    <row r="106" spans="5:50" ht="21">
      <c r="E106" s="238" t="s">
        <v>12</v>
      </c>
      <c r="F106" s="187">
        <f>'FX RESERVE DATA'!N74</f>
        <v>0</v>
      </c>
      <c r="G106" s="187">
        <f>'FX RESERVE DATA'!O74</f>
        <v>0</v>
      </c>
      <c r="H106" s="187">
        <f>'FX RESERVE DATA'!P74</f>
        <v>0</v>
      </c>
      <c r="I106" s="187">
        <f>'FX RESERVE DATA'!Q74</f>
        <v>0</v>
      </c>
      <c r="J106" s="187">
        <f>'FX RESERVE DATA'!R74</f>
        <v>0</v>
      </c>
      <c r="K106" s="187">
        <f>'FX RESERVE DATA'!S74</f>
        <v>0</v>
      </c>
      <c r="L106" s="187">
        <f>'FX RESERVE DATA'!T74</f>
        <v>0</v>
      </c>
      <c r="M106" s="187">
        <f>'FX RESERVE DATA'!U74</f>
        <v>0</v>
      </c>
      <c r="N106" s="187">
        <f>'FX RESERVE DATA'!V74</f>
        <v>0</v>
      </c>
      <c r="O106" s="187">
        <f>'FX RESERVE DATA'!W74</f>
        <v>0</v>
      </c>
      <c r="P106" s="187">
        <f>'FX RESERVE DATA'!X74</f>
        <v>0</v>
      </c>
      <c r="Q106" s="187">
        <f>'FX RESERVE DATA'!Y74</f>
        <v>0</v>
      </c>
      <c r="R106" s="187">
        <f>'FX RESERVE DATA'!Z74</f>
        <v>0</v>
      </c>
      <c r="S106" s="187">
        <f>'FX RESERVE DATA'!AA74</f>
        <v>0</v>
      </c>
      <c r="T106" s="187">
        <f>'FX RESERVE DATA'!AB74</f>
        <v>0</v>
      </c>
      <c r="U106" s="187">
        <f>'FX RESERVE DATA'!AC74</f>
        <v>0</v>
      </c>
      <c r="V106" s="187">
        <f>'FX RESERVE DATA'!AD74</f>
        <v>0</v>
      </c>
      <c r="W106" s="187">
        <f>'FX RESERVE DATA'!AE74</f>
        <v>0</v>
      </c>
      <c r="X106" s="187">
        <f>'FX RESERVE DATA'!AF74</f>
        <v>0</v>
      </c>
      <c r="Y106" s="187">
        <f>'FX RESERVE DATA'!AG74</f>
        <v>0</v>
      </c>
      <c r="Z106" s="187">
        <f>'FX RESERVE DATA'!AH74</f>
        <v>0</v>
      </c>
      <c r="AA106" s="187">
        <f>'FX RESERVE DATA'!AI74</f>
        <v>0</v>
      </c>
      <c r="AB106" s="187">
        <f>'FX RESERVE DATA'!AJ74</f>
        <v>0</v>
      </c>
      <c r="AC106" s="187">
        <f>'FX RESERVE DATA'!AK74</f>
        <v>0</v>
      </c>
      <c r="AD106" s="187">
        <f>'FX RESERVE DATA'!AL74</f>
        <v>0</v>
      </c>
      <c r="AE106" s="187">
        <f>'FX RESERVE DATA'!AM74</f>
        <v>0</v>
      </c>
      <c r="AF106" s="187">
        <f>'FX RESERVE DATA'!AN74</f>
        <v>0</v>
      </c>
      <c r="AG106" s="187">
        <f>'FX RESERVE DATA'!AO74</f>
        <v>-4</v>
      </c>
      <c r="AH106" s="187">
        <f>'FX RESERVE DATA'!AP74</f>
        <v>-3</v>
      </c>
      <c r="AI106" s="187">
        <f>'FX RESERVE DATA'!AQ74</f>
        <v>-5</v>
      </c>
      <c r="AJ106" s="187">
        <f>'FX RESERVE DATA'!AR74</f>
        <v>-4</v>
      </c>
      <c r="AK106" s="187">
        <f>'FX RESERVE DATA'!AS74</f>
        <v>-7</v>
      </c>
      <c r="AL106" s="187">
        <f>'FX RESERVE DATA'!AT74</f>
        <v>-7</v>
      </c>
      <c r="AM106" s="187">
        <f>'FX RESERVE DATA'!AU74</f>
        <v>-9</v>
      </c>
      <c r="AN106" s="187">
        <f>'FX RESERVE DATA'!AV74</f>
        <v>-9</v>
      </c>
      <c r="AO106" s="187">
        <f>'FX RESERVE DATA'!AW74</f>
        <v>-10</v>
      </c>
      <c r="AP106" s="187">
        <f>'FX RESERVE DATA'!AX74</f>
        <v>-10</v>
      </c>
      <c r="AQ106" s="187">
        <f>'FX RESERVE DATA'!AY74</f>
        <v>-10</v>
      </c>
      <c r="AR106" s="187">
        <f>'FX RESERVE DATA'!AZ74</f>
        <v>-10</v>
      </c>
      <c r="AS106" s="187">
        <f>'FX RESERVE DATA'!BA74</f>
        <v>-10</v>
      </c>
      <c r="AT106" s="187">
        <f>'FX RESERVE DATA'!BB74</f>
        <v>-10</v>
      </c>
      <c r="AU106" s="187">
        <f>'FX RESERVE DATA'!BC74</f>
        <v>-10</v>
      </c>
      <c r="AV106" s="187">
        <f>'FX RESERVE DATA'!BD74</f>
        <v>-9</v>
      </c>
      <c r="AW106" s="187">
        <f>'FX RESERVE DATA'!BE74</f>
        <v>-8</v>
      </c>
      <c r="AX106" s="187">
        <f>'FX RESERVE DATA'!BF74</f>
        <v>-7</v>
      </c>
    </row>
    <row r="107" spans="5:50" ht="21">
      <c r="E107" s="239" t="s">
        <v>50</v>
      </c>
      <c r="F107" s="187">
        <f>'FX RESERVE DATA'!N75</f>
        <v>1</v>
      </c>
      <c r="G107" s="187">
        <f>'FX RESERVE DATA'!O75</f>
        <v>9</v>
      </c>
      <c r="H107" s="187">
        <f>'FX RESERVE DATA'!P75</f>
        <v>4</v>
      </c>
      <c r="I107" s="187">
        <f>'FX RESERVE DATA'!Q75</f>
        <v>6</v>
      </c>
      <c r="J107" s="187">
        <f>'FX RESERVE DATA'!R75</f>
        <v>7</v>
      </c>
      <c r="K107" s="187">
        <f>'FX RESERVE DATA'!S75</f>
        <v>6</v>
      </c>
      <c r="L107" s="187">
        <f>'FX RESERVE DATA'!T75</f>
        <v>7</v>
      </c>
      <c r="M107" s="187">
        <f>'FX RESERVE DATA'!U75</f>
        <v>7</v>
      </c>
      <c r="N107" s="187">
        <f>'FX RESERVE DATA'!V75</f>
        <v>10</v>
      </c>
      <c r="O107" s="187">
        <f>'FX RESERVE DATA'!W75</f>
        <v>9</v>
      </c>
      <c r="P107" s="187">
        <f>'FX RESERVE DATA'!X75</f>
        <v>8</v>
      </c>
      <c r="Q107" s="187">
        <f>'FX RESERVE DATA'!Y75</f>
        <v>6</v>
      </c>
      <c r="R107" s="187">
        <f>'FX RESERVE DATA'!Z75</f>
        <v>6</v>
      </c>
      <c r="S107" s="187">
        <f>'FX RESERVE DATA'!AA75</f>
        <v>-1</v>
      </c>
      <c r="T107" s="187">
        <f>'FX RESERVE DATA'!AB75</f>
        <v>0</v>
      </c>
      <c r="U107" s="187">
        <f>'FX RESERVE DATA'!AC75</f>
        <v>1</v>
      </c>
      <c r="V107" s="187">
        <f>'FX RESERVE DATA'!AD75</f>
        <v>-2</v>
      </c>
      <c r="W107" s="187">
        <f>'FX RESERVE DATA'!AE75</f>
        <v>-2</v>
      </c>
      <c r="X107" s="187">
        <f>'FX RESERVE DATA'!AF75</f>
        <v>-1</v>
      </c>
      <c r="Y107" s="187">
        <f>'FX RESERVE DATA'!AG75</f>
        <v>-2</v>
      </c>
      <c r="Z107" s="187">
        <f>'FX RESERVE DATA'!AH75</f>
        <v>-6</v>
      </c>
      <c r="AA107" s="187">
        <f>'FX RESERVE DATA'!AI75</f>
        <v>-2</v>
      </c>
      <c r="AB107" s="187">
        <f>'FX RESERVE DATA'!AJ75</f>
        <v>-1</v>
      </c>
      <c r="AC107" s="187">
        <f>'FX RESERVE DATA'!AK75</f>
        <v>3</v>
      </c>
      <c r="AD107" s="187">
        <f>'FX RESERVE DATA'!AL75</f>
        <v>4</v>
      </c>
      <c r="AE107" s="187">
        <f>'FX RESERVE DATA'!AM75</f>
        <v>2</v>
      </c>
      <c r="AF107" s="187">
        <f>'FX RESERVE DATA'!AN75</f>
        <v>1</v>
      </c>
      <c r="AG107" s="187">
        <f>'FX RESERVE DATA'!AO75</f>
        <v>-3</v>
      </c>
      <c r="AH107" s="187">
        <f>'FX RESERVE DATA'!AP75</f>
        <v>-2</v>
      </c>
      <c r="AI107" s="187">
        <f>'FX RESERVE DATA'!AQ75</f>
        <v>-2</v>
      </c>
      <c r="AJ107" s="187">
        <f>'FX RESERVE DATA'!AR75</f>
        <v>-2</v>
      </c>
      <c r="AK107" s="187">
        <f>'FX RESERVE DATA'!AS75</f>
        <v>-3</v>
      </c>
      <c r="AL107" s="187">
        <f>'FX RESERVE DATA'!AT75</f>
        <v>-5</v>
      </c>
      <c r="AM107" s="187">
        <f>'FX RESERVE DATA'!AU75</f>
        <v>-8</v>
      </c>
      <c r="AN107" s="187">
        <f>'FX RESERVE DATA'!AV75</f>
        <v>-7</v>
      </c>
      <c r="AO107" s="187">
        <f>'FX RESERVE DATA'!AW75</f>
        <v>-10</v>
      </c>
      <c r="AP107" s="187">
        <f>'FX RESERVE DATA'!AX75</f>
        <v>-10</v>
      </c>
      <c r="AQ107" s="187">
        <f>'FX RESERVE DATA'!AY75</f>
        <v>-10</v>
      </c>
      <c r="AR107" s="187">
        <f>'FX RESERVE DATA'!AZ75</f>
        <v>-10</v>
      </c>
      <c r="AS107" s="187">
        <f>'FX RESERVE DATA'!BA75</f>
        <v>-10</v>
      </c>
      <c r="AT107" s="187">
        <f>'FX RESERVE DATA'!BB75</f>
        <v>-10</v>
      </c>
      <c r="AU107" s="187">
        <f>'FX RESERVE DATA'!BC75</f>
        <v>-9</v>
      </c>
      <c r="AV107" s="187">
        <f>'FX RESERVE DATA'!BD75</f>
        <v>-9</v>
      </c>
      <c r="AW107" s="187">
        <f>'FX RESERVE DATA'!BE75</f>
        <v>-8</v>
      </c>
      <c r="AX107" s="187">
        <f>'FX RESERVE DATA'!BF75</f>
        <v>-6</v>
      </c>
    </row>
    <row r="108" spans="5:50" ht="21">
      <c r="E108" s="240" t="s">
        <v>51</v>
      </c>
      <c r="F108" s="187">
        <f>'FX RESERVE DATA'!N76</f>
        <v>4</v>
      </c>
      <c r="G108" s="187">
        <f>'FX RESERVE DATA'!O76</f>
        <v>6</v>
      </c>
      <c r="H108" s="187">
        <f>'FX RESERVE DATA'!P76</f>
        <v>7</v>
      </c>
      <c r="I108" s="187">
        <f>'FX RESERVE DATA'!Q76</f>
        <v>3</v>
      </c>
      <c r="J108" s="187">
        <f>'FX RESERVE DATA'!R76</f>
        <v>3</v>
      </c>
      <c r="K108" s="187">
        <f>'FX RESERVE DATA'!S76</f>
        <v>2</v>
      </c>
      <c r="L108" s="187">
        <f>'FX RESERVE DATA'!T76</f>
        <v>0</v>
      </c>
      <c r="M108" s="187">
        <f>'FX RESERVE DATA'!U76</f>
        <v>0</v>
      </c>
      <c r="N108" s="187">
        <f>'FX RESERVE DATA'!V76</f>
        <v>-2</v>
      </c>
      <c r="O108" s="187">
        <f>'FX RESERVE DATA'!W76</f>
        <v>0</v>
      </c>
      <c r="P108" s="187">
        <f>'FX RESERVE DATA'!X76</f>
        <v>1</v>
      </c>
      <c r="Q108" s="187">
        <f>'FX RESERVE DATA'!Y76</f>
        <v>1</v>
      </c>
      <c r="R108" s="187">
        <f>'FX RESERVE DATA'!Z76</f>
        <v>1</v>
      </c>
      <c r="S108" s="187">
        <f>'FX RESERVE DATA'!AA76</f>
        <v>-1</v>
      </c>
      <c r="T108" s="187">
        <f>'FX RESERVE DATA'!AB76</f>
        <v>-1</v>
      </c>
      <c r="U108" s="187">
        <f>'FX RESERVE DATA'!AC76</f>
        <v>2</v>
      </c>
      <c r="V108" s="187">
        <f>'FX RESERVE DATA'!AD76</f>
        <v>0</v>
      </c>
      <c r="W108" s="187">
        <f>'FX RESERVE DATA'!AE76</f>
        <v>1</v>
      </c>
      <c r="X108" s="187">
        <f>'FX RESERVE DATA'!AF76</f>
        <v>1</v>
      </c>
      <c r="Y108" s="187">
        <f>'FX RESERVE DATA'!AG76</f>
        <v>1</v>
      </c>
      <c r="Z108" s="187">
        <f>'FX RESERVE DATA'!AH76</f>
        <v>0</v>
      </c>
      <c r="AA108" s="187">
        <f>'FX RESERVE DATA'!AI76</f>
        <v>0</v>
      </c>
      <c r="AB108" s="187">
        <f>'FX RESERVE DATA'!AJ76</f>
        <v>0</v>
      </c>
      <c r="AC108" s="187">
        <f>'FX RESERVE DATA'!AK76</f>
        <v>2</v>
      </c>
      <c r="AD108" s="187">
        <f>'FX RESERVE DATA'!AL76</f>
        <v>1</v>
      </c>
      <c r="AE108" s="187">
        <f>'FX RESERVE DATA'!AM76</f>
        <v>0</v>
      </c>
      <c r="AF108" s="187">
        <f>'FX RESERVE DATA'!AN76</f>
        <v>0</v>
      </c>
      <c r="AG108" s="187">
        <f>'FX RESERVE DATA'!AO76</f>
        <v>-3</v>
      </c>
      <c r="AH108" s="187">
        <f>'FX RESERVE DATA'!AP76</f>
        <v>-3</v>
      </c>
      <c r="AI108" s="187">
        <f>'FX RESERVE DATA'!AQ76</f>
        <v>-4</v>
      </c>
      <c r="AJ108" s="187">
        <f>'FX RESERVE DATA'!AR76</f>
        <v>-3</v>
      </c>
      <c r="AK108" s="187">
        <f>'FX RESERVE DATA'!AS76</f>
        <v>-4</v>
      </c>
      <c r="AL108" s="187">
        <f>'FX RESERVE DATA'!AT76</f>
        <v>-6</v>
      </c>
      <c r="AM108" s="187">
        <f>'FX RESERVE DATA'!AU76</f>
        <v>-6</v>
      </c>
      <c r="AN108" s="187">
        <f>'FX RESERVE DATA'!AV76</f>
        <v>-7</v>
      </c>
      <c r="AO108" s="187">
        <f>'FX RESERVE DATA'!AW76</f>
        <v>-7</v>
      </c>
      <c r="AP108" s="187">
        <f>'FX RESERVE DATA'!AX76</f>
        <v>-7</v>
      </c>
      <c r="AQ108" s="187">
        <f>'FX RESERVE DATA'!AY76</f>
        <v>-8</v>
      </c>
      <c r="AR108" s="187">
        <f>'FX RESERVE DATA'!AZ76</f>
        <v>-8</v>
      </c>
      <c r="AS108" s="187">
        <f>'FX RESERVE DATA'!BA76</f>
        <v>-5</v>
      </c>
      <c r="AT108" s="187">
        <f>'FX RESERVE DATA'!BB76</f>
        <v>-5</v>
      </c>
      <c r="AU108" s="187">
        <f>'FX RESERVE DATA'!BC76</f>
        <v>-4</v>
      </c>
      <c r="AV108" s="187">
        <f>'FX RESERVE DATA'!BD76</f>
        <v>-3</v>
      </c>
      <c r="AW108" s="187">
        <f>'FX RESERVE DATA'!BE76</f>
        <v>-3</v>
      </c>
      <c r="AX108" s="187">
        <f>'FX RESERVE DATA'!BF76</f>
        <v>-1</v>
      </c>
    </row>
    <row r="109" spans="5:50" ht="21">
      <c r="E109" s="240" t="s">
        <v>52</v>
      </c>
      <c r="F109" s="187">
        <f>'FX RESERVE DATA'!N77</f>
        <v>-10</v>
      </c>
      <c r="G109" s="187">
        <f>'FX RESERVE DATA'!O77</f>
        <v>-10</v>
      </c>
      <c r="H109" s="187">
        <f>'FX RESERVE DATA'!P77</f>
        <v>-10</v>
      </c>
      <c r="I109" s="187">
        <f>'FX RESERVE DATA'!Q77</f>
        <v>-10</v>
      </c>
      <c r="J109" s="187">
        <f>'FX RESERVE DATA'!R77</f>
        <v>-10</v>
      </c>
      <c r="K109" s="187">
        <f>'FX RESERVE DATA'!S77</f>
        <v>-10</v>
      </c>
      <c r="L109" s="187">
        <f>'FX RESERVE DATA'!T77</f>
        <v>-10</v>
      </c>
      <c r="M109" s="187">
        <f>'FX RESERVE DATA'!U77</f>
        <v>-10</v>
      </c>
      <c r="N109" s="187">
        <f>'FX RESERVE DATA'!V77</f>
        <v>-5</v>
      </c>
      <c r="O109" s="187">
        <f>'FX RESERVE DATA'!W77</f>
        <v>10</v>
      </c>
      <c r="P109" s="187">
        <f>'FX RESERVE DATA'!X77</f>
        <v>10</v>
      </c>
      <c r="Q109" s="187">
        <f>'FX RESERVE DATA'!Y77</f>
        <v>10</v>
      </c>
      <c r="R109" s="187">
        <f>'FX RESERVE DATA'!Z77</f>
        <v>10</v>
      </c>
      <c r="S109" s="187">
        <f>'FX RESERVE DATA'!AA77</f>
        <v>10</v>
      </c>
      <c r="T109" s="187">
        <f>'FX RESERVE DATA'!AB77</f>
        <v>10</v>
      </c>
      <c r="U109" s="187">
        <f>'FX RESERVE DATA'!AC77</f>
        <v>6</v>
      </c>
      <c r="V109" s="187">
        <f>'FX RESERVE DATA'!AD77</f>
        <v>-10</v>
      </c>
      <c r="W109" s="187">
        <f>'FX RESERVE DATA'!AE77</f>
        <v>-9</v>
      </c>
      <c r="X109" s="187">
        <f>'FX RESERVE DATA'!AF77</f>
        <v>-10</v>
      </c>
      <c r="Y109" s="187">
        <f>'FX RESERVE DATA'!AG77</f>
        <v>-10</v>
      </c>
      <c r="Z109" s="187">
        <f>'FX RESERVE DATA'!AH77</f>
        <v>-4</v>
      </c>
      <c r="AA109" s="187">
        <f>'FX RESERVE DATA'!AI77</f>
        <v>-9</v>
      </c>
      <c r="AB109" s="187">
        <f>'FX RESERVE DATA'!AJ77</f>
        <v>-10</v>
      </c>
      <c r="AC109" s="187">
        <f>'FX RESERVE DATA'!AK77</f>
        <v>-10</v>
      </c>
      <c r="AD109" s="187">
        <f>'FX RESERVE DATA'!AL77</f>
        <v>-10</v>
      </c>
      <c r="AE109" s="187">
        <f>'FX RESERVE DATA'!AM77</f>
        <v>-10</v>
      </c>
      <c r="AF109" s="187">
        <f>'FX RESERVE DATA'!AN77</f>
        <v>-10</v>
      </c>
      <c r="AG109" s="187">
        <f>'FX RESERVE DATA'!AO77</f>
        <v>-10</v>
      </c>
      <c r="AH109" s="187">
        <f>'FX RESERVE DATA'!AP77</f>
        <v>10</v>
      </c>
      <c r="AI109" s="187">
        <f>'FX RESERVE DATA'!AQ77</f>
        <v>10</v>
      </c>
      <c r="AJ109" s="187">
        <f>'FX RESERVE DATA'!AR77</f>
        <v>10</v>
      </c>
      <c r="AK109" s="187">
        <f>'FX RESERVE DATA'!AS77</f>
        <v>10</v>
      </c>
      <c r="AL109" s="187">
        <f>'FX RESERVE DATA'!AT77</f>
        <v>10</v>
      </c>
      <c r="AM109" s="187">
        <f>'FX RESERVE DATA'!AU77</f>
        <v>10</v>
      </c>
      <c r="AN109" s="187">
        <f>'FX RESERVE DATA'!AV77</f>
        <v>10</v>
      </c>
      <c r="AO109" s="187">
        <f>'FX RESERVE DATA'!AW77</f>
        <v>10</v>
      </c>
      <c r="AP109" s="187">
        <f>'FX RESERVE DATA'!AX77</f>
        <v>10</v>
      </c>
      <c r="AQ109" s="187">
        <f>'FX RESERVE DATA'!AY77</f>
        <v>10</v>
      </c>
      <c r="AR109" s="187">
        <f>'FX RESERVE DATA'!AZ77</f>
        <v>10</v>
      </c>
      <c r="AS109" s="187">
        <f>'FX RESERVE DATA'!BA77</f>
        <v>10</v>
      </c>
      <c r="AT109" s="187">
        <f>'FX RESERVE DATA'!BB77</f>
        <v>-10</v>
      </c>
      <c r="AU109" s="187">
        <f>'FX RESERVE DATA'!BC77</f>
        <v>-10</v>
      </c>
      <c r="AV109" s="187">
        <f>'FX RESERVE DATA'!BD77</f>
        <v>-10</v>
      </c>
      <c r="AW109" s="187">
        <f>'FX RESERVE DATA'!BE77</f>
        <v>-10</v>
      </c>
      <c r="AX109" s="187">
        <f>'FX RESERVE DATA'!BF77</f>
        <v>-10</v>
      </c>
    </row>
    <row r="110" spans="5:50" ht="21">
      <c r="E110" s="240" t="s">
        <v>53</v>
      </c>
      <c r="F110" s="187">
        <f>'FX RESERVE DATA'!N78</f>
        <v>-10</v>
      </c>
      <c r="G110" s="187">
        <f>'FX RESERVE DATA'!O78</f>
        <v>-10</v>
      </c>
      <c r="H110" s="187">
        <f>'FX RESERVE DATA'!P78</f>
        <v>-10</v>
      </c>
      <c r="I110" s="187">
        <f>'FX RESERVE DATA'!Q78</f>
        <v>-10</v>
      </c>
      <c r="J110" s="187">
        <f>'FX RESERVE DATA'!R78</f>
        <v>-10</v>
      </c>
      <c r="K110" s="187">
        <f>'FX RESERVE DATA'!S78</f>
        <v>-10</v>
      </c>
      <c r="L110" s="187">
        <f>'FX RESERVE DATA'!T78</f>
        <v>-10</v>
      </c>
      <c r="M110" s="187">
        <f>'FX RESERVE DATA'!U78</f>
        <v>-10</v>
      </c>
      <c r="N110" s="187">
        <f>'FX RESERVE DATA'!V78</f>
        <v>-10</v>
      </c>
      <c r="O110" s="187">
        <f>'FX RESERVE DATA'!W78</f>
        <v>-10</v>
      </c>
      <c r="P110" s="187">
        <f>'FX RESERVE DATA'!X78</f>
        <v>-10</v>
      </c>
      <c r="Q110" s="187">
        <f>'FX RESERVE DATA'!Y78</f>
        <v>-10</v>
      </c>
      <c r="R110" s="187">
        <f>'FX RESERVE DATA'!Z78</f>
        <v>-10</v>
      </c>
      <c r="S110" s="187">
        <f>'FX RESERVE DATA'!AA78</f>
        <v>-10</v>
      </c>
      <c r="T110" s="187">
        <f>'FX RESERVE DATA'!AB78</f>
        <v>-8</v>
      </c>
      <c r="U110" s="187">
        <f>'FX RESERVE DATA'!AC78</f>
        <v>-10</v>
      </c>
      <c r="V110" s="187">
        <f>'FX RESERVE DATA'!AD78</f>
        <v>-4</v>
      </c>
      <c r="W110" s="187">
        <f>'FX RESERVE DATA'!AE78</f>
        <v>-5</v>
      </c>
      <c r="X110" s="187">
        <f>'FX RESERVE DATA'!AF78</f>
        <v>1</v>
      </c>
      <c r="Y110" s="187">
        <f>'FX RESERVE DATA'!AG78</f>
        <v>10</v>
      </c>
      <c r="Z110" s="187">
        <f>'FX RESERVE DATA'!AH78</f>
        <v>10</v>
      </c>
      <c r="AA110" s="187">
        <f>'FX RESERVE DATA'!AI78</f>
        <v>10</v>
      </c>
      <c r="AB110" s="187">
        <f>'FX RESERVE DATA'!AJ78</f>
        <v>10</v>
      </c>
      <c r="AC110" s="187">
        <f>'FX RESERVE DATA'!AK78</f>
        <v>10</v>
      </c>
      <c r="AD110" s="187">
        <f>'FX RESERVE DATA'!AL78</f>
        <v>10</v>
      </c>
      <c r="AE110" s="187">
        <f>'FX RESERVE DATA'!AM78</f>
        <v>10</v>
      </c>
      <c r="AF110" s="187">
        <f>'FX RESERVE DATA'!AN78</f>
        <v>10</v>
      </c>
      <c r="AG110" s="187">
        <f>'FX RESERVE DATA'!AO78</f>
        <v>10</v>
      </c>
      <c r="AH110" s="187">
        <f>'FX RESERVE DATA'!AP78</f>
        <v>10</v>
      </c>
      <c r="AI110" s="187">
        <f>'FX RESERVE DATA'!AQ78</f>
        <v>10</v>
      </c>
      <c r="AJ110" s="187">
        <f>'FX RESERVE DATA'!AR78</f>
        <v>10</v>
      </c>
      <c r="AK110" s="187">
        <f>'FX RESERVE DATA'!AS78</f>
        <v>10</v>
      </c>
      <c r="AL110" s="187">
        <f>'FX RESERVE DATA'!AT78</f>
        <v>10</v>
      </c>
      <c r="AM110" s="187">
        <f>'FX RESERVE DATA'!AU78</f>
        <v>10</v>
      </c>
      <c r="AN110" s="187">
        <f>'FX RESERVE DATA'!AV78</f>
        <v>10</v>
      </c>
      <c r="AO110" s="187">
        <f>'FX RESERVE DATA'!AW78</f>
        <v>10</v>
      </c>
      <c r="AP110" s="187">
        <f>'FX RESERVE DATA'!AX78</f>
        <v>10</v>
      </c>
      <c r="AQ110" s="187">
        <f>'FX RESERVE DATA'!AY78</f>
        <v>10</v>
      </c>
      <c r="AR110" s="187">
        <f>'FX RESERVE DATA'!AZ78</f>
        <v>10</v>
      </c>
      <c r="AS110" s="187">
        <f>'FX RESERVE DATA'!BA78</f>
        <v>10</v>
      </c>
      <c r="AT110" s="187">
        <f>'FX RESERVE DATA'!BB78</f>
        <v>10</v>
      </c>
      <c r="AU110" s="187">
        <f>'FX RESERVE DATA'!BC78</f>
        <v>10</v>
      </c>
      <c r="AV110" s="187">
        <f>'FX RESERVE DATA'!BD78</f>
        <v>10</v>
      </c>
      <c r="AW110" s="187">
        <f>'FX RESERVE DATA'!BE78</f>
        <v>10</v>
      </c>
      <c r="AX110" s="187">
        <f>'FX RESERVE DATA'!BF78</f>
        <v>10</v>
      </c>
    </row>
    <row r="111" spans="5:50" ht="21">
      <c r="E111" s="240" t="s">
        <v>54</v>
      </c>
      <c r="F111" s="187">
        <f>'FX RESERVE DATA'!N79</f>
        <v>7</v>
      </c>
      <c r="G111" s="187">
        <f>'FX RESERVE DATA'!O79</f>
        <v>10</v>
      </c>
      <c r="H111" s="187">
        <f>'FX RESERVE DATA'!P79</f>
        <v>10</v>
      </c>
      <c r="I111" s="187">
        <f>'FX RESERVE DATA'!Q79</f>
        <v>6</v>
      </c>
      <c r="J111" s="187">
        <f>'FX RESERVE DATA'!R79</f>
        <v>6</v>
      </c>
      <c r="K111" s="187">
        <f>'FX RESERVE DATA'!S79</f>
        <v>5</v>
      </c>
      <c r="L111" s="187">
        <f>'FX RESERVE DATA'!T79</f>
        <v>2</v>
      </c>
      <c r="M111" s="187">
        <f>'FX RESERVE DATA'!U79</f>
        <v>2</v>
      </c>
      <c r="N111" s="187">
        <f>'FX RESERVE DATA'!V79</f>
        <v>1</v>
      </c>
      <c r="O111" s="187">
        <f>'FX RESERVE DATA'!W79</f>
        <v>2</v>
      </c>
      <c r="P111" s="187">
        <f>'FX RESERVE DATA'!X79</f>
        <v>4</v>
      </c>
      <c r="Q111" s="187">
        <f>'FX RESERVE DATA'!Y79</f>
        <v>5</v>
      </c>
      <c r="R111" s="187">
        <f>'FX RESERVE DATA'!Z79</f>
        <v>4</v>
      </c>
      <c r="S111" s="187">
        <f>'FX RESERVE DATA'!AA79</f>
        <v>2</v>
      </c>
      <c r="T111" s="187">
        <f>'FX RESERVE DATA'!AB79</f>
        <v>3</v>
      </c>
      <c r="U111" s="187">
        <f>'FX RESERVE DATA'!AC79</f>
        <v>6</v>
      </c>
      <c r="V111" s="187">
        <f>'FX RESERVE DATA'!AD79</f>
        <v>4</v>
      </c>
      <c r="W111" s="187">
        <f>'FX RESERVE DATA'!AE79</f>
        <v>5</v>
      </c>
      <c r="X111" s="187">
        <f>'FX RESERVE DATA'!AF79</f>
        <v>6</v>
      </c>
      <c r="Y111" s="187">
        <f>'FX RESERVE DATA'!AG79</f>
        <v>5</v>
      </c>
      <c r="Z111" s="187">
        <f>'FX RESERVE DATA'!AH79</f>
        <v>5</v>
      </c>
      <c r="AA111" s="187">
        <f>'FX RESERVE DATA'!AI79</f>
        <v>4</v>
      </c>
      <c r="AB111" s="187">
        <f>'FX RESERVE DATA'!AJ79</f>
        <v>3</v>
      </c>
      <c r="AC111" s="187">
        <f>'FX RESERVE DATA'!AK79</f>
        <v>4</v>
      </c>
      <c r="AD111" s="187">
        <f>'FX RESERVE DATA'!AL79</f>
        <v>2</v>
      </c>
      <c r="AE111" s="187">
        <f>'FX RESERVE DATA'!AM79</f>
        <v>2</v>
      </c>
      <c r="AF111" s="187">
        <f>'FX RESERVE DATA'!AN79</f>
        <v>3</v>
      </c>
      <c r="AG111" s="187">
        <f>'FX RESERVE DATA'!AO79</f>
        <v>-4</v>
      </c>
      <c r="AH111" s="187">
        <f>'FX RESERVE DATA'!AP79</f>
        <v>-3</v>
      </c>
      <c r="AI111" s="187">
        <f>'FX RESERVE DATA'!AQ79</f>
        <v>-5</v>
      </c>
      <c r="AJ111" s="187">
        <f>'FX RESERVE DATA'!AR79</f>
        <v>-3</v>
      </c>
      <c r="AK111" s="187">
        <f>'FX RESERVE DATA'!AS79</f>
        <v>-4</v>
      </c>
      <c r="AL111" s="187">
        <f>'FX RESERVE DATA'!AT79</f>
        <v>-7</v>
      </c>
      <c r="AM111" s="187">
        <f>'FX RESERVE DATA'!AU79</f>
        <v>-5</v>
      </c>
      <c r="AN111" s="187">
        <f>'FX RESERVE DATA'!AV79</f>
        <v>-6</v>
      </c>
      <c r="AO111" s="187">
        <f>'FX RESERVE DATA'!AW79</f>
        <v>-7</v>
      </c>
      <c r="AP111" s="187">
        <f>'FX RESERVE DATA'!AX79</f>
        <v>-5</v>
      </c>
      <c r="AQ111" s="187">
        <f>'FX RESERVE DATA'!AY79</f>
        <v>-7</v>
      </c>
      <c r="AR111" s="187">
        <f>'FX RESERVE DATA'!AZ79</f>
        <v>-9</v>
      </c>
      <c r="AS111" s="187">
        <f>'FX RESERVE DATA'!BA79</f>
        <v>-4</v>
      </c>
      <c r="AT111" s="187">
        <f>'FX RESERVE DATA'!BB79</f>
        <v>-5</v>
      </c>
      <c r="AU111" s="187">
        <f>'FX RESERVE DATA'!BC79</f>
        <v>-4</v>
      </c>
      <c r="AV111" s="187">
        <f>'FX RESERVE DATA'!BD79</f>
        <v>-4</v>
      </c>
      <c r="AW111" s="187">
        <f>'FX RESERVE DATA'!BE79</f>
        <v>-3</v>
      </c>
      <c r="AX111" s="187">
        <f>'FX RESERVE DATA'!BF79</f>
        <v>-1</v>
      </c>
    </row>
    <row r="112" spans="5:50" ht="21">
      <c r="E112" s="240" t="s">
        <v>55</v>
      </c>
      <c r="F112" s="187">
        <f>'FX RESERVE DATA'!N80</f>
        <v>6</v>
      </c>
      <c r="G112" s="187">
        <f>'FX RESERVE DATA'!O80</f>
        <v>7</v>
      </c>
      <c r="H112" s="187">
        <f>'FX RESERVE DATA'!P80</f>
        <v>8</v>
      </c>
      <c r="I112" s="187">
        <f>'FX RESERVE DATA'!Q80</f>
        <v>5</v>
      </c>
      <c r="J112" s="187">
        <f>'FX RESERVE DATA'!R80</f>
        <v>4</v>
      </c>
      <c r="K112" s="187">
        <f>'FX RESERVE DATA'!S80</f>
        <v>3</v>
      </c>
      <c r="L112" s="187">
        <f>'FX RESERVE DATA'!T80</f>
        <v>0</v>
      </c>
      <c r="M112" s="187">
        <f>'FX RESERVE DATA'!U80</f>
        <v>0</v>
      </c>
      <c r="N112" s="187">
        <f>'FX RESERVE DATA'!V80</f>
        <v>-2</v>
      </c>
      <c r="O112" s="187">
        <f>'FX RESERVE DATA'!W80</f>
        <v>-1</v>
      </c>
      <c r="P112" s="187">
        <f>'FX RESERVE DATA'!X80</f>
        <v>0</v>
      </c>
      <c r="Q112" s="187">
        <f>'FX RESERVE DATA'!Y80</f>
        <v>2</v>
      </c>
      <c r="R112" s="187">
        <f>'FX RESERVE DATA'!Z80</f>
        <v>0</v>
      </c>
      <c r="S112" s="187">
        <f>'FX RESERVE DATA'!AA80</f>
        <v>-1</v>
      </c>
      <c r="T112" s="187">
        <f>'FX RESERVE DATA'!AB80</f>
        <v>-1</v>
      </c>
      <c r="U112" s="187">
        <f>'FX RESERVE DATA'!AC80</f>
        <v>1</v>
      </c>
      <c r="V112" s="187">
        <f>'FX RESERVE DATA'!AD80</f>
        <v>0</v>
      </c>
      <c r="W112" s="187">
        <f>'FX RESERVE DATA'!AE80</f>
        <v>2</v>
      </c>
      <c r="X112" s="187">
        <f>'FX RESERVE DATA'!AF80</f>
        <v>1</v>
      </c>
      <c r="Y112" s="187">
        <f>'FX RESERVE DATA'!AG80</f>
        <v>1</v>
      </c>
      <c r="Z112" s="187">
        <f>'FX RESERVE DATA'!AH80</f>
        <v>1</v>
      </c>
      <c r="AA112" s="187">
        <f>'FX RESERVE DATA'!AI80</f>
        <v>1</v>
      </c>
      <c r="AB112" s="187">
        <f>'FX RESERVE DATA'!AJ80</f>
        <v>1</v>
      </c>
      <c r="AC112" s="187">
        <f>'FX RESERVE DATA'!AK80</f>
        <v>2</v>
      </c>
      <c r="AD112" s="187">
        <f>'FX RESERVE DATA'!AL80</f>
        <v>4</v>
      </c>
      <c r="AE112" s="187">
        <f>'FX RESERVE DATA'!AM80</f>
        <v>3</v>
      </c>
      <c r="AF112" s="187">
        <f>'FX RESERVE DATA'!AN80</f>
        <v>3</v>
      </c>
      <c r="AG112" s="187">
        <f>'FX RESERVE DATA'!AO80</f>
        <v>-2</v>
      </c>
      <c r="AH112" s="187">
        <f>'FX RESERVE DATA'!AP80</f>
        <v>-1</v>
      </c>
      <c r="AI112" s="187">
        <f>'FX RESERVE DATA'!AQ80</f>
        <v>-5</v>
      </c>
      <c r="AJ112" s="187">
        <f>'FX RESERVE DATA'!AR80</f>
        <v>-3</v>
      </c>
      <c r="AK112" s="187">
        <f>'FX RESERVE DATA'!AS80</f>
        <v>-4</v>
      </c>
      <c r="AL112" s="187">
        <f>'FX RESERVE DATA'!AT80</f>
        <v>-5</v>
      </c>
      <c r="AM112" s="187">
        <f>'FX RESERVE DATA'!AU80</f>
        <v>-6</v>
      </c>
      <c r="AN112" s="187">
        <f>'FX RESERVE DATA'!AV80</f>
        <v>-6</v>
      </c>
      <c r="AO112" s="187">
        <f>'FX RESERVE DATA'!AW80</f>
        <v>-7</v>
      </c>
      <c r="AP112" s="187">
        <f>'FX RESERVE DATA'!AX80</f>
        <v>-9</v>
      </c>
      <c r="AQ112" s="187">
        <f>'FX RESERVE DATA'!AY80</f>
        <v>-9</v>
      </c>
      <c r="AR112" s="187">
        <f>'FX RESERVE DATA'!AZ80</f>
        <v>-8</v>
      </c>
      <c r="AS112" s="187">
        <f>'FX RESERVE DATA'!BA80</f>
        <v>-4</v>
      </c>
      <c r="AT112" s="187">
        <f>'FX RESERVE DATA'!BB80</f>
        <v>-6</v>
      </c>
      <c r="AU112" s="187">
        <f>'FX RESERVE DATA'!BC80</f>
        <v>-3</v>
      </c>
      <c r="AV112" s="187">
        <f>'FX RESERVE DATA'!BD80</f>
        <v>-1</v>
      </c>
      <c r="AW112" s="187">
        <f>'FX RESERVE DATA'!BE80</f>
        <v>0</v>
      </c>
      <c r="AX112" s="187">
        <f>'FX RESERVE DATA'!BF80</f>
        <v>0</v>
      </c>
    </row>
    <row r="113" spans="5:50" ht="21">
      <c r="E113" s="241" t="s">
        <v>56</v>
      </c>
      <c r="F113" s="187">
        <f>'FX RESERVE DATA'!N81</f>
        <v>5</v>
      </c>
      <c r="G113" s="187">
        <f>'FX RESERVE DATA'!O81</f>
        <v>8</v>
      </c>
      <c r="H113" s="187">
        <f>'FX RESERVE DATA'!P81</f>
        <v>7</v>
      </c>
      <c r="I113" s="187">
        <f>'FX RESERVE DATA'!Q81</f>
        <v>5</v>
      </c>
      <c r="J113" s="187">
        <f>'FX RESERVE DATA'!R81</f>
        <v>4</v>
      </c>
      <c r="K113" s="187">
        <f>'FX RESERVE DATA'!S81</f>
        <v>2</v>
      </c>
      <c r="L113" s="187">
        <f>'FX RESERVE DATA'!T81</f>
        <v>1</v>
      </c>
      <c r="M113" s="187">
        <f>'FX RESERVE DATA'!U81</f>
        <v>1</v>
      </c>
      <c r="N113" s="187">
        <f>'FX RESERVE DATA'!V81</f>
        <v>0</v>
      </c>
      <c r="O113" s="187">
        <f>'FX RESERVE DATA'!W81</f>
        <v>2</v>
      </c>
      <c r="P113" s="187">
        <f>'FX RESERVE DATA'!X81</f>
        <v>3</v>
      </c>
      <c r="Q113" s="187">
        <f>'FX RESERVE DATA'!Y81</f>
        <v>1</v>
      </c>
      <c r="R113" s="187">
        <f>'FX RESERVE DATA'!Z81</f>
        <v>3</v>
      </c>
      <c r="S113" s="187">
        <f>'FX RESERVE DATA'!AA81</f>
        <v>0</v>
      </c>
      <c r="T113" s="187">
        <f>'FX RESERVE DATA'!AB81</f>
        <v>0</v>
      </c>
      <c r="U113" s="187">
        <f>'FX RESERVE DATA'!AC81</f>
        <v>4</v>
      </c>
      <c r="V113" s="187">
        <f>'FX RESERVE DATA'!AD81</f>
        <v>1</v>
      </c>
      <c r="W113" s="187">
        <f>'FX RESERVE DATA'!AE81</f>
        <v>4</v>
      </c>
      <c r="X113" s="187">
        <f>'FX RESERVE DATA'!AF81</f>
        <v>3</v>
      </c>
      <c r="Y113" s="187">
        <f>'FX RESERVE DATA'!AG81</f>
        <v>2</v>
      </c>
      <c r="Z113" s="187">
        <f>'FX RESERVE DATA'!AH81</f>
        <v>0</v>
      </c>
      <c r="AA113" s="187">
        <f>'FX RESERVE DATA'!AI81</f>
        <v>3</v>
      </c>
      <c r="AB113" s="187">
        <f>'FX RESERVE DATA'!AJ81</f>
        <v>2</v>
      </c>
      <c r="AC113" s="187">
        <f>'FX RESERVE DATA'!AK81</f>
        <v>5</v>
      </c>
      <c r="AD113" s="187">
        <f>'FX RESERVE DATA'!AL81</f>
        <v>5</v>
      </c>
      <c r="AE113" s="187">
        <f>'FX RESERVE DATA'!AM81</f>
        <v>4</v>
      </c>
      <c r="AF113" s="187">
        <f>'FX RESERVE DATA'!AN81</f>
        <v>4</v>
      </c>
      <c r="AG113" s="187">
        <f>'FX RESERVE DATA'!AO81</f>
        <v>-1</v>
      </c>
      <c r="AH113" s="187">
        <f>'FX RESERVE DATA'!AP81</f>
        <v>0</v>
      </c>
      <c r="AI113" s="187">
        <f>'FX RESERVE DATA'!AQ81</f>
        <v>-2</v>
      </c>
      <c r="AJ113" s="187">
        <f>'FX RESERVE DATA'!AR81</f>
        <v>-1</v>
      </c>
      <c r="AK113" s="187">
        <f>'FX RESERVE DATA'!AS81</f>
        <v>-1</v>
      </c>
      <c r="AL113" s="187">
        <f>'FX RESERVE DATA'!AT81</f>
        <v>-4</v>
      </c>
      <c r="AM113" s="187">
        <f>'FX RESERVE DATA'!AU81</f>
        <v>-5</v>
      </c>
      <c r="AN113" s="187">
        <f>'FX RESERVE DATA'!AV81</f>
        <v>-4</v>
      </c>
      <c r="AO113" s="187">
        <f>'FX RESERVE DATA'!AW81</f>
        <v>-6</v>
      </c>
      <c r="AP113" s="187">
        <f>'FX RESERVE DATA'!AX81</f>
        <v>-7</v>
      </c>
      <c r="AQ113" s="187">
        <f>'FX RESERVE DATA'!AY81</f>
        <v>-9</v>
      </c>
      <c r="AR113" s="187">
        <f>'FX RESERVE DATA'!AZ81</f>
        <v>-5</v>
      </c>
      <c r="AS113" s="187">
        <f>'FX RESERVE DATA'!BA81</f>
        <v>-3</v>
      </c>
      <c r="AT113" s="187">
        <f>'FX RESERVE DATA'!BB81</f>
        <v>-3</v>
      </c>
      <c r="AU113" s="187">
        <f>'FX RESERVE DATA'!BC81</f>
        <v>-3</v>
      </c>
      <c r="AV113" s="187">
        <f>'FX RESERVE DATA'!BD81</f>
        <v>-1</v>
      </c>
      <c r="AW113" s="187">
        <f>'FX RESERVE DATA'!BE81</f>
        <v>0</v>
      </c>
      <c r="AX113" s="187">
        <f>'FX RESERVE DATA'!BF81</f>
        <v>2</v>
      </c>
    </row>
    <row r="114" spans="5:50" ht="21">
      <c r="E114" s="242" t="s">
        <v>57</v>
      </c>
      <c r="F114" s="187">
        <f>'FX RESERVE DATA'!N82</f>
        <v>10</v>
      </c>
      <c r="G114" s="187">
        <f>'FX RESERVE DATA'!O82</f>
        <v>10</v>
      </c>
      <c r="H114" s="187">
        <f>'FX RESERVE DATA'!P82</f>
        <v>10</v>
      </c>
      <c r="I114" s="187">
        <f>'FX RESERVE DATA'!Q82</f>
        <v>10</v>
      </c>
      <c r="J114" s="187">
        <f>'FX RESERVE DATA'!R82</f>
        <v>10</v>
      </c>
      <c r="K114" s="187">
        <f>'FX RESERVE DATA'!S82</f>
        <v>5</v>
      </c>
      <c r="L114" s="187">
        <f>'FX RESERVE DATA'!T82</f>
        <v>3</v>
      </c>
      <c r="M114" s="187">
        <f>'FX RESERVE DATA'!U82</f>
        <v>10</v>
      </c>
      <c r="N114" s="187">
        <f>'FX RESERVE DATA'!V82</f>
        <v>10</v>
      </c>
      <c r="O114" s="187">
        <f>'FX RESERVE DATA'!W82</f>
        <v>10</v>
      </c>
      <c r="P114" s="187">
        <f>'FX RESERVE DATA'!X82</f>
        <v>10</v>
      </c>
      <c r="Q114" s="187">
        <f>'FX RESERVE DATA'!Y82</f>
        <v>10</v>
      </c>
      <c r="R114" s="187">
        <f>'FX RESERVE DATA'!Z82</f>
        <v>10</v>
      </c>
      <c r="S114" s="187">
        <f>'FX RESERVE DATA'!AA82</f>
        <v>10</v>
      </c>
      <c r="T114" s="187">
        <f>'FX RESERVE DATA'!AB82</f>
        <v>10</v>
      </c>
      <c r="U114" s="187">
        <f>'FX RESERVE DATA'!AC82</f>
        <v>10</v>
      </c>
      <c r="V114" s="187">
        <f>'FX RESERVE DATA'!AD82</f>
        <v>-9</v>
      </c>
      <c r="W114" s="187">
        <f>'FX RESERVE DATA'!AE82</f>
        <v>-4</v>
      </c>
      <c r="X114" s="187">
        <f>'FX RESERVE DATA'!AF82</f>
        <v>-10</v>
      </c>
      <c r="Y114" s="187">
        <f>'FX RESERVE DATA'!AG82</f>
        <v>-10</v>
      </c>
      <c r="Z114" s="187">
        <f>'FX RESERVE DATA'!AH82</f>
        <v>-10</v>
      </c>
      <c r="AA114" s="187">
        <f>'FX RESERVE DATA'!AI82</f>
        <v>-10</v>
      </c>
      <c r="AB114" s="187">
        <f>'FX RESERVE DATA'!AJ82</f>
        <v>-10</v>
      </c>
      <c r="AC114" s="187">
        <f>'FX RESERVE DATA'!AK82</f>
        <v>-10</v>
      </c>
      <c r="AD114" s="187">
        <f>'FX RESERVE DATA'!AL82</f>
        <v>-10</v>
      </c>
      <c r="AE114" s="187">
        <f>'FX RESERVE DATA'!AM82</f>
        <v>-10</v>
      </c>
      <c r="AF114" s="187">
        <f>'FX RESERVE DATA'!AN82</f>
        <v>-10</v>
      </c>
      <c r="AG114" s="187">
        <f>'FX RESERVE DATA'!AO82</f>
        <v>-10</v>
      </c>
      <c r="AH114" s="187">
        <f>'FX RESERVE DATA'!AP82</f>
        <v>-9</v>
      </c>
      <c r="AI114" s="187">
        <f>'FX RESERVE DATA'!AQ82</f>
        <v>-10</v>
      </c>
      <c r="AJ114" s="187">
        <f>'FX RESERVE DATA'!AR82</f>
        <v>-8</v>
      </c>
      <c r="AK114" s="187">
        <f>'FX RESERVE DATA'!AS82</f>
        <v>-6</v>
      </c>
      <c r="AL114" s="187">
        <f>'FX RESERVE DATA'!AT82</f>
        <v>-5</v>
      </c>
      <c r="AM114" s="187">
        <f>'FX RESERVE DATA'!AU82</f>
        <v>0</v>
      </c>
      <c r="AN114" s="187">
        <f>'FX RESERVE DATA'!AV82</f>
        <v>-3</v>
      </c>
      <c r="AO114" s="187">
        <f>'FX RESERVE DATA'!AW82</f>
        <v>-8</v>
      </c>
      <c r="AP114" s="187">
        <f>'FX RESERVE DATA'!AX82</f>
        <v>-10</v>
      </c>
      <c r="AQ114" s="187">
        <f>'FX RESERVE DATA'!AY82</f>
        <v>-10</v>
      </c>
      <c r="AR114" s="187">
        <f>'FX RESERVE DATA'!AZ82</f>
        <v>-10</v>
      </c>
      <c r="AS114" s="187">
        <f>'FX RESERVE DATA'!BA82</f>
        <v>-10</v>
      </c>
      <c r="AT114" s="187">
        <f>'FX RESERVE DATA'!BB82</f>
        <v>-10</v>
      </c>
      <c r="AU114" s="187">
        <f>'FX RESERVE DATA'!BC82</f>
        <v>-10</v>
      </c>
      <c r="AV114" s="187">
        <f>'FX RESERVE DATA'!BD82</f>
        <v>-10</v>
      </c>
      <c r="AW114" s="187">
        <f>'FX RESERVE DATA'!BE82</f>
        <v>-10</v>
      </c>
      <c r="AX114" s="187">
        <f>'FX RESERVE DATA'!BF82</f>
        <v>-10</v>
      </c>
    </row>
    <row r="115" spans="5:50" ht="21">
      <c r="E115" s="243" t="s">
        <v>10</v>
      </c>
      <c r="F115" s="187">
        <f>'FX RESERVE DATA'!N83</f>
        <v>-2</v>
      </c>
      <c r="G115" s="187">
        <f>'FX RESERVE DATA'!O83</f>
        <v>-1</v>
      </c>
      <c r="H115" s="187">
        <f>'FX RESERVE DATA'!P83</f>
        <v>-1</v>
      </c>
      <c r="I115" s="187">
        <f>'FX RESERVE DATA'!Q83</f>
        <v>-1</v>
      </c>
      <c r="J115" s="187">
        <f>'FX RESERVE DATA'!R83</f>
        <v>-1</v>
      </c>
      <c r="K115" s="187">
        <f>'FX RESERVE DATA'!S83</f>
        <v>-1</v>
      </c>
      <c r="L115" s="187">
        <f>'FX RESERVE DATA'!T83</f>
        <v>-1</v>
      </c>
      <c r="M115" s="187">
        <f>'FX RESERVE DATA'!U83</f>
        <v>0</v>
      </c>
      <c r="N115" s="187">
        <f>'FX RESERVE DATA'!V83</f>
        <v>0</v>
      </c>
      <c r="O115" s="187">
        <f>'FX RESERVE DATA'!W83</f>
        <v>1</v>
      </c>
      <c r="P115" s="187">
        <f>'FX RESERVE DATA'!X83</f>
        <v>1</v>
      </c>
      <c r="Q115" s="187">
        <f>'FX RESERVE DATA'!Y83</f>
        <v>-1</v>
      </c>
      <c r="R115" s="187">
        <f>'FX RESERVE DATA'!Z83</f>
        <v>1</v>
      </c>
      <c r="S115" s="187">
        <f>'FX RESERVE DATA'!AA83</f>
        <v>0</v>
      </c>
      <c r="T115" s="187">
        <f>'FX RESERVE DATA'!AB83</f>
        <v>0</v>
      </c>
      <c r="U115" s="187">
        <f>'FX RESERVE DATA'!AC83</f>
        <v>1</v>
      </c>
      <c r="V115" s="187">
        <f>'FX RESERVE DATA'!AD83</f>
        <v>0</v>
      </c>
      <c r="W115" s="187">
        <f>'FX RESERVE DATA'!AE83</f>
        <v>-1</v>
      </c>
      <c r="X115" s="187">
        <f>'FX RESERVE DATA'!AF83</f>
        <v>0</v>
      </c>
      <c r="Y115" s="187">
        <f>'FX RESERVE DATA'!AG83</f>
        <v>-1</v>
      </c>
      <c r="Z115" s="187">
        <f>'FX RESERVE DATA'!AH83</f>
        <v>-1</v>
      </c>
      <c r="AA115" s="187">
        <f>'FX RESERVE DATA'!AI83</f>
        <v>-1</v>
      </c>
      <c r="AB115" s="187">
        <f>'FX RESERVE DATA'!AJ83</f>
        <v>-1</v>
      </c>
      <c r="AC115" s="187">
        <f>'FX RESERVE DATA'!AK83</f>
        <v>0</v>
      </c>
      <c r="AD115" s="187">
        <f>'FX RESERVE DATA'!AL83</f>
        <v>-3</v>
      </c>
      <c r="AE115" s="187">
        <f>'FX RESERVE DATA'!AM83</f>
        <v>-3</v>
      </c>
      <c r="AF115" s="187">
        <f>'FX RESERVE DATA'!AN83</f>
        <v>-3</v>
      </c>
      <c r="AG115" s="187">
        <f>'FX RESERVE DATA'!AO83</f>
        <v>-1</v>
      </c>
      <c r="AH115" s="187">
        <f>'FX RESERVE DATA'!AP83</f>
        <v>-1</v>
      </c>
      <c r="AI115" s="187">
        <f>'FX RESERVE DATA'!AQ83</f>
        <v>1</v>
      </c>
      <c r="AJ115" s="187">
        <f>'FX RESERVE DATA'!AR83</f>
        <v>0</v>
      </c>
      <c r="AK115" s="187">
        <f>'FX RESERVE DATA'!AS83</f>
        <v>1</v>
      </c>
      <c r="AL115" s="187">
        <f>'FX RESERVE DATA'!AT83</f>
        <v>0</v>
      </c>
      <c r="AM115" s="187">
        <f>'FX RESERVE DATA'!AU83</f>
        <v>0</v>
      </c>
      <c r="AN115" s="187">
        <f>'FX RESERVE DATA'!AV83</f>
        <v>0</v>
      </c>
      <c r="AO115" s="187">
        <f>'FX RESERVE DATA'!AW83</f>
        <v>-1</v>
      </c>
      <c r="AP115" s="187">
        <f>'FX RESERVE DATA'!AX83</f>
        <v>2</v>
      </c>
      <c r="AQ115" s="187">
        <f>'FX RESERVE DATA'!AY83</f>
        <v>1</v>
      </c>
      <c r="AR115" s="187">
        <f>'FX RESERVE DATA'!AZ83</f>
        <v>0</v>
      </c>
      <c r="AS115" s="187">
        <f>'FX RESERVE DATA'!BA83</f>
        <v>-1</v>
      </c>
      <c r="AT115" s="187">
        <f>'FX RESERVE DATA'!BB83</f>
        <v>1</v>
      </c>
      <c r="AU115" s="187">
        <f>'FX RESERVE DATA'!BC83</f>
        <v>-1</v>
      </c>
      <c r="AV115" s="187">
        <f>'FX RESERVE DATA'!BD83</f>
        <v>-2</v>
      </c>
      <c r="AW115" s="187">
        <f>'FX RESERVE DATA'!BE83</f>
        <v>-2</v>
      </c>
      <c r="AX115" s="187">
        <f>'FX RESERVE DATA'!BF83</f>
        <v>-2</v>
      </c>
    </row>
    <row r="116" spans="5:50" ht="21">
      <c r="E116" s="243" t="s">
        <v>58</v>
      </c>
      <c r="F116" s="187">
        <f>'FX RESERVE DATA'!N84</f>
        <v>-10</v>
      </c>
      <c r="G116" s="187">
        <f>'FX RESERVE DATA'!O84</f>
        <v>-10</v>
      </c>
      <c r="H116" s="187">
        <f>'FX RESERVE DATA'!P84</f>
        <v>-10</v>
      </c>
      <c r="I116" s="187">
        <f>'FX RESERVE DATA'!Q84</f>
        <v>-10</v>
      </c>
      <c r="J116" s="187">
        <f>'FX RESERVE DATA'!R84</f>
        <v>-10</v>
      </c>
      <c r="K116" s="187">
        <f>'FX RESERVE DATA'!S84</f>
        <v>-10</v>
      </c>
      <c r="L116" s="187">
        <f>'FX RESERVE DATA'!T84</f>
        <v>-10</v>
      </c>
      <c r="M116" s="187">
        <f>'FX RESERVE DATA'!U84</f>
        <v>-10</v>
      </c>
      <c r="N116" s="187">
        <f>'FX RESERVE DATA'!V84</f>
        <v>-10</v>
      </c>
      <c r="O116" s="187">
        <f>'FX RESERVE DATA'!W84</f>
        <v>-10</v>
      </c>
      <c r="P116" s="187">
        <f>'FX RESERVE DATA'!X84</f>
        <v>-10</v>
      </c>
      <c r="Q116" s="187">
        <f>'FX RESERVE DATA'!Y84</f>
        <v>-10</v>
      </c>
      <c r="R116" s="187">
        <f>'FX RESERVE DATA'!Z84</f>
        <v>-10</v>
      </c>
      <c r="S116" s="187">
        <f>'FX RESERVE DATA'!AA84</f>
        <v>-10</v>
      </c>
      <c r="T116" s="187">
        <f>'FX RESERVE DATA'!AB84</f>
        <v>-7</v>
      </c>
      <c r="U116" s="187">
        <f>'FX RESERVE DATA'!AC84</f>
        <v>-10</v>
      </c>
      <c r="V116" s="187">
        <f>'FX RESERVE DATA'!AD84</f>
        <v>-4</v>
      </c>
      <c r="W116" s="187">
        <f>'FX RESERVE DATA'!AE84</f>
        <v>-7</v>
      </c>
      <c r="X116" s="187">
        <f>'FX RESERVE DATA'!AF84</f>
        <v>0</v>
      </c>
      <c r="Y116" s="187">
        <f>'FX RESERVE DATA'!AG84</f>
        <v>10</v>
      </c>
      <c r="Z116" s="187">
        <f>'FX RESERVE DATA'!AH84</f>
        <v>10</v>
      </c>
      <c r="AA116" s="187">
        <f>'FX RESERVE DATA'!AI84</f>
        <v>10</v>
      </c>
      <c r="AB116" s="187">
        <f>'FX RESERVE DATA'!AJ84</f>
        <v>10</v>
      </c>
      <c r="AC116" s="187">
        <f>'FX RESERVE DATA'!AK84</f>
        <v>10</v>
      </c>
      <c r="AD116" s="187">
        <f>'FX RESERVE DATA'!AL84</f>
        <v>10</v>
      </c>
      <c r="AE116" s="187">
        <f>'FX RESERVE DATA'!AM84</f>
        <v>10</v>
      </c>
      <c r="AF116" s="187">
        <f>'FX RESERVE DATA'!AN84</f>
        <v>9</v>
      </c>
      <c r="AG116" s="187">
        <f>'FX RESERVE DATA'!AO84</f>
        <v>10</v>
      </c>
      <c r="AH116" s="187">
        <f>'FX RESERVE DATA'!AP84</f>
        <v>10</v>
      </c>
      <c r="AI116" s="187">
        <f>'FX RESERVE DATA'!AQ84</f>
        <v>10</v>
      </c>
      <c r="AJ116" s="187">
        <f>'FX RESERVE DATA'!AR84</f>
        <v>10</v>
      </c>
      <c r="AK116" s="187">
        <f>'FX RESERVE DATA'!AS84</f>
        <v>10</v>
      </c>
      <c r="AL116" s="187">
        <f>'FX RESERVE DATA'!AT84</f>
        <v>10</v>
      </c>
      <c r="AM116" s="187">
        <f>'FX RESERVE DATA'!AU84</f>
        <v>10</v>
      </c>
      <c r="AN116" s="187">
        <f>'FX RESERVE DATA'!AV84</f>
        <v>10</v>
      </c>
      <c r="AO116" s="187">
        <f>'FX RESERVE DATA'!AW84</f>
        <v>10</v>
      </c>
      <c r="AP116" s="187">
        <f>'FX RESERVE DATA'!AX84</f>
        <v>10</v>
      </c>
      <c r="AQ116" s="187">
        <f>'FX RESERVE DATA'!AY84</f>
        <v>10</v>
      </c>
      <c r="AR116" s="187">
        <f>'FX RESERVE DATA'!AZ84</f>
        <v>10</v>
      </c>
      <c r="AS116" s="187">
        <f>'FX RESERVE DATA'!BA84</f>
        <v>10</v>
      </c>
      <c r="AT116" s="187">
        <f>'FX RESERVE DATA'!BB84</f>
        <v>10</v>
      </c>
      <c r="AU116" s="187">
        <f>'FX RESERVE DATA'!BC84</f>
        <v>10</v>
      </c>
      <c r="AV116" s="187">
        <f>'FX RESERVE DATA'!BD84</f>
        <v>10</v>
      </c>
      <c r="AW116" s="187">
        <f>'FX RESERVE DATA'!BE84</f>
        <v>10</v>
      </c>
      <c r="AX116" s="187">
        <f>'FX RESERVE DATA'!BF84</f>
        <v>10</v>
      </c>
    </row>
    <row r="117" spans="5:50" ht="21">
      <c r="E117" s="243" t="s">
        <v>18</v>
      </c>
      <c r="F117" s="187">
        <f>'FX RESERVE DATA'!N85</f>
        <v>-10</v>
      </c>
      <c r="G117" s="187">
        <f>'FX RESERVE DATA'!O85</f>
        <v>-10</v>
      </c>
      <c r="H117" s="187">
        <f>'FX RESERVE DATA'!P85</f>
        <v>-10</v>
      </c>
      <c r="I117" s="187">
        <f>'FX RESERVE DATA'!Q85</f>
        <v>-10</v>
      </c>
      <c r="J117" s="187">
        <f>'FX RESERVE DATA'!R85</f>
        <v>-10</v>
      </c>
      <c r="K117" s="187">
        <f>'FX RESERVE DATA'!S85</f>
        <v>-10</v>
      </c>
      <c r="L117" s="187">
        <f>'FX RESERVE DATA'!T85</f>
        <v>-10</v>
      </c>
      <c r="M117" s="187">
        <f>'FX RESERVE DATA'!U85</f>
        <v>-10</v>
      </c>
      <c r="N117" s="187">
        <f>'FX RESERVE DATA'!V85</f>
        <v>-2</v>
      </c>
      <c r="O117" s="187">
        <f>'FX RESERVE DATA'!W85</f>
        <v>10</v>
      </c>
      <c r="P117" s="187">
        <f>'FX RESERVE DATA'!X85</f>
        <v>10</v>
      </c>
      <c r="Q117" s="187">
        <f>'FX RESERVE DATA'!Y85</f>
        <v>10</v>
      </c>
      <c r="R117" s="187">
        <f>'FX RESERVE DATA'!Z85</f>
        <v>10</v>
      </c>
      <c r="S117" s="187">
        <f>'FX RESERVE DATA'!AA85</f>
        <v>10</v>
      </c>
      <c r="T117" s="187">
        <f>'FX RESERVE DATA'!AB85</f>
        <v>10</v>
      </c>
      <c r="U117" s="187">
        <f>'FX RESERVE DATA'!AC85</f>
        <v>5</v>
      </c>
      <c r="V117" s="187">
        <f>'FX RESERVE DATA'!AD85</f>
        <v>-10</v>
      </c>
      <c r="W117" s="187">
        <f>'FX RESERVE DATA'!AE85</f>
        <v>-10</v>
      </c>
      <c r="X117" s="187">
        <f>'FX RESERVE DATA'!AF85</f>
        <v>-10</v>
      </c>
      <c r="Y117" s="187">
        <f>'FX RESERVE DATA'!AG85</f>
        <v>-10</v>
      </c>
      <c r="Z117" s="187">
        <f>'FX RESERVE DATA'!AH85</f>
        <v>-5</v>
      </c>
      <c r="AA117" s="187">
        <f>'FX RESERVE DATA'!AI85</f>
        <v>-10</v>
      </c>
      <c r="AB117" s="187">
        <f>'FX RESERVE DATA'!AJ85</f>
        <v>-10</v>
      </c>
      <c r="AC117" s="187">
        <f>'FX RESERVE DATA'!AK85</f>
        <v>-10</v>
      </c>
      <c r="AD117" s="187">
        <f>'FX RESERVE DATA'!AL85</f>
        <v>-10</v>
      </c>
      <c r="AE117" s="187">
        <f>'FX RESERVE DATA'!AM85</f>
        <v>-10</v>
      </c>
      <c r="AF117" s="187">
        <f>'FX RESERVE DATA'!AN85</f>
        <v>-10</v>
      </c>
      <c r="AG117" s="187">
        <f>'FX RESERVE DATA'!AO85</f>
        <v>-8</v>
      </c>
      <c r="AH117" s="187">
        <f>'FX RESERVE DATA'!AP85</f>
        <v>10</v>
      </c>
      <c r="AI117" s="187">
        <f>'FX RESERVE DATA'!AQ85</f>
        <v>10</v>
      </c>
      <c r="AJ117" s="187">
        <f>'FX RESERVE DATA'!AR85</f>
        <v>10</v>
      </c>
      <c r="AK117" s="187">
        <f>'FX RESERVE DATA'!AS85</f>
        <v>10</v>
      </c>
      <c r="AL117" s="187">
        <f>'FX RESERVE DATA'!AT85</f>
        <v>10</v>
      </c>
      <c r="AM117" s="187">
        <f>'FX RESERVE DATA'!AU85</f>
        <v>10</v>
      </c>
      <c r="AN117" s="187">
        <f>'FX RESERVE DATA'!AV85</f>
        <v>10</v>
      </c>
      <c r="AO117" s="187">
        <f>'FX RESERVE DATA'!AW85</f>
        <v>10</v>
      </c>
      <c r="AP117" s="187">
        <f>'FX RESERVE DATA'!AX85</f>
        <v>10</v>
      </c>
      <c r="AQ117" s="187">
        <f>'FX RESERVE DATA'!AY85</f>
        <v>10</v>
      </c>
      <c r="AR117" s="187">
        <f>'FX RESERVE DATA'!AZ85</f>
        <v>10</v>
      </c>
      <c r="AS117" s="187">
        <f>'FX RESERVE DATA'!BA85</f>
        <v>10</v>
      </c>
      <c r="AT117" s="187">
        <f>'FX RESERVE DATA'!BB85</f>
        <v>-10</v>
      </c>
      <c r="AU117" s="187">
        <f>'FX RESERVE DATA'!BC85</f>
        <v>-10</v>
      </c>
      <c r="AV117" s="187">
        <f>'FX RESERVE DATA'!BD85</f>
        <v>-10</v>
      </c>
      <c r="AW117" s="187">
        <f>'FX RESERVE DATA'!BE85</f>
        <v>-10</v>
      </c>
      <c r="AX117" s="187">
        <f>'FX RESERVE DATA'!BF85</f>
        <v>-10</v>
      </c>
    </row>
    <row r="118" spans="5:50" ht="21">
      <c r="E118" s="244" t="s">
        <v>59</v>
      </c>
      <c r="F118" s="187">
        <f>'FX RESERVE DATA'!N86</f>
        <v>-1</v>
      </c>
      <c r="G118" s="187">
        <f>'FX RESERVE DATA'!O86</f>
        <v>1</v>
      </c>
      <c r="H118" s="187">
        <f>'FX RESERVE DATA'!P86</f>
        <v>-1</v>
      </c>
      <c r="I118" s="187">
        <f>'FX RESERVE DATA'!Q86</f>
        <v>0</v>
      </c>
      <c r="J118" s="187">
        <f>'FX RESERVE DATA'!R86</f>
        <v>0</v>
      </c>
      <c r="K118" s="187">
        <f>'FX RESERVE DATA'!S86</f>
        <v>-1</v>
      </c>
      <c r="L118" s="187">
        <f>'FX RESERVE DATA'!T86</f>
        <v>0</v>
      </c>
      <c r="M118" s="187">
        <f>'FX RESERVE DATA'!U86</f>
        <v>1</v>
      </c>
      <c r="N118" s="187">
        <f>'FX RESERVE DATA'!V86</f>
        <v>2</v>
      </c>
      <c r="O118" s="187">
        <f>'FX RESERVE DATA'!W86</f>
        <v>3</v>
      </c>
      <c r="P118" s="187">
        <f>'FX RESERVE DATA'!X86</f>
        <v>2</v>
      </c>
      <c r="Q118" s="187">
        <f>'FX RESERVE DATA'!Y86</f>
        <v>-1</v>
      </c>
      <c r="R118" s="187">
        <f>'FX RESERVE DATA'!Z86</f>
        <v>3</v>
      </c>
      <c r="S118" s="187">
        <f>'FX RESERVE DATA'!AA86</f>
        <v>1</v>
      </c>
      <c r="T118" s="187">
        <f>'FX RESERVE DATA'!AB86</f>
        <v>2</v>
      </c>
      <c r="U118" s="187">
        <f>'FX RESERVE DATA'!AC86</f>
        <v>3</v>
      </c>
      <c r="V118" s="187">
        <f>'FX RESERVE DATA'!AD86</f>
        <v>1</v>
      </c>
      <c r="W118" s="187">
        <f>'FX RESERVE DATA'!AE86</f>
        <v>2</v>
      </c>
      <c r="X118" s="187">
        <f>'FX RESERVE DATA'!AF86</f>
        <v>2</v>
      </c>
      <c r="Y118" s="187">
        <f>'FX RESERVE DATA'!AG86</f>
        <v>1</v>
      </c>
      <c r="Z118" s="187">
        <f>'FX RESERVE DATA'!AH86</f>
        <v>0</v>
      </c>
      <c r="AA118" s="187">
        <f>'FX RESERVE DATA'!AI86</f>
        <v>2</v>
      </c>
      <c r="AB118" s="187">
        <f>'FX RESERVE DATA'!AJ86</f>
        <v>1</v>
      </c>
      <c r="AC118" s="187">
        <f>'FX RESERVE DATA'!AK86</f>
        <v>3</v>
      </c>
      <c r="AD118" s="187">
        <f>'FX RESERVE DATA'!AL86</f>
        <v>1</v>
      </c>
      <c r="AE118" s="187">
        <f>'FX RESERVE DATA'!AM86</f>
        <v>1</v>
      </c>
      <c r="AF118" s="187">
        <f>'FX RESERVE DATA'!AN86</f>
        <v>1</v>
      </c>
      <c r="AG118" s="187">
        <f>'FX RESERVE DATA'!AO86</f>
        <v>1</v>
      </c>
      <c r="AH118" s="187">
        <f>'FX RESERVE DATA'!AP86</f>
        <v>2</v>
      </c>
      <c r="AI118" s="187">
        <f>'FX RESERVE DATA'!AQ86</f>
        <v>3</v>
      </c>
      <c r="AJ118" s="187">
        <f>'FX RESERVE DATA'!AR86</f>
        <v>2</v>
      </c>
      <c r="AK118" s="187">
        <f>'FX RESERVE DATA'!AS86</f>
        <v>3</v>
      </c>
      <c r="AL118" s="187">
        <f>'FX RESERVE DATA'!AT86</f>
        <v>2</v>
      </c>
      <c r="AM118" s="187">
        <f>'FX RESERVE DATA'!AU86</f>
        <v>1</v>
      </c>
      <c r="AN118" s="187">
        <f>'FX RESERVE DATA'!AV86</f>
        <v>2</v>
      </c>
      <c r="AO118" s="187">
        <f>'FX RESERVE DATA'!AW86</f>
        <v>0</v>
      </c>
      <c r="AP118" s="187">
        <f>'FX RESERVE DATA'!AX86</f>
        <v>2</v>
      </c>
      <c r="AQ118" s="187">
        <f>'FX RESERVE DATA'!AY86</f>
        <v>0</v>
      </c>
      <c r="AR118" s="187">
        <f>'FX RESERVE DATA'!AZ86</f>
        <v>3</v>
      </c>
      <c r="AS118" s="187">
        <f>'FX RESERVE DATA'!BA86</f>
        <v>1</v>
      </c>
      <c r="AT118" s="187">
        <f>'FX RESERVE DATA'!BB86</f>
        <v>2</v>
      </c>
      <c r="AU118" s="187">
        <f>'FX RESERVE DATA'!BC86</f>
        <v>0</v>
      </c>
      <c r="AV118" s="187">
        <f>'FX RESERVE DATA'!BD86</f>
        <v>-1</v>
      </c>
      <c r="AW118" s="187">
        <f>'FX RESERVE DATA'!BE86</f>
        <v>0</v>
      </c>
      <c r="AX118" s="187">
        <f>'FX RESERVE DATA'!BF86</f>
        <v>1</v>
      </c>
    </row>
    <row r="119" spans="5:50" ht="21">
      <c r="E119" s="244" t="s">
        <v>20</v>
      </c>
      <c r="F119" s="187">
        <f>'FX RESERVE DATA'!N87</f>
        <v>2</v>
      </c>
      <c r="G119" s="187">
        <f>'FX RESERVE DATA'!O87</f>
        <v>3</v>
      </c>
      <c r="H119" s="187">
        <f>'FX RESERVE DATA'!P87</f>
        <v>3</v>
      </c>
      <c r="I119" s="187">
        <f>'FX RESERVE DATA'!Q87</f>
        <v>2</v>
      </c>
      <c r="J119" s="187">
        <f>'FX RESERVE DATA'!R87</f>
        <v>2</v>
      </c>
      <c r="K119" s="187">
        <f>'FX RESERVE DATA'!S87</f>
        <v>2</v>
      </c>
      <c r="L119" s="187">
        <f>'FX RESERVE DATA'!T87</f>
        <v>2</v>
      </c>
      <c r="M119" s="187">
        <f>'FX RESERVE DATA'!U87</f>
        <v>1</v>
      </c>
      <c r="N119" s="187">
        <f>'FX RESERVE DATA'!V87</f>
        <v>3</v>
      </c>
      <c r="O119" s="187">
        <f>'FX RESERVE DATA'!W87</f>
        <v>3</v>
      </c>
      <c r="P119" s="187">
        <f>'FX RESERVE DATA'!X87</f>
        <v>4</v>
      </c>
      <c r="Q119" s="187">
        <f>'FX RESERVE DATA'!Y87</f>
        <v>3</v>
      </c>
      <c r="R119" s="187">
        <f>'FX RESERVE DATA'!Z87</f>
        <v>4</v>
      </c>
      <c r="S119" s="187">
        <f>'FX RESERVE DATA'!AA87</f>
        <v>3</v>
      </c>
      <c r="T119" s="187">
        <f>'FX RESERVE DATA'!AB87</f>
        <v>4</v>
      </c>
      <c r="U119" s="187">
        <f>'FX RESERVE DATA'!AC87</f>
        <v>5</v>
      </c>
      <c r="V119" s="187">
        <f>'FX RESERVE DATA'!AD87</f>
        <v>4</v>
      </c>
      <c r="W119" s="187">
        <f>'FX RESERVE DATA'!AE87</f>
        <v>3</v>
      </c>
      <c r="X119" s="187">
        <f>'FX RESERVE DATA'!AF87</f>
        <v>5</v>
      </c>
      <c r="Y119" s="187">
        <f>'FX RESERVE DATA'!AG87</f>
        <v>4</v>
      </c>
      <c r="Z119" s="187">
        <f>'FX RESERVE DATA'!AH87</f>
        <v>4</v>
      </c>
      <c r="AA119" s="187">
        <f>'FX RESERVE DATA'!AI87</f>
        <v>3</v>
      </c>
      <c r="AB119" s="187">
        <f>'FX RESERVE DATA'!AJ87</f>
        <v>2</v>
      </c>
      <c r="AC119" s="187">
        <f>'FX RESERVE DATA'!AK87</f>
        <v>2</v>
      </c>
      <c r="AD119" s="187">
        <f>'FX RESERVE DATA'!AL87</f>
        <v>-2</v>
      </c>
      <c r="AE119" s="187">
        <f>'FX RESERVE DATA'!AM87</f>
        <v>-1</v>
      </c>
      <c r="AF119" s="187">
        <f>'FX RESERVE DATA'!AN87</f>
        <v>0</v>
      </c>
      <c r="AG119" s="187">
        <f>'FX RESERVE DATA'!AO87</f>
        <v>-2</v>
      </c>
      <c r="AH119" s="187">
        <f>'FX RESERVE DATA'!AP87</f>
        <v>-2</v>
      </c>
      <c r="AI119" s="187">
        <f>'FX RESERVE DATA'!AQ87</f>
        <v>1</v>
      </c>
      <c r="AJ119" s="187">
        <f>'FX RESERVE DATA'!AR87</f>
        <v>0</v>
      </c>
      <c r="AK119" s="187">
        <f>'FX RESERVE DATA'!AS87</f>
        <v>0</v>
      </c>
      <c r="AL119" s="187">
        <f>'FX RESERVE DATA'!AT87</f>
        <v>-2</v>
      </c>
      <c r="AM119" s="187">
        <f>'FX RESERVE DATA'!AU87</f>
        <v>1</v>
      </c>
      <c r="AN119" s="187">
        <f>'FX RESERVE DATA'!AV87</f>
        <v>0</v>
      </c>
      <c r="AO119" s="187">
        <f>'FX RESERVE DATA'!AW87</f>
        <v>0</v>
      </c>
      <c r="AP119" s="187">
        <f>'FX RESERVE DATA'!AX87</f>
        <v>4</v>
      </c>
      <c r="AQ119" s="187">
        <f>'FX RESERVE DATA'!AY87</f>
        <v>3</v>
      </c>
      <c r="AR119" s="187">
        <f>'FX RESERVE DATA'!AZ87</f>
        <v>-1</v>
      </c>
      <c r="AS119" s="187">
        <f>'FX RESERVE DATA'!BA87</f>
        <v>0</v>
      </c>
      <c r="AT119" s="187">
        <f>'FX RESERVE DATA'!BB87</f>
        <v>1</v>
      </c>
      <c r="AU119" s="187">
        <f>'FX RESERVE DATA'!BC87</f>
        <v>-1</v>
      </c>
      <c r="AV119" s="187">
        <f>'FX RESERVE DATA'!BD87</f>
        <v>-3</v>
      </c>
      <c r="AW119" s="187">
        <f>'FX RESERVE DATA'!BE87</f>
        <v>-3</v>
      </c>
      <c r="AX119" s="187">
        <f>'FX RESERVE DATA'!BF87</f>
        <v>-2</v>
      </c>
    </row>
    <row r="120" spans="5:50" ht="21">
      <c r="E120" s="245" t="s">
        <v>19</v>
      </c>
      <c r="F120" s="187">
        <f>'FX RESERVE DATA'!N88</f>
        <v>-10</v>
      </c>
      <c r="G120" s="187">
        <f>'FX RESERVE DATA'!O88</f>
        <v>-10</v>
      </c>
      <c r="H120" s="187">
        <f>'FX RESERVE DATA'!P88</f>
        <v>-10</v>
      </c>
      <c r="I120" s="187">
        <f>'FX RESERVE DATA'!Q88</f>
        <v>-10</v>
      </c>
      <c r="J120" s="187">
        <f>'FX RESERVE DATA'!R88</f>
        <v>-10</v>
      </c>
      <c r="K120" s="187">
        <f>'FX RESERVE DATA'!S88</f>
        <v>-10</v>
      </c>
      <c r="L120" s="187">
        <f>'FX RESERVE DATA'!T88</f>
        <v>-10</v>
      </c>
      <c r="M120" s="187">
        <f>'FX RESERVE DATA'!U88</f>
        <v>-10</v>
      </c>
      <c r="N120" s="187">
        <f>'FX RESERVE DATA'!V88</f>
        <v>-6</v>
      </c>
      <c r="O120" s="187">
        <f>'FX RESERVE DATA'!W88</f>
        <v>10</v>
      </c>
      <c r="P120" s="187">
        <f>'FX RESERVE DATA'!X88</f>
        <v>10</v>
      </c>
      <c r="Q120" s="187">
        <f>'FX RESERVE DATA'!Y88</f>
        <v>10</v>
      </c>
      <c r="R120" s="187">
        <f>'FX RESERVE DATA'!Z88</f>
        <v>10</v>
      </c>
      <c r="S120" s="187">
        <f>'FX RESERVE DATA'!AA88</f>
        <v>10</v>
      </c>
      <c r="T120" s="187">
        <f>'FX RESERVE DATA'!AB88</f>
        <v>9</v>
      </c>
      <c r="U120" s="187">
        <f>'FX RESERVE DATA'!AC88</f>
        <v>0</v>
      </c>
      <c r="V120" s="187">
        <f>'FX RESERVE DATA'!AD88</f>
        <v>-10</v>
      </c>
      <c r="W120" s="187">
        <f>'FX RESERVE DATA'!AE88</f>
        <v>-10</v>
      </c>
      <c r="X120" s="187">
        <f>'FX RESERVE DATA'!AF88</f>
        <v>-10</v>
      </c>
      <c r="Y120" s="187">
        <f>'FX RESERVE DATA'!AG88</f>
        <v>-10</v>
      </c>
      <c r="Z120" s="187">
        <f>'FX RESERVE DATA'!AH88</f>
        <v>-9</v>
      </c>
      <c r="AA120" s="187">
        <f>'FX RESERVE DATA'!AI88</f>
        <v>-10</v>
      </c>
      <c r="AB120" s="187">
        <f>'FX RESERVE DATA'!AJ88</f>
        <v>-10</v>
      </c>
      <c r="AC120" s="187">
        <f>'FX RESERVE DATA'!AK88</f>
        <v>-10</v>
      </c>
      <c r="AD120" s="187">
        <f>'FX RESERVE DATA'!AL88</f>
        <v>-10</v>
      </c>
      <c r="AE120" s="187">
        <f>'FX RESERVE DATA'!AM88</f>
        <v>-10</v>
      </c>
      <c r="AF120" s="187">
        <f>'FX RESERVE DATA'!AN88</f>
        <v>-10</v>
      </c>
      <c r="AG120" s="187">
        <f>'FX RESERVE DATA'!AO88</f>
        <v>-6</v>
      </c>
      <c r="AH120" s="187">
        <f>'FX RESERVE DATA'!AP88</f>
        <v>10</v>
      </c>
      <c r="AI120" s="187">
        <f>'FX RESERVE DATA'!AQ88</f>
        <v>10</v>
      </c>
      <c r="AJ120" s="187">
        <f>'FX RESERVE DATA'!AR88</f>
        <v>10</v>
      </c>
      <c r="AK120" s="187">
        <f>'FX RESERVE DATA'!AS88</f>
        <v>10</v>
      </c>
      <c r="AL120" s="187">
        <f>'FX RESERVE DATA'!AT88</f>
        <v>10</v>
      </c>
      <c r="AM120" s="187">
        <f>'FX RESERVE DATA'!AU88</f>
        <v>10</v>
      </c>
      <c r="AN120" s="187">
        <f>'FX RESERVE DATA'!AV88</f>
        <v>10</v>
      </c>
      <c r="AO120" s="187">
        <f>'FX RESERVE DATA'!AW88</f>
        <v>10</v>
      </c>
      <c r="AP120" s="187">
        <f>'FX RESERVE DATA'!AX88</f>
        <v>10</v>
      </c>
      <c r="AQ120" s="187">
        <f>'FX RESERVE DATA'!AY88</f>
        <v>10</v>
      </c>
      <c r="AR120" s="187">
        <f>'FX RESERVE DATA'!AZ88</f>
        <v>10</v>
      </c>
      <c r="AS120" s="187">
        <f>'FX RESERVE DATA'!BA88</f>
        <v>10</v>
      </c>
      <c r="AT120" s="187">
        <f>'FX RESERVE DATA'!BB88</f>
        <v>-10</v>
      </c>
      <c r="AU120" s="187">
        <f>'FX RESERVE DATA'!BC88</f>
        <v>-10</v>
      </c>
      <c r="AV120" s="187">
        <f>'FX RESERVE DATA'!BD88</f>
        <v>-10</v>
      </c>
      <c r="AW120" s="187">
        <f>'FX RESERVE DATA'!BE88</f>
        <v>-10</v>
      </c>
      <c r="AX120" s="187">
        <f>'FX RESERVE DATA'!BF88</f>
        <v>-10</v>
      </c>
    </row>
    <row r="121" spans="5:50"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 spans="5:50">
      <c r="E122" s="247" t="s">
        <v>95</v>
      </c>
      <c r="F122" s="249">
        <v>44927</v>
      </c>
      <c r="G122" s="208">
        <v>44958</v>
      </c>
      <c r="H122" s="208">
        <v>44986</v>
      </c>
      <c r="I122" s="249">
        <v>45017</v>
      </c>
      <c r="J122" s="208">
        <v>45047</v>
      </c>
      <c r="K122" s="208">
        <v>45078</v>
      </c>
      <c r="L122" s="249">
        <v>45108</v>
      </c>
      <c r="M122" s="208">
        <v>45139</v>
      </c>
      <c r="N122" s="208">
        <v>45170</v>
      </c>
      <c r="O122" s="249">
        <v>45200</v>
      </c>
      <c r="P122" s="208">
        <v>45231</v>
      </c>
      <c r="Q122" s="208">
        <v>45261</v>
      </c>
      <c r="R122" s="249">
        <v>45292</v>
      </c>
      <c r="S122" s="208">
        <v>45323</v>
      </c>
      <c r="T122" s="208">
        <v>45352</v>
      </c>
      <c r="U122" s="249">
        <v>45383</v>
      </c>
      <c r="V122" s="208">
        <v>45413</v>
      </c>
      <c r="W122" s="208">
        <v>45444</v>
      </c>
      <c r="X122" s="249">
        <v>45474</v>
      </c>
      <c r="Y122" s="208">
        <v>45505</v>
      </c>
      <c r="Z122" s="208">
        <v>45536</v>
      </c>
      <c r="AA122" s="249">
        <v>45566</v>
      </c>
      <c r="AB122" s="208">
        <v>45597</v>
      </c>
      <c r="AC122" s="208">
        <v>45627</v>
      </c>
      <c r="AD122" s="249">
        <v>45658</v>
      </c>
      <c r="AE122" s="208">
        <v>45689</v>
      </c>
      <c r="AF122" s="208">
        <v>45717</v>
      </c>
      <c r="AG122" s="208">
        <v>45748</v>
      </c>
      <c r="AH122" s="208">
        <v>45778</v>
      </c>
      <c r="AI122" s="208">
        <v>45809</v>
      </c>
      <c r="AJ122" s="208">
        <v>45839</v>
      </c>
      <c r="AK122" s="208">
        <v>45870</v>
      </c>
      <c r="AL122" s="208">
        <v>45901</v>
      </c>
      <c r="AM122" s="208">
        <v>45931</v>
      </c>
      <c r="AN122" s="208">
        <v>45962</v>
      </c>
      <c r="AO122" s="208">
        <v>45992</v>
      </c>
      <c r="AP122" s="208">
        <v>46023</v>
      </c>
      <c r="AQ122" s="208">
        <v>46054</v>
      </c>
      <c r="AR122" s="208">
        <v>46082</v>
      </c>
      <c r="AS122" s="208">
        <v>46113</v>
      </c>
      <c r="AT122" s="208">
        <v>46143</v>
      </c>
      <c r="AU122" s="208">
        <v>46174</v>
      </c>
      <c r="AV122" s="208">
        <v>46204</v>
      </c>
      <c r="AW122" s="208">
        <v>46235</v>
      </c>
      <c r="AX122" s="208">
        <v>46266</v>
      </c>
    </row>
    <row r="123" spans="5:50" ht="21">
      <c r="E123" s="236" t="s">
        <v>16</v>
      </c>
      <c r="F123" s="187">
        <f>'Interest Rates data'!C45</f>
        <v>9</v>
      </c>
      <c r="G123" s="187">
        <f>'Interest Rates data'!D45</f>
        <v>10</v>
      </c>
      <c r="H123" s="187">
        <f>'Interest Rates data'!E45</f>
        <v>10</v>
      </c>
      <c r="I123" s="187">
        <f>'Interest Rates data'!F45</f>
        <v>10</v>
      </c>
      <c r="J123" s="187">
        <f>'Interest Rates data'!G45</f>
        <v>6</v>
      </c>
      <c r="K123" s="187">
        <f>'Interest Rates data'!H45</f>
        <v>6</v>
      </c>
      <c r="L123" s="187">
        <f>'Interest Rates data'!I45</f>
        <v>6</v>
      </c>
      <c r="M123" s="187">
        <f>'Interest Rates data'!J45</f>
        <v>6</v>
      </c>
      <c r="N123" s="187">
        <f>'Interest Rates data'!K45</f>
        <v>6</v>
      </c>
      <c r="O123" s="187">
        <f>'Interest Rates data'!L45</f>
        <v>6</v>
      </c>
      <c r="P123" s="187">
        <f>'Interest Rates data'!M45</f>
        <v>6</v>
      </c>
      <c r="Q123" s="187">
        <f>'Interest Rates data'!N45</f>
        <v>6</v>
      </c>
      <c r="R123" s="187">
        <f>'Interest Rates data'!O45</f>
        <v>6</v>
      </c>
      <c r="S123" s="187">
        <f>'Interest Rates data'!P45</f>
        <v>6</v>
      </c>
      <c r="T123" s="187">
        <f>'Interest Rates data'!Q45</f>
        <v>6</v>
      </c>
      <c r="U123" s="187">
        <f>'Interest Rates data'!R45</f>
        <v>6</v>
      </c>
      <c r="V123" s="187">
        <f>'Interest Rates data'!S45</f>
        <v>6</v>
      </c>
      <c r="W123" s="187">
        <f>'Interest Rates data'!T45</f>
        <v>6</v>
      </c>
      <c r="X123" s="187">
        <f>'Interest Rates data'!U45</f>
        <v>6</v>
      </c>
      <c r="Y123" s="187">
        <f>'Interest Rates data'!V45</f>
        <v>6</v>
      </c>
      <c r="Z123" s="187">
        <f>'Interest Rates data'!W45</f>
        <v>10</v>
      </c>
      <c r="AA123" s="187">
        <f>'Interest Rates data'!X45</f>
        <v>10</v>
      </c>
      <c r="AB123" s="187">
        <f>'Interest Rates data'!Y45</f>
        <v>9</v>
      </c>
      <c r="AC123" s="187">
        <f>'Interest Rates data'!Z45</f>
        <v>9</v>
      </c>
      <c r="AD123" s="187">
        <f>'Interest Rates data'!AA45</f>
        <v>8</v>
      </c>
      <c r="AE123" s="187">
        <f>'Interest Rates data'!AB45</f>
        <v>8</v>
      </c>
      <c r="AF123" s="187">
        <f>'Interest Rates data'!AC45</f>
        <v>8</v>
      </c>
      <c r="AG123" s="187">
        <f>'Interest Rates data'!AD45</f>
        <v>8</v>
      </c>
      <c r="AH123" s="187">
        <f>'Interest Rates data'!AE45</f>
        <v>8</v>
      </c>
      <c r="AI123" s="187">
        <f>'Interest Rates data'!AF45</f>
        <v>8</v>
      </c>
      <c r="AJ123" s="187">
        <f>'Interest Rates data'!AG45</f>
        <v>8</v>
      </c>
      <c r="AK123" s="187">
        <f>'Interest Rates data'!AH45</f>
        <v>8</v>
      </c>
      <c r="AL123" s="187">
        <f>'Interest Rates data'!AI45</f>
        <v>8</v>
      </c>
      <c r="AM123" s="187">
        <f>'Interest Rates data'!AJ45</f>
        <v>7</v>
      </c>
      <c r="AN123" s="187">
        <f>'Interest Rates data'!AK45</f>
        <v>7</v>
      </c>
      <c r="AO123" s="187">
        <f>'Interest Rates data'!AL45</f>
        <v>6</v>
      </c>
      <c r="AP123" s="187">
        <f>'Interest Rates data'!AM45</f>
        <v>6</v>
      </c>
      <c r="AQ123" s="187">
        <f>'Interest Rates data'!AN45</f>
        <v>6</v>
      </c>
      <c r="AR123" s="187">
        <f>'Interest Rates data'!AO45</f>
        <v>6</v>
      </c>
      <c r="AS123" s="187">
        <f>'Interest Rates data'!AP45</f>
        <v>6</v>
      </c>
      <c r="AT123" s="187">
        <f>'Interest Rates data'!AQ45</f>
        <v>6</v>
      </c>
      <c r="AU123" s="187">
        <f>'Interest Rates data'!AR45</f>
        <v>6</v>
      </c>
      <c r="AV123" s="187">
        <f>'Interest Rates data'!AS45</f>
        <v>6</v>
      </c>
      <c r="AW123" s="187">
        <f>'Interest Rates data'!AT45</f>
        <v>6</v>
      </c>
      <c r="AX123" s="187">
        <f>'Interest Rates data'!AU45</f>
        <v>6</v>
      </c>
    </row>
    <row r="124" spans="5:50" ht="21">
      <c r="E124" s="237" t="s">
        <v>46</v>
      </c>
      <c r="F124" s="187">
        <f>'Interest Rates data'!C46</f>
        <v>7</v>
      </c>
      <c r="G124" s="187">
        <f>'Interest Rates data'!D46</f>
        <v>8</v>
      </c>
      <c r="H124" s="187">
        <f>'Interest Rates data'!E46</f>
        <v>7</v>
      </c>
      <c r="I124" s="187">
        <f>'Interest Rates data'!F46</f>
        <v>7</v>
      </c>
      <c r="J124" s="187">
        <f>'Interest Rates data'!G46</f>
        <v>8</v>
      </c>
      <c r="K124" s="187">
        <f>'Interest Rates data'!H46</f>
        <v>7</v>
      </c>
      <c r="L124" s="187">
        <f>'Interest Rates data'!I46</f>
        <v>8</v>
      </c>
      <c r="M124" s="187">
        <f>'Interest Rates data'!J46</f>
        <v>8</v>
      </c>
      <c r="N124" s="187">
        <f>'Interest Rates data'!K46</f>
        <v>8</v>
      </c>
      <c r="O124" s="187">
        <f>'Interest Rates data'!L46</f>
        <v>8</v>
      </c>
      <c r="P124" s="187">
        <f>'Interest Rates data'!M46</f>
        <v>8</v>
      </c>
      <c r="Q124" s="187">
        <f>'Interest Rates data'!N46</f>
        <v>8</v>
      </c>
      <c r="R124" s="187">
        <f>'Interest Rates data'!O46</f>
        <v>8</v>
      </c>
      <c r="S124" s="187">
        <f>'Interest Rates data'!P46</f>
        <v>8</v>
      </c>
      <c r="T124" s="187">
        <f>'Interest Rates data'!Q46</f>
        <v>8</v>
      </c>
      <c r="U124" s="187">
        <f>'Interest Rates data'!R46</f>
        <v>8</v>
      </c>
      <c r="V124" s="187">
        <f>'Interest Rates data'!S46</f>
        <v>8</v>
      </c>
      <c r="W124" s="187">
        <f>'Interest Rates data'!T46</f>
        <v>9</v>
      </c>
      <c r="X124" s="187">
        <f>'Interest Rates data'!U46</f>
        <v>9</v>
      </c>
      <c r="Y124" s="187">
        <f>'Interest Rates data'!V46</f>
        <v>9</v>
      </c>
      <c r="Z124" s="187">
        <f>'Interest Rates data'!W46</f>
        <v>8</v>
      </c>
      <c r="AA124" s="187">
        <f>'Interest Rates data'!X46</f>
        <v>8</v>
      </c>
      <c r="AB124" s="187">
        <f>'Interest Rates data'!Y46</f>
        <v>8</v>
      </c>
      <c r="AC124" s="187">
        <f>'Interest Rates data'!Z46</f>
        <v>8</v>
      </c>
      <c r="AD124" s="187">
        <f>'Interest Rates data'!AA46</f>
        <v>8</v>
      </c>
      <c r="AE124" s="187">
        <f>'Interest Rates data'!AB46</f>
        <v>8</v>
      </c>
      <c r="AF124" s="187">
        <f>'Interest Rates data'!AC46</f>
        <v>9</v>
      </c>
      <c r="AG124" s="187">
        <f>'Interest Rates data'!AD46</f>
        <v>9</v>
      </c>
      <c r="AH124" s="187">
        <f>'Interest Rates data'!AE46</f>
        <v>9</v>
      </c>
      <c r="AI124" s="187">
        <f>'Interest Rates data'!AF46</f>
        <v>9</v>
      </c>
      <c r="AJ124" s="187">
        <f>'Interest Rates data'!AG46</f>
        <v>9</v>
      </c>
      <c r="AK124" s="187">
        <f>'Interest Rates data'!AH46</f>
        <v>9</v>
      </c>
      <c r="AL124" s="187">
        <f>'Interest Rates data'!AI46</f>
        <v>9</v>
      </c>
      <c r="AM124" s="187">
        <f>'Interest Rates data'!AJ46</f>
        <v>8</v>
      </c>
      <c r="AN124" s="187">
        <f>'Interest Rates data'!AK46</f>
        <v>8</v>
      </c>
      <c r="AO124" s="187">
        <f>'Interest Rates data'!AL46</f>
        <v>8</v>
      </c>
      <c r="AP124" s="187">
        <f>'Interest Rates data'!AM46</f>
        <v>8</v>
      </c>
      <c r="AQ124" s="187">
        <f>'Interest Rates data'!AN46</f>
        <v>8</v>
      </c>
      <c r="AR124" s="187">
        <f>'Interest Rates data'!AO46</f>
        <v>8</v>
      </c>
      <c r="AS124" s="187">
        <f>'Interest Rates data'!AP46</f>
        <v>8</v>
      </c>
      <c r="AT124" s="187">
        <f>'Interest Rates data'!AQ46</f>
        <v>8</v>
      </c>
      <c r="AU124" s="187">
        <f>'Interest Rates data'!AR46</f>
        <v>8</v>
      </c>
      <c r="AV124" s="187">
        <f>'Interest Rates data'!AS46</f>
        <v>8</v>
      </c>
      <c r="AW124" s="187">
        <f>'Interest Rates data'!AT46</f>
        <v>8</v>
      </c>
      <c r="AX124" s="187">
        <f>'Interest Rates data'!AU46</f>
        <v>8</v>
      </c>
    </row>
    <row r="125" spans="5:50" ht="21">
      <c r="E125" s="237" t="s">
        <v>17</v>
      </c>
      <c r="F125" s="187">
        <f>'Interest Rates data'!C47</f>
        <v>0</v>
      </c>
      <c r="G125" s="187">
        <f>'Interest Rates data'!D47</f>
        <v>1</v>
      </c>
      <c r="H125" s="187">
        <f>'Interest Rates data'!E47</f>
        <v>1</v>
      </c>
      <c r="I125" s="187">
        <f>'Interest Rates data'!F47</f>
        <v>1</v>
      </c>
      <c r="J125" s="187">
        <f>'Interest Rates data'!G47</f>
        <v>2</v>
      </c>
      <c r="K125" s="187">
        <f>'Interest Rates data'!H47</f>
        <v>1</v>
      </c>
      <c r="L125" s="187">
        <f>'Interest Rates data'!I47</f>
        <v>1</v>
      </c>
      <c r="M125" s="187">
        <f>'Interest Rates data'!J47</f>
        <v>1</v>
      </c>
      <c r="N125" s="187">
        <f>'Interest Rates data'!K47</f>
        <v>1</v>
      </c>
      <c r="O125" s="187">
        <f>'Interest Rates data'!L47</f>
        <v>1</v>
      </c>
      <c r="P125" s="187">
        <f>'Interest Rates data'!M47</f>
        <v>1</v>
      </c>
      <c r="Q125" s="187">
        <f>'Interest Rates data'!N47</f>
        <v>1</v>
      </c>
      <c r="R125" s="187">
        <f>'Interest Rates data'!O47</f>
        <v>1</v>
      </c>
      <c r="S125" s="187">
        <f>'Interest Rates data'!P47</f>
        <v>1</v>
      </c>
      <c r="T125" s="187">
        <f>'Interest Rates data'!Q47</f>
        <v>1</v>
      </c>
      <c r="U125" s="187">
        <f>'Interest Rates data'!R47</f>
        <v>1</v>
      </c>
      <c r="V125" s="187">
        <f>'Interest Rates data'!S47</f>
        <v>1</v>
      </c>
      <c r="W125" s="187">
        <f>'Interest Rates data'!T47</f>
        <v>2</v>
      </c>
      <c r="X125" s="187">
        <f>'Interest Rates data'!U47</f>
        <v>2</v>
      </c>
      <c r="Y125" s="187">
        <f>'Interest Rates data'!V47</f>
        <v>2</v>
      </c>
      <c r="Z125" s="187">
        <f>'Interest Rates data'!W47</f>
        <v>2</v>
      </c>
      <c r="AA125" s="187">
        <f>'Interest Rates data'!X47</f>
        <v>3</v>
      </c>
      <c r="AB125" s="187">
        <f>'Interest Rates data'!Y47</f>
        <v>2</v>
      </c>
      <c r="AC125" s="187">
        <f>'Interest Rates data'!Z47</f>
        <v>3</v>
      </c>
      <c r="AD125" s="187">
        <f>'Interest Rates data'!AA47</f>
        <v>3</v>
      </c>
      <c r="AE125" s="187">
        <f>'Interest Rates data'!AB47</f>
        <v>3</v>
      </c>
      <c r="AF125" s="187">
        <f>'Interest Rates data'!AC47</f>
        <v>4</v>
      </c>
      <c r="AG125" s="187">
        <f>'Interest Rates data'!AD47</f>
        <v>4</v>
      </c>
      <c r="AH125" s="187">
        <f>'Interest Rates data'!AE47</f>
        <v>4</v>
      </c>
      <c r="AI125" s="187">
        <f>'Interest Rates data'!AF47</f>
        <v>4</v>
      </c>
      <c r="AJ125" s="187">
        <f>'Interest Rates data'!AG47</f>
        <v>4</v>
      </c>
      <c r="AK125" s="187">
        <f>'Interest Rates data'!AH47</f>
        <v>4</v>
      </c>
      <c r="AL125" s="187">
        <f>'Interest Rates data'!AI47</f>
        <v>4</v>
      </c>
      <c r="AM125" s="187">
        <f>'Interest Rates data'!AJ47</f>
        <v>4</v>
      </c>
      <c r="AN125" s="187">
        <f>'Interest Rates data'!AK47</f>
        <v>4</v>
      </c>
      <c r="AO125" s="187">
        <f>'Interest Rates data'!AL47</f>
        <v>3</v>
      </c>
      <c r="AP125" s="187">
        <f>'Interest Rates data'!AM47</f>
        <v>3</v>
      </c>
      <c r="AQ125" s="187">
        <f>'Interest Rates data'!AN47</f>
        <v>3</v>
      </c>
      <c r="AR125" s="187">
        <f>'Interest Rates data'!AO47</f>
        <v>3</v>
      </c>
      <c r="AS125" s="187">
        <f>'Interest Rates data'!AP47</f>
        <v>3</v>
      </c>
      <c r="AT125" s="187">
        <f>'Interest Rates data'!AQ47</f>
        <v>3</v>
      </c>
      <c r="AU125" s="187">
        <f>'Interest Rates data'!AR47</f>
        <v>3</v>
      </c>
      <c r="AV125" s="187">
        <f>'Interest Rates data'!AS47</f>
        <v>3</v>
      </c>
      <c r="AW125" s="187">
        <f>'Interest Rates data'!AT47</f>
        <v>3</v>
      </c>
      <c r="AX125" s="187">
        <f>'Interest Rates data'!AU47</f>
        <v>3</v>
      </c>
    </row>
    <row r="126" spans="5:50" ht="21">
      <c r="E126" s="238" t="s">
        <v>47</v>
      </c>
      <c r="F126" s="187">
        <f>'Interest Rates data'!C48</f>
        <v>-4</v>
      </c>
      <c r="G126" s="187">
        <f>'Interest Rates data'!D48</f>
        <v>-3</v>
      </c>
      <c r="H126" s="187">
        <f>'Interest Rates data'!E48</f>
        <v>-3</v>
      </c>
      <c r="I126" s="187">
        <f>'Interest Rates data'!F48</f>
        <v>-3</v>
      </c>
      <c r="J126" s="187">
        <f>'Interest Rates data'!G48</f>
        <v>-3</v>
      </c>
      <c r="K126" s="187">
        <f>'Interest Rates data'!H48</f>
        <v>-2</v>
      </c>
      <c r="L126" s="187">
        <f>'Interest Rates data'!I48</f>
        <v>-2</v>
      </c>
      <c r="M126" s="187">
        <f>'Interest Rates data'!J48</f>
        <v>-2</v>
      </c>
      <c r="N126" s="187">
        <f>'Interest Rates data'!K48</f>
        <v>-2</v>
      </c>
      <c r="O126" s="187">
        <f>'Interest Rates data'!L48</f>
        <v>-2</v>
      </c>
      <c r="P126" s="187">
        <f>'Interest Rates data'!M48</f>
        <v>-2</v>
      </c>
      <c r="Q126" s="187">
        <f>'Interest Rates data'!N48</f>
        <v>-2</v>
      </c>
      <c r="R126" s="187">
        <f>'Interest Rates data'!O48</f>
        <v>-2</v>
      </c>
      <c r="S126" s="187">
        <f>'Interest Rates data'!P48</f>
        <v>-2</v>
      </c>
      <c r="T126" s="187">
        <f>'Interest Rates data'!Q48</f>
        <v>-2</v>
      </c>
      <c r="U126" s="187">
        <f>'Interest Rates data'!R48</f>
        <v>-2</v>
      </c>
      <c r="V126" s="187">
        <f>'Interest Rates data'!S48</f>
        <v>-2</v>
      </c>
      <c r="W126" s="187">
        <f>'Interest Rates data'!T48</f>
        <v>-2</v>
      </c>
      <c r="X126" s="187">
        <f>'Interest Rates data'!U48</f>
        <v>-2</v>
      </c>
      <c r="Y126" s="187">
        <f>'Interest Rates data'!V48</f>
        <v>-2</v>
      </c>
      <c r="Z126" s="187">
        <f>'Interest Rates data'!W48</f>
        <v>-3</v>
      </c>
      <c r="AA126" s="187">
        <f>'Interest Rates data'!X48</f>
        <v>-3</v>
      </c>
      <c r="AB126" s="187">
        <f>'Interest Rates data'!Y48</f>
        <v>-3</v>
      </c>
      <c r="AC126" s="187">
        <f>'Interest Rates data'!Z48</f>
        <v>-3</v>
      </c>
      <c r="AD126" s="187">
        <f>'Interest Rates data'!AA48</f>
        <v>-3</v>
      </c>
      <c r="AE126" s="187">
        <f>'Interest Rates data'!AB48</f>
        <v>-3</v>
      </c>
      <c r="AF126" s="187">
        <f>'Interest Rates data'!AC48</f>
        <v>-4</v>
      </c>
      <c r="AG126" s="187">
        <f>'Interest Rates data'!AD48</f>
        <v>-4</v>
      </c>
      <c r="AH126" s="187">
        <f>'Interest Rates data'!AE48</f>
        <v>-4</v>
      </c>
      <c r="AI126" s="187">
        <f>'Interest Rates data'!AF48</f>
        <v>-5</v>
      </c>
      <c r="AJ126" s="187">
        <f>'Interest Rates data'!AG48</f>
        <v>-5</v>
      </c>
      <c r="AK126" s="187">
        <f>'Interest Rates data'!AH48</f>
        <v>-5</v>
      </c>
      <c r="AL126" s="187">
        <f>'Interest Rates data'!AI48</f>
        <v>-4</v>
      </c>
      <c r="AM126" s="187">
        <f>'Interest Rates data'!AJ48</f>
        <v>-4</v>
      </c>
      <c r="AN126" s="187">
        <f>'Interest Rates data'!AK48</f>
        <v>-4</v>
      </c>
      <c r="AO126" s="187">
        <f>'Interest Rates data'!AL48</f>
        <v>-3</v>
      </c>
      <c r="AP126" s="187">
        <f>'Interest Rates data'!AM48</f>
        <v>-3</v>
      </c>
      <c r="AQ126" s="187">
        <f>'Interest Rates data'!AN48</f>
        <v>-3</v>
      </c>
      <c r="AR126" s="187">
        <f>'Interest Rates data'!AO48</f>
        <v>-3</v>
      </c>
      <c r="AS126" s="187">
        <f>'Interest Rates data'!AP48</f>
        <v>-3</v>
      </c>
      <c r="AT126" s="187">
        <f>'Interest Rates data'!AQ48</f>
        <v>-3</v>
      </c>
      <c r="AU126" s="187">
        <f>'Interest Rates data'!AR48</f>
        <v>-3</v>
      </c>
      <c r="AV126" s="187">
        <f>'Interest Rates data'!AS48</f>
        <v>-3</v>
      </c>
      <c r="AW126" s="187">
        <f>'Interest Rates data'!AT48</f>
        <v>-3</v>
      </c>
      <c r="AX126" s="187">
        <f>'Interest Rates data'!AU48</f>
        <v>-2</v>
      </c>
    </row>
    <row r="127" spans="5:50" ht="21">
      <c r="E127" s="238" t="s">
        <v>14</v>
      </c>
      <c r="F127" s="187">
        <f>'Interest Rates data'!C49</f>
        <v>5</v>
      </c>
      <c r="G127" s="187">
        <f>'Interest Rates data'!D49</f>
        <v>6</v>
      </c>
      <c r="H127" s="187">
        <f>'Interest Rates data'!E49</f>
        <v>7</v>
      </c>
      <c r="I127" s="187">
        <f>'Interest Rates data'!F49</f>
        <v>7</v>
      </c>
      <c r="J127" s="187">
        <f>'Interest Rates data'!G49</f>
        <v>8</v>
      </c>
      <c r="K127" s="187">
        <f>'Interest Rates data'!H49</f>
        <v>8</v>
      </c>
      <c r="L127" s="187">
        <f>'Interest Rates data'!I49</f>
        <v>9</v>
      </c>
      <c r="M127" s="187">
        <f>'Interest Rates data'!J49</f>
        <v>9</v>
      </c>
      <c r="N127" s="187">
        <f>'Interest Rates data'!K49</f>
        <v>9</v>
      </c>
      <c r="O127" s="187">
        <f>'Interest Rates data'!L49</f>
        <v>9</v>
      </c>
      <c r="P127" s="187">
        <f>'Interest Rates data'!M49</f>
        <v>9</v>
      </c>
      <c r="Q127" s="187">
        <f>'Interest Rates data'!N49</f>
        <v>9</v>
      </c>
      <c r="R127" s="187">
        <f>'Interest Rates data'!O49</f>
        <v>9</v>
      </c>
      <c r="S127" s="187">
        <f>'Interest Rates data'!P49</f>
        <v>9</v>
      </c>
      <c r="T127" s="187">
        <f>'Interest Rates data'!Q49</f>
        <v>9</v>
      </c>
      <c r="U127" s="187">
        <f>'Interest Rates data'!R49</f>
        <v>9</v>
      </c>
      <c r="V127" s="187">
        <f>'Interest Rates data'!S49</f>
        <v>9</v>
      </c>
      <c r="W127" s="187">
        <f>'Interest Rates data'!T49</f>
        <v>8</v>
      </c>
      <c r="X127" s="187">
        <f>'Interest Rates data'!U49</f>
        <v>8</v>
      </c>
      <c r="Y127" s="187">
        <f>'Interest Rates data'!V49</f>
        <v>8</v>
      </c>
      <c r="Z127" s="187">
        <f>'Interest Rates data'!W49</f>
        <v>7</v>
      </c>
      <c r="AA127" s="187">
        <f>'Interest Rates data'!X49</f>
        <v>6</v>
      </c>
      <c r="AB127" s="187">
        <f>'Interest Rates data'!Y49</f>
        <v>6</v>
      </c>
      <c r="AC127" s="187">
        <f>'Interest Rates data'!Z49</f>
        <v>6</v>
      </c>
      <c r="AD127" s="187">
        <f>'Interest Rates data'!AA49</f>
        <v>5</v>
      </c>
      <c r="AE127" s="187">
        <f>'Interest Rates data'!AB49</f>
        <v>5</v>
      </c>
      <c r="AF127" s="187">
        <f>'Interest Rates data'!AC49</f>
        <v>4</v>
      </c>
      <c r="AG127" s="187">
        <f>'Interest Rates data'!AD49</f>
        <v>4</v>
      </c>
      <c r="AH127" s="187">
        <f>'Interest Rates data'!AE49</f>
        <v>4</v>
      </c>
      <c r="AI127" s="187">
        <f>'Interest Rates data'!AF49</f>
        <v>3</v>
      </c>
      <c r="AJ127" s="187">
        <f>'Interest Rates data'!AG49</f>
        <v>3</v>
      </c>
      <c r="AK127" s="187">
        <f>'Interest Rates data'!AH49</f>
        <v>3</v>
      </c>
      <c r="AL127" s="187">
        <f>'Interest Rates data'!AI49</f>
        <v>3</v>
      </c>
      <c r="AM127" s="187">
        <f>'Interest Rates data'!AJ49</f>
        <v>3</v>
      </c>
      <c r="AN127" s="187">
        <f>'Interest Rates data'!AK49</f>
        <v>3</v>
      </c>
      <c r="AO127" s="187">
        <f>'Interest Rates data'!AL49</f>
        <v>3</v>
      </c>
      <c r="AP127" s="187">
        <f>'Interest Rates data'!AM49</f>
        <v>3</v>
      </c>
      <c r="AQ127" s="187">
        <f>'Interest Rates data'!AN49</f>
        <v>3</v>
      </c>
      <c r="AR127" s="187">
        <f>'Interest Rates data'!AO49</f>
        <v>3</v>
      </c>
      <c r="AS127" s="187">
        <f>'Interest Rates data'!AP49</f>
        <v>3</v>
      </c>
      <c r="AT127" s="187">
        <f>'Interest Rates data'!AQ49</f>
        <v>3</v>
      </c>
      <c r="AU127" s="187">
        <f>'Interest Rates data'!AR49</f>
        <v>3</v>
      </c>
      <c r="AV127" s="187">
        <f>'Interest Rates data'!AS49</f>
        <v>3</v>
      </c>
      <c r="AW127" s="187">
        <f>'Interest Rates data'!AT49</f>
        <v>3</v>
      </c>
      <c r="AX127" s="187">
        <f>'Interest Rates data'!AU49</f>
        <v>3</v>
      </c>
    </row>
    <row r="128" spans="5:50" ht="21">
      <c r="E128" s="238" t="s">
        <v>48</v>
      </c>
      <c r="F128" s="187">
        <f>'Interest Rates data'!C50</f>
        <v>3</v>
      </c>
      <c r="G128" s="187">
        <f>'Interest Rates data'!D50</f>
        <v>4</v>
      </c>
      <c r="H128" s="187">
        <f>'Interest Rates data'!E50</f>
        <v>4</v>
      </c>
      <c r="I128" s="187">
        <f>'Interest Rates data'!F50</f>
        <v>4</v>
      </c>
      <c r="J128" s="187">
        <f>'Interest Rates data'!G50</f>
        <v>5</v>
      </c>
      <c r="K128" s="187">
        <f>'Interest Rates data'!H50</f>
        <v>5</v>
      </c>
      <c r="L128" s="187">
        <f>'Interest Rates data'!I50</f>
        <v>5</v>
      </c>
      <c r="M128" s="187">
        <f>'Interest Rates data'!J50</f>
        <v>5</v>
      </c>
      <c r="N128" s="187">
        <f>'Interest Rates data'!K50</f>
        <v>6</v>
      </c>
      <c r="O128" s="187">
        <f>'Interest Rates data'!L50</f>
        <v>6</v>
      </c>
      <c r="P128" s="187">
        <f>'Interest Rates data'!M50</f>
        <v>6</v>
      </c>
      <c r="Q128" s="187">
        <f>'Interest Rates data'!N50</f>
        <v>6</v>
      </c>
      <c r="R128" s="187">
        <f>'Interest Rates data'!O50</f>
        <v>6</v>
      </c>
      <c r="S128" s="187">
        <f>'Interest Rates data'!P50</f>
        <v>6</v>
      </c>
      <c r="T128" s="187">
        <f>'Interest Rates data'!Q50</f>
        <v>6</v>
      </c>
      <c r="U128" s="187">
        <f>'Interest Rates data'!R50</f>
        <v>6</v>
      </c>
      <c r="V128" s="187">
        <f>'Interest Rates data'!S50</f>
        <v>6</v>
      </c>
      <c r="W128" s="187">
        <f>'Interest Rates data'!T50</f>
        <v>6</v>
      </c>
      <c r="X128" s="187">
        <f>'Interest Rates data'!U50</f>
        <v>6</v>
      </c>
      <c r="Y128" s="187">
        <f>'Interest Rates data'!V50</f>
        <v>6</v>
      </c>
      <c r="Z128" s="187">
        <f>'Interest Rates data'!W50</f>
        <v>5</v>
      </c>
      <c r="AA128" s="187">
        <f>'Interest Rates data'!X50</f>
        <v>5</v>
      </c>
      <c r="AB128" s="187">
        <f>'Interest Rates data'!Y50</f>
        <v>5</v>
      </c>
      <c r="AC128" s="187">
        <f>'Interest Rates data'!Z50</f>
        <v>5</v>
      </c>
      <c r="AD128" s="187">
        <f>'Interest Rates data'!AA50</f>
        <v>5</v>
      </c>
      <c r="AE128" s="187">
        <f>'Interest Rates data'!AB50</f>
        <v>5</v>
      </c>
      <c r="AF128" s="187">
        <f>'Interest Rates data'!AC50</f>
        <v>5</v>
      </c>
      <c r="AG128" s="187">
        <f>'Interest Rates data'!AD50</f>
        <v>4</v>
      </c>
      <c r="AH128" s="187">
        <f>'Interest Rates data'!AE50</f>
        <v>4</v>
      </c>
      <c r="AI128" s="187">
        <f>'Interest Rates data'!AF50</f>
        <v>4</v>
      </c>
      <c r="AJ128" s="187">
        <f>'Interest Rates data'!AG50</f>
        <v>4</v>
      </c>
      <c r="AK128" s="187">
        <f>'Interest Rates data'!AH50</f>
        <v>4</v>
      </c>
      <c r="AL128" s="187">
        <f>'Interest Rates data'!AI50</f>
        <v>4</v>
      </c>
      <c r="AM128" s="187">
        <f>'Interest Rates data'!AJ50</f>
        <v>4</v>
      </c>
      <c r="AN128" s="187">
        <f>'Interest Rates data'!AK50</f>
        <v>4</v>
      </c>
      <c r="AO128" s="187">
        <f>'Interest Rates data'!AL50</f>
        <v>4</v>
      </c>
      <c r="AP128" s="187">
        <f>'Interest Rates data'!AM50</f>
        <v>4</v>
      </c>
      <c r="AQ128" s="187">
        <f>'Interest Rates data'!AN50</f>
        <v>4</v>
      </c>
      <c r="AR128" s="187">
        <f>'Interest Rates data'!AO50</f>
        <v>4</v>
      </c>
      <c r="AS128" s="187">
        <f>'Interest Rates data'!AP50</f>
        <v>4</v>
      </c>
      <c r="AT128" s="187">
        <f>'Interest Rates data'!AQ50</f>
        <v>4</v>
      </c>
      <c r="AU128" s="187">
        <f>'Interest Rates data'!AR50</f>
        <v>5</v>
      </c>
      <c r="AV128" s="187">
        <f>'Interest Rates data'!AS50</f>
        <v>5</v>
      </c>
      <c r="AW128" s="187">
        <f>'Interest Rates data'!AT50</f>
        <v>5</v>
      </c>
      <c r="AX128" s="187">
        <f>'Interest Rates data'!AU50</f>
        <v>5</v>
      </c>
    </row>
    <row r="129" spans="5:50" ht="21">
      <c r="E129" s="238" t="s">
        <v>49</v>
      </c>
      <c r="F129" s="187">
        <f>'Interest Rates data'!C51</f>
        <v>-2</v>
      </c>
      <c r="G129" s="187">
        <f>'Interest Rates data'!D51</f>
        <v>-2</v>
      </c>
      <c r="H129" s="187">
        <f>'Interest Rates data'!E51</f>
        <v>-1</v>
      </c>
      <c r="I129" s="187">
        <f>'Interest Rates data'!F51</f>
        <v>-1</v>
      </c>
      <c r="J129" s="187">
        <f>'Interest Rates data'!G51</f>
        <v>-1</v>
      </c>
      <c r="K129" s="187">
        <f>'Interest Rates data'!H51</f>
        <v>-2</v>
      </c>
      <c r="L129" s="187">
        <f>'Interest Rates data'!I51</f>
        <v>-1</v>
      </c>
      <c r="M129" s="187">
        <f>'Interest Rates data'!J51</f>
        <v>-2</v>
      </c>
      <c r="N129" s="187">
        <f>'Interest Rates data'!K51</f>
        <v>-1</v>
      </c>
      <c r="O129" s="187">
        <f>'Interest Rates data'!L51</f>
        <v>-1</v>
      </c>
      <c r="P129" s="187">
        <f>'Interest Rates data'!M51</f>
        <v>-1</v>
      </c>
      <c r="Q129" s="187">
        <f>'Interest Rates data'!N51</f>
        <v>-1</v>
      </c>
      <c r="R129" s="187">
        <f>'Interest Rates data'!O51</f>
        <v>-1</v>
      </c>
      <c r="S129" s="187">
        <f>'Interest Rates data'!P51</f>
        <v>-1</v>
      </c>
      <c r="T129" s="187">
        <f>'Interest Rates data'!Q51</f>
        <v>-1</v>
      </c>
      <c r="U129" s="187">
        <f>'Interest Rates data'!R51</f>
        <v>-1</v>
      </c>
      <c r="V129" s="187">
        <f>'Interest Rates data'!S51</f>
        <v>-1</v>
      </c>
      <c r="W129" s="187">
        <f>'Interest Rates data'!T51</f>
        <v>-2</v>
      </c>
      <c r="X129" s="187">
        <f>'Interest Rates data'!U51</f>
        <v>-2</v>
      </c>
      <c r="Y129" s="187">
        <f>'Interest Rates data'!V51</f>
        <v>-1</v>
      </c>
      <c r="Z129" s="187">
        <f>'Interest Rates data'!W51</f>
        <v>-3</v>
      </c>
      <c r="AA129" s="187">
        <f>'Interest Rates data'!X51</f>
        <v>-3</v>
      </c>
      <c r="AB129" s="187">
        <f>'Interest Rates data'!Y51</f>
        <v>-3</v>
      </c>
      <c r="AC129" s="187">
        <f>'Interest Rates data'!Z51</f>
        <v>-3</v>
      </c>
      <c r="AD129" s="187">
        <f>'Interest Rates data'!AA51</f>
        <v>-4</v>
      </c>
      <c r="AE129" s="187">
        <f>'Interest Rates data'!AB51</f>
        <v>-3</v>
      </c>
      <c r="AF129" s="187">
        <f>'Interest Rates data'!AC51</f>
        <v>-4</v>
      </c>
      <c r="AG129" s="187">
        <f>'Interest Rates data'!AD51</f>
        <v>-4</v>
      </c>
      <c r="AH129" s="187">
        <f>'Interest Rates data'!AE51</f>
        <v>-4</v>
      </c>
      <c r="AI129" s="187">
        <f>'Interest Rates data'!AF51</f>
        <v>-4</v>
      </c>
      <c r="AJ129" s="187">
        <f>'Interest Rates data'!AG51</f>
        <v>-4</v>
      </c>
      <c r="AK129" s="187">
        <f>'Interest Rates data'!AH51</f>
        <v>-4</v>
      </c>
      <c r="AL129" s="187">
        <f>'Interest Rates data'!AI51</f>
        <v>-4</v>
      </c>
      <c r="AM129" s="187">
        <f>'Interest Rates data'!AJ51</f>
        <v>-4</v>
      </c>
      <c r="AN129" s="187">
        <f>'Interest Rates data'!AK51</f>
        <v>-4</v>
      </c>
      <c r="AO129" s="187">
        <f>'Interest Rates data'!AL51</f>
        <v>-3</v>
      </c>
      <c r="AP129" s="187">
        <f>'Interest Rates data'!AM51</f>
        <v>-3</v>
      </c>
      <c r="AQ129" s="187">
        <f>'Interest Rates data'!AN51</f>
        <v>-3</v>
      </c>
      <c r="AR129" s="187">
        <f>'Interest Rates data'!AO51</f>
        <v>-3</v>
      </c>
      <c r="AS129" s="187">
        <f>'Interest Rates data'!AP51</f>
        <v>-3</v>
      </c>
      <c r="AT129" s="187">
        <f>'Interest Rates data'!AQ51</f>
        <v>-3</v>
      </c>
      <c r="AU129" s="187">
        <f>'Interest Rates data'!AR51</f>
        <v>-3</v>
      </c>
      <c r="AV129" s="187">
        <f>'Interest Rates data'!AS51</f>
        <v>-3</v>
      </c>
      <c r="AW129" s="187">
        <f>'Interest Rates data'!AT51</f>
        <v>-3</v>
      </c>
      <c r="AX129" s="187">
        <f>'Interest Rates data'!AU51</f>
        <v>-2</v>
      </c>
    </row>
    <row r="130" spans="5:50" ht="21">
      <c r="E130" s="239" t="s">
        <v>15</v>
      </c>
      <c r="F130" s="187">
        <f>'Interest Rates data'!C52</f>
        <v>-4</v>
      </c>
      <c r="G130" s="187">
        <f>'Interest Rates data'!D52</f>
        <v>-3</v>
      </c>
      <c r="H130" s="187">
        <f>'Interest Rates data'!E52</f>
        <v>-2</v>
      </c>
      <c r="I130" s="187">
        <f>'Interest Rates data'!F52</f>
        <v>-2</v>
      </c>
      <c r="J130" s="187">
        <f>'Interest Rates data'!G52</f>
        <v>-1</v>
      </c>
      <c r="K130" s="187">
        <f>'Interest Rates data'!H52</f>
        <v>-1</v>
      </c>
      <c r="L130" s="187">
        <f>'Interest Rates data'!I52</f>
        <v>-1</v>
      </c>
      <c r="M130" s="187">
        <f>'Interest Rates data'!J52</f>
        <v>-1</v>
      </c>
      <c r="N130" s="187">
        <f>'Interest Rates data'!K52</f>
        <v>-1</v>
      </c>
      <c r="O130" s="187">
        <f>'Interest Rates data'!L52</f>
        <v>-1</v>
      </c>
      <c r="P130" s="187">
        <f>'Interest Rates data'!M52</f>
        <v>-1</v>
      </c>
      <c r="Q130" s="187">
        <f>'Interest Rates data'!N52</f>
        <v>-1</v>
      </c>
      <c r="R130" s="187">
        <f>'Interest Rates data'!O52</f>
        <v>-1</v>
      </c>
      <c r="S130" s="187">
        <f>'Interest Rates data'!P52</f>
        <v>-1</v>
      </c>
      <c r="T130" s="187">
        <f>'Interest Rates data'!Q52</f>
        <v>-1</v>
      </c>
      <c r="U130" s="187">
        <f>'Interest Rates data'!R52</f>
        <v>-1</v>
      </c>
      <c r="V130" s="187">
        <f>'Interest Rates data'!S52</f>
        <v>-1</v>
      </c>
      <c r="W130" s="187">
        <f>'Interest Rates data'!T52</f>
        <v>-1</v>
      </c>
      <c r="X130" s="187">
        <f>'Interest Rates data'!U52</f>
        <v>0</v>
      </c>
      <c r="Y130" s="187">
        <f>'Interest Rates data'!V52</f>
        <v>0</v>
      </c>
      <c r="Z130" s="187">
        <f>'Interest Rates data'!W52</f>
        <v>-1</v>
      </c>
      <c r="AA130" s="187">
        <f>'Interest Rates data'!X52</f>
        <v>-1</v>
      </c>
      <c r="AB130" s="187">
        <f>'Interest Rates data'!Y52</f>
        <v>-1</v>
      </c>
      <c r="AC130" s="187">
        <f>'Interest Rates data'!Z52</f>
        <v>0</v>
      </c>
      <c r="AD130" s="187">
        <f>'Interest Rates data'!AA52</f>
        <v>0</v>
      </c>
      <c r="AE130" s="187">
        <f>'Interest Rates data'!AB52</f>
        <v>0</v>
      </c>
      <c r="AF130" s="187">
        <f>'Interest Rates data'!AC52</f>
        <v>0</v>
      </c>
      <c r="AG130" s="187">
        <f>'Interest Rates data'!AD52</f>
        <v>-1</v>
      </c>
      <c r="AH130" s="187">
        <f>'Interest Rates data'!AE52</f>
        <v>-1</v>
      </c>
      <c r="AI130" s="187">
        <f>'Interest Rates data'!AF52</f>
        <v>-1</v>
      </c>
      <c r="AJ130" s="187">
        <f>'Interest Rates data'!AG52</f>
        <v>-1</v>
      </c>
      <c r="AK130" s="187">
        <f>'Interest Rates data'!AH52</f>
        <v>-1</v>
      </c>
      <c r="AL130" s="187">
        <f>'Interest Rates data'!AI52</f>
        <v>-1</v>
      </c>
      <c r="AM130" s="187">
        <f>'Interest Rates data'!AJ52</f>
        <v>0</v>
      </c>
      <c r="AN130" s="187">
        <f>'Interest Rates data'!AK52</f>
        <v>0</v>
      </c>
      <c r="AO130" s="187">
        <f>'Interest Rates data'!AL52</f>
        <v>0</v>
      </c>
      <c r="AP130" s="187">
        <f>'Interest Rates data'!AM52</f>
        <v>0</v>
      </c>
      <c r="AQ130" s="187">
        <f>'Interest Rates data'!AN52</f>
        <v>0</v>
      </c>
      <c r="AR130" s="187">
        <f>'Interest Rates data'!AO52</f>
        <v>0</v>
      </c>
      <c r="AS130" s="187">
        <f>'Interest Rates data'!AP52</f>
        <v>0</v>
      </c>
      <c r="AT130" s="187">
        <f>'Interest Rates data'!AQ52</f>
        <v>0</v>
      </c>
      <c r="AU130" s="187">
        <f>'Interest Rates data'!AR52</f>
        <v>0</v>
      </c>
      <c r="AV130" s="187">
        <f>'Interest Rates data'!AS52</f>
        <v>0</v>
      </c>
      <c r="AW130" s="187">
        <f>'Interest Rates data'!AT52</f>
        <v>0</v>
      </c>
      <c r="AX130" s="187">
        <f>'Interest Rates data'!AU52</f>
        <v>1</v>
      </c>
    </row>
    <row r="131" spans="5:50" ht="21">
      <c r="E131" s="238" t="s">
        <v>12</v>
      </c>
      <c r="F131" s="187">
        <f>'Interest Rates data'!C53</f>
        <v>-1</v>
      </c>
      <c r="G131" s="187">
        <f>'Interest Rates data'!D53</f>
        <v>-1</v>
      </c>
      <c r="H131" s="187">
        <f>'Interest Rates data'!E53</f>
        <v>0</v>
      </c>
      <c r="I131" s="187">
        <f>'Interest Rates data'!F53</f>
        <v>0</v>
      </c>
      <c r="J131" s="187">
        <f>'Interest Rates data'!G53</f>
        <v>0</v>
      </c>
      <c r="K131" s="187">
        <f>'Interest Rates data'!H53</f>
        <v>0</v>
      </c>
      <c r="L131" s="187">
        <f>'Interest Rates data'!I53</f>
        <v>0</v>
      </c>
      <c r="M131" s="187">
        <f>'Interest Rates data'!J53</f>
        <v>0</v>
      </c>
      <c r="N131" s="187">
        <f>'Interest Rates data'!K53</f>
        <v>1</v>
      </c>
      <c r="O131" s="187">
        <f>'Interest Rates data'!L53</f>
        <v>1</v>
      </c>
      <c r="P131" s="187">
        <f>'Interest Rates data'!M53</f>
        <v>0</v>
      </c>
      <c r="Q131" s="187">
        <f>'Interest Rates data'!N53</f>
        <v>0</v>
      </c>
      <c r="R131" s="187">
        <f>'Interest Rates data'!O53</f>
        <v>0</v>
      </c>
      <c r="S131" s="187">
        <f>'Interest Rates data'!P53</f>
        <v>0</v>
      </c>
      <c r="T131" s="187">
        <f>'Interest Rates data'!Q53</f>
        <v>0</v>
      </c>
      <c r="U131" s="187">
        <f>'Interest Rates data'!R53</f>
        <v>0</v>
      </c>
      <c r="V131" s="187">
        <f>'Interest Rates data'!S53</f>
        <v>0</v>
      </c>
      <c r="W131" s="187">
        <f>'Interest Rates data'!T53</f>
        <v>0</v>
      </c>
      <c r="X131" s="187">
        <f>'Interest Rates data'!U53</f>
        <v>0</v>
      </c>
      <c r="Y131" s="187">
        <f>'Interest Rates data'!V53</f>
        <v>0</v>
      </c>
      <c r="Z131" s="187">
        <f>'Interest Rates data'!W53</f>
        <v>-1</v>
      </c>
      <c r="AA131" s="187">
        <f>'Interest Rates data'!X53</f>
        <v>-2</v>
      </c>
      <c r="AB131" s="187">
        <f>'Interest Rates data'!Y53</f>
        <v>-2</v>
      </c>
      <c r="AC131" s="187">
        <f>'Interest Rates data'!Z53</f>
        <v>-2</v>
      </c>
      <c r="AD131" s="187">
        <f>'Interest Rates data'!AA53</f>
        <v>-3</v>
      </c>
      <c r="AE131" s="187">
        <f>'Interest Rates data'!AB53</f>
        <v>-2</v>
      </c>
      <c r="AF131" s="187">
        <f>'Interest Rates data'!AC53</f>
        <v>-3</v>
      </c>
      <c r="AG131" s="187">
        <f>'Interest Rates data'!AD53</f>
        <v>-3</v>
      </c>
      <c r="AH131" s="187">
        <f>'Interest Rates data'!AE53</f>
        <v>-3</v>
      </c>
      <c r="AI131" s="187">
        <f>'Interest Rates data'!AF53</f>
        <v>-3</v>
      </c>
      <c r="AJ131" s="187">
        <f>'Interest Rates data'!AG53</f>
        <v>-3</v>
      </c>
      <c r="AK131" s="187">
        <f>'Interest Rates data'!AH53</f>
        <v>-3</v>
      </c>
      <c r="AL131" s="187">
        <f>'Interest Rates data'!AI53</f>
        <v>-3</v>
      </c>
      <c r="AM131" s="187">
        <f>'Interest Rates data'!AJ53</f>
        <v>-3</v>
      </c>
      <c r="AN131" s="187">
        <f>'Interest Rates data'!AK53</f>
        <v>-3</v>
      </c>
      <c r="AO131" s="187">
        <f>'Interest Rates data'!AL53</f>
        <v>-3</v>
      </c>
      <c r="AP131" s="187">
        <f>'Interest Rates data'!AM53</f>
        <v>-3</v>
      </c>
      <c r="AQ131" s="187">
        <f>'Interest Rates data'!AN53</f>
        <v>-3</v>
      </c>
      <c r="AR131" s="187">
        <f>'Interest Rates data'!AO53</f>
        <v>-3</v>
      </c>
      <c r="AS131" s="187">
        <f>'Interest Rates data'!AP53</f>
        <v>-4</v>
      </c>
      <c r="AT131" s="187">
        <f>'Interest Rates data'!AQ53</f>
        <v>-4</v>
      </c>
      <c r="AU131" s="187">
        <f>'Interest Rates data'!AR53</f>
        <v>-4</v>
      </c>
      <c r="AV131" s="187">
        <f>'Interest Rates data'!AS53</f>
        <v>-4</v>
      </c>
      <c r="AW131" s="187">
        <f>'Interest Rates data'!AT53</f>
        <v>-4</v>
      </c>
      <c r="AX131" s="187">
        <f>'Interest Rates data'!AU53</f>
        <v>-3</v>
      </c>
    </row>
    <row r="132" spans="5:50" ht="21">
      <c r="E132" s="239" t="s">
        <v>50</v>
      </c>
      <c r="F132" s="187">
        <f>'Interest Rates data'!C54</f>
        <v>-3</v>
      </c>
      <c r="G132" s="187">
        <f>'Interest Rates data'!D54</f>
        <v>-3</v>
      </c>
      <c r="H132" s="187">
        <f>'Interest Rates data'!E54</f>
        <v>-2</v>
      </c>
      <c r="I132" s="187">
        <f>'Interest Rates data'!F54</f>
        <v>-3</v>
      </c>
      <c r="J132" s="187">
        <f>'Interest Rates data'!G54</f>
        <v>-3</v>
      </c>
      <c r="K132" s="187">
        <f>'Interest Rates data'!H54</f>
        <v>-3</v>
      </c>
      <c r="L132" s="187">
        <f>'Interest Rates data'!I54</f>
        <v>-2</v>
      </c>
      <c r="M132" s="187">
        <f>'Interest Rates data'!J54</f>
        <v>-2</v>
      </c>
      <c r="N132" s="187">
        <f>'Interest Rates data'!K54</f>
        <v>-2</v>
      </c>
      <c r="O132" s="187">
        <f>'Interest Rates data'!L54</f>
        <v>-2</v>
      </c>
      <c r="P132" s="187">
        <f>'Interest Rates data'!M54</f>
        <v>-2</v>
      </c>
      <c r="Q132" s="187">
        <f>'Interest Rates data'!N54</f>
        <v>-2</v>
      </c>
      <c r="R132" s="187">
        <f>'Interest Rates data'!O54</f>
        <v>-2</v>
      </c>
      <c r="S132" s="187">
        <f>'Interest Rates data'!P54</f>
        <v>-2</v>
      </c>
      <c r="T132" s="187">
        <f>'Interest Rates data'!Q54</f>
        <v>-2</v>
      </c>
      <c r="U132" s="187">
        <f>'Interest Rates data'!R54</f>
        <v>-2</v>
      </c>
      <c r="V132" s="187">
        <f>'Interest Rates data'!S54</f>
        <v>-2</v>
      </c>
      <c r="W132" s="187">
        <f>'Interest Rates data'!T54</f>
        <v>-2</v>
      </c>
      <c r="X132" s="187">
        <f>'Interest Rates data'!U54</f>
        <v>-2</v>
      </c>
      <c r="Y132" s="187">
        <f>'Interest Rates data'!V54</f>
        <v>-2</v>
      </c>
      <c r="Z132" s="187">
        <f>'Interest Rates data'!W54</f>
        <v>-2</v>
      </c>
      <c r="AA132" s="187">
        <f>'Interest Rates data'!X54</f>
        <v>-3</v>
      </c>
      <c r="AB132" s="187">
        <f>'Interest Rates data'!Y54</f>
        <v>-2</v>
      </c>
      <c r="AC132" s="187">
        <f>'Interest Rates data'!Z54</f>
        <v>-2</v>
      </c>
      <c r="AD132" s="187">
        <f>'Interest Rates data'!AA54</f>
        <v>-3</v>
      </c>
      <c r="AE132" s="187">
        <f>'Interest Rates data'!AB54</f>
        <v>-2</v>
      </c>
      <c r="AF132" s="187">
        <f>'Interest Rates data'!AC54</f>
        <v>-2</v>
      </c>
      <c r="AG132" s="187">
        <f>'Interest Rates data'!AD54</f>
        <v>-2</v>
      </c>
      <c r="AH132" s="187">
        <f>'Interest Rates data'!AE54</f>
        <v>-2</v>
      </c>
      <c r="AI132" s="187">
        <f>'Interest Rates data'!AF54</f>
        <v>-2</v>
      </c>
      <c r="AJ132" s="187">
        <f>'Interest Rates data'!AG54</f>
        <v>-2</v>
      </c>
      <c r="AK132" s="187">
        <f>'Interest Rates data'!AH54</f>
        <v>-2</v>
      </c>
      <c r="AL132" s="187">
        <f>'Interest Rates data'!AI54</f>
        <v>-2</v>
      </c>
      <c r="AM132" s="187">
        <f>'Interest Rates data'!AJ54</f>
        <v>-1</v>
      </c>
      <c r="AN132" s="187">
        <f>'Interest Rates data'!AK54</f>
        <v>0</v>
      </c>
      <c r="AO132" s="187">
        <f>'Interest Rates data'!AL54</f>
        <v>0</v>
      </c>
      <c r="AP132" s="187">
        <f>'Interest Rates data'!AM54</f>
        <v>0</v>
      </c>
      <c r="AQ132" s="187">
        <f>'Interest Rates data'!AN54</f>
        <v>0</v>
      </c>
      <c r="AR132" s="187">
        <f>'Interest Rates data'!AO54</f>
        <v>0</v>
      </c>
      <c r="AS132" s="187">
        <f>'Interest Rates data'!AP54</f>
        <v>0</v>
      </c>
      <c r="AT132" s="187">
        <f>'Interest Rates data'!AQ54</f>
        <v>0</v>
      </c>
      <c r="AU132" s="187">
        <f>'Interest Rates data'!AR54</f>
        <v>0</v>
      </c>
      <c r="AV132" s="187">
        <f>'Interest Rates data'!AS54</f>
        <v>0</v>
      </c>
      <c r="AW132" s="187">
        <f>'Interest Rates data'!AT54</f>
        <v>0</v>
      </c>
      <c r="AX132" s="187">
        <f>'Interest Rates data'!AU54</f>
        <v>0</v>
      </c>
    </row>
    <row r="133" spans="5:50" ht="21">
      <c r="E133" s="240" t="s">
        <v>51</v>
      </c>
      <c r="F133" s="187">
        <f>'Interest Rates data'!C55</f>
        <v>-2</v>
      </c>
      <c r="G133" s="187">
        <f>'Interest Rates data'!D55</f>
        <v>-1</v>
      </c>
      <c r="H133" s="187">
        <f>'Interest Rates data'!E55</f>
        <v>-1</v>
      </c>
      <c r="I133" s="187">
        <f>'Interest Rates data'!F55</f>
        <v>-1</v>
      </c>
      <c r="J133" s="187">
        <f>'Interest Rates data'!G55</f>
        <v>-1</v>
      </c>
      <c r="K133" s="187">
        <f>'Interest Rates data'!H55</f>
        <v>0</v>
      </c>
      <c r="L133" s="187">
        <f>'Interest Rates data'!I55</f>
        <v>-1</v>
      </c>
      <c r="M133" s="187">
        <f>'Interest Rates data'!J55</f>
        <v>0</v>
      </c>
      <c r="N133" s="187">
        <f>'Interest Rates data'!K55</f>
        <v>0</v>
      </c>
      <c r="O133" s="187">
        <f>'Interest Rates data'!L55</f>
        <v>0</v>
      </c>
      <c r="P133" s="187">
        <f>'Interest Rates data'!M55</f>
        <v>0</v>
      </c>
      <c r="Q133" s="187">
        <f>'Interest Rates data'!N55</f>
        <v>0</v>
      </c>
      <c r="R133" s="187">
        <f>'Interest Rates data'!O55</f>
        <v>0</v>
      </c>
      <c r="S133" s="187">
        <f>'Interest Rates data'!P55</f>
        <v>0</v>
      </c>
      <c r="T133" s="187">
        <f>'Interest Rates data'!Q55</f>
        <v>0</v>
      </c>
      <c r="U133" s="187">
        <f>'Interest Rates data'!R55</f>
        <v>0</v>
      </c>
      <c r="V133" s="187">
        <f>'Interest Rates data'!S55</f>
        <v>0</v>
      </c>
      <c r="W133" s="187">
        <f>'Interest Rates data'!T55</f>
        <v>0</v>
      </c>
      <c r="X133" s="187">
        <f>'Interest Rates data'!U55</f>
        <v>0</v>
      </c>
      <c r="Y133" s="187">
        <f>'Interest Rates data'!V55</f>
        <v>-1</v>
      </c>
      <c r="Z133" s="187">
        <f>'Interest Rates data'!W55</f>
        <v>0</v>
      </c>
      <c r="AA133" s="187">
        <f>'Interest Rates data'!X55</f>
        <v>0</v>
      </c>
      <c r="AB133" s="187">
        <f>'Interest Rates data'!Y55</f>
        <v>0</v>
      </c>
      <c r="AC133" s="187">
        <f>'Interest Rates data'!Z55</f>
        <v>1</v>
      </c>
      <c r="AD133" s="187">
        <f>'Interest Rates data'!AA55</f>
        <v>1</v>
      </c>
      <c r="AE133" s="187">
        <f>'Interest Rates data'!AB55</f>
        <v>0</v>
      </c>
      <c r="AF133" s="187">
        <f>'Interest Rates data'!AC55</f>
        <v>0</v>
      </c>
      <c r="AG133" s="187">
        <f>'Interest Rates data'!AD55</f>
        <v>0</v>
      </c>
      <c r="AH133" s="187">
        <f>'Interest Rates data'!AE55</f>
        <v>0</v>
      </c>
      <c r="AI133" s="187">
        <f>'Interest Rates data'!AF55</f>
        <v>0</v>
      </c>
      <c r="AJ133" s="187">
        <f>'Interest Rates data'!AG55</f>
        <v>0</v>
      </c>
      <c r="AK133" s="187">
        <f>'Interest Rates data'!AH55</f>
        <v>-1</v>
      </c>
      <c r="AL133" s="187">
        <f>'Interest Rates data'!AI55</f>
        <v>0</v>
      </c>
      <c r="AM133" s="187">
        <f>'Interest Rates data'!AJ55</f>
        <v>0</v>
      </c>
      <c r="AN133" s="187">
        <f>'Interest Rates data'!AK55</f>
        <v>0</v>
      </c>
      <c r="AO133" s="187">
        <f>'Interest Rates data'!AL55</f>
        <v>0</v>
      </c>
      <c r="AP133" s="187">
        <f>'Interest Rates data'!AM55</f>
        <v>0</v>
      </c>
      <c r="AQ133" s="187">
        <f>'Interest Rates data'!AN55</f>
        <v>0</v>
      </c>
      <c r="AR133" s="187">
        <f>'Interest Rates data'!AO55</f>
        <v>0</v>
      </c>
      <c r="AS133" s="187">
        <f>'Interest Rates data'!AP55</f>
        <v>0</v>
      </c>
      <c r="AT133" s="187">
        <f>'Interest Rates data'!AQ55</f>
        <v>0</v>
      </c>
      <c r="AU133" s="187">
        <f>'Interest Rates data'!AR55</f>
        <v>0</v>
      </c>
      <c r="AV133" s="187">
        <f>'Interest Rates data'!AS55</f>
        <v>0</v>
      </c>
      <c r="AW133" s="187">
        <f>'Interest Rates data'!AT55</f>
        <v>0</v>
      </c>
      <c r="AX133" s="187">
        <f>'Interest Rates data'!AU55</f>
        <v>0</v>
      </c>
    </row>
    <row r="134" spans="5:50" ht="21">
      <c r="E134" s="240" t="s">
        <v>52</v>
      </c>
      <c r="F134" s="187">
        <f>'Interest Rates data'!C56</f>
        <v>7</v>
      </c>
      <c r="G134" s="187">
        <f>'Interest Rates data'!D56</f>
        <v>8</v>
      </c>
      <c r="H134" s="187">
        <f>'Interest Rates data'!E56</f>
        <v>9</v>
      </c>
      <c r="I134" s="187">
        <f>'Interest Rates data'!F56</f>
        <v>9</v>
      </c>
      <c r="J134" s="187">
        <f>'Interest Rates data'!G56</f>
        <v>9</v>
      </c>
      <c r="K134" s="187">
        <f>'Interest Rates data'!H56</f>
        <v>10</v>
      </c>
      <c r="L134" s="187">
        <f>'Interest Rates data'!I56</f>
        <v>10</v>
      </c>
      <c r="M134" s="187">
        <f>'Interest Rates data'!J56</f>
        <v>6</v>
      </c>
      <c r="N134" s="187">
        <f>'Interest Rates data'!K56</f>
        <v>6</v>
      </c>
      <c r="O134" s="187">
        <f>'Interest Rates data'!L56</f>
        <v>6</v>
      </c>
      <c r="P134" s="187">
        <f>'Interest Rates data'!M56</f>
        <v>6</v>
      </c>
      <c r="Q134" s="187">
        <f>'Interest Rates data'!N56</f>
        <v>6</v>
      </c>
      <c r="R134" s="187">
        <f>'Interest Rates data'!O56</f>
        <v>6</v>
      </c>
      <c r="S134" s="187">
        <f>'Interest Rates data'!P56</f>
        <v>6</v>
      </c>
      <c r="T134" s="187">
        <f>'Interest Rates data'!Q56</f>
        <v>10</v>
      </c>
      <c r="U134" s="187">
        <f>'Interest Rates data'!R56</f>
        <v>10</v>
      </c>
      <c r="V134" s="187">
        <f>'Interest Rates data'!S56</f>
        <v>10</v>
      </c>
      <c r="W134" s="187">
        <f>'Interest Rates data'!T56</f>
        <v>10</v>
      </c>
      <c r="X134" s="187">
        <f>'Interest Rates data'!U56</f>
        <v>10</v>
      </c>
      <c r="Y134" s="187">
        <f>'Interest Rates data'!V56</f>
        <v>10</v>
      </c>
      <c r="Z134" s="187">
        <f>'Interest Rates data'!W56</f>
        <v>10</v>
      </c>
      <c r="AA134" s="187">
        <f>'Interest Rates data'!X56</f>
        <v>10</v>
      </c>
      <c r="AB134" s="187">
        <f>'Interest Rates data'!Y56</f>
        <v>9</v>
      </c>
      <c r="AC134" s="187">
        <f>'Interest Rates data'!Z56</f>
        <v>9</v>
      </c>
      <c r="AD134" s="187">
        <f>'Interest Rates data'!AA56</f>
        <v>9</v>
      </c>
      <c r="AE134" s="187">
        <f>'Interest Rates data'!AB56</f>
        <v>8</v>
      </c>
      <c r="AF134" s="187">
        <f>'Interest Rates data'!AC56</f>
        <v>8</v>
      </c>
      <c r="AG134" s="187">
        <f>'Interest Rates data'!AD56</f>
        <v>8</v>
      </c>
      <c r="AH134" s="187">
        <f>'Interest Rates data'!AE56</f>
        <v>8</v>
      </c>
      <c r="AI134" s="187">
        <f>'Interest Rates data'!AF56</f>
        <v>8</v>
      </c>
      <c r="AJ134" s="187">
        <f>'Interest Rates data'!AG56</f>
        <v>8</v>
      </c>
      <c r="AK134" s="187">
        <f>'Interest Rates data'!AH56</f>
        <v>7</v>
      </c>
      <c r="AL134" s="187">
        <f>'Interest Rates data'!AI56</f>
        <v>7</v>
      </c>
      <c r="AM134" s="187">
        <f>'Interest Rates data'!AJ56</f>
        <v>7</v>
      </c>
      <c r="AN134" s="187">
        <f>'Interest Rates data'!AK56</f>
        <v>7</v>
      </c>
      <c r="AO134" s="187">
        <f>'Interest Rates data'!AL56</f>
        <v>6</v>
      </c>
      <c r="AP134" s="187">
        <f>'Interest Rates data'!AM56</f>
        <v>6</v>
      </c>
      <c r="AQ134" s="187">
        <f>'Interest Rates data'!AN56</f>
        <v>6</v>
      </c>
      <c r="AR134" s="187">
        <f>'Interest Rates data'!AO56</f>
        <v>6</v>
      </c>
      <c r="AS134" s="187">
        <f>'Interest Rates data'!AP56</f>
        <v>6</v>
      </c>
      <c r="AT134" s="187">
        <f>'Interest Rates data'!AQ56</f>
        <v>6</v>
      </c>
      <c r="AU134" s="187">
        <f>'Interest Rates data'!AR56</f>
        <v>6</v>
      </c>
      <c r="AV134" s="187">
        <f>'Interest Rates data'!AS56</f>
        <v>6</v>
      </c>
      <c r="AW134" s="187">
        <f>'Interest Rates data'!AT56</f>
        <v>6</v>
      </c>
      <c r="AX134" s="187">
        <f>'Interest Rates data'!AU56</f>
        <v>6</v>
      </c>
    </row>
    <row r="135" spans="5:50" ht="21">
      <c r="E135" s="240" t="s">
        <v>53</v>
      </c>
      <c r="F135" s="187">
        <f>'Interest Rates data'!C57</f>
        <v>5</v>
      </c>
      <c r="G135" s="187">
        <f>'Interest Rates data'!D57</f>
        <v>6</v>
      </c>
      <c r="H135" s="187">
        <f>'Interest Rates data'!E57</f>
        <v>6</v>
      </c>
      <c r="I135" s="187">
        <f>'Interest Rates data'!F57</f>
        <v>6</v>
      </c>
      <c r="J135" s="187">
        <f>'Interest Rates data'!G57</f>
        <v>6</v>
      </c>
      <c r="K135" s="187">
        <f>'Interest Rates data'!H57</f>
        <v>7</v>
      </c>
      <c r="L135" s="187">
        <f>'Interest Rates data'!I57</f>
        <v>7</v>
      </c>
      <c r="M135" s="187">
        <f>'Interest Rates data'!J57</f>
        <v>7</v>
      </c>
      <c r="N135" s="187">
        <f>'Interest Rates data'!K57</f>
        <v>7</v>
      </c>
      <c r="O135" s="187">
        <f>'Interest Rates data'!L57</f>
        <v>7</v>
      </c>
      <c r="P135" s="187">
        <f>'Interest Rates data'!M57</f>
        <v>7</v>
      </c>
      <c r="Q135" s="187">
        <f>'Interest Rates data'!N57</f>
        <v>7</v>
      </c>
      <c r="R135" s="187">
        <f>'Interest Rates data'!O57</f>
        <v>7</v>
      </c>
      <c r="S135" s="187">
        <f>'Interest Rates data'!P57</f>
        <v>7</v>
      </c>
      <c r="T135" s="187">
        <f>'Interest Rates data'!Q57</f>
        <v>8</v>
      </c>
      <c r="U135" s="187">
        <f>'Interest Rates data'!R57</f>
        <v>8</v>
      </c>
      <c r="V135" s="187">
        <f>'Interest Rates data'!S57</f>
        <v>8</v>
      </c>
      <c r="W135" s="187">
        <f>'Interest Rates data'!T57</f>
        <v>8</v>
      </c>
      <c r="X135" s="187">
        <f>'Interest Rates data'!U57</f>
        <v>8</v>
      </c>
      <c r="Y135" s="187">
        <f>'Interest Rates data'!V57</f>
        <v>8</v>
      </c>
      <c r="Z135" s="187">
        <f>'Interest Rates data'!W57</f>
        <v>8</v>
      </c>
      <c r="AA135" s="187">
        <f>'Interest Rates data'!X57</f>
        <v>8</v>
      </c>
      <c r="AB135" s="187">
        <f>'Interest Rates data'!Y57</f>
        <v>8</v>
      </c>
      <c r="AC135" s="187">
        <f>'Interest Rates data'!Z57</f>
        <v>9</v>
      </c>
      <c r="AD135" s="187">
        <f>'Interest Rates data'!AA57</f>
        <v>9</v>
      </c>
      <c r="AE135" s="187">
        <f>'Interest Rates data'!AB57</f>
        <v>8</v>
      </c>
      <c r="AF135" s="187">
        <f>'Interest Rates data'!AC57</f>
        <v>9</v>
      </c>
      <c r="AG135" s="187">
        <f>'Interest Rates data'!AD57</f>
        <v>9</v>
      </c>
      <c r="AH135" s="187">
        <f>'Interest Rates data'!AE57</f>
        <v>8</v>
      </c>
      <c r="AI135" s="187">
        <f>'Interest Rates data'!AF57</f>
        <v>9</v>
      </c>
      <c r="AJ135" s="187">
        <f>'Interest Rates data'!AG57</f>
        <v>9</v>
      </c>
      <c r="AK135" s="187">
        <f>'Interest Rates data'!AH57</f>
        <v>8</v>
      </c>
      <c r="AL135" s="187">
        <f>'Interest Rates data'!AI57</f>
        <v>8</v>
      </c>
      <c r="AM135" s="187">
        <f>'Interest Rates data'!AJ57</f>
        <v>8</v>
      </c>
      <c r="AN135" s="187">
        <f>'Interest Rates data'!AK57</f>
        <v>8</v>
      </c>
      <c r="AO135" s="187">
        <f>'Interest Rates data'!AL57</f>
        <v>8</v>
      </c>
      <c r="AP135" s="187">
        <f>'Interest Rates data'!AM57</f>
        <v>8</v>
      </c>
      <c r="AQ135" s="187">
        <f>'Interest Rates data'!AN57</f>
        <v>8</v>
      </c>
      <c r="AR135" s="187">
        <f>'Interest Rates data'!AO57</f>
        <v>8</v>
      </c>
      <c r="AS135" s="187">
        <f>'Interest Rates data'!AP57</f>
        <v>8</v>
      </c>
      <c r="AT135" s="187">
        <f>'Interest Rates data'!AQ57</f>
        <v>8</v>
      </c>
      <c r="AU135" s="187">
        <f>'Interest Rates data'!AR57</f>
        <v>8</v>
      </c>
      <c r="AV135" s="187">
        <f>'Interest Rates data'!AS57</f>
        <v>8</v>
      </c>
      <c r="AW135" s="187">
        <f>'Interest Rates data'!AT57</f>
        <v>8</v>
      </c>
      <c r="AX135" s="187">
        <f>'Interest Rates data'!AU57</f>
        <v>8</v>
      </c>
    </row>
    <row r="136" spans="5:50" ht="21">
      <c r="E136" s="240" t="s">
        <v>54</v>
      </c>
      <c r="F136" s="187">
        <f>'Interest Rates data'!C58</f>
        <v>-2</v>
      </c>
      <c r="G136" s="187">
        <f>'Interest Rates data'!D58</f>
        <v>-1</v>
      </c>
      <c r="H136" s="187">
        <f>'Interest Rates data'!E58</f>
        <v>0</v>
      </c>
      <c r="I136" s="187">
        <f>'Interest Rates data'!F58</f>
        <v>0</v>
      </c>
      <c r="J136" s="187">
        <f>'Interest Rates data'!G58</f>
        <v>0</v>
      </c>
      <c r="K136" s="187">
        <f>'Interest Rates data'!H58</f>
        <v>1</v>
      </c>
      <c r="L136" s="187">
        <f>'Interest Rates data'!I58</f>
        <v>0</v>
      </c>
      <c r="M136" s="187">
        <f>'Interest Rates data'!J58</f>
        <v>1</v>
      </c>
      <c r="N136" s="187">
        <f>'Interest Rates data'!K58</f>
        <v>1</v>
      </c>
      <c r="O136" s="187">
        <f>'Interest Rates data'!L58</f>
        <v>1</v>
      </c>
      <c r="P136" s="187">
        <f>'Interest Rates data'!M58</f>
        <v>1</v>
      </c>
      <c r="Q136" s="187">
        <f>'Interest Rates data'!N58</f>
        <v>1</v>
      </c>
      <c r="R136" s="187">
        <f>'Interest Rates data'!O58</f>
        <v>1</v>
      </c>
      <c r="S136" s="187">
        <f>'Interest Rates data'!P58</f>
        <v>1</v>
      </c>
      <c r="T136" s="187">
        <f>'Interest Rates data'!Q58</f>
        <v>1</v>
      </c>
      <c r="U136" s="187">
        <f>'Interest Rates data'!R58</f>
        <v>1</v>
      </c>
      <c r="V136" s="187">
        <f>'Interest Rates data'!S58</f>
        <v>1</v>
      </c>
      <c r="W136" s="187">
        <f>'Interest Rates data'!T58</f>
        <v>1</v>
      </c>
      <c r="X136" s="187">
        <f>'Interest Rates data'!U58</f>
        <v>2</v>
      </c>
      <c r="Y136" s="187">
        <f>'Interest Rates data'!V58</f>
        <v>1</v>
      </c>
      <c r="Z136" s="187">
        <f>'Interest Rates data'!W58</f>
        <v>2</v>
      </c>
      <c r="AA136" s="187">
        <f>'Interest Rates data'!X58</f>
        <v>3</v>
      </c>
      <c r="AB136" s="187">
        <f>'Interest Rates data'!Y58</f>
        <v>2</v>
      </c>
      <c r="AC136" s="187">
        <f>'Interest Rates data'!Z58</f>
        <v>3</v>
      </c>
      <c r="AD136" s="187">
        <f>'Interest Rates data'!AA58</f>
        <v>4</v>
      </c>
      <c r="AE136" s="187">
        <f>'Interest Rates data'!AB58</f>
        <v>3</v>
      </c>
      <c r="AF136" s="187">
        <f>'Interest Rates data'!AC58</f>
        <v>4</v>
      </c>
      <c r="AG136" s="187">
        <f>'Interest Rates data'!AD58</f>
        <v>4</v>
      </c>
      <c r="AH136" s="187">
        <f>'Interest Rates data'!AE58</f>
        <v>3</v>
      </c>
      <c r="AI136" s="187">
        <f>'Interest Rates data'!AF58</f>
        <v>3</v>
      </c>
      <c r="AJ136" s="187">
        <f>'Interest Rates data'!AG58</f>
        <v>3</v>
      </c>
      <c r="AK136" s="187">
        <f>'Interest Rates data'!AH58</f>
        <v>3</v>
      </c>
      <c r="AL136" s="187">
        <f>'Interest Rates data'!AI58</f>
        <v>3</v>
      </c>
      <c r="AM136" s="187">
        <f>'Interest Rates data'!AJ58</f>
        <v>4</v>
      </c>
      <c r="AN136" s="187">
        <f>'Interest Rates data'!AK58</f>
        <v>4</v>
      </c>
      <c r="AO136" s="187">
        <f>'Interest Rates data'!AL58</f>
        <v>3</v>
      </c>
      <c r="AP136" s="187">
        <f>'Interest Rates data'!AM58</f>
        <v>3</v>
      </c>
      <c r="AQ136" s="187">
        <f>'Interest Rates data'!AN58</f>
        <v>3</v>
      </c>
      <c r="AR136" s="187">
        <f>'Interest Rates data'!AO58</f>
        <v>3</v>
      </c>
      <c r="AS136" s="187">
        <f>'Interest Rates data'!AP58</f>
        <v>3</v>
      </c>
      <c r="AT136" s="187">
        <f>'Interest Rates data'!AQ58</f>
        <v>3</v>
      </c>
      <c r="AU136" s="187">
        <f>'Interest Rates data'!AR58</f>
        <v>3</v>
      </c>
      <c r="AV136" s="187">
        <f>'Interest Rates data'!AS58</f>
        <v>3</v>
      </c>
      <c r="AW136" s="187">
        <f>'Interest Rates data'!AT58</f>
        <v>3</v>
      </c>
      <c r="AX136" s="187">
        <f>'Interest Rates data'!AU58</f>
        <v>3</v>
      </c>
    </row>
    <row r="137" spans="5:50" ht="21">
      <c r="E137" s="240" t="s">
        <v>55</v>
      </c>
      <c r="F137" s="187">
        <f>'Interest Rates data'!C59</f>
        <v>1</v>
      </c>
      <c r="G137" s="187">
        <f>'Interest Rates data'!D59</f>
        <v>1</v>
      </c>
      <c r="H137" s="187">
        <f>'Interest Rates data'!E59</f>
        <v>1</v>
      </c>
      <c r="I137" s="187">
        <f>'Interest Rates data'!F59</f>
        <v>1</v>
      </c>
      <c r="J137" s="187">
        <f>'Interest Rates data'!G59</f>
        <v>1</v>
      </c>
      <c r="K137" s="187">
        <f>'Interest Rates data'!H59</f>
        <v>2</v>
      </c>
      <c r="L137" s="187">
        <f>'Interest Rates data'!I59</f>
        <v>2</v>
      </c>
      <c r="M137" s="187">
        <f>'Interest Rates data'!J59</f>
        <v>2</v>
      </c>
      <c r="N137" s="187">
        <f>'Interest Rates data'!K59</f>
        <v>2</v>
      </c>
      <c r="O137" s="187">
        <f>'Interest Rates data'!L59</f>
        <v>2</v>
      </c>
      <c r="P137" s="187">
        <f>'Interest Rates data'!M59</f>
        <v>2</v>
      </c>
      <c r="Q137" s="187">
        <f>'Interest Rates data'!N59</f>
        <v>2</v>
      </c>
      <c r="R137" s="187">
        <f>'Interest Rates data'!O59</f>
        <v>2</v>
      </c>
      <c r="S137" s="187">
        <f>'Interest Rates data'!P59</f>
        <v>2</v>
      </c>
      <c r="T137" s="187">
        <f>'Interest Rates data'!Q59</f>
        <v>2</v>
      </c>
      <c r="U137" s="187">
        <f>'Interest Rates data'!R59</f>
        <v>2</v>
      </c>
      <c r="V137" s="187">
        <f>'Interest Rates data'!S59</f>
        <v>2</v>
      </c>
      <c r="W137" s="187">
        <f>'Interest Rates data'!T59</f>
        <v>2</v>
      </c>
      <c r="X137" s="187">
        <f>'Interest Rates data'!U59</f>
        <v>2</v>
      </c>
      <c r="Y137" s="187">
        <f>'Interest Rates data'!V59</f>
        <v>1</v>
      </c>
      <c r="Z137" s="187">
        <f>'Interest Rates data'!W59</f>
        <v>1</v>
      </c>
      <c r="AA137" s="187">
        <f>'Interest Rates data'!X59</f>
        <v>1</v>
      </c>
      <c r="AB137" s="187">
        <f>'Interest Rates data'!Y59</f>
        <v>1</v>
      </c>
      <c r="AC137" s="187">
        <f>'Interest Rates data'!Z59</f>
        <v>1</v>
      </c>
      <c r="AD137" s="187">
        <f>'Interest Rates data'!AA59</f>
        <v>1</v>
      </c>
      <c r="AE137" s="187">
        <f>'Interest Rates data'!AB59</f>
        <v>1</v>
      </c>
      <c r="AF137" s="187">
        <f>'Interest Rates data'!AC59</f>
        <v>1</v>
      </c>
      <c r="AG137" s="187">
        <f>'Interest Rates data'!AD59</f>
        <v>1</v>
      </c>
      <c r="AH137" s="187">
        <f>'Interest Rates data'!AE59</f>
        <v>1</v>
      </c>
      <c r="AI137" s="187">
        <f>'Interest Rates data'!AF59</f>
        <v>1</v>
      </c>
      <c r="AJ137" s="187">
        <f>'Interest Rates data'!AG59</f>
        <v>1</v>
      </c>
      <c r="AK137" s="187">
        <f>'Interest Rates data'!AH59</f>
        <v>1</v>
      </c>
      <c r="AL137" s="187">
        <f>'Interest Rates data'!AI59</f>
        <v>1</v>
      </c>
      <c r="AM137" s="187">
        <f>'Interest Rates data'!AJ59</f>
        <v>1</v>
      </c>
      <c r="AN137" s="187">
        <f>'Interest Rates data'!AK59</f>
        <v>1</v>
      </c>
      <c r="AO137" s="187">
        <f>'Interest Rates data'!AL59</f>
        <v>0</v>
      </c>
      <c r="AP137" s="187">
        <f>'Interest Rates data'!AM59</f>
        <v>0</v>
      </c>
      <c r="AQ137" s="187">
        <f>'Interest Rates data'!AN59</f>
        <v>0</v>
      </c>
      <c r="AR137" s="187">
        <f>'Interest Rates data'!AO59</f>
        <v>0</v>
      </c>
      <c r="AS137" s="187">
        <f>'Interest Rates data'!AP59</f>
        <v>-1</v>
      </c>
      <c r="AT137" s="187">
        <f>'Interest Rates data'!AQ59</f>
        <v>-1</v>
      </c>
      <c r="AU137" s="187">
        <f>'Interest Rates data'!AR59</f>
        <v>-1</v>
      </c>
      <c r="AV137" s="187">
        <f>'Interest Rates data'!AS59</f>
        <v>-1</v>
      </c>
      <c r="AW137" s="187">
        <f>'Interest Rates data'!AT59</f>
        <v>-1</v>
      </c>
      <c r="AX137" s="187">
        <f>'Interest Rates data'!AU59</f>
        <v>-1</v>
      </c>
    </row>
    <row r="138" spans="5:50" ht="21">
      <c r="E138" s="241" t="s">
        <v>56</v>
      </c>
      <c r="F138" s="187">
        <f>'Interest Rates data'!C60</f>
        <v>-1</v>
      </c>
      <c r="G138" s="187">
        <f>'Interest Rates data'!D60</f>
        <v>-1</v>
      </c>
      <c r="H138" s="187">
        <f>'Interest Rates data'!E60</f>
        <v>-1</v>
      </c>
      <c r="I138" s="187">
        <f>'Interest Rates data'!F60</f>
        <v>-2</v>
      </c>
      <c r="J138" s="187">
        <f>'Interest Rates data'!G60</f>
        <v>-2</v>
      </c>
      <c r="K138" s="187">
        <f>'Interest Rates data'!H60</f>
        <v>-1</v>
      </c>
      <c r="L138" s="187">
        <f>'Interest Rates data'!I60</f>
        <v>-1</v>
      </c>
      <c r="M138" s="187">
        <f>'Interest Rates data'!J60</f>
        <v>0</v>
      </c>
      <c r="N138" s="187">
        <f>'Interest Rates data'!K60</f>
        <v>0</v>
      </c>
      <c r="O138" s="187">
        <f>'Interest Rates data'!L60</f>
        <v>0</v>
      </c>
      <c r="P138" s="187">
        <f>'Interest Rates data'!M60</f>
        <v>0</v>
      </c>
      <c r="Q138" s="187">
        <f>'Interest Rates data'!N60</f>
        <v>0</v>
      </c>
      <c r="R138" s="187">
        <f>'Interest Rates data'!O60</f>
        <v>0</v>
      </c>
      <c r="S138" s="187">
        <f>'Interest Rates data'!P60</f>
        <v>0</v>
      </c>
      <c r="T138" s="187">
        <f>'Interest Rates data'!Q60</f>
        <v>0</v>
      </c>
      <c r="U138" s="187">
        <f>'Interest Rates data'!R60</f>
        <v>0</v>
      </c>
      <c r="V138" s="187">
        <f>'Interest Rates data'!S60</f>
        <v>0</v>
      </c>
      <c r="W138" s="187">
        <f>'Interest Rates data'!T60</f>
        <v>0</v>
      </c>
      <c r="X138" s="187">
        <f>'Interest Rates data'!U60</f>
        <v>0</v>
      </c>
      <c r="Y138" s="187">
        <f>'Interest Rates data'!V60</f>
        <v>0</v>
      </c>
      <c r="Z138" s="187">
        <f>'Interest Rates data'!W60</f>
        <v>1</v>
      </c>
      <c r="AA138" s="187">
        <f>'Interest Rates data'!X60</f>
        <v>1</v>
      </c>
      <c r="AB138" s="187">
        <f>'Interest Rates data'!Y60</f>
        <v>1</v>
      </c>
      <c r="AC138" s="187">
        <f>'Interest Rates data'!Z60</f>
        <v>1</v>
      </c>
      <c r="AD138" s="187">
        <f>'Interest Rates data'!AA60</f>
        <v>1</v>
      </c>
      <c r="AE138" s="187">
        <f>'Interest Rates data'!AB60</f>
        <v>2</v>
      </c>
      <c r="AF138" s="187">
        <f>'Interest Rates data'!AC60</f>
        <v>2</v>
      </c>
      <c r="AG138" s="187">
        <f>'Interest Rates data'!AD60</f>
        <v>2</v>
      </c>
      <c r="AH138" s="187">
        <f>'Interest Rates data'!AE60</f>
        <v>2</v>
      </c>
      <c r="AI138" s="187">
        <f>'Interest Rates data'!AF60</f>
        <v>2</v>
      </c>
      <c r="AJ138" s="187">
        <f>'Interest Rates data'!AG60</f>
        <v>2</v>
      </c>
      <c r="AK138" s="187">
        <f>'Interest Rates data'!AH60</f>
        <v>2</v>
      </c>
      <c r="AL138" s="187">
        <f>'Interest Rates data'!AI60</f>
        <v>2</v>
      </c>
      <c r="AM138" s="187">
        <f>'Interest Rates data'!AJ60</f>
        <v>3</v>
      </c>
      <c r="AN138" s="187">
        <f>'Interest Rates data'!AK60</f>
        <v>4</v>
      </c>
      <c r="AO138" s="187">
        <f>'Interest Rates data'!AL60</f>
        <v>3</v>
      </c>
      <c r="AP138" s="187">
        <f>'Interest Rates data'!AM60</f>
        <v>3</v>
      </c>
      <c r="AQ138" s="187">
        <f>'Interest Rates data'!AN60</f>
        <v>3</v>
      </c>
      <c r="AR138" s="187">
        <f>'Interest Rates data'!AO60</f>
        <v>3</v>
      </c>
      <c r="AS138" s="187">
        <f>'Interest Rates data'!AP60</f>
        <v>3</v>
      </c>
      <c r="AT138" s="187">
        <f>'Interest Rates data'!AQ60</f>
        <v>3</v>
      </c>
      <c r="AU138" s="187">
        <f>'Interest Rates data'!AR60</f>
        <v>3</v>
      </c>
      <c r="AV138" s="187">
        <f>'Interest Rates data'!AS60</f>
        <v>3</v>
      </c>
      <c r="AW138" s="187">
        <f>'Interest Rates data'!AT60</f>
        <v>3</v>
      </c>
      <c r="AX138" s="187">
        <f>'Interest Rates data'!AU60</f>
        <v>2</v>
      </c>
    </row>
    <row r="139" spans="5:50" ht="21">
      <c r="E139" s="242" t="s">
        <v>57</v>
      </c>
      <c r="F139" s="187">
        <f>'Interest Rates data'!C61</f>
        <v>2</v>
      </c>
      <c r="G139" s="187">
        <f>'Interest Rates data'!D61</f>
        <v>2</v>
      </c>
      <c r="H139" s="187">
        <f>'Interest Rates data'!E61</f>
        <v>3</v>
      </c>
      <c r="I139" s="187">
        <f>'Interest Rates data'!F61</f>
        <v>3</v>
      </c>
      <c r="J139" s="187">
        <f>'Interest Rates data'!G61</f>
        <v>3</v>
      </c>
      <c r="K139" s="187">
        <f>'Interest Rates data'!H61</f>
        <v>4</v>
      </c>
      <c r="L139" s="187">
        <f>'Interest Rates data'!I61</f>
        <v>4</v>
      </c>
      <c r="M139" s="187">
        <f>'Interest Rates data'!J61</f>
        <v>4</v>
      </c>
      <c r="N139" s="187">
        <f>'Interest Rates data'!K61</f>
        <v>4</v>
      </c>
      <c r="O139" s="187">
        <f>'Interest Rates data'!L61</f>
        <v>4</v>
      </c>
      <c r="P139" s="187">
        <f>'Interest Rates data'!M61</f>
        <v>4</v>
      </c>
      <c r="Q139" s="187">
        <f>'Interest Rates data'!N61</f>
        <v>4</v>
      </c>
      <c r="R139" s="187">
        <f>'Interest Rates data'!O61</f>
        <v>4</v>
      </c>
      <c r="S139" s="187">
        <f>'Interest Rates data'!P61</f>
        <v>4</v>
      </c>
      <c r="T139" s="187">
        <f>'Interest Rates data'!Q61</f>
        <v>3</v>
      </c>
      <c r="U139" s="187">
        <f>'Interest Rates data'!R61</f>
        <v>3</v>
      </c>
      <c r="V139" s="187">
        <f>'Interest Rates data'!S61</f>
        <v>3</v>
      </c>
      <c r="W139" s="187">
        <f>'Interest Rates data'!T61</f>
        <v>2</v>
      </c>
      <c r="X139" s="187">
        <f>'Interest Rates data'!U61</f>
        <v>2</v>
      </c>
      <c r="Y139" s="187">
        <f>'Interest Rates data'!V61</f>
        <v>2</v>
      </c>
      <c r="Z139" s="187">
        <f>'Interest Rates data'!W61</f>
        <v>2</v>
      </c>
      <c r="AA139" s="187">
        <f>'Interest Rates data'!X61</f>
        <v>2</v>
      </c>
      <c r="AB139" s="187">
        <f>'Interest Rates data'!Y61</f>
        <v>2</v>
      </c>
      <c r="AC139" s="187">
        <f>'Interest Rates data'!Z61</f>
        <v>1</v>
      </c>
      <c r="AD139" s="187">
        <f>'Interest Rates data'!AA61</f>
        <v>0</v>
      </c>
      <c r="AE139" s="187">
        <f>'Interest Rates data'!AB61</f>
        <v>0</v>
      </c>
      <c r="AF139" s="187">
        <f>'Interest Rates data'!AC61</f>
        <v>0</v>
      </c>
      <c r="AG139" s="187">
        <f>'Interest Rates data'!AD61</f>
        <v>0</v>
      </c>
      <c r="AH139" s="187">
        <f>'Interest Rates data'!AE61</f>
        <v>0</v>
      </c>
      <c r="AI139" s="187">
        <f>'Interest Rates data'!AF61</f>
        <v>-1</v>
      </c>
      <c r="AJ139" s="187">
        <f>'Interest Rates data'!AG61</f>
        <v>-1</v>
      </c>
      <c r="AK139" s="187">
        <f>'Interest Rates data'!AH61</f>
        <v>-1</v>
      </c>
      <c r="AL139" s="187">
        <f>'Interest Rates data'!AI61</f>
        <v>-1</v>
      </c>
      <c r="AM139" s="187">
        <f>'Interest Rates data'!AJ61</f>
        <v>-1</v>
      </c>
      <c r="AN139" s="187">
        <f>'Interest Rates data'!AK61</f>
        <v>-1</v>
      </c>
      <c r="AO139" s="187">
        <f>'Interest Rates data'!AL61</f>
        <v>-1</v>
      </c>
      <c r="AP139" s="187">
        <f>'Interest Rates data'!AM61</f>
        <v>-1</v>
      </c>
      <c r="AQ139" s="187">
        <f>'Interest Rates data'!AN61</f>
        <v>-1</v>
      </c>
      <c r="AR139" s="187">
        <f>'Interest Rates data'!AO61</f>
        <v>-1</v>
      </c>
      <c r="AS139" s="187">
        <f>'Interest Rates data'!AP61</f>
        <v>-1</v>
      </c>
      <c r="AT139" s="187">
        <f>'Interest Rates data'!AQ61</f>
        <v>-1</v>
      </c>
      <c r="AU139" s="187">
        <f>'Interest Rates data'!AR61</f>
        <v>-2</v>
      </c>
      <c r="AV139" s="187">
        <f>'Interest Rates data'!AS61</f>
        <v>-2</v>
      </c>
      <c r="AW139" s="187">
        <f>'Interest Rates data'!AT61</f>
        <v>-2</v>
      </c>
      <c r="AX139" s="187">
        <f>'Interest Rates data'!AU61</f>
        <v>-2</v>
      </c>
    </row>
    <row r="140" spans="5:50" ht="21">
      <c r="E140" s="243" t="s">
        <v>10</v>
      </c>
      <c r="F140" s="187">
        <f>'Interest Rates data'!C62</f>
        <v>-3</v>
      </c>
      <c r="G140" s="187">
        <f>'Interest Rates data'!D62</f>
        <v>-3</v>
      </c>
      <c r="H140" s="187">
        <f>'Interest Rates data'!E62</f>
        <v>-3</v>
      </c>
      <c r="I140" s="187">
        <f>'Interest Rates data'!F62</f>
        <v>-3</v>
      </c>
      <c r="J140" s="187">
        <f>'Interest Rates data'!G62</f>
        <v>-3</v>
      </c>
      <c r="K140" s="187">
        <f>'Interest Rates data'!H62</f>
        <v>-2</v>
      </c>
      <c r="L140" s="187">
        <f>'Interest Rates data'!I62</f>
        <v>-3</v>
      </c>
      <c r="M140" s="187">
        <f>'Interest Rates data'!J62</f>
        <v>-3</v>
      </c>
      <c r="N140" s="187">
        <f>'Interest Rates data'!K62</f>
        <v>-3</v>
      </c>
      <c r="O140" s="187">
        <f>'Interest Rates data'!L62</f>
        <v>-3</v>
      </c>
      <c r="P140" s="187">
        <f>'Interest Rates data'!M62</f>
        <v>-2</v>
      </c>
      <c r="Q140" s="187">
        <f>'Interest Rates data'!N62</f>
        <v>-2</v>
      </c>
      <c r="R140" s="187">
        <f>'Interest Rates data'!O62</f>
        <v>-2</v>
      </c>
      <c r="S140" s="187">
        <f>'Interest Rates data'!P62</f>
        <v>-2</v>
      </c>
      <c r="T140" s="187">
        <f>'Interest Rates data'!Q62</f>
        <v>-2</v>
      </c>
      <c r="U140" s="187">
        <f>'Interest Rates data'!R62</f>
        <v>-2</v>
      </c>
      <c r="V140" s="187">
        <f>'Interest Rates data'!S62</f>
        <v>-2</v>
      </c>
      <c r="W140" s="187">
        <f>'Interest Rates data'!T62</f>
        <v>-2</v>
      </c>
      <c r="X140" s="187">
        <f>'Interest Rates data'!U62</f>
        <v>-2</v>
      </c>
      <c r="Y140" s="187">
        <f>'Interest Rates data'!V62</f>
        <v>-2</v>
      </c>
      <c r="Z140" s="187">
        <f>'Interest Rates data'!W62</f>
        <v>-1</v>
      </c>
      <c r="AA140" s="187">
        <f>'Interest Rates data'!X62</f>
        <v>-1</v>
      </c>
      <c r="AB140" s="187">
        <f>'Interest Rates data'!Y62</f>
        <v>-1</v>
      </c>
      <c r="AC140" s="187">
        <f>'Interest Rates data'!Z62</f>
        <v>0</v>
      </c>
      <c r="AD140" s="187">
        <f>'Interest Rates data'!AA62</f>
        <v>0</v>
      </c>
      <c r="AE140" s="187">
        <f>'Interest Rates data'!AB62</f>
        <v>-1</v>
      </c>
      <c r="AF140" s="187">
        <f>'Interest Rates data'!AC62</f>
        <v>-1</v>
      </c>
      <c r="AG140" s="187">
        <f>'Interest Rates data'!AD62</f>
        <v>-1</v>
      </c>
      <c r="AH140" s="187">
        <f>'Interest Rates data'!AE62</f>
        <v>-1</v>
      </c>
      <c r="AI140" s="187">
        <f>'Interest Rates data'!AF62</f>
        <v>-1</v>
      </c>
      <c r="AJ140" s="187">
        <f>'Interest Rates data'!AG62</f>
        <v>-1</v>
      </c>
      <c r="AK140" s="187">
        <f>'Interest Rates data'!AH62</f>
        <v>-2</v>
      </c>
      <c r="AL140" s="187">
        <f>'Interest Rates data'!AI62</f>
        <v>-1</v>
      </c>
      <c r="AM140" s="187">
        <f>'Interest Rates data'!AJ62</f>
        <v>-1</v>
      </c>
      <c r="AN140" s="187">
        <f>'Interest Rates data'!AK62</f>
        <v>-1</v>
      </c>
      <c r="AO140" s="187">
        <f>'Interest Rates data'!AL62</f>
        <v>0</v>
      </c>
      <c r="AP140" s="187">
        <f>'Interest Rates data'!AM62</f>
        <v>0</v>
      </c>
      <c r="AQ140" s="187">
        <f>'Interest Rates data'!AN62</f>
        <v>0</v>
      </c>
      <c r="AR140" s="187">
        <f>'Interest Rates data'!AO62</f>
        <v>0</v>
      </c>
      <c r="AS140" s="187">
        <f>'Interest Rates data'!AP62</f>
        <v>1</v>
      </c>
      <c r="AT140" s="187">
        <f>'Interest Rates data'!AQ62</f>
        <v>1</v>
      </c>
      <c r="AU140" s="187">
        <f>'Interest Rates data'!AR62</f>
        <v>1</v>
      </c>
      <c r="AV140" s="187">
        <f>'Interest Rates data'!AS62</f>
        <v>1</v>
      </c>
      <c r="AW140" s="187">
        <f>'Interest Rates data'!AT62</f>
        <v>1</v>
      </c>
      <c r="AX140" s="187">
        <f>'Interest Rates data'!AU62</f>
        <v>1</v>
      </c>
    </row>
    <row r="141" spans="5:50" ht="21">
      <c r="E141" s="243" t="s">
        <v>58</v>
      </c>
      <c r="F141" s="187">
        <f>'Interest Rates data'!C63</f>
        <v>4</v>
      </c>
      <c r="G141" s="187">
        <f>'Interest Rates data'!D63</f>
        <v>5</v>
      </c>
      <c r="H141" s="187">
        <f>'Interest Rates data'!E63</f>
        <v>4</v>
      </c>
      <c r="I141" s="187">
        <f>'Interest Rates data'!F63</f>
        <v>4</v>
      </c>
      <c r="J141" s="187">
        <f>'Interest Rates data'!G63</f>
        <v>5</v>
      </c>
      <c r="K141" s="187">
        <f>'Interest Rates data'!H63</f>
        <v>5</v>
      </c>
      <c r="L141" s="187">
        <f>'Interest Rates data'!I63</f>
        <v>5</v>
      </c>
      <c r="M141" s="187">
        <f>'Interest Rates data'!J63</f>
        <v>5</v>
      </c>
      <c r="N141" s="187">
        <f>'Interest Rates data'!K63</f>
        <v>5</v>
      </c>
      <c r="O141" s="187">
        <f>'Interest Rates data'!L63</f>
        <v>5</v>
      </c>
      <c r="P141" s="187">
        <f>'Interest Rates data'!M63</f>
        <v>5</v>
      </c>
      <c r="Q141" s="187">
        <f>'Interest Rates data'!N63</f>
        <v>5</v>
      </c>
      <c r="R141" s="187">
        <f>'Interest Rates data'!O63</f>
        <v>5</v>
      </c>
      <c r="S141" s="187">
        <f>'Interest Rates data'!P63</f>
        <v>5</v>
      </c>
      <c r="T141" s="187">
        <f>'Interest Rates data'!Q63</f>
        <v>6</v>
      </c>
      <c r="U141" s="187">
        <f>'Interest Rates data'!R63</f>
        <v>6</v>
      </c>
      <c r="V141" s="187">
        <f>'Interest Rates data'!S63</f>
        <v>6</v>
      </c>
      <c r="W141" s="187">
        <f>'Interest Rates data'!T63</f>
        <v>6</v>
      </c>
      <c r="X141" s="187">
        <f>'Interest Rates data'!U63</f>
        <v>6</v>
      </c>
      <c r="Y141" s="187">
        <f>'Interest Rates data'!V63</f>
        <v>6</v>
      </c>
      <c r="Z141" s="187">
        <f>'Interest Rates data'!W63</f>
        <v>7</v>
      </c>
      <c r="AA141" s="187">
        <f>'Interest Rates data'!X63</f>
        <v>7</v>
      </c>
      <c r="AB141" s="187">
        <f>'Interest Rates data'!Y63</f>
        <v>7</v>
      </c>
      <c r="AC141" s="187">
        <f>'Interest Rates data'!Z63</f>
        <v>8</v>
      </c>
      <c r="AD141" s="187">
        <f>'Interest Rates data'!AA63</f>
        <v>8</v>
      </c>
      <c r="AE141" s="187">
        <f>'Interest Rates data'!AB63</f>
        <v>7</v>
      </c>
      <c r="AF141" s="187">
        <f>'Interest Rates data'!AC63</f>
        <v>8</v>
      </c>
      <c r="AG141" s="187">
        <f>'Interest Rates data'!AD63</f>
        <v>8</v>
      </c>
      <c r="AH141" s="187">
        <f>'Interest Rates data'!AE63</f>
        <v>7</v>
      </c>
      <c r="AI141" s="187">
        <f>'Interest Rates data'!AF63</f>
        <v>8</v>
      </c>
      <c r="AJ141" s="187">
        <f>'Interest Rates data'!AG63</f>
        <v>8</v>
      </c>
      <c r="AK141" s="187">
        <f>'Interest Rates data'!AH63</f>
        <v>7</v>
      </c>
      <c r="AL141" s="187">
        <f>'Interest Rates data'!AI63</f>
        <v>7</v>
      </c>
      <c r="AM141" s="187">
        <f>'Interest Rates data'!AJ63</f>
        <v>7</v>
      </c>
      <c r="AN141" s="187">
        <f>'Interest Rates data'!AK63</f>
        <v>7</v>
      </c>
      <c r="AO141" s="187">
        <f>'Interest Rates data'!AL63</f>
        <v>7</v>
      </c>
      <c r="AP141" s="187">
        <f>'Interest Rates data'!AM63</f>
        <v>7</v>
      </c>
      <c r="AQ141" s="187">
        <f>'Interest Rates data'!AN63</f>
        <v>8</v>
      </c>
      <c r="AR141" s="187">
        <f>'Interest Rates data'!AO63</f>
        <v>8</v>
      </c>
      <c r="AS141" s="187">
        <f>'Interest Rates data'!AP63</f>
        <v>8</v>
      </c>
      <c r="AT141" s="187">
        <f>'Interest Rates data'!AQ63</f>
        <v>9</v>
      </c>
      <c r="AU141" s="187">
        <f>'Interest Rates data'!AR63</f>
        <v>9</v>
      </c>
      <c r="AV141" s="187">
        <f>'Interest Rates data'!AS63</f>
        <v>9</v>
      </c>
      <c r="AW141" s="187">
        <f>'Interest Rates data'!AT63</f>
        <v>9</v>
      </c>
      <c r="AX141" s="187">
        <f>'Interest Rates data'!AU63</f>
        <v>9</v>
      </c>
    </row>
    <row r="142" spans="5:50" ht="21">
      <c r="E142" s="243" t="s">
        <v>18</v>
      </c>
      <c r="F142" s="187">
        <f>'Interest Rates data'!C64</f>
        <v>6</v>
      </c>
      <c r="G142" s="187">
        <f>'Interest Rates data'!D64</f>
        <v>7</v>
      </c>
      <c r="H142" s="187">
        <f>'Interest Rates data'!E64</f>
        <v>7</v>
      </c>
      <c r="I142" s="187">
        <f>'Interest Rates data'!F64</f>
        <v>7</v>
      </c>
      <c r="J142" s="187">
        <f>'Interest Rates data'!G64</f>
        <v>8</v>
      </c>
      <c r="K142" s="187">
        <f>'Interest Rates data'!H64</f>
        <v>8</v>
      </c>
      <c r="L142" s="187">
        <f>'Interest Rates data'!I64</f>
        <v>8</v>
      </c>
      <c r="M142" s="187">
        <f>'Interest Rates data'!J64</f>
        <v>8</v>
      </c>
      <c r="N142" s="187">
        <f>'Interest Rates data'!K64</f>
        <v>8</v>
      </c>
      <c r="O142" s="187">
        <f>'Interest Rates data'!L64</f>
        <v>8</v>
      </c>
      <c r="P142" s="187">
        <f>'Interest Rates data'!M64</f>
        <v>9</v>
      </c>
      <c r="Q142" s="187">
        <f>'Interest Rates data'!N64</f>
        <v>9</v>
      </c>
      <c r="R142" s="187">
        <f>'Interest Rates data'!O64</f>
        <v>9</v>
      </c>
      <c r="S142" s="187">
        <f>'Interest Rates data'!P64</f>
        <v>9</v>
      </c>
      <c r="T142" s="187">
        <f>'Interest Rates data'!Q64</f>
        <v>9</v>
      </c>
      <c r="U142" s="187">
        <f>'Interest Rates data'!R64</f>
        <v>9</v>
      </c>
      <c r="V142" s="187">
        <f>'Interest Rates data'!S64</f>
        <v>9</v>
      </c>
      <c r="W142" s="187">
        <f>'Interest Rates data'!T64</f>
        <v>9</v>
      </c>
      <c r="X142" s="187">
        <f>'Interest Rates data'!U64</f>
        <v>8</v>
      </c>
      <c r="Y142" s="187">
        <f>'Interest Rates data'!V64</f>
        <v>8</v>
      </c>
      <c r="Z142" s="187">
        <f>'Interest Rates data'!W64</f>
        <v>8</v>
      </c>
      <c r="AA142" s="187">
        <f>'Interest Rates data'!X64</f>
        <v>8</v>
      </c>
      <c r="AB142" s="187">
        <f>'Interest Rates data'!Y64</f>
        <v>8</v>
      </c>
      <c r="AC142" s="187">
        <f>'Interest Rates data'!Z64</f>
        <v>8</v>
      </c>
      <c r="AD142" s="187">
        <f>'Interest Rates data'!AA64</f>
        <v>8</v>
      </c>
      <c r="AE142" s="187">
        <f>'Interest Rates data'!AB64</f>
        <v>7</v>
      </c>
      <c r="AF142" s="187">
        <f>'Interest Rates data'!AC64</f>
        <v>7</v>
      </c>
      <c r="AG142" s="187">
        <f>'Interest Rates data'!AD64</f>
        <v>7</v>
      </c>
      <c r="AH142" s="187">
        <f>'Interest Rates data'!AE64</f>
        <v>7</v>
      </c>
      <c r="AI142" s="187">
        <f>'Interest Rates data'!AF64</f>
        <v>7</v>
      </c>
      <c r="AJ142" s="187">
        <f>'Interest Rates data'!AG64</f>
        <v>7</v>
      </c>
      <c r="AK142" s="187">
        <f>'Interest Rates data'!AH64</f>
        <v>6</v>
      </c>
      <c r="AL142" s="187">
        <f>'Interest Rates data'!AI64</f>
        <v>6</v>
      </c>
      <c r="AM142" s="187">
        <f>'Interest Rates data'!AJ64</f>
        <v>6</v>
      </c>
      <c r="AN142" s="187">
        <f>'Interest Rates data'!AK64</f>
        <v>6</v>
      </c>
      <c r="AO142" s="187">
        <f>'Interest Rates data'!AL64</f>
        <v>6</v>
      </c>
      <c r="AP142" s="187">
        <f>'Interest Rates data'!AM64</f>
        <v>6</v>
      </c>
      <c r="AQ142" s="187">
        <f>'Interest Rates data'!AN64</f>
        <v>6</v>
      </c>
      <c r="AR142" s="187">
        <f>'Interest Rates data'!AO64</f>
        <v>6</v>
      </c>
      <c r="AS142" s="187">
        <f>'Interest Rates data'!AP64</f>
        <v>7</v>
      </c>
      <c r="AT142" s="187">
        <f>'Interest Rates data'!AQ64</f>
        <v>7</v>
      </c>
      <c r="AU142" s="187">
        <f>'Interest Rates data'!AR64</f>
        <v>7</v>
      </c>
      <c r="AV142" s="187">
        <f>'Interest Rates data'!AS64</f>
        <v>7</v>
      </c>
      <c r="AW142" s="187">
        <f>'Interest Rates data'!AT64</f>
        <v>7</v>
      </c>
      <c r="AX142" s="187">
        <f>'Interest Rates data'!AU64</f>
        <v>7</v>
      </c>
    </row>
    <row r="143" spans="5:50" ht="21">
      <c r="E143" s="244" t="s">
        <v>59</v>
      </c>
      <c r="F143" s="187">
        <f>'Interest Rates data'!C65</f>
        <v>-2</v>
      </c>
      <c r="G143" s="187">
        <f>'Interest Rates data'!D65</f>
        <v>-3</v>
      </c>
      <c r="H143" s="187">
        <f>'Interest Rates data'!E65</f>
        <v>-2</v>
      </c>
      <c r="I143" s="187">
        <f>'Interest Rates data'!F65</f>
        <v>-3</v>
      </c>
      <c r="J143" s="187">
        <f>'Interest Rates data'!G65</f>
        <v>-3</v>
      </c>
      <c r="K143" s="187">
        <f>'Interest Rates data'!H65</f>
        <v>-3</v>
      </c>
      <c r="L143" s="187">
        <f>'Interest Rates data'!I65</f>
        <v>-3</v>
      </c>
      <c r="M143" s="187">
        <f>'Interest Rates data'!J65</f>
        <v>-3</v>
      </c>
      <c r="N143" s="187">
        <f>'Interest Rates data'!K65</f>
        <v>-3</v>
      </c>
      <c r="O143" s="187">
        <f>'Interest Rates data'!L65</f>
        <v>-3</v>
      </c>
      <c r="P143" s="187">
        <f>'Interest Rates data'!M65</f>
        <v>-2</v>
      </c>
      <c r="Q143" s="187">
        <f>'Interest Rates data'!N65</f>
        <v>-2</v>
      </c>
      <c r="R143" s="187">
        <f>'Interest Rates data'!O65</f>
        <v>-2</v>
      </c>
      <c r="S143" s="187">
        <f>'Interest Rates data'!P65</f>
        <v>-2</v>
      </c>
      <c r="T143" s="187">
        <f>'Interest Rates data'!Q65</f>
        <v>-2</v>
      </c>
      <c r="U143" s="187">
        <f>'Interest Rates data'!R65</f>
        <v>-2</v>
      </c>
      <c r="V143" s="187">
        <f>'Interest Rates data'!S65</f>
        <v>-2</v>
      </c>
      <c r="W143" s="187">
        <f>'Interest Rates data'!T65</f>
        <v>-2</v>
      </c>
      <c r="X143" s="187">
        <f>'Interest Rates data'!U65</f>
        <v>-2</v>
      </c>
      <c r="Y143" s="187">
        <f>'Interest Rates data'!V65</f>
        <v>-2</v>
      </c>
      <c r="Z143" s="187">
        <f>'Interest Rates data'!W65</f>
        <v>-1</v>
      </c>
      <c r="AA143" s="187">
        <f>'Interest Rates data'!X65</f>
        <v>-1</v>
      </c>
      <c r="AB143" s="187">
        <f>'Interest Rates data'!Y65</f>
        <v>0</v>
      </c>
      <c r="AC143" s="187">
        <f>'Interest Rates data'!Z65</f>
        <v>0</v>
      </c>
      <c r="AD143" s="187">
        <f>'Interest Rates data'!AA65</f>
        <v>0</v>
      </c>
      <c r="AE143" s="187">
        <f>'Interest Rates data'!AB65</f>
        <v>1</v>
      </c>
      <c r="AF143" s="187">
        <f>'Interest Rates data'!AC65</f>
        <v>1</v>
      </c>
      <c r="AG143" s="187">
        <f>'Interest Rates data'!AD65</f>
        <v>1</v>
      </c>
      <c r="AH143" s="187">
        <f>'Interest Rates data'!AE65</f>
        <v>1</v>
      </c>
      <c r="AI143" s="187">
        <f>'Interest Rates data'!AF65</f>
        <v>1</v>
      </c>
      <c r="AJ143" s="187">
        <f>'Interest Rates data'!AG65</f>
        <v>1</v>
      </c>
      <c r="AK143" s="187">
        <f>'Interest Rates data'!AH65</f>
        <v>1</v>
      </c>
      <c r="AL143" s="187">
        <f>'Interest Rates data'!AI65</f>
        <v>1</v>
      </c>
      <c r="AM143" s="187">
        <f>'Interest Rates data'!AJ65</f>
        <v>2</v>
      </c>
      <c r="AN143" s="187">
        <f>'Interest Rates data'!AK65</f>
        <v>3</v>
      </c>
      <c r="AO143" s="187">
        <f>'Interest Rates data'!AL65</f>
        <v>3</v>
      </c>
      <c r="AP143" s="187">
        <f>'Interest Rates data'!AM65</f>
        <v>3</v>
      </c>
      <c r="AQ143" s="187">
        <f>'Interest Rates data'!AN65</f>
        <v>3</v>
      </c>
      <c r="AR143" s="187">
        <f>'Interest Rates data'!AO65</f>
        <v>3</v>
      </c>
      <c r="AS143" s="187">
        <f>'Interest Rates data'!AP65</f>
        <v>4</v>
      </c>
      <c r="AT143" s="187">
        <f>'Interest Rates data'!AQ65</f>
        <v>4</v>
      </c>
      <c r="AU143" s="187">
        <f>'Interest Rates data'!AR65</f>
        <v>4</v>
      </c>
      <c r="AV143" s="187">
        <f>'Interest Rates data'!AS65</f>
        <v>4</v>
      </c>
      <c r="AW143" s="187">
        <f>'Interest Rates data'!AT65</f>
        <v>4</v>
      </c>
      <c r="AX143" s="187">
        <f>'Interest Rates data'!AU65</f>
        <v>3</v>
      </c>
    </row>
    <row r="144" spans="5:50" ht="21">
      <c r="E144" s="244" t="s">
        <v>20</v>
      </c>
      <c r="F144" s="187">
        <f>'Interest Rates data'!C66</f>
        <v>-3</v>
      </c>
      <c r="G144" s="187">
        <f>'Interest Rates data'!D66</f>
        <v>-2</v>
      </c>
      <c r="H144" s="187">
        <f>'Interest Rates data'!E66</f>
        <v>-2</v>
      </c>
      <c r="I144" s="187">
        <f>'Interest Rates data'!F66</f>
        <v>-2</v>
      </c>
      <c r="J144" s="187">
        <f>'Interest Rates data'!G66</f>
        <v>-1</v>
      </c>
      <c r="K144" s="187">
        <f>'Interest Rates data'!H66</f>
        <v>-1</v>
      </c>
      <c r="L144" s="187">
        <f>'Interest Rates data'!I66</f>
        <v>-2</v>
      </c>
      <c r="M144" s="187">
        <f>'Interest Rates data'!J66</f>
        <v>-2</v>
      </c>
      <c r="N144" s="187">
        <f>'Interest Rates data'!K66</f>
        <v>-2</v>
      </c>
      <c r="O144" s="187">
        <f>'Interest Rates data'!L66</f>
        <v>-2</v>
      </c>
      <c r="P144" s="187">
        <f>'Interest Rates data'!M66</f>
        <v>-1</v>
      </c>
      <c r="Q144" s="187">
        <f>'Interest Rates data'!N66</f>
        <v>-1</v>
      </c>
      <c r="R144" s="187">
        <f>'Interest Rates data'!O66</f>
        <v>-1</v>
      </c>
      <c r="S144" s="187">
        <f>'Interest Rates data'!P66</f>
        <v>-1</v>
      </c>
      <c r="T144" s="187">
        <f>'Interest Rates data'!Q66</f>
        <v>-1</v>
      </c>
      <c r="U144" s="187">
        <f>'Interest Rates data'!R66</f>
        <v>-1</v>
      </c>
      <c r="V144" s="187">
        <f>'Interest Rates data'!S66</f>
        <v>-1</v>
      </c>
      <c r="W144" s="187">
        <f>'Interest Rates data'!T66</f>
        <v>-1</v>
      </c>
      <c r="X144" s="187">
        <f>'Interest Rates data'!U66</f>
        <v>0</v>
      </c>
      <c r="Y144" s="187">
        <f>'Interest Rates data'!V66</f>
        <v>0</v>
      </c>
      <c r="Z144" s="187">
        <f>'Interest Rates data'!W66</f>
        <v>0</v>
      </c>
      <c r="AA144" s="187">
        <f>'Interest Rates data'!X66</f>
        <v>1</v>
      </c>
      <c r="AB144" s="187">
        <f>'Interest Rates data'!Y66</f>
        <v>1</v>
      </c>
      <c r="AC144" s="187">
        <f>'Interest Rates data'!Z66</f>
        <v>2</v>
      </c>
      <c r="AD144" s="187">
        <f>'Interest Rates data'!AA66</f>
        <v>3</v>
      </c>
      <c r="AE144" s="187">
        <f>'Interest Rates data'!AB66</f>
        <v>2</v>
      </c>
      <c r="AF144" s="187">
        <f>'Interest Rates data'!AC66</f>
        <v>3</v>
      </c>
      <c r="AG144" s="187">
        <f>'Interest Rates data'!AD66</f>
        <v>3</v>
      </c>
      <c r="AH144" s="187">
        <f>'Interest Rates data'!AE66</f>
        <v>2</v>
      </c>
      <c r="AI144" s="187">
        <f>'Interest Rates data'!AF66</f>
        <v>2</v>
      </c>
      <c r="AJ144" s="187">
        <f>'Interest Rates data'!AG66</f>
        <v>2</v>
      </c>
      <c r="AK144" s="187">
        <f>'Interest Rates data'!AH66</f>
        <v>2</v>
      </c>
      <c r="AL144" s="187">
        <f>'Interest Rates data'!AI66</f>
        <v>2</v>
      </c>
      <c r="AM144" s="187">
        <f>'Interest Rates data'!AJ66</f>
        <v>3</v>
      </c>
      <c r="AN144" s="187">
        <f>'Interest Rates data'!AK66</f>
        <v>3</v>
      </c>
      <c r="AO144" s="187">
        <f>'Interest Rates data'!AL66</f>
        <v>3</v>
      </c>
      <c r="AP144" s="187">
        <f>'Interest Rates data'!AM66</f>
        <v>3</v>
      </c>
      <c r="AQ144" s="187">
        <f>'Interest Rates data'!AN66</f>
        <v>3</v>
      </c>
      <c r="AR144" s="187">
        <f>'Interest Rates data'!AO66</f>
        <v>3</v>
      </c>
      <c r="AS144" s="187">
        <f>'Interest Rates data'!AP66</f>
        <v>4</v>
      </c>
      <c r="AT144" s="187">
        <f>'Interest Rates data'!AQ66</f>
        <v>4</v>
      </c>
      <c r="AU144" s="187">
        <f>'Interest Rates data'!AR66</f>
        <v>4</v>
      </c>
      <c r="AV144" s="187">
        <f>'Interest Rates data'!AS66</f>
        <v>4</v>
      </c>
      <c r="AW144" s="187">
        <f>'Interest Rates data'!AT66</f>
        <v>4</v>
      </c>
      <c r="AX144" s="187">
        <f>'Interest Rates data'!AU66</f>
        <v>4</v>
      </c>
    </row>
    <row r="145" spans="5:50" ht="21">
      <c r="E145" s="245" t="s">
        <v>19</v>
      </c>
      <c r="F145" s="187">
        <f>'Interest Rates data'!C67</f>
        <v>9</v>
      </c>
      <c r="G145" s="187">
        <f>'Interest Rates data'!D67</f>
        <v>9</v>
      </c>
      <c r="H145" s="187">
        <f>'Interest Rates data'!E67</f>
        <v>9</v>
      </c>
      <c r="I145" s="187">
        <f>'Interest Rates data'!F67</f>
        <v>9</v>
      </c>
      <c r="J145" s="187">
        <f>'Interest Rates data'!G67</f>
        <v>9</v>
      </c>
      <c r="K145" s="187">
        <f>'Interest Rates data'!H67</f>
        <v>10</v>
      </c>
      <c r="L145" s="187">
        <f>'Interest Rates data'!I67</f>
        <v>10</v>
      </c>
      <c r="M145" s="187">
        <f>'Interest Rates data'!J67</f>
        <v>10</v>
      </c>
      <c r="N145" s="187">
        <f>'Interest Rates data'!K67</f>
        <v>10</v>
      </c>
      <c r="O145" s="187">
        <f>'Interest Rates data'!L67</f>
        <v>10</v>
      </c>
      <c r="P145" s="187">
        <f>'Interest Rates data'!M67</f>
        <v>10</v>
      </c>
      <c r="Q145" s="187">
        <f>'Interest Rates data'!N67</f>
        <v>10</v>
      </c>
      <c r="R145" s="187">
        <f>'Interest Rates data'!O67</f>
        <v>10</v>
      </c>
      <c r="S145" s="187">
        <f>'Interest Rates data'!P67</f>
        <v>10</v>
      </c>
      <c r="T145" s="187">
        <f>'Interest Rates data'!Q67</f>
        <v>10</v>
      </c>
      <c r="U145" s="187">
        <f>'Interest Rates data'!R67</f>
        <v>10</v>
      </c>
      <c r="V145" s="187">
        <f>'Interest Rates data'!S67</f>
        <v>10</v>
      </c>
      <c r="W145" s="187">
        <f>'Interest Rates data'!T67</f>
        <v>9</v>
      </c>
      <c r="X145" s="187">
        <f>'Interest Rates data'!U67</f>
        <v>9</v>
      </c>
      <c r="Y145" s="187">
        <f>'Interest Rates data'!V67</f>
        <v>9</v>
      </c>
      <c r="Z145" s="187">
        <f>'Interest Rates data'!W67</f>
        <v>8</v>
      </c>
      <c r="AA145" s="187">
        <f>'Interest Rates data'!X67</f>
        <v>7</v>
      </c>
      <c r="AB145" s="187">
        <f>'Interest Rates data'!Y67</f>
        <v>7</v>
      </c>
      <c r="AC145" s="187">
        <f>'Interest Rates data'!Z67</f>
        <v>6</v>
      </c>
      <c r="AD145" s="187">
        <f>'Interest Rates data'!AA67</f>
        <v>5</v>
      </c>
      <c r="AE145" s="187">
        <f>'Interest Rates data'!AB67</f>
        <v>5</v>
      </c>
      <c r="AF145" s="187">
        <f>'Interest Rates data'!AC67</f>
        <v>5</v>
      </c>
      <c r="AG145" s="187">
        <f>'Interest Rates data'!AD67</f>
        <v>5</v>
      </c>
      <c r="AH145" s="187">
        <f>'Interest Rates data'!AE67</f>
        <v>5</v>
      </c>
      <c r="AI145" s="187">
        <f>'Interest Rates data'!AF67</f>
        <v>5</v>
      </c>
      <c r="AJ145" s="187">
        <f>'Interest Rates data'!AG67</f>
        <v>5</v>
      </c>
      <c r="AK145" s="187">
        <f>'Interest Rates data'!AH67</f>
        <v>5</v>
      </c>
      <c r="AL145" s="187">
        <f>'Interest Rates data'!AI67</f>
        <v>4</v>
      </c>
      <c r="AM145" s="187">
        <f>'Interest Rates data'!AJ67</f>
        <v>4</v>
      </c>
      <c r="AN145" s="187">
        <f>'Interest Rates data'!AK67</f>
        <v>4</v>
      </c>
      <c r="AO145" s="187">
        <f>'Interest Rates data'!AL67</f>
        <v>3</v>
      </c>
      <c r="AP145" s="187">
        <f>'Interest Rates data'!AM67</f>
        <v>3</v>
      </c>
      <c r="AQ145" s="187">
        <f>'Interest Rates data'!AN67</f>
        <v>3</v>
      </c>
      <c r="AR145" s="187">
        <f>'Interest Rates data'!AO67</f>
        <v>3</v>
      </c>
      <c r="AS145" s="187">
        <f>'Interest Rates data'!AP67</f>
        <v>3</v>
      </c>
      <c r="AT145" s="187">
        <f>'Interest Rates data'!AQ67</f>
        <v>3</v>
      </c>
      <c r="AU145" s="187">
        <f>'Interest Rates data'!AR67</f>
        <v>3</v>
      </c>
      <c r="AV145" s="187">
        <f>'Interest Rates data'!AS67</f>
        <v>3</v>
      </c>
      <c r="AW145" s="187">
        <f>'Interest Rates data'!AT67</f>
        <v>3</v>
      </c>
      <c r="AX145" s="187">
        <f>'Interest Rates data'!AU67</f>
        <v>3</v>
      </c>
    </row>
    <row r="146" spans="5:50"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 spans="5:50"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 spans="5:50">
      <c r="E148" s="248" t="s">
        <v>24</v>
      </c>
      <c r="F148" s="249">
        <v>44927</v>
      </c>
      <c r="G148" s="208">
        <v>44958</v>
      </c>
      <c r="H148" s="208">
        <v>44986</v>
      </c>
      <c r="I148" s="249">
        <v>45017</v>
      </c>
      <c r="J148" s="208">
        <v>45047</v>
      </c>
      <c r="K148" s="208">
        <v>45078</v>
      </c>
      <c r="L148" s="249">
        <v>45108</v>
      </c>
      <c r="M148" s="208">
        <v>45139</v>
      </c>
      <c r="N148" s="208">
        <v>45170</v>
      </c>
      <c r="O148" s="249">
        <v>45200</v>
      </c>
      <c r="P148" s="208">
        <v>45231</v>
      </c>
      <c r="Q148" s="208">
        <v>45261</v>
      </c>
      <c r="R148" s="249">
        <v>45292</v>
      </c>
      <c r="S148" s="208">
        <v>45323</v>
      </c>
      <c r="T148" s="208">
        <v>45352</v>
      </c>
      <c r="U148" s="249">
        <v>45383</v>
      </c>
      <c r="V148" s="208">
        <v>45413</v>
      </c>
      <c r="W148" s="208">
        <v>45444</v>
      </c>
      <c r="X148" s="249">
        <v>45474</v>
      </c>
      <c r="Y148" s="208">
        <v>45505</v>
      </c>
      <c r="Z148" s="208">
        <v>45536</v>
      </c>
      <c r="AA148" s="249">
        <v>45566</v>
      </c>
      <c r="AB148" s="208">
        <v>45597</v>
      </c>
      <c r="AC148" s="208">
        <v>45627</v>
      </c>
      <c r="AD148" s="249">
        <v>45658</v>
      </c>
      <c r="AE148" s="208">
        <v>45689</v>
      </c>
      <c r="AF148" s="208">
        <v>45717</v>
      </c>
      <c r="AG148" s="208">
        <v>45748</v>
      </c>
      <c r="AH148" s="208">
        <v>45778</v>
      </c>
      <c r="AI148" s="208">
        <v>45809</v>
      </c>
      <c r="AJ148" s="208">
        <v>45839</v>
      </c>
      <c r="AK148" s="208">
        <v>45870</v>
      </c>
      <c r="AL148" s="208">
        <v>45901</v>
      </c>
      <c r="AM148" s="208">
        <v>45931</v>
      </c>
      <c r="AN148" s="208">
        <v>45962</v>
      </c>
      <c r="AO148" s="208">
        <v>45992</v>
      </c>
      <c r="AP148" s="208">
        <v>46023</v>
      </c>
      <c r="AQ148" s="208">
        <v>46054</v>
      </c>
      <c r="AR148" s="208">
        <v>46082</v>
      </c>
      <c r="AS148" s="208">
        <v>46113</v>
      </c>
      <c r="AT148" s="208">
        <v>46143</v>
      </c>
      <c r="AU148" s="208">
        <v>46174</v>
      </c>
      <c r="AV148" s="208">
        <v>46204</v>
      </c>
      <c r="AW148" s="208">
        <v>46235</v>
      </c>
      <c r="AX148" s="208">
        <v>46266</v>
      </c>
    </row>
    <row r="149" spans="5:50" ht="21">
      <c r="E149" s="236" t="s">
        <v>16</v>
      </c>
      <c r="F149" s="250">
        <f>EQUITY!C13</f>
        <v>3</v>
      </c>
      <c r="G149" s="250">
        <f>EQUITY!D13</f>
        <v>7</v>
      </c>
      <c r="H149" s="250">
        <f>EQUITY!E13</f>
        <v>5</v>
      </c>
      <c r="I149" s="250">
        <f>EQUITY!F13</f>
        <v>7</v>
      </c>
      <c r="J149" s="250">
        <f>EQUITY!G13</f>
        <v>9</v>
      </c>
      <c r="K149" s="250">
        <f>EQUITY!H13</f>
        <v>7</v>
      </c>
      <c r="L149" s="250">
        <f>EQUITY!I13</f>
        <v>3</v>
      </c>
      <c r="M149" s="250">
        <f>EQUITY!J13</f>
        <v>5</v>
      </c>
      <c r="N149" s="250">
        <f>EQUITY!K13</f>
        <v>5</v>
      </c>
      <c r="O149" s="250">
        <f>EQUITY!L13</f>
        <v>5</v>
      </c>
      <c r="P149" s="250">
        <f>EQUITY!M13</f>
        <v>5</v>
      </c>
      <c r="Q149" s="250">
        <f>EQUITY!N13</f>
        <v>-2</v>
      </c>
      <c r="R149" s="250">
        <f>EQUITY!O13</f>
        <v>0</v>
      </c>
      <c r="S149" s="250">
        <f>EQUITY!P13</f>
        <v>0</v>
      </c>
      <c r="T149" s="250">
        <f>EQUITY!Q13</f>
        <v>0</v>
      </c>
      <c r="U149" s="250">
        <f>EQUITY!R13</f>
        <v>2</v>
      </c>
      <c r="V149" s="250">
        <f>EQUITY!S13</f>
        <v>0</v>
      </c>
      <c r="W149" s="250">
        <f>EQUITY!T13</f>
        <v>0</v>
      </c>
      <c r="X149" s="250">
        <f>EQUITY!U13</f>
        <v>-5</v>
      </c>
      <c r="Y149" s="250">
        <f>EQUITY!V13</f>
        <v>-5</v>
      </c>
      <c r="Z149" s="250">
        <f>EQUITY!W13</f>
        <v>-7</v>
      </c>
      <c r="AA149" s="250">
        <f>EQUITY!X13</f>
        <v>2</v>
      </c>
      <c r="AB149" s="250">
        <f>EQUITY!Y13</f>
        <v>0</v>
      </c>
      <c r="AC149" s="250">
        <f>EQUITY!Z13</f>
        <v>2</v>
      </c>
      <c r="AD149" s="250">
        <f>EQUITY!AA13</f>
        <v>-3</v>
      </c>
      <c r="AE149" s="187">
        <f>EQUITY!AB13</f>
        <v>-3</v>
      </c>
      <c r="AF149" s="187">
        <f>EQUITY!AC13</f>
        <v>-3</v>
      </c>
      <c r="AG149" s="187">
        <f>EQUITY!AD13</f>
        <v>-7</v>
      </c>
      <c r="AH149" s="187">
        <f>EQUITY!AE13</f>
        <v>-7</v>
      </c>
      <c r="AI149" s="187">
        <f>EQUITY!AF13</f>
        <v>-7</v>
      </c>
      <c r="AJ149" s="187">
        <f>EQUITY!AG13</f>
        <v>0</v>
      </c>
      <c r="AK149" s="187">
        <f>EQUITY!AH13</f>
        <v>0</v>
      </c>
      <c r="AL149" s="187">
        <f>EQUITY!AI13</f>
        <v>0</v>
      </c>
      <c r="AM149" s="187">
        <f>EQUITY!AJ13</f>
        <v>0</v>
      </c>
      <c r="AN149" s="187">
        <f>EQUITY!AK13</f>
        <v>2</v>
      </c>
      <c r="AO149" s="187">
        <f>EQUITY!AL13</f>
        <v>0</v>
      </c>
      <c r="AP149" s="187">
        <f>EQUITY!AM13</f>
        <v>-2</v>
      </c>
      <c r="AQ149" s="187">
        <f>EQUITY!AN13</f>
        <v>2</v>
      </c>
      <c r="AR149" s="187">
        <f>EQUITY!AO13</f>
        <v>2</v>
      </c>
      <c r="AS149" s="187">
        <f>EQUITY!AP13</f>
        <v>-2</v>
      </c>
      <c r="AT149" s="187">
        <f>EQUITY!AQ13</f>
        <v>0</v>
      </c>
      <c r="AU149" s="187">
        <f>EQUITY!AR13</f>
        <v>2</v>
      </c>
      <c r="AV149" s="187">
        <v>0</v>
      </c>
      <c r="AW149" s="187">
        <v>0</v>
      </c>
      <c r="AX149" s="187">
        <v>0</v>
      </c>
    </row>
    <row r="150" spans="5:50" ht="21">
      <c r="E150" s="237" t="s">
        <v>46</v>
      </c>
      <c r="F150" s="250">
        <f>EQUITY!C21</f>
        <v>0</v>
      </c>
      <c r="G150" s="250">
        <f>EQUITY!D21</f>
        <v>0</v>
      </c>
      <c r="H150" s="250">
        <f>EQUITY!E21</f>
        <v>-2</v>
      </c>
      <c r="I150" s="250">
        <f>EQUITY!F21</f>
        <v>-3</v>
      </c>
      <c r="J150" s="250">
        <f>EQUITY!G21</f>
        <v>-2</v>
      </c>
      <c r="K150" s="250">
        <f>EQUITY!H21</f>
        <v>-2</v>
      </c>
      <c r="L150" s="250">
        <f>EQUITY!I21</f>
        <v>-5</v>
      </c>
      <c r="M150" s="250">
        <f>EQUITY!J21</f>
        <v>-3</v>
      </c>
      <c r="N150" s="250">
        <f>EQUITY!K21</f>
        <v>-2</v>
      </c>
      <c r="O150" s="250">
        <f>EQUITY!L21</f>
        <v>-2</v>
      </c>
      <c r="P150" s="250">
        <f>EQUITY!M21</f>
        <v>-5</v>
      </c>
      <c r="Q150" s="250">
        <f>EQUITY!N21</f>
        <v>-9</v>
      </c>
      <c r="R150" s="250">
        <f>EQUITY!O21</f>
        <v>-5</v>
      </c>
      <c r="S150" s="250">
        <f>EQUITY!P21</f>
        <v>0</v>
      </c>
      <c r="T150" s="250">
        <f>EQUITY!Q21</f>
        <v>0</v>
      </c>
      <c r="U150" s="250">
        <f>EQUITY!R21</f>
        <v>0</v>
      </c>
      <c r="V150" s="250">
        <f>EQUITY!S21</f>
        <v>0</v>
      </c>
      <c r="W150" s="250">
        <f>EQUITY!T21</f>
        <v>0</v>
      </c>
      <c r="X150" s="250">
        <f>EQUITY!U21</f>
        <v>-2</v>
      </c>
      <c r="Y150" s="250">
        <f>EQUITY!V21</f>
        <v>-3</v>
      </c>
      <c r="Z150" s="250">
        <f>EQUITY!W21</f>
        <v>-3</v>
      </c>
      <c r="AA150" s="250">
        <f>EQUITY!X21</f>
        <v>2</v>
      </c>
      <c r="AB150" s="250">
        <f>EQUITY!Y21</f>
        <v>0</v>
      </c>
      <c r="AC150" s="250">
        <f>EQUITY!Z21</f>
        <v>0</v>
      </c>
      <c r="AD150" s="250">
        <f>EQUITY!AA21</f>
        <v>0</v>
      </c>
      <c r="AE150" s="187">
        <f>EQUITY!AB21</f>
        <v>-2</v>
      </c>
      <c r="AF150" s="187">
        <f>EQUITY!AC21</f>
        <v>-3</v>
      </c>
      <c r="AG150" s="187">
        <f>EQUITY!AD21</f>
        <v>-9</v>
      </c>
      <c r="AH150" s="187">
        <f>EQUITY!AE21</f>
        <v>-9</v>
      </c>
      <c r="AI150" s="187">
        <f>EQUITY!AF21</f>
        <v>-10</v>
      </c>
      <c r="AJ150" s="187">
        <f>EQUITY!AG21</f>
        <v>-7</v>
      </c>
      <c r="AK150" s="187">
        <f>EQUITY!AH21</f>
        <v>-5</v>
      </c>
      <c r="AL150" s="187">
        <f>EQUITY!AI21</f>
        <v>-5</v>
      </c>
      <c r="AM150" s="187">
        <f>EQUITY!AJ21</f>
        <v>-2</v>
      </c>
      <c r="AN150" s="187">
        <f>EQUITY!AK21</f>
        <v>-2</v>
      </c>
      <c r="AO150" s="187">
        <f>EQUITY!AL21</f>
        <v>-3</v>
      </c>
      <c r="AP150" s="187">
        <f>EQUITY!AM21</f>
        <v>-3</v>
      </c>
      <c r="AQ150" s="187">
        <f>EQUITY!AN21</f>
        <v>-3</v>
      </c>
      <c r="AR150" s="187">
        <f>EQUITY!AO21</f>
        <v>0</v>
      </c>
      <c r="AS150" s="187">
        <f>EQUITY!AP21</f>
        <v>-3</v>
      </c>
      <c r="AT150" s="187">
        <f>EQUITY!AQ21</f>
        <v>0</v>
      </c>
      <c r="AU150" s="187">
        <f>EQUITY!AR21</f>
        <v>2</v>
      </c>
      <c r="AV150" s="187">
        <v>0</v>
      </c>
      <c r="AW150" s="187">
        <v>0</v>
      </c>
      <c r="AX150" s="187">
        <v>0</v>
      </c>
    </row>
    <row r="151" spans="5:50" ht="21">
      <c r="E151" s="237" t="s">
        <v>17</v>
      </c>
      <c r="F151" s="250">
        <f>EQUITY!C29</f>
        <v>2</v>
      </c>
      <c r="G151" s="250">
        <f>EQUITY!D29</f>
        <v>3</v>
      </c>
      <c r="H151" s="250">
        <f>EQUITY!E29</f>
        <v>3</v>
      </c>
      <c r="I151" s="250">
        <f>EQUITY!F29</f>
        <v>3</v>
      </c>
      <c r="J151" s="250">
        <f>EQUITY!G29</f>
        <v>3</v>
      </c>
      <c r="K151" s="250">
        <f>EQUITY!H29</f>
        <v>2</v>
      </c>
      <c r="L151" s="250">
        <f>EQUITY!I29</f>
        <v>2</v>
      </c>
      <c r="M151" s="250">
        <f>EQUITY!J29</f>
        <v>5</v>
      </c>
      <c r="N151" s="250">
        <f>EQUITY!K29</f>
        <v>3</v>
      </c>
      <c r="O151" s="250">
        <f>EQUITY!L29</f>
        <v>5</v>
      </c>
      <c r="P151" s="250">
        <f>EQUITY!M29</f>
        <v>5</v>
      </c>
      <c r="Q151" s="250">
        <f>EQUITY!N29</f>
        <v>0</v>
      </c>
      <c r="R151" s="250">
        <f>EQUITY!O29</f>
        <v>0</v>
      </c>
      <c r="S151" s="250">
        <f>EQUITY!P29</f>
        <v>0</v>
      </c>
      <c r="T151" s="250">
        <f>EQUITY!Q29</f>
        <v>0</v>
      </c>
      <c r="U151" s="250">
        <f>EQUITY!R29</f>
        <v>0</v>
      </c>
      <c r="V151" s="250">
        <f>EQUITY!S29</f>
        <v>0</v>
      </c>
      <c r="W151" s="250">
        <f>EQUITY!T29</f>
        <v>0</v>
      </c>
      <c r="X151" s="250">
        <f>EQUITY!U29</f>
        <v>0</v>
      </c>
      <c r="Y151" s="250">
        <f>EQUITY!V29</f>
        <v>-2</v>
      </c>
      <c r="Z151" s="250">
        <f>EQUITY!W29</f>
        <v>0</v>
      </c>
      <c r="AA151" s="250">
        <f>EQUITY!X29</f>
        <v>2</v>
      </c>
      <c r="AB151" s="250">
        <f>EQUITY!Y29</f>
        <v>0</v>
      </c>
      <c r="AC151" s="250">
        <f>EQUITY!Z29</f>
        <v>2</v>
      </c>
      <c r="AD151" s="250">
        <f>EQUITY!AA29</f>
        <v>0</v>
      </c>
      <c r="AE151" s="187">
        <f>EQUITY!AB29</f>
        <v>0</v>
      </c>
      <c r="AF151" s="187">
        <f>EQUITY!AC29</f>
        <v>-2</v>
      </c>
      <c r="AG151" s="187">
        <f>EQUITY!AD29</f>
        <v>-3</v>
      </c>
      <c r="AH151" s="187">
        <f>EQUITY!AE29</f>
        <v>-5</v>
      </c>
      <c r="AI151" s="187">
        <f>EQUITY!AF29</f>
        <v>-3</v>
      </c>
      <c r="AJ151" s="187">
        <f>EQUITY!AG29</f>
        <v>-2</v>
      </c>
      <c r="AK151" s="187">
        <f>EQUITY!AH29</f>
        <v>0</v>
      </c>
      <c r="AL151" s="187">
        <f>EQUITY!AI29</f>
        <v>0</v>
      </c>
      <c r="AM151" s="187">
        <f>EQUITY!AJ29</f>
        <v>0</v>
      </c>
      <c r="AN151" s="187">
        <f>EQUITY!AK29</f>
        <v>0</v>
      </c>
      <c r="AO151" s="187">
        <f>EQUITY!AL29</f>
        <v>-3</v>
      </c>
      <c r="AP151" s="187">
        <f>EQUITY!AM29</f>
        <v>0</v>
      </c>
      <c r="AQ151" s="187">
        <f>EQUITY!AN29</f>
        <v>-2</v>
      </c>
      <c r="AR151" s="187">
        <f>EQUITY!AO29</f>
        <v>0</v>
      </c>
      <c r="AS151" s="187">
        <f>EQUITY!AP29</f>
        <v>-3</v>
      </c>
      <c r="AT151" s="187">
        <f>EQUITY!AQ29</f>
        <v>0</v>
      </c>
      <c r="AU151" s="187">
        <f>EQUITY!AR29</f>
        <v>2</v>
      </c>
      <c r="AV151" s="187">
        <v>0</v>
      </c>
      <c r="AW151" s="187">
        <v>0</v>
      </c>
      <c r="AX151" s="187">
        <v>0</v>
      </c>
    </row>
    <row r="152" spans="5:50" ht="21">
      <c r="E152" s="238" t="s">
        <v>47</v>
      </c>
      <c r="F152" s="250">
        <f>EQUITY!C37</f>
        <v>-2</v>
      </c>
      <c r="G152" s="250">
        <f>EQUITY!D37</f>
        <v>-3</v>
      </c>
      <c r="H152" s="250">
        <f>EQUITY!E37</f>
        <v>-2</v>
      </c>
      <c r="I152" s="250">
        <f>EQUITY!F37</f>
        <v>0</v>
      </c>
      <c r="J152" s="250">
        <f>EQUITY!G37</f>
        <v>-3</v>
      </c>
      <c r="K152" s="250">
        <f>EQUITY!H37</f>
        <v>-2</v>
      </c>
      <c r="L152" s="250">
        <f>EQUITY!I37</f>
        <v>2</v>
      </c>
      <c r="M152" s="250">
        <f>EQUITY!J37</f>
        <v>-2</v>
      </c>
      <c r="N152" s="250">
        <f>EQUITY!K37</f>
        <v>-5</v>
      </c>
      <c r="O152" s="250">
        <f>EQUITY!L37</f>
        <v>-3</v>
      </c>
      <c r="P152" s="250">
        <f>EQUITY!M37</f>
        <v>-2</v>
      </c>
      <c r="Q152" s="250">
        <f>EQUITY!N37</f>
        <v>0</v>
      </c>
      <c r="R152" s="250">
        <f>EQUITY!O37</f>
        <v>0</v>
      </c>
      <c r="S152" s="250">
        <f>EQUITY!P37</f>
        <v>0</v>
      </c>
      <c r="T152" s="250">
        <f>EQUITY!Q37</f>
        <v>0</v>
      </c>
      <c r="U152" s="250">
        <f>EQUITY!R37</f>
        <v>-2</v>
      </c>
      <c r="V152" s="250">
        <f>EQUITY!S37</f>
        <v>-2</v>
      </c>
      <c r="W152" s="250">
        <f>EQUITY!T37</f>
        <v>-2</v>
      </c>
      <c r="X152" s="250">
        <f>EQUITY!U37</f>
        <v>-2</v>
      </c>
      <c r="Y152" s="250">
        <f>EQUITY!V37</f>
        <v>0</v>
      </c>
      <c r="Z152" s="250">
        <f>EQUITY!W37</f>
        <v>2</v>
      </c>
      <c r="AA152" s="250">
        <f>EQUITY!X37</f>
        <v>-2</v>
      </c>
      <c r="AB152" s="250">
        <f>EQUITY!Y37</f>
        <v>-3</v>
      </c>
      <c r="AC152" s="250">
        <f>EQUITY!Z37</f>
        <v>-5</v>
      </c>
      <c r="AD152" s="250">
        <f>EQUITY!AA37</f>
        <v>-3</v>
      </c>
      <c r="AE152" s="187">
        <f>EQUITY!AB37</f>
        <v>0</v>
      </c>
      <c r="AF152" s="187">
        <f>EQUITY!AC37</f>
        <v>5</v>
      </c>
      <c r="AG152" s="187">
        <f>EQUITY!AD37</f>
        <v>5</v>
      </c>
      <c r="AH152" s="187">
        <f>EQUITY!AE37</f>
        <v>3</v>
      </c>
      <c r="AI152" s="187">
        <f>EQUITY!AF37</f>
        <v>3</v>
      </c>
      <c r="AJ152" s="187">
        <f>EQUITY!AG37</f>
        <v>0</v>
      </c>
      <c r="AK152" s="187">
        <f>EQUITY!AH37</f>
        <v>3</v>
      </c>
      <c r="AL152" s="187">
        <f>EQUITY!AI37</f>
        <v>0</v>
      </c>
      <c r="AM152" s="187">
        <f>EQUITY!AJ37</f>
        <v>0</v>
      </c>
      <c r="AN152" s="187">
        <f>EQUITY!AK37</f>
        <v>0</v>
      </c>
      <c r="AO152" s="187">
        <f>EQUITY!AL37</f>
        <v>0</v>
      </c>
      <c r="AP152" s="187">
        <f>EQUITY!AM37</f>
        <v>0</v>
      </c>
      <c r="AQ152" s="187">
        <f>EQUITY!AN37</f>
        <v>0</v>
      </c>
      <c r="AR152" s="187">
        <f>EQUITY!AO37</f>
        <v>-3</v>
      </c>
      <c r="AS152" s="187">
        <f>EQUITY!AP37</f>
        <v>-2</v>
      </c>
      <c r="AT152" s="187">
        <f>EQUITY!AQ37</f>
        <v>-2</v>
      </c>
      <c r="AU152" s="187">
        <f>EQUITY!AR37</f>
        <v>-3</v>
      </c>
      <c r="AV152" s="187">
        <v>-3</v>
      </c>
      <c r="AW152" s="187">
        <v>-3</v>
      </c>
      <c r="AX152" s="187">
        <v>-3</v>
      </c>
    </row>
    <row r="153" spans="5:50" ht="21">
      <c r="E153" s="238" t="s">
        <v>14</v>
      </c>
      <c r="F153" s="250">
        <f>EQUITY!C45</f>
        <v>7</v>
      </c>
      <c r="G153" s="250">
        <f>EQUITY!D45</f>
        <v>5</v>
      </c>
      <c r="H153" s="250">
        <f>EQUITY!E45</f>
        <v>3</v>
      </c>
      <c r="I153" s="250">
        <f>EQUITY!F45</f>
        <v>3</v>
      </c>
      <c r="J153" s="250">
        <f>EQUITY!G45</f>
        <v>2</v>
      </c>
      <c r="K153" s="250">
        <f>EQUITY!H45</f>
        <v>2</v>
      </c>
      <c r="L153" s="250">
        <f>EQUITY!I45</f>
        <v>2</v>
      </c>
      <c r="M153" s="250">
        <f>EQUITY!J45</f>
        <v>2</v>
      </c>
      <c r="N153" s="250">
        <f>EQUITY!K45</f>
        <v>0</v>
      </c>
      <c r="O153" s="250">
        <f>EQUITY!L45</f>
        <v>0</v>
      </c>
      <c r="P153" s="250">
        <f>EQUITY!M45</f>
        <v>3</v>
      </c>
      <c r="Q153" s="250">
        <f>EQUITY!N45</f>
        <v>-2</v>
      </c>
      <c r="R153" s="250">
        <f>EQUITY!O45</f>
        <v>0</v>
      </c>
      <c r="S153" s="250">
        <f>EQUITY!P45</f>
        <v>0</v>
      </c>
      <c r="T153" s="250">
        <f>EQUITY!Q45</f>
        <v>0</v>
      </c>
      <c r="U153" s="250">
        <f>EQUITY!R45</f>
        <v>2</v>
      </c>
      <c r="V153" s="250">
        <f>EQUITY!S45</f>
        <v>2</v>
      </c>
      <c r="W153" s="250">
        <f>EQUITY!T45</f>
        <v>0</v>
      </c>
      <c r="X153" s="250">
        <f>EQUITY!U45</f>
        <v>-3</v>
      </c>
      <c r="Y153" s="250">
        <f>EQUITY!V45</f>
        <v>-5</v>
      </c>
      <c r="Z153" s="250">
        <f>EQUITY!W45</f>
        <v>-5</v>
      </c>
      <c r="AA153" s="250">
        <f>EQUITY!X45</f>
        <v>-2</v>
      </c>
      <c r="AB153" s="250">
        <f>EQUITY!Y45</f>
        <v>-5</v>
      </c>
      <c r="AC153" s="250">
        <f>EQUITY!Z45</f>
        <v>-3</v>
      </c>
      <c r="AD153" s="250">
        <f>EQUITY!AA45</f>
        <v>0</v>
      </c>
      <c r="AE153" s="187">
        <f>EQUITY!AB45</f>
        <v>0</v>
      </c>
      <c r="AF153" s="187">
        <f>EQUITY!AC45</f>
        <v>0</v>
      </c>
      <c r="AG153" s="187">
        <f>EQUITY!AD45</f>
        <v>0</v>
      </c>
      <c r="AH153" s="187">
        <f>EQUITY!AE45</f>
        <v>3</v>
      </c>
      <c r="AI153" s="187">
        <f>EQUITY!AF45</f>
        <v>3</v>
      </c>
      <c r="AJ153" s="187">
        <f>EQUITY!AG45</f>
        <v>3</v>
      </c>
      <c r="AK153" s="187">
        <f>EQUITY!AH45</f>
        <v>3</v>
      </c>
      <c r="AL153" s="187">
        <f>EQUITY!AI45</f>
        <v>0</v>
      </c>
      <c r="AM153" s="187">
        <f>EQUITY!AJ45</f>
        <v>0</v>
      </c>
      <c r="AN153" s="187">
        <f>EQUITY!AK45</f>
        <v>0</v>
      </c>
      <c r="AO153" s="187">
        <f>EQUITY!AL45</f>
        <v>0</v>
      </c>
      <c r="AP153" s="187">
        <f>EQUITY!AM45</f>
        <v>0</v>
      </c>
      <c r="AQ153" s="187">
        <f>EQUITY!AN45</f>
        <v>0</v>
      </c>
      <c r="AR153" s="187">
        <f>EQUITY!AO45</f>
        <v>-2</v>
      </c>
      <c r="AS153" s="187">
        <f>EQUITY!AP45</f>
        <v>0</v>
      </c>
      <c r="AT153" s="187">
        <f>EQUITY!AQ45</f>
        <v>0</v>
      </c>
      <c r="AU153" s="187">
        <f>EQUITY!AR45</f>
        <v>-2</v>
      </c>
      <c r="AV153" s="187">
        <v>0</v>
      </c>
      <c r="AW153" s="187">
        <v>0</v>
      </c>
      <c r="AX153" s="187">
        <v>0</v>
      </c>
    </row>
    <row r="154" spans="5:50" ht="21">
      <c r="E154" s="238" t="s">
        <v>48</v>
      </c>
      <c r="F154" s="250">
        <f>EQUITY!C53</f>
        <v>-2</v>
      </c>
      <c r="G154" s="250">
        <f>EQUITY!D53</f>
        <v>-2</v>
      </c>
      <c r="H154" s="250">
        <f>EQUITY!E53</f>
        <v>-2</v>
      </c>
      <c r="I154" s="250">
        <f>EQUITY!F53</f>
        <v>-2</v>
      </c>
      <c r="J154" s="250">
        <f>EQUITY!G53</f>
        <v>-2</v>
      </c>
      <c r="K154" s="250">
        <f>EQUITY!H53</f>
        <v>-2</v>
      </c>
      <c r="L154" s="250">
        <f>EQUITY!I53</f>
        <v>-2</v>
      </c>
      <c r="M154" s="250">
        <f>EQUITY!J53</f>
        <v>-2</v>
      </c>
      <c r="N154" s="250">
        <f>EQUITY!K53</f>
        <v>-2</v>
      </c>
      <c r="O154" s="250">
        <f>EQUITY!L53</f>
        <v>-2</v>
      </c>
      <c r="P154" s="250">
        <f>EQUITY!M53</f>
        <v>-2</v>
      </c>
      <c r="Q154" s="250">
        <f>EQUITY!N53</f>
        <v>-2</v>
      </c>
      <c r="R154" s="250">
        <f>EQUITY!O53</f>
        <v>-2</v>
      </c>
      <c r="S154" s="250">
        <f>EQUITY!P53</f>
        <v>-2</v>
      </c>
      <c r="T154" s="250">
        <f>EQUITY!Q53</f>
        <v>-2</v>
      </c>
      <c r="U154" s="250">
        <f>EQUITY!R53</f>
        <v>-2</v>
      </c>
      <c r="V154" s="250">
        <f>EQUITY!S53</f>
        <v>-2</v>
      </c>
      <c r="W154" s="250">
        <f>EQUITY!T53</f>
        <v>-2</v>
      </c>
      <c r="X154" s="250">
        <f>EQUITY!U53</f>
        <v>-2</v>
      </c>
      <c r="Y154" s="250">
        <f>EQUITY!V53</f>
        <v>-2</v>
      </c>
      <c r="Z154" s="250">
        <f>EQUITY!W53</f>
        <v>-2</v>
      </c>
      <c r="AA154" s="250">
        <f>EQUITY!X53</f>
        <v>-2</v>
      </c>
      <c r="AB154" s="250">
        <f>EQUITY!Y53</f>
        <v>-2</v>
      </c>
      <c r="AC154" s="250">
        <f>EQUITY!Z53</f>
        <v>-2</v>
      </c>
      <c r="AD154" s="250">
        <f>EQUITY!AA53</f>
        <v>-2</v>
      </c>
      <c r="AE154" s="187">
        <f>EQUITY!AB53</f>
        <v>-2</v>
      </c>
      <c r="AF154" s="187">
        <f>EQUITY!AC53</f>
        <v>-2</v>
      </c>
      <c r="AG154" s="187">
        <f>EQUITY!AD53</f>
        <v>-2</v>
      </c>
      <c r="AH154" s="187">
        <f>EQUITY!AE53</f>
        <v>-2</v>
      </c>
      <c r="AI154" s="187">
        <f>EQUITY!AF53</f>
        <v>-2</v>
      </c>
      <c r="AJ154" s="187">
        <f>EQUITY!AG53</f>
        <v>-2</v>
      </c>
      <c r="AK154" s="187">
        <f>EQUITY!AH53</f>
        <v>-2</v>
      </c>
      <c r="AL154" s="187">
        <f>EQUITY!AI53</f>
        <v>-2</v>
      </c>
      <c r="AM154" s="187">
        <f>EQUITY!AJ53</f>
        <v>-2</v>
      </c>
      <c r="AN154" s="187">
        <f>EQUITY!AK53</f>
        <v>-2</v>
      </c>
      <c r="AO154" s="187">
        <f>EQUITY!AL53</f>
        <v>-2</v>
      </c>
      <c r="AP154" s="187">
        <f>EQUITY!AM53</f>
        <v>-2</v>
      </c>
      <c r="AQ154" s="187">
        <f>EQUITY!AN53</f>
        <v>-2</v>
      </c>
      <c r="AR154" s="187">
        <f>EQUITY!AO53</f>
        <v>-2</v>
      </c>
      <c r="AS154" s="187">
        <f>EQUITY!AP53</f>
        <v>-2</v>
      </c>
      <c r="AT154" s="187">
        <f>EQUITY!AQ53</f>
        <v>-2</v>
      </c>
      <c r="AU154" s="187">
        <f>EQUITY!AR53</f>
        <v>-2</v>
      </c>
      <c r="AV154" s="187">
        <v>-2</v>
      </c>
      <c r="AW154" s="187">
        <v>-2</v>
      </c>
      <c r="AX154" s="187">
        <v>-2</v>
      </c>
    </row>
    <row r="155" spans="5:50" ht="21">
      <c r="E155" s="238" t="s">
        <v>49</v>
      </c>
      <c r="F155" s="250">
        <f>EQUITY!C61</f>
        <v>7</v>
      </c>
      <c r="G155" s="250">
        <f>EQUITY!D61</f>
        <v>5</v>
      </c>
      <c r="H155" s="250">
        <f>EQUITY!E61</f>
        <v>2</v>
      </c>
      <c r="I155" s="250">
        <f>EQUITY!F61</f>
        <v>3</v>
      </c>
      <c r="J155" s="250">
        <f>EQUITY!G61</f>
        <v>0</v>
      </c>
      <c r="K155" s="250">
        <f>EQUITY!H61</f>
        <v>-2</v>
      </c>
      <c r="L155" s="250">
        <f>EQUITY!I61</f>
        <v>-2</v>
      </c>
      <c r="M155" s="250">
        <f>EQUITY!J61</f>
        <v>-2</v>
      </c>
      <c r="N155" s="250">
        <f>EQUITY!K61</f>
        <v>0</v>
      </c>
      <c r="O155" s="250">
        <f>EQUITY!L61</f>
        <v>0</v>
      </c>
      <c r="P155" s="250">
        <f>EQUITY!M61</f>
        <v>0</v>
      </c>
      <c r="Q155" s="250">
        <f>EQUITY!N61</f>
        <v>0</v>
      </c>
      <c r="R155" s="250">
        <f>EQUITY!O61</f>
        <v>0</v>
      </c>
      <c r="S155" s="250">
        <f>EQUITY!P61</f>
        <v>0</v>
      </c>
      <c r="T155" s="250">
        <f>EQUITY!Q61</f>
        <v>0</v>
      </c>
      <c r="U155" s="250">
        <f>EQUITY!R61</f>
        <v>-2</v>
      </c>
      <c r="V155" s="250">
        <f>EQUITY!S61</f>
        <v>-2</v>
      </c>
      <c r="W155" s="250">
        <f>EQUITY!T61</f>
        <v>-2</v>
      </c>
      <c r="X155" s="250">
        <f>EQUITY!U61</f>
        <v>-2</v>
      </c>
      <c r="Y155" s="250">
        <f>EQUITY!V61</f>
        <v>-2</v>
      </c>
      <c r="Z155" s="250">
        <f>EQUITY!W61</f>
        <v>-3</v>
      </c>
      <c r="AA155" s="250">
        <f>EQUITY!X61</f>
        <v>-2</v>
      </c>
      <c r="AB155" s="250">
        <f>EQUITY!Y61</f>
        <v>-3</v>
      </c>
      <c r="AC155" s="250">
        <f>EQUITY!Z61</f>
        <v>-3</v>
      </c>
      <c r="AD155" s="250">
        <f>EQUITY!AA61</f>
        <v>0</v>
      </c>
      <c r="AE155" s="187">
        <f>EQUITY!AB61</f>
        <v>0</v>
      </c>
      <c r="AF155" s="187">
        <f>EQUITY!AC61</f>
        <v>0</v>
      </c>
      <c r="AG155" s="187">
        <f>EQUITY!AD61</f>
        <v>2</v>
      </c>
      <c r="AH155" s="187">
        <f>EQUITY!AE61</f>
        <v>3</v>
      </c>
      <c r="AI155" s="187">
        <f>EQUITY!AF61</f>
        <v>2</v>
      </c>
      <c r="AJ155" s="187">
        <f>EQUITY!AG61</f>
        <v>3</v>
      </c>
      <c r="AK155" s="187">
        <f>EQUITY!AH61</f>
        <v>3</v>
      </c>
      <c r="AL155" s="187">
        <f>EQUITY!AI61</f>
        <v>0</v>
      </c>
      <c r="AM155" s="187">
        <f>EQUITY!AJ61</f>
        <v>0</v>
      </c>
      <c r="AN155" s="187">
        <f>EQUITY!AK61</f>
        <v>-2</v>
      </c>
      <c r="AO155" s="187">
        <f>EQUITY!AL61</f>
        <v>0</v>
      </c>
      <c r="AP155" s="187">
        <f>EQUITY!AM61</f>
        <v>0</v>
      </c>
      <c r="AQ155" s="187">
        <f>EQUITY!AN61</f>
        <v>0</v>
      </c>
      <c r="AR155" s="187">
        <f>EQUITY!AO61</f>
        <v>0</v>
      </c>
      <c r="AS155" s="187">
        <f>EQUITY!AP61</f>
        <v>0</v>
      </c>
      <c r="AT155" s="187">
        <f>EQUITY!AQ61</f>
        <v>-2</v>
      </c>
      <c r="AU155" s="187">
        <f>EQUITY!AR61</f>
        <v>-2</v>
      </c>
      <c r="AV155" s="187">
        <v>-2</v>
      </c>
      <c r="AW155" s="187">
        <v>-2</v>
      </c>
      <c r="AX155" s="187">
        <v>-2</v>
      </c>
    </row>
    <row r="156" spans="5:50" ht="21">
      <c r="E156" s="239" t="s">
        <v>15</v>
      </c>
      <c r="F156" s="250">
        <f>EQUITY!C69</f>
        <v>-3</v>
      </c>
      <c r="G156" s="250">
        <f>EQUITY!D69</f>
        <v>-3</v>
      </c>
      <c r="H156" s="250">
        <f>EQUITY!E69</f>
        <v>-2</v>
      </c>
      <c r="I156" s="250">
        <f>EQUITY!F69</f>
        <v>-2</v>
      </c>
      <c r="J156" s="250">
        <f>EQUITY!G69</f>
        <v>-3</v>
      </c>
      <c r="K156" s="250">
        <f>EQUITY!H69</f>
        <v>-5</v>
      </c>
      <c r="L156" s="250">
        <f>EQUITY!I69</f>
        <v>-3</v>
      </c>
      <c r="M156" s="250">
        <f>EQUITY!J69</f>
        <v>-2</v>
      </c>
      <c r="N156" s="250">
        <f>EQUITY!K69</f>
        <v>-5</v>
      </c>
      <c r="O156" s="250">
        <f>EQUITY!L69</f>
        <v>-3</v>
      </c>
      <c r="P156" s="250">
        <f>EQUITY!M69</f>
        <v>-2</v>
      </c>
      <c r="Q156" s="250">
        <f>EQUITY!N69</f>
        <v>-3</v>
      </c>
      <c r="R156" s="250">
        <f>EQUITY!O69</f>
        <v>0</v>
      </c>
      <c r="S156" s="250">
        <f>EQUITY!P69</f>
        <v>0</v>
      </c>
      <c r="T156" s="250">
        <f>EQUITY!Q69</f>
        <v>0</v>
      </c>
      <c r="U156" s="250">
        <f>EQUITY!R69</f>
        <v>0</v>
      </c>
      <c r="V156" s="250">
        <f>EQUITY!S69</f>
        <v>2</v>
      </c>
      <c r="W156" s="250">
        <f>EQUITY!T69</f>
        <v>-2</v>
      </c>
      <c r="X156" s="250">
        <f>EQUITY!U69</f>
        <v>3</v>
      </c>
      <c r="Y156" s="250">
        <f>EQUITY!V69</f>
        <v>0</v>
      </c>
      <c r="Z156" s="250">
        <f>EQUITY!W69</f>
        <v>2</v>
      </c>
      <c r="AA156" s="250">
        <f>EQUITY!X69</f>
        <v>0</v>
      </c>
      <c r="AB156" s="250">
        <f>EQUITY!Y69</f>
        <v>-2</v>
      </c>
      <c r="AC156" s="250">
        <f>EQUITY!Z69</f>
        <v>0</v>
      </c>
      <c r="AD156" s="250">
        <f>EQUITY!AA69</f>
        <v>0</v>
      </c>
      <c r="AE156" s="187">
        <f>EQUITY!AB69</f>
        <v>0</v>
      </c>
      <c r="AF156" s="187">
        <f>EQUITY!AC69</f>
        <v>2</v>
      </c>
      <c r="AG156" s="187">
        <f>EQUITY!AD69</f>
        <v>3</v>
      </c>
      <c r="AH156" s="187">
        <f>EQUITY!AE69</f>
        <v>3</v>
      </c>
      <c r="AI156" s="187">
        <f>EQUITY!AF69</f>
        <v>3</v>
      </c>
      <c r="AJ156" s="187">
        <f>EQUITY!AG69</f>
        <v>0</v>
      </c>
      <c r="AK156" s="187">
        <f>EQUITY!AH69</f>
        <v>3</v>
      </c>
      <c r="AL156" s="187">
        <f>EQUITY!AI69</f>
        <v>0</v>
      </c>
      <c r="AM156" s="187">
        <f>EQUITY!AJ69</f>
        <v>0</v>
      </c>
      <c r="AN156" s="187">
        <f>EQUITY!AK69</f>
        <v>0</v>
      </c>
      <c r="AO156" s="187">
        <f>EQUITY!AL69</f>
        <v>-2</v>
      </c>
      <c r="AP156" s="187">
        <f>EQUITY!AM69</f>
        <v>0</v>
      </c>
      <c r="AQ156" s="187">
        <f>EQUITY!AN69</f>
        <v>0</v>
      </c>
      <c r="AR156" s="187">
        <f>EQUITY!AO69</f>
        <v>-2</v>
      </c>
      <c r="AS156" s="187">
        <f>EQUITY!AP69</f>
        <v>0</v>
      </c>
      <c r="AT156" s="187">
        <f>EQUITY!AQ69</f>
        <v>0</v>
      </c>
      <c r="AU156" s="187">
        <f>EQUITY!AR69</f>
        <v>-2</v>
      </c>
      <c r="AV156" s="187">
        <v>0</v>
      </c>
      <c r="AW156" s="187">
        <v>0</v>
      </c>
      <c r="AX156" s="187">
        <v>0</v>
      </c>
    </row>
    <row r="157" spans="5:50" ht="21">
      <c r="E157" s="238" t="s">
        <v>12</v>
      </c>
      <c r="F157" s="250">
        <f>EQUITY!C77</f>
        <v>-9</v>
      </c>
      <c r="G157" s="250">
        <f>EQUITY!D77</f>
        <v>-7</v>
      </c>
      <c r="H157" s="250">
        <f>EQUITY!E77</f>
        <v>-3</v>
      </c>
      <c r="I157" s="250">
        <f>EQUITY!F77</f>
        <v>-2</v>
      </c>
      <c r="J157" s="250">
        <f>EQUITY!G77</f>
        <v>-3</v>
      </c>
      <c r="K157" s="250">
        <f>EQUITY!H77</f>
        <v>-3</v>
      </c>
      <c r="L157" s="250">
        <f>EQUITY!I77</f>
        <v>-2</v>
      </c>
      <c r="M157" s="250">
        <f>EQUITY!J77</f>
        <v>-2</v>
      </c>
      <c r="N157" s="250">
        <f>EQUITY!K77</f>
        <v>-3</v>
      </c>
      <c r="O157" s="250">
        <f>EQUITY!L77</f>
        <v>-2</v>
      </c>
      <c r="P157" s="250">
        <f>EQUITY!M77</f>
        <v>-2</v>
      </c>
      <c r="Q157" s="250">
        <f>EQUITY!N77</f>
        <v>-3</v>
      </c>
      <c r="R157" s="250">
        <f>EQUITY!O77</f>
        <v>0</v>
      </c>
      <c r="S157" s="250">
        <f>EQUITY!P77</f>
        <v>0</v>
      </c>
      <c r="T157" s="250">
        <f>EQUITY!Q77</f>
        <v>0</v>
      </c>
      <c r="U157" s="250">
        <f>EQUITY!R77</f>
        <v>-2</v>
      </c>
      <c r="V157" s="250">
        <f>EQUITY!S77</f>
        <v>-2</v>
      </c>
      <c r="W157" s="250">
        <f>EQUITY!T77</f>
        <v>-3</v>
      </c>
      <c r="X157" s="250">
        <f>EQUITY!U77</f>
        <v>-2</v>
      </c>
      <c r="Y157" s="250">
        <f>EQUITY!V77</f>
        <v>-2</v>
      </c>
      <c r="Z157" s="250">
        <f>EQUITY!W77</f>
        <v>-3</v>
      </c>
      <c r="AA157" s="250">
        <f>EQUITY!X77</f>
        <v>-2</v>
      </c>
      <c r="AB157" s="250">
        <f>EQUITY!Y77</f>
        <v>-2</v>
      </c>
      <c r="AC157" s="250">
        <f>EQUITY!Z77</f>
        <v>0</v>
      </c>
      <c r="AD157" s="250">
        <f>EQUITY!AA77</f>
        <v>0</v>
      </c>
      <c r="AE157" s="187">
        <f>EQUITY!AB77</f>
        <v>0</v>
      </c>
      <c r="AF157" s="187">
        <f>EQUITY!AC77</f>
        <v>2</v>
      </c>
      <c r="AG157" s="187">
        <f>EQUITY!AD77</f>
        <v>5</v>
      </c>
      <c r="AH157" s="187">
        <f>EQUITY!AE77</f>
        <v>-2</v>
      </c>
      <c r="AI157" s="187">
        <f>EQUITY!AF77</f>
        <v>0</v>
      </c>
      <c r="AJ157" s="187">
        <f>EQUITY!AG77</f>
        <v>0</v>
      </c>
      <c r="AK157" s="187">
        <f>EQUITY!AH77</f>
        <v>3</v>
      </c>
      <c r="AL157" s="187">
        <f>EQUITY!AI77</f>
        <v>-2</v>
      </c>
      <c r="AM157" s="187">
        <f>EQUITY!AJ77</f>
        <v>0</v>
      </c>
      <c r="AN157" s="187">
        <f>EQUITY!AK77</f>
        <v>0</v>
      </c>
      <c r="AO157" s="187">
        <f>EQUITY!AL77</f>
        <v>-2</v>
      </c>
      <c r="AP157" s="187">
        <f>EQUITY!AM77</f>
        <v>-3</v>
      </c>
      <c r="AQ157" s="187">
        <f>EQUITY!AN77</f>
        <v>0</v>
      </c>
      <c r="AR157" s="187">
        <f>EQUITY!AO77</f>
        <v>-2</v>
      </c>
      <c r="AS157" s="187">
        <f>EQUITY!AP77</f>
        <v>-2</v>
      </c>
      <c r="AT157" s="187">
        <f>EQUITY!AQ77</f>
        <v>-5</v>
      </c>
      <c r="AU157" s="187">
        <f>EQUITY!AR77</f>
        <v>-2</v>
      </c>
      <c r="AV157" s="187">
        <v>-3</v>
      </c>
      <c r="AW157" s="187">
        <v>-3</v>
      </c>
      <c r="AX157" s="187">
        <v>-3</v>
      </c>
    </row>
    <row r="158" spans="5:50" ht="21">
      <c r="E158" s="239" t="s">
        <v>50</v>
      </c>
      <c r="F158" s="250">
        <f>EQUITY!C85</f>
        <v>-9</v>
      </c>
      <c r="G158" s="250">
        <f>EQUITY!D85</f>
        <v>-10</v>
      </c>
      <c r="H158" s="250">
        <f>EQUITY!E85</f>
        <v>-10</v>
      </c>
      <c r="I158" s="250">
        <f>EQUITY!F85</f>
        <v>-7</v>
      </c>
      <c r="J158" s="250">
        <f>EQUITY!G85</f>
        <v>-9</v>
      </c>
      <c r="K158" s="250">
        <f>EQUITY!H85</f>
        <v>-9</v>
      </c>
      <c r="L158" s="250">
        <f>EQUITY!I85</f>
        <v>-9</v>
      </c>
      <c r="M158" s="250">
        <f>EQUITY!J85</f>
        <v>-5</v>
      </c>
      <c r="N158" s="250">
        <f>EQUITY!K85</f>
        <v>-9</v>
      </c>
      <c r="O158" s="250">
        <f>EQUITY!L85</f>
        <v>-7</v>
      </c>
      <c r="P158" s="250">
        <f>EQUITY!M85</f>
        <v>-9</v>
      </c>
      <c r="Q158" s="250">
        <f>EQUITY!N85</f>
        <v>-10</v>
      </c>
      <c r="R158" s="250">
        <f>EQUITY!O85</f>
        <v>-7</v>
      </c>
      <c r="S158" s="250">
        <f>EQUITY!P85</f>
        <v>-2</v>
      </c>
      <c r="T158" s="250">
        <f>EQUITY!Q85</f>
        <v>0</v>
      </c>
      <c r="U158" s="250">
        <f>EQUITY!R85</f>
        <v>0</v>
      </c>
      <c r="V158" s="250">
        <f>EQUITY!S85</f>
        <v>-2</v>
      </c>
      <c r="W158" s="250">
        <f>EQUITY!T85</f>
        <v>-2</v>
      </c>
      <c r="X158" s="250">
        <f>EQUITY!U85</f>
        <v>3</v>
      </c>
      <c r="Y158" s="250">
        <f>EQUITY!V85</f>
        <v>-3</v>
      </c>
      <c r="Z158" s="250">
        <f>EQUITY!W85</f>
        <v>-3</v>
      </c>
      <c r="AA158" s="250">
        <f>EQUITY!X85</f>
        <v>0</v>
      </c>
      <c r="AB158" s="250">
        <f>EQUITY!Y85</f>
        <v>-2</v>
      </c>
      <c r="AC158" s="250">
        <f>EQUITY!Z85</f>
        <v>3</v>
      </c>
      <c r="AD158" s="250">
        <f>EQUITY!AA85</f>
        <v>0</v>
      </c>
      <c r="AE158" s="187">
        <f>EQUITY!AB85</f>
        <v>0</v>
      </c>
      <c r="AF158" s="187">
        <f>EQUITY!AC85</f>
        <v>2</v>
      </c>
      <c r="AG158" s="187">
        <f>EQUITY!AD85</f>
        <v>2</v>
      </c>
      <c r="AH158" s="187">
        <f>EQUITY!AE85</f>
        <v>3</v>
      </c>
      <c r="AI158" s="187">
        <f>EQUITY!AF85</f>
        <v>3</v>
      </c>
      <c r="AJ158" s="187">
        <f>EQUITY!AG85</f>
        <v>3</v>
      </c>
      <c r="AK158" s="187">
        <f>EQUITY!AH85</f>
        <v>3</v>
      </c>
      <c r="AL158" s="187">
        <f>EQUITY!AI85</f>
        <v>0</v>
      </c>
      <c r="AM158" s="187">
        <f>EQUITY!AJ85</f>
        <v>0</v>
      </c>
      <c r="AN158" s="187">
        <f>EQUITY!AK85</f>
        <v>-2</v>
      </c>
      <c r="AO158" s="187">
        <f>EQUITY!AL85</f>
        <v>0</v>
      </c>
      <c r="AP158" s="187">
        <f>EQUITY!AM85</f>
        <v>-2</v>
      </c>
      <c r="AQ158" s="187">
        <f>EQUITY!AN85</f>
        <v>0</v>
      </c>
      <c r="AR158" s="187">
        <f>EQUITY!AO85</f>
        <v>0</v>
      </c>
      <c r="AS158" s="187">
        <f>EQUITY!AP85</f>
        <v>5</v>
      </c>
      <c r="AT158" s="187">
        <f>EQUITY!AQ85</f>
        <v>-2</v>
      </c>
      <c r="AU158" s="187">
        <f>EQUITY!AR85</f>
        <v>-2</v>
      </c>
      <c r="AV158" s="187">
        <v>0</v>
      </c>
      <c r="AW158" s="187">
        <v>0</v>
      </c>
      <c r="AX158" s="187">
        <v>0</v>
      </c>
    </row>
    <row r="159" spans="5:50" ht="21">
      <c r="E159" s="240" t="s">
        <v>51</v>
      </c>
      <c r="F159" s="250">
        <f>EQUITY!C93</f>
        <v>-7</v>
      </c>
      <c r="G159" s="250">
        <f>EQUITY!D93</f>
        <v>-3</v>
      </c>
      <c r="H159" s="250">
        <f>EQUITY!E93</f>
        <v>-9</v>
      </c>
      <c r="I159" s="250">
        <f>EQUITY!F93</f>
        <v>-9</v>
      </c>
      <c r="J159" s="250">
        <f>EQUITY!G93</f>
        <v>-9</v>
      </c>
      <c r="K159" s="250">
        <f>EQUITY!H93</f>
        <v>-10</v>
      </c>
      <c r="L159" s="250">
        <f>EQUITY!I93</f>
        <v>-10</v>
      </c>
      <c r="M159" s="250">
        <f>EQUITY!J93</f>
        <v>-10</v>
      </c>
      <c r="N159" s="250">
        <f>EQUITY!K93</f>
        <v>-7</v>
      </c>
      <c r="O159" s="250">
        <f>EQUITY!L93</f>
        <v>-7</v>
      </c>
      <c r="P159" s="250">
        <f>EQUITY!M93</f>
        <v>-10</v>
      </c>
      <c r="Q159" s="250">
        <f>EQUITY!N93</f>
        <v>-10</v>
      </c>
      <c r="R159" s="250">
        <f>EQUITY!O93</f>
        <v>-10</v>
      </c>
      <c r="S159" s="250">
        <f>EQUITY!P93</f>
        <v>-10</v>
      </c>
      <c r="T159" s="250">
        <f>EQUITY!Q93</f>
        <v>-9</v>
      </c>
      <c r="U159" s="250">
        <f>EQUITY!R93</f>
        <v>-9</v>
      </c>
      <c r="V159" s="250">
        <f>EQUITY!S93</f>
        <v>-9</v>
      </c>
      <c r="W159" s="250">
        <f>EQUITY!T93</f>
        <v>-7</v>
      </c>
      <c r="X159" s="250">
        <f>EQUITY!U93</f>
        <v>-7</v>
      </c>
      <c r="Y159" s="250">
        <f>EQUITY!V93</f>
        <v>-5</v>
      </c>
      <c r="Z159" s="250">
        <f>EQUITY!W93</f>
        <v>-3</v>
      </c>
      <c r="AA159" s="250">
        <f>EQUITY!X93</f>
        <v>-5</v>
      </c>
      <c r="AB159" s="250">
        <f>EQUITY!Y93</f>
        <v>-7</v>
      </c>
      <c r="AC159" s="250">
        <f>EQUITY!Z93</f>
        <v>-9</v>
      </c>
      <c r="AD159" s="250">
        <f>EQUITY!AA93</f>
        <v>-7</v>
      </c>
      <c r="AE159" s="187">
        <f>EQUITY!AB93</f>
        <v>-5</v>
      </c>
      <c r="AF159" s="187">
        <f>EQUITY!AC93</f>
        <v>-2</v>
      </c>
      <c r="AG159" s="187">
        <f>EQUITY!AD93</f>
        <v>0</v>
      </c>
      <c r="AH159" s="187">
        <f>EQUITY!AE93</f>
        <v>0</v>
      </c>
      <c r="AI159" s="187">
        <f>EQUITY!AF93</f>
        <v>0</v>
      </c>
      <c r="AJ159" s="187">
        <f>EQUITY!AG93</f>
        <v>0</v>
      </c>
      <c r="AK159" s="187">
        <f>EQUITY!AH93</f>
        <v>0</v>
      </c>
      <c r="AL159" s="187">
        <f>EQUITY!AI93</f>
        <v>0</v>
      </c>
      <c r="AM159" s="187">
        <f>EQUITY!AJ93</f>
        <v>0</v>
      </c>
      <c r="AN159" s="187">
        <f>EQUITY!AK93</f>
        <v>-3</v>
      </c>
      <c r="AO159" s="187">
        <f>EQUITY!AL93</f>
        <v>0</v>
      </c>
      <c r="AP159" s="187">
        <f>EQUITY!AM93</f>
        <v>0</v>
      </c>
      <c r="AQ159" s="187">
        <f>EQUITY!AN93</f>
        <v>0</v>
      </c>
      <c r="AR159" s="187">
        <f>EQUITY!AO93</f>
        <v>-3</v>
      </c>
      <c r="AS159" s="187">
        <f>EQUITY!AP93</f>
        <v>-2</v>
      </c>
      <c r="AT159" s="187">
        <f>EQUITY!AQ93</f>
        <v>-2</v>
      </c>
      <c r="AU159" s="187">
        <f>EQUITY!AR93</f>
        <v>-3</v>
      </c>
      <c r="AV159" s="187">
        <v>-2</v>
      </c>
      <c r="AW159" s="187">
        <v>-2</v>
      </c>
      <c r="AX159" s="187">
        <v>-2</v>
      </c>
    </row>
    <row r="160" spans="5:50" ht="21">
      <c r="E160" s="240" t="s">
        <v>52</v>
      </c>
      <c r="F160" s="250">
        <f>EQUITY!C101</f>
        <v>-5</v>
      </c>
      <c r="G160" s="250">
        <f>EQUITY!D101</f>
        <v>-3</v>
      </c>
      <c r="H160" s="250">
        <f>EQUITY!E101</f>
        <v>-2</v>
      </c>
      <c r="I160" s="250">
        <f>EQUITY!F101</f>
        <v>2</v>
      </c>
      <c r="J160" s="250">
        <f>EQUITY!G101</f>
        <v>2</v>
      </c>
      <c r="K160" s="250">
        <f>EQUITY!H101</f>
        <v>5</v>
      </c>
      <c r="L160" s="250">
        <f>EQUITY!I101</f>
        <v>3</v>
      </c>
      <c r="M160" s="250">
        <f>EQUITY!J101</f>
        <v>3</v>
      </c>
      <c r="N160" s="250">
        <f>EQUITY!K101</f>
        <v>5</v>
      </c>
      <c r="O160" s="250">
        <f>EQUITY!L101</f>
        <v>2</v>
      </c>
      <c r="P160" s="250">
        <f>EQUITY!M101</f>
        <v>3</v>
      </c>
      <c r="Q160" s="250">
        <f>EQUITY!N101</f>
        <v>0</v>
      </c>
      <c r="R160" s="250">
        <f>EQUITY!O101</f>
        <v>5</v>
      </c>
      <c r="S160" s="250">
        <f>EQUITY!P101</f>
        <v>5</v>
      </c>
      <c r="T160" s="250">
        <f>EQUITY!Q101</f>
        <v>2</v>
      </c>
      <c r="U160" s="250">
        <f>EQUITY!R101</f>
        <v>0</v>
      </c>
      <c r="V160" s="250">
        <f>EQUITY!S101</f>
        <v>0</v>
      </c>
      <c r="W160" s="250">
        <f>EQUITY!T101</f>
        <v>3</v>
      </c>
      <c r="X160" s="250">
        <f>EQUITY!U101</f>
        <v>-2</v>
      </c>
      <c r="Y160" s="250">
        <f>EQUITY!V101</f>
        <v>-3</v>
      </c>
      <c r="Z160" s="250">
        <f>EQUITY!W101</f>
        <v>-3</v>
      </c>
      <c r="AA160" s="250">
        <f>EQUITY!X101</f>
        <v>-2</v>
      </c>
      <c r="AB160" s="250">
        <f>EQUITY!Y101</f>
        <v>-5</v>
      </c>
      <c r="AC160" s="250">
        <f>EQUITY!Z101</f>
        <v>-2</v>
      </c>
      <c r="AD160" s="250">
        <f>EQUITY!AA101</f>
        <v>0</v>
      </c>
      <c r="AE160" s="187">
        <f>EQUITY!AB101</f>
        <v>-3</v>
      </c>
      <c r="AF160" s="187">
        <f>EQUITY!AC101</f>
        <v>0</v>
      </c>
      <c r="AG160" s="187">
        <f>EQUITY!AD101</f>
        <v>-2</v>
      </c>
      <c r="AH160" s="187">
        <f>EQUITY!AE101</f>
        <v>0</v>
      </c>
      <c r="AI160" s="187">
        <f>EQUITY!AF101</f>
        <v>0</v>
      </c>
      <c r="AJ160" s="187">
        <f>EQUITY!AG101</f>
        <v>0</v>
      </c>
      <c r="AK160" s="187">
        <f>EQUITY!AH101</f>
        <v>0</v>
      </c>
      <c r="AL160" s="187">
        <f>EQUITY!AI101</f>
        <v>0</v>
      </c>
      <c r="AM160" s="187">
        <f>EQUITY!AJ101</f>
        <v>0</v>
      </c>
      <c r="AN160" s="187">
        <f>EQUITY!AK101</f>
        <v>0</v>
      </c>
      <c r="AO160" s="187">
        <f>EQUITY!AL101</f>
        <v>0</v>
      </c>
      <c r="AP160" s="187">
        <f>EQUITY!AM101</f>
        <v>0</v>
      </c>
      <c r="AQ160" s="187">
        <f>EQUITY!AN101</f>
        <v>0</v>
      </c>
      <c r="AR160" s="187">
        <f>EQUITY!AO101</f>
        <v>-2</v>
      </c>
      <c r="AS160" s="187">
        <f>EQUITY!AP101</f>
        <v>2</v>
      </c>
      <c r="AT160" s="187">
        <f>EQUITY!AQ101</f>
        <v>0</v>
      </c>
      <c r="AU160" s="187">
        <f>EQUITY!AR101</f>
        <v>-2</v>
      </c>
      <c r="AV160" s="187">
        <v>0</v>
      </c>
      <c r="AW160" s="187">
        <v>0</v>
      </c>
      <c r="AX160" s="187">
        <v>0</v>
      </c>
    </row>
    <row r="161" spans="1:58" ht="21">
      <c r="E161" s="240" t="s">
        <v>53</v>
      </c>
      <c r="F161" s="250">
        <f>EQUITY!C109</f>
        <v>-9</v>
      </c>
      <c r="G161" s="250">
        <f>EQUITY!D109</f>
        <v>-7</v>
      </c>
      <c r="H161" s="250">
        <f>EQUITY!E109</f>
        <v>-9</v>
      </c>
      <c r="I161" s="250">
        <f>EQUITY!F109</f>
        <v>-9</v>
      </c>
      <c r="J161" s="250">
        <f>EQUITY!G109</f>
        <v>-9</v>
      </c>
      <c r="K161" s="250">
        <f>EQUITY!H109</f>
        <v>-9</v>
      </c>
      <c r="L161" s="250">
        <f>EQUITY!I109</f>
        <v>-9</v>
      </c>
      <c r="M161" s="250">
        <f>EQUITY!J109</f>
        <v>-9</v>
      </c>
      <c r="N161" s="250">
        <f>EQUITY!K109</f>
        <v>-9</v>
      </c>
      <c r="O161" s="250">
        <f>EQUITY!L109</f>
        <v>-7</v>
      </c>
      <c r="P161" s="250">
        <f>EQUITY!M109</f>
        <v>-9</v>
      </c>
      <c r="Q161" s="250">
        <f>EQUITY!N109</f>
        <v>-5</v>
      </c>
      <c r="R161" s="250">
        <f>EQUITY!O109</f>
        <v>-7</v>
      </c>
      <c r="S161" s="250">
        <f>EQUITY!P109</f>
        <v>-9</v>
      </c>
      <c r="T161" s="250">
        <f>EQUITY!Q109</f>
        <v>-9</v>
      </c>
      <c r="U161" s="250">
        <f>EQUITY!R109</f>
        <v>-10</v>
      </c>
      <c r="V161" s="250">
        <f>EQUITY!S109</f>
        <v>-9</v>
      </c>
      <c r="W161" s="250">
        <f>EQUITY!T109</f>
        <v>-7</v>
      </c>
      <c r="X161" s="250">
        <f>EQUITY!U109</f>
        <v>-9</v>
      </c>
      <c r="Y161" s="250">
        <f>EQUITY!V109</f>
        <v>-9</v>
      </c>
      <c r="Z161" s="250">
        <f>EQUITY!W109</f>
        <v>-9</v>
      </c>
      <c r="AA161" s="250">
        <f>EQUITY!X109</f>
        <v>-9</v>
      </c>
      <c r="AB161" s="250">
        <f>EQUITY!Y109</f>
        <v>-9</v>
      </c>
      <c r="AC161" s="250">
        <f>EQUITY!Z109</f>
        <v>-9</v>
      </c>
      <c r="AD161" s="250">
        <f>EQUITY!AA109</f>
        <v>-7</v>
      </c>
      <c r="AE161" s="187">
        <f>EQUITY!AB109</f>
        <v>-5</v>
      </c>
      <c r="AF161" s="187">
        <f>EQUITY!AC109</f>
        <v>-5</v>
      </c>
      <c r="AG161" s="187">
        <f>EQUITY!AD109</f>
        <v>-7</v>
      </c>
      <c r="AH161" s="187">
        <f>EQUITY!AE109</f>
        <v>-7</v>
      </c>
      <c r="AI161" s="187">
        <f>EQUITY!AF109</f>
        <v>-7</v>
      </c>
      <c r="AJ161" s="187">
        <f>EQUITY!AG109</f>
        <v>-7</v>
      </c>
      <c r="AK161" s="187">
        <f>EQUITY!AH109</f>
        <v>-5</v>
      </c>
      <c r="AL161" s="187">
        <f>EQUITY!AI109</f>
        <v>-5</v>
      </c>
      <c r="AM161" s="187">
        <f>EQUITY!AJ109</f>
        <v>-3</v>
      </c>
      <c r="AN161" s="187">
        <f>EQUITY!AK109</f>
        <v>-2</v>
      </c>
      <c r="AO161" s="187">
        <f>EQUITY!AL109</f>
        <v>0</v>
      </c>
      <c r="AP161" s="187">
        <f>EQUITY!AM109</f>
        <v>0</v>
      </c>
      <c r="AQ161" s="187">
        <f>EQUITY!AN109</f>
        <v>0</v>
      </c>
      <c r="AR161" s="187">
        <f>EQUITY!AO109</f>
        <v>-2</v>
      </c>
      <c r="AS161" s="187">
        <f>EQUITY!AP109</f>
        <v>2</v>
      </c>
      <c r="AT161" s="187">
        <f>EQUITY!AQ109</f>
        <v>-2</v>
      </c>
      <c r="AU161" s="187">
        <f>EQUITY!AR109</f>
        <v>-2</v>
      </c>
      <c r="AV161" s="187">
        <v>0</v>
      </c>
      <c r="AW161" s="187">
        <v>0</v>
      </c>
      <c r="AX161" s="187">
        <v>0</v>
      </c>
    </row>
    <row r="162" spans="1:58" ht="21">
      <c r="E162" s="240" t="s">
        <v>54</v>
      </c>
      <c r="F162" s="250">
        <f>EQUITY!C117</f>
        <v>-5</v>
      </c>
      <c r="G162" s="250">
        <f>EQUITY!D117</f>
        <v>-7</v>
      </c>
      <c r="H162" s="250">
        <f>EQUITY!E117</f>
        <v>-2</v>
      </c>
      <c r="I162" s="250">
        <f>EQUITY!F117</f>
        <v>-2</v>
      </c>
      <c r="J162" s="250">
        <f>EQUITY!G117</f>
        <v>-2</v>
      </c>
      <c r="K162" s="250">
        <f>EQUITY!H117</f>
        <v>-3</v>
      </c>
      <c r="L162" s="250">
        <f>EQUITY!I117</f>
        <v>-2</v>
      </c>
      <c r="M162" s="250">
        <f>EQUITY!J117</f>
        <v>0</v>
      </c>
      <c r="N162" s="250">
        <f>EQUITY!K117</f>
        <v>-3</v>
      </c>
      <c r="O162" s="250">
        <f>EQUITY!L117</f>
        <v>-2</v>
      </c>
      <c r="P162" s="250">
        <f>EQUITY!M117</f>
        <v>0</v>
      </c>
      <c r="Q162" s="250">
        <f>EQUITY!N117</f>
        <v>-2</v>
      </c>
      <c r="R162" s="250">
        <f>EQUITY!O117</f>
        <v>-2</v>
      </c>
      <c r="S162" s="250">
        <f>EQUITY!P117</f>
        <v>0</v>
      </c>
      <c r="T162" s="250">
        <f>EQUITY!Q117</f>
        <v>-2</v>
      </c>
      <c r="U162" s="250">
        <f>EQUITY!R117</f>
        <v>0</v>
      </c>
      <c r="V162" s="250">
        <f>EQUITY!S117</f>
        <v>0</v>
      </c>
      <c r="W162" s="250">
        <f>EQUITY!T117</f>
        <v>0</v>
      </c>
      <c r="X162" s="250">
        <f>EQUITY!U117</f>
        <v>2</v>
      </c>
      <c r="Y162" s="250">
        <f>EQUITY!V117</f>
        <v>0</v>
      </c>
      <c r="Z162" s="250">
        <f>EQUITY!W117</f>
        <v>2</v>
      </c>
      <c r="AA162" s="250">
        <f>EQUITY!X117</f>
        <v>0</v>
      </c>
      <c r="AB162" s="250">
        <f>EQUITY!Y117</f>
        <v>0</v>
      </c>
      <c r="AC162" s="250">
        <f>EQUITY!Z117</f>
        <v>0</v>
      </c>
      <c r="AD162" s="250">
        <f>EQUITY!AA117</f>
        <v>0</v>
      </c>
      <c r="AE162" s="187">
        <f>EQUITY!AB117</f>
        <v>0</v>
      </c>
      <c r="AF162" s="187">
        <f>EQUITY!AC117</f>
        <v>2</v>
      </c>
      <c r="AG162" s="187">
        <f>EQUITY!AD117</f>
        <v>2</v>
      </c>
      <c r="AH162" s="187">
        <f>EQUITY!AE117</f>
        <v>0</v>
      </c>
      <c r="AI162" s="187">
        <f>EQUITY!AF117</f>
        <v>0</v>
      </c>
      <c r="AJ162" s="187">
        <f>EQUITY!AG117</f>
        <v>0</v>
      </c>
      <c r="AK162" s="187">
        <f>EQUITY!AH117</f>
        <v>0</v>
      </c>
      <c r="AL162" s="187">
        <f>EQUITY!AI117</f>
        <v>0</v>
      </c>
      <c r="AM162" s="187">
        <f>EQUITY!AJ117</f>
        <v>0</v>
      </c>
      <c r="AN162" s="187">
        <f>EQUITY!AK117</f>
        <v>-2</v>
      </c>
      <c r="AO162" s="187">
        <f>EQUITY!AL117</f>
        <v>0</v>
      </c>
      <c r="AP162" s="187">
        <f>EQUITY!AM117</f>
        <v>0</v>
      </c>
      <c r="AQ162" s="187">
        <f>EQUITY!AN117</f>
        <v>0</v>
      </c>
      <c r="AR162" s="187">
        <f>EQUITY!AO117</f>
        <v>-2</v>
      </c>
      <c r="AS162" s="187">
        <f>EQUITY!AP117</f>
        <v>2</v>
      </c>
      <c r="AT162" s="187">
        <f>EQUITY!AQ117</f>
        <v>0</v>
      </c>
      <c r="AU162" s="187">
        <f>EQUITY!AR117</f>
        <v>-2</v>
      </c>
      <c r="AV162" s="187">
        <v>0</v>
      </c>
      <c r="AW162" s="187">
        <v>0</v>
      </c>
      <c r="AX162" s="187">
        <v>0</v>
      </c>
    </row>
    <row r="163" spans="1:58" ht="21">
      <c r="E163" s="240" t="s">
        <v>55</v>
      </c>
      <c r="F163" s="250">
        <f>EQUITY!C125</f>
        <v>-7</v>
      </c>
      <c r="G163" s="250">
        <f>EQUITY!D125</f>
        <v>-5</v>
      </c>
      <c r="H163" s="250">
        <f>EQUITY!E125</f>
        <v>0</v>
      </c>
      <c r="I163" s="250">
        <f>EQUITY!F125</f>
        <v>2</v>
      </c>
      <c r="J163" s="250">
        <f>EQUITY!G125</f>
        <v>2</v>
      </c>
      <c r="K163" s="250">
        <f>EQUITY!H125</f>
        <v>2</v>
      </c>
      <c r="L163" s="250">
        <f>EQUITY!I125</f>
        <v>2</v>
      </c>
      <c r="M163" s="250">
        <f>EQUITY!J125</f>
        <v>3</v>
      </c>
      <c r="N163" s="250">
        <f>EQUITY!K125</f>
        <v>0</v>
      </c>
      <c r="O163" s="250">
        <f>EQUITY!L125</f>
        <v>2</v>
      </c>
      <c r="P163" s="250">
        <f>EQUITY!M125</f>
        <v>2</v>
      </c>
      <c r="Q163" s="250">
        <f>EQUITY!N125</f>
        <v>-2</v>
      </c>
      <c r="R163" s="250">
        <f>EQUITY!O125</f>
        <v>2</v>
      </c>
      <c r="S163" s="250">
        <f>EQUITY!P125</f>
        <v>5</v>
      </c>
      <c r="T163" s="250">
        <f>EQUITY!Q125</f>
        <v>2</v>
      </c>
      <c r="U163" s="250">
        <f>EQUITY!R125</f>
        <v>0</v>
      </c>
      <c r="V163" s="250">
        <f>EQUITY!S125</f>
        <v>0</v>
      </c>
      <c r="W163" s="250">
        <f>EQUITY!T125</f>
        <v>-2</v>
      </c>
      <c r="X163" s="250">
        <f>EQUITY!U125</f>
        <v>2</v>
      </c>
      <c r="Y163" s="250">
        <f>EQUITY!V125</f>
        <v>-2</v>
      </c>
      <c r="Z163" s="250">
        <f>EQUITY!W125</f>
        <v>-2</v>
      </c>
      <c r="AA163" s="250">
        <f>EQUITY!X125</f>
        <v>3</v>
      </c>
      <c r="AB163" s="250">
        <f>EQUITY!Y125</f>
        <v>0</v>
      </c>
      <c r="AC163" s="250">
        <f>EQUITY!Z125</f>
        <v>3</v>
      </c>
      <c r="AD163" s="250">
        <f>EQUITY!AA125</f>
        <v>0</v>
      </c>
      <c r="AE163" s="187">
        <f>EQUITY!AB125</f>
        <v>0</v>
      </c>
      <c r="AF163" s="187">
        <f>EQUITY!AC125</f>
        <v>2</v>
      </c>
      <c r="AG163" s="187">
        <f>EQUITY!AD125</f>
        <v>3</v>
      </c>
      <c r="AH163" s="187">
        <f>EQUITY!AE125</f>
        <v>-2</v>
      </c>
      <c r="AI163" s="187">
        <f>EQUITY!AF125</f>
        <v>-2</v>
      </c>
      <c r="AJ163" s="187">
        <f>EQUITY!AG125</f>
        <v>0</v>
      </c>
      <c r="AK163" s="187">
        <f>EQUITY!AH125</f>
        <v>-3</v>
      </c>
      <c r="AL163" s="187">
        <f>EQUITY!AI125</f>
        <v>0</v>
      </c>
      <c r="AM163" s="187">
        <f>EQUITY!AJ125</f>
        <v>0</v>
      </c>
      <c r="AN163" s="187">
        <f>EQUITY!AK125</f>
        <v>-3</v>
      </c>
      <c r="AO163" s="187">
        <f>EQUITY!AL125</f>
        <v>-2</v>
      </c>
      <c r="AP163" s="187">
        <f>EQUITY!AM125</f>
        <v>0</v>
      </c>
      <c r="AQ163" s="187">
        <f>EQUITY!AN125</f>
        <v>0</v>
      </c>
      <c r="AR163" s="187">
        <f>EQUITY!AO125</f>
        <v>-2</v>
      </c>
      <c r="AS163" s="187">
        <f>EQUITY!AP125</f>
        <v>-3</v>
      </c>
      <c r="AT163" s="187">
        <f>EQUITY!AQ125</f>
        <v>-5</v>
      </c>
      <c r="AU163" s="187">
        <f>EQUITY!AR125</f>
        <v>-2</v>
      </c>
      <c r="AV163" s="187">
        <v>-3</v>
      </c>
      <c r="AW163" s="187">
        <v>-3</v>
      </c>
      <c r="AX163" s="187">
        <v>-3</v>
      </c>
    </row>
    <row r="164" spans="1:58" ht="21">
      <c r="E164" s="241" t="s">
        <v>56</v>
      </c>
      <c r="F164" s="250">
        <f>EQUITY!C133</f>
        <v>-7</v>
      </c>
      <c r="G164" s="250">
        <f>EQUITY!D133</f>
        <v>-5</v>
      </c>
      <c r="H164" s="250">
        <f>EQUITY!E133</f>
        <v>-2</v>
      </c>
      <c r="I164" s="250">
        <f>EQUITY!F133</f>
        <v>0</v>
      </c>
      <c r="J164" s="250">
        <f>EQUITY!G133</f>
        <v>0</v>
      </c>
      <c r="K164" s="250">
        <f>EQUITY!H133</f>
        <v>2</v>
      </c>
      <c r="L164" s="250">
        <f>EQUITY!I133</f>
        <v>2</v>
      </c>
      <c r="M164" s="250">
        <f>EQUITY!J133</f>
        <v>3</v>
      </c>
      <c r="N164" s="250">
        <f>EQUITY!K133</f>
        <v>0</v>
      </c>
      <c r="O164" s="250">
        <f>EQUITY!L133</f>
        <v>2</v>
      </c>
      <c r="P164" s="250">
        <f>EQUITY!M133</f>
        <v>2</v>
      </c>
      <c r="Q164" s="250">
        <f>EQUITY!N133</f>
        <v>0</v>
      </c>
      <c r="R164" s="250">
        <f>EQUITY!O133</f>
        <v>2</v>
      </c>
      <c r="S164" s="250">
        <f>EQUITY!P133</f>
        <v>2</v>
      </c>
      <c r="T164" s="250">
        <f>EQUITY!Q133</f>
        <v>2</v>
      </c>
      <c r="U164" s="250">
        <f>EQUITY!R133</f>
        <v>0</v>
      </c>
      <c r="V164" s="250">
        <f>EQUITY!S133</f>
        <v>0</v>
      </c>
      <c r="W164" s="250">
        <f>EQUITY!T133</f>
        <v>2</v>
      </c>
      <c r="X164" s="250">
        <f>EQUITY!U133</f>
        <v>2</v>
      </c>
      <c r="Y164" s="250">
        <f>EQUITY!V133</f>
        <v>-3</v>
      </c>
      <c r="Z164" s="250">
        <f>EQUITY!W133</f>
        <v>-2</v>
      </c>
      <c r="AA164" s="250">
        <f>EQUITY!X133</f>
        <v>0</v>
      </c>
      <c r="AB164" s="250">
        <f>EQUITY!Y133</f>
        <v>0</v>
      </c>
      <c r="AC164" s="250">
        <f>EQUITY!Z133</f>
        <v>3</v>
      </c>
      <c r="AD164" s="250">
        <f>EQUITY!AA133</f>
        <v>0</v>
      </c>
      <c r="AE164" s="187">
        <f>EQUITY!AB133</f>
        <v>0</v>
      </c>
      <c r="AF164" s="187">
        <f>EQUITY!AC133</f>
        <v>0</v>
      </c>
      <c r="AG164" s="187">
        <f>EQUITY!AD133</f>
        <v>0</v>
      </c>
      <c r="AH164" s="187">
        <f>EQUITY!AE133</f>
        <v>0</v>
      </c>
      <c r="AI164" s="187">
        <f>EQUITY!AF133</f>
        <v>0</v>
      </c>
      <c r="AJ164" s="187">
        <f>EQUITY!AG133</f>
        <v>0</v>
      </c>
      <c r="AK164" s="187">
        <f>EQUITY!AH133</f>
        <v>0</v>
      </c>
      <c r="AL164" s="187">
        <f>EQUITY!AI133</f>
        <v>0</v>
      </c>
      <c r="AM164" s="187">
        <f>EQUITY!AJ133</f>
        <v>0</v>
      </c>
      <c r="AN164" s="187">
        <f>EQUITY!AK133</f>
        <v>0</v>
      </c>
      <c r="AO164" s="187">
        <f>EQUITY!AL133</f>
        <v>-2</v>
      </c>
      <c r="AP164" s="187">
        <f>EQUITY!AM133</f>
        <v>0</v>
      </c>
      <c r="AQ164" s="187">
        <f>EQUITY!AN133</f>
        <v>0</v>
      </c>
      <c r="AR164" s="187">
        <f>EQUITY!AO133</f>
        <v>0</v>
      </c>
      <c r="AS164" s="187">
        <f>EQUITY!AP133</f>
        <v>2</v>
      </c>
      <c r="AT164" s="187">
        <f>EQUITY!AQ133</f>
        <v>-2</v>
      </c>
      <c r="AU164" s="187">
        <f>EQUITY!AR133</f>
        <v>2</v>
      </c>
      <c r="AV164" s="187">
        <v>0</v>
      </c>
      <c r="AW164" s="187">
        <v>0</v>
      </c>
      <c r="AX164" s="187">
        <v>0</v>
      </c>
    </row>
    <row r="165" spans="1:58" ht="21">
      <c r="E165" s="242" t="s">
        <v>57</v>
      </c>
      <c r="F165" s="250">
        <f>EQUITY!C141</f>
        <v>7</v>
      </c>
      <c r="G165" s="250">
        <f>EQUITY!D141</f>
        <v>9</v>
      </c>
      <c r="H165" s="250">
        <f>EQUITY!E141</f>
        <v>10</v>
      </c>
      <c r="I165" s="250">
        <f>EQUITY!F141</f>
        <v>10</v>
      </c>
      <c r="J165" s="250">
        <f>EQUITY!G141</f>
        <v>9</v>
      </c>
      <c r="K165" s="250">
        <f>EQUITY!H141</f>
        <v>9</v>
      </c>
      <c r="L165" s="250">
        <f>EQUITY!I141</f>
        <v>10</v>
      </c>
      <c r="M165" s="250">
        <f>EQUITY!J141</f>
        <v>9</v>
      </c>
      <c r="N165" s="250">
        <f>EQUITY!K141</f>
        <v>10</v>
      </c>
      <c r="O165" s="250">
        <f>EQUITY!L141</f>
        <v>10</v>
      </c>
      <c r="P165" s="250">
        <f>EQUITY!M141</f>
        <v>9</v>
      </c>
      <c r="Q165" s="250">
        <f>EQUITY!N141</f>
        <v>9</v>
      </c>
      <c r="R165" s="250">
        <f>EQUITY!O141</f>
        <v>10</v>
      </c>
      <c r="S165" s="250">
        <f>EQUITY!P141</f>
        <v>10</v>
      </c>
      <c r="T165" s="250">
        <f>EQUITY!Q141</f>
        <v>9</v>
      </c>
      <c r="U165" s="250">
        <f>EQUITY!R141</f>
        <v>9</v>
      </c>
      <c r="V165" s="250">
        <f>EQUITY!S141</f>
        <v>7</v>
      </c>
      <c r="W165" s="250">
        <f>EQUITY!T141</f>
        <v>7</v>
      </c>
      <c r="X165" s="250">
        <f>EQUITY!U141</f>
        <v>2</v>
      </c>
      <c r="Y165" s="250">
        <f>EQUITY!V141</f>
        <v>2</v>
      </c>
      <c r="Z165" s="250">
        <f>EQUITY!W141</f>
        <v>0</v>
      </c>
      <c r="AA165" s="250">
        <f>EQUITY!X141</f>
        <v>3</v>
      </c>
      <c r="AB165" s="250">
        <f>EQUITY!Y141</f>
        <v>0</v>
      </c>
      <c r="AC165" s="250">
        <f>EQUITY!Z141</f>
        <v>2</v>
      </c>
      <c r="AD165" s="250">
        <f>EQUITY!AA141</f>
        <v>2</v>
      </c>
      <c r="AE165" s="187">
        <f>EQUITY!AB141</f>
        <v>0</v>
      </c>
      <c r="AF165" s="187">
        <f>EQUITY!AC141</f>
        <v>0</v>
      </c>
      <c r="AG165" s="187">
        <f>EQUITY!AD141</f>
        <v>0</v>
      </c>
      <c r="AH165" s="187">
        <f>EQUITY!AE141</f>
        <v>2</v>
      </c>
      <c r="AI165" s="187">
        <f>EQUITY!AF141</f>
        <v>7</v>
      </c>
      <c r="AJ165" s="187">
        <f>EQUITY!AG141</f>
        <v>5</v>
      </c>
      <c r="AK165" s="187">
        <f>EQUITY!AH141</f>
        <v>5</v>
      </c>
      <c r="AL165" s="187">
        <f>EQUITY!AI141</f>
        <v>7</v>
      </c>
      <c r="AM165" s="187">
        <f>EQUITY!AJ141</f>
        <v>5</v>
      </c>
      <c r="AN165" s="187">
        <f>EQUITY!AK141</f>
        <v>2</v>
      </c>
      <c r="AO165" s="187">
        <f>EQUITY!AL141</f>
        <v>0</v>
      </c>
      <c r="AP165" s="187">
        <f>EQUITY!AM141</f>
        <v>0</v>
      </c>
      <c r="AQ165" s="187">
        <f>EQUITY!AN141</f>
        <v>0</v>
      </c>
      <c r="AR165" s="187">
        <f>EQUITY!AO141</f>
        <v>-2</v>
      </c>
      <c r="AS165" s="187">
        <f>EQUITY!AP141</f>
        <v>0</v>
      </c>
      <c r="AT165" s="187">
        <f>EQUITY!AQ141</f>
        <v>-3</v>
      </c>
      <c r="AU165" s="187">
        <f>EQUITY!AR141</f>
        <v>0</v>
      </c>
      <c r="AV165" s="187">
        <v>-2</v>
      </c>
      <c r="AW165" s="187">
        <v>-2</v>
      </c>
      <c r="AX165" s="187">
        <v>-2</v>
      </c>
    </row>
    <row r="166" spans="1:58" ht="21">
      <c r="E166" s="243" t="s">
        <v>10</v>
      </c>
      <c r="F166" s="250">
        <f>EQUITY!C149</f>
        <v>-5</v>
      </c>
      <c r="G166" s="250">
        <f>EQUITY!D149</f>
        <v>-9</v>
      </c>
      <c r="H166" s="250">
        <f>EQUITY!E149</f>
        <v>-9</v>
      </c>
      <c r="I166" s="250">
        <f>EQUITY!F149</f>
        <v>-9</v>
      </c>
      <c r="J166" s="250">
        <f>EQUITY!G149</f>
        <v>-10</v>
      </c>
      <c r="K166" s="250">
        <f>EQUITY!H149</f>
        <v>-9</v>
      </c>
      <c r="L166" s="250">
        <f>EQUITY!I149</f>
        <v>-9</v>
      </c>
      <c r="M166" s="250">
        <f>EQUITY!J149</f>
        <v>-10</v>
      </c>
      <c r="N166" s="250">
        <f>EQUITY!K149</f>
        <v>-10</v>
      </c>
      <c r="O166" s="250">
        <f>EQUITY!L149</f>
        <v>-9</v>
      </c>
      <c r="P166" s="250">
        <f>EQUITY!M149</f>
        <v>-9</v>
      </c>
      <c r="Q166" s="250">
        <f>EQUITY!N149</f>
        <v>-7</v>
      </c>
      <c r="R166" s="250">
        <f>EQUITY!O149</f>
        <v>-10</v>
      </c>
      <c r="S166" s="250">
        <f>EQUITY!P149</f>
        <v>-10</v>
      </c>
      <c r="T166" s="250">
        <f>EQUITY!Q149</f>
        <v>-9</v>
      </c>
      <c r="U166" s="250">
        <f>EQUITY!R149</f>
        <v>-7</v>
      </c>
      <c r="V166" s="250">
        <f>EQUITY!S149</f>
        <v>-7</v>
      </c>
      <c r="W166" s="250">
        <f>EQUITY!T149</f>
        <v>-7</v>
      </c>
      <c r="X166" s="250">
        <f>EQUITY!U149</f>
        <v>-7</v>
      </c>
      <c r="Y166" s="250">
        <f>EQUITY!V149</f>
        <v>-3</v>
      </c>
      <c r="Z166" s="250">
        <f>EQUITY!W149</f>
        <v>0</v>
      </c>
      <c r="AA166" s="250">
        <f>EQUITY!X149</f>
        <v>-5</v>
      </c>
      <c r="AB166" s="250">
        <f>EQUITY!Y149</f>
        <v>-3</v>
      </c>
      <c r="AC166" s="250">
        <f>EQUITY!Z149</f>
        <v>-7</v>
      </c>
      <c r="AD166" s="250">
        <f>EQUITY!AA149</f>
        <v>-7</v>
      </c>
      <c r="AE166" s="187">
        <f>EQUITY!AB149</f>
        <v>-5</v>
      </c>
      <c r="AF166" s="187">
        <f>EQUITY!AC149</f>
        <v>-5</v>
      </c>
      <c r="AG166" s="187">
        <f>EQUITY!AD149</f>
        <v>-3</v>
      </c>
      <c r="AH166" s="187">
        <f>EQUITY!AE149</f>
        <v>-3</v>
      </c>
      <c r="AI166" s="187">
        <f>EQUITY!AF149</f>
        <v>-2</v>
      </c>
      <c r="AJ166" s="187">
        <f>EQUITY!AG149</f>
        <v>0</v>
      </c>
      <c r="AK166" s="187">
        <f>EQUITY!AH149</f>
        <v>0</v>
      </c>
      <c r="AL166" s="187">
        <f>EQUITY!AI149</f>
        <v>0</v>
      </c>
      <c r="AM166" s="187">
        <f>EQUITY!AJ149</f>
        <v>-2</v>
      </c>
      <c r="AN166" s="187">
        <f>EQUITY!AK149</f>
        <v>0</v>
      </c>
      <c r="AO166" s="187">
        <f>EQUITY!AL149</f>
        <v>2</v>
      </c>
      <c r="AP166" s="187">
        <f>EQUITY!AM149</f>
        <v>2</v>
      </c>
      <c r="AQ166" s="187">
        <f>EQUITY!AN149</f>
        <v>0</v>
      </c>
      <c r="AR166" s="187">
        <f>EQUITY!AO149</f>
        <v>-3</v>
      </c>
      <c r="AS166" s="187">
        <f>EQUITY!AP149</f>
        <v>2</v>
      </c>
      <c r="AT166" s="187">
        <f>EQUITY!AQ149</f>
        <v>0</v>
      </c>
      <c r="AU166" s="187">
        <f>EQUITY!AR149</f>
        <v>-3</v>
      </c>
      <c r="AV166" s="187">
        <v>0</v>
      </c>
      <c r="AW166" s="187">
        <v>0</v>
      </c>
      <c r="AX166" s="187">
        <v>0</v>
      </c>
    </row>
    <row r="167" spans="1:58" ht="21">
      <c r="E167" s="243" t="s">
        <v>58</v>
      </c>
      <c r="F167" s="250">
        <f>EQUITY!C157</f>
        <v>-5</v>
      </c>
      <c r="G167" s="250">
        <f>EQUITY!D157</f>
        <v>-9</v>
      </c>
      <c r="H167" s="250">
        <f>EQUITY!E157</f>
        <v>-10</v>
      </c>
      <c r="I167" s="250">
        <f>EQUITY!F157</f>
        <v>-9</v>
      </c>
      <c r="J167" s="250">
        <f>EQUITY!G157</f>
        <v>-9</v>
      </c>
      <c r="K167" s="250">
        <f>EQUITY!H157</f>
        <v>-9</v>
      </c>
      <c r="L167" s="250">
        <f>EQUITY!I157</f>
        <v>-7</v>
      </c>
      <c r="M167" s="250">
        <f>EQUITY!J157</f>
        <v>-5</v>
      </c>
      <c r="N167" s="250">
        <f>EQUITY!K157</f>
        <v>-9</v>
      </c>
      <c r="O167" s="250">
        <f>EQUITY!L157</f>
        <v>-7</v>
      </c>
      <c r="P167" s="250">
        <f>EQUITY!M157</f>
        <v>-7</v>
      </c>
      <c r="Q167" s="250">
        <f>EQUITY!N157</f>
        <v>-5</v>
      </c>
      <c r="R167" s="250">
        <f>EQUITY!O157</f>
        <v>-5</v>
      </c>
      <c r="S167" s="250">
        <f>EQUITY!P157</f>
        <v>-5</v>
      </c>
      <c r="T167" s="250">
        <f>EQUITY!Q157</f>
        <v>-9</v>
      </c>
      <c r="U167" s="250">
        <f>EQUITY!R157</f>
        <v>-10</v>
      </c>
      <c r="V167" s="250">
        <f>EQUITY!S157</f>
        <v>-10</v>
      </c>
      <c r="W167" s="250">
        <f>EQUITY!T157</f>
        <v>-9</v>
      </c>
      <c r="X167" s="250">
        <f>EQUITY!U157</f>
        <v>-10</v>
      </c>
      <c r="Y167" s="250">
        <f>EQUITY!V157</f>
        <v>-10</v>
      </c>
      <c r="Z167" s="250">
        <f>EQUITY!W157</f>
        <v>-9</v>
      </c>
      <c r="AA167" s="250">
        <f>EQUITY!X157</f>
        <v>-10</v>
      </c>
      <c r="AB167" s="250">
        <f>EQUITY!Y157</f>
        <v>-9</v>
      </c>
      <c r="AC167" s="250">
        <f>EQUITY!Z157</f>
        <v>-9</v>
      </c>
      <c r="AD167" s="250">
        <f>EQUITY!AA157</f>
        <v>-9</v>
      </c>
      <c r="AE167" s="187">
        <f>EQUITY!AB157</f>
        <v>-9</v>
      </c>
      <c r="AF167" s="187">
        <f>EQUITY!AC157</f>
        <v>-9</v>
      </c>
      <c r="AG167" s="187">
        <f>EQUITY!AD157</f>
        <v>-9</v>
      </c>
      <c r="AH167" s="187">
        <f>EQUITY!AE157</f>
        <v>-9</v>
      </c>
      <c r="AI167" s="187">
        <f>EQUITY!AF157</f>
        <v>-7</v>
      </c>
      <c r="AJ167" s="187">
        <f>EQUITY!AG157</f>
        <v>-9</v>
      </c>
      <c r="AK167" s="187">
        <f>EQUITY!AH157</f>
        <v>-10</v>
      </c>
      <c r="AL167" s="187">
        <f>EQUITY!AI157</f>
        <v>-9</v>
      </c>
      <c r="AM167" s="187">
        <f>EQUITY!AJ157</f>
        <v>-10</v>
      </c>
      <c r="AN167" s="187">
        <f>EQUITY!AK157</f>
        <v>-9</v>
      </c>
      <c r="AO167" s="187">
        <f>EQUITY!AL157</f>
        <v>-9</v>
      </c>
      <c r="AP167" s="187">
        <f>EQUITY!AM157</f>
        <v>-7</v>
      </c>
      <c r="AQ167" s="187">
        <f>EQUITY!AN157</f>
        <v>-5</v>
      </c>
      <c r="AR167" s="187">
        <f>EQUITY!AO157</f>
        <v>-5</v>
      </c>
      <c r="AS167" s="187">
        <f>EQUITY!AP157</f>
        <v>0</v>
      </c>
      <c r="AT167" s="187">
        <f>EQUITY!AQ157</f>
        <v>-3</v>
      </c>
      <c r="AU167" s="187">
        <f>EQUITY!AR157</f>
        <v>-3</v>
      </c>
      <c r="AV167" s="187">
        <v>-2</v>
      </c>
      <c r="AW167" s="187">
        <v>-2</v>
      </c>
      <c r="AX167" s="187">
        <v>-2</v>
      </c>
    </row>
    <row r="168" spans="1:58" ht="21">
      <c r="E168" s="243" t="s">
        <v>18</v>
      </c>
      <c r="F168" s="250">
        <f>EQUITY!C165</f>
        <v>-2</v>
      </c>
      <c r="G168" s="250">
        <f>EQUITY!D165</f>
        <v>-2</v>
      </c>
      <c r="H168" s="250">
        <f>EQUITY!E165</f>
        <v>-3</v>
      </c>
      <c r="I168" s="250">
        <f>EQUITY!F165</f>
        <v>-2</v>
      </c>
      <c r="J168" s="250">
        <f>EQUITY!G165</f>
        <v>-2</v>
      </c>
      <c r="K168" s="250">
        <f>EQUITY!H165</f>
        <v>5</v>
      </c>
      <c r="L168" s="250">
        <f>EQUITY!I165</f>
        <v>2</v>
      </c>
      <c r="M168" s="250">
        <f>EQUITY!J165</f>
        <v>0</v>
      </c>
      <c r="N168" s="250">
        <f>EQUITY!K165</f>
        <v>2</v>
      </c>
      <c r="O168" s="250">
        <f>EQUITY!L165</f>
        <v>0</v>
      </c>
      <c r="P168" s="250">
        <f>EQUITY!M165</f>
        <v>2</v>
      </c>
      <c r="Q168" s="250">
        <f>EQUITY!N165</f>
        <v>0</v>
      </c>
      <c r="R168" s="250">
        <f>EQUITY!O165</f>
        <v>0</v>
      </c>
      <c r="S168" s="250">
        <f>EQUITY!P165</f>
        <v>0</v>
      </c>
      <c r="T168" s="250">
        <f>EQUITY!Q165</f>
        <v>0</v>
      </c>
      <c r="U168" s="250">
        <f>EQUITY!R165</f>
        <v>3</v>
      </c>
      <c r="V168" s="250">
        <f>EQUITY!S165</f>
        <v>0</v>
      </c>
      <c r="W168" s="250">
        <f>EQUITY!T165</f>
        <v>2</v>
      </c>
      <c r="X168" s="250">
        <f>EQUITY!U165</f>
        <v>-3</v>
      </c>
      <c r="Y168" s="250">
        <f>EQUITY!V165</f>
        <v>-5</v>
      </c>
      <c r="Z168" s="250">
        <f>EQUITY!W165</f>
        <v>-3</v>
      </c>
      <c r="AA168" s="250">
        <f>EQUITY!X165</f>
        <v>-2</v>
      </c>
      <c r="AB168" s="250">
        <f>EQUITY!Y165</f>
        <v>0</v>
      </c>
      <c r="AC168" s="250">
        <f>EQUITY!Z165</f>
        <v>-3</v>
      </c>
      <c r="AD168" s="250">
        <f>EQUITY!AA165</f>
        <v>-5</v>
      </c>
      <c r="AE168" s="187">
        <f>EQUITY!AB165</f>
        <v>-7</v>
      </c>
      <c r="AF168" s="187">
        <f>EQUITY!AC165</f>
        <v>-5</v>
      </c>
      <c r="AG168" s="187">
        <f>EQUITY!AD165</f>
        <v>-9</v>
      </c>
      <c r="AH168" s="187">
        <f>EQUITY!AE165</f>
        <v>-7</v>
      </c>
      <c r="AI168" s="187">
        <f>EQUITY!AF165</f>
        <v>-7</v>
      </c>
      <c r="AJ168" s="187">
        <f>EQUITY!AG165</f>
        <v>-3</v>
      </c>
      <c r="AK168" s="187">
        <f>EQUITY!AH165</f>
        <v>0</v>
      </c>
      <c r="AL168" s="187">
        <f>EQUITY!AI165</f>
        <v>2</v>
      </c>
      <c r="AM168" s="187">
        <f>EQUITY!AJ165</f>
        <v>0</v>
      </c>
      <c r="AN168" s="187">
        <f>EQUITY!AK165</f>
        <v>0</v>
      </c>
      <c r="AO168" s="187">
        <f>EQUITY!AL165</f>
        <v>3</v>
      </c>
      <c r="AP168" s="187">
        <f>EQUITY!AM165</f>
        <v>2</v>
      </c>
      <c r="AQ168" s="187">
        <f>EQUITY!AN165</f>
        <v>0</v>
      </c>
      <c r="AR168" s="187">
        <f>EQUITY!AO165</f>
        <v>-2</v>
      </c>
      <c r="AS168" s="187">
        <f>EQUITY!AP165</f>
        <v>5</v>
      </c>
      <c r="AT168" s="187">
        <f>EQUITY!AQ165</f>
        <v>2</v>
      </c>
      <c r="AU168" s="187">
        <f>EQUITY!AR165</f>
        <v>0</v>
      </c>
      <c r="AV168" s="187">
        <v>2</v>
      </c>
      <c r="AW168" s="187">
        <v>2</v>
      </c>
      <c r="AX168" s="187">
        <v>2</v>
      </c>
    </row>
    <row r="169" spans="1:58" ht="21">
      <c r="E169" s="244" t="s">
        <v>59</v>
      </c>
      <c r="F169" s="250">
        <f>EQUITY!C173</f>
        <v>0</v>
      </c>
      <c r="G169" s="250">
        <f>EQUITY!D173</f>
        <v>0</v>
      </c>
      <c r="H169" s="250">
        <f>EQUITY!E173</f>
        <v>-2</v>
      </c>
      <c r="I169" s="250">
        <f>EQUITY!F173</f>
        <v>-2</v>
      </c>
      <c r="J169" s="250">
        <f>EQUITY!G173</f>
        <v>-2</v>
      </c>
      <c r="K169" s="250">
        <f>EQUITY!H173</f>
        <v>0</v>
      </c>
      <c r="L169" s="250">
        <f>EQUITY!I173</f>
        <v>-2</v>
      </c>
      <c r="M169" s="250">
        <f>EQUITY!J173</f>
        <v>0</v>
      </c>
      <c r="N169" s="250">
        <f>EQUITY!K173</f>
        <v>-2</v>
      </c>
      <c r="O169" s="250">
        <f>EQUITY!L173</f>
        <v>0</v>
      </c>
      <c r="P169" s="250">
        <f>EQUITY!M173</f>
        <v>-2</v>
      </c>
      <c r="Q169" s="250">
        <f>EQUITY!N173</f>
        <v>-2</v>
      </c>
      <c r="R169" s="250">
        <f>EQUITY!O173</f>
        <v>-2</v>
      </c>
      <c r="S169" s="250">
        <f>EQUITY!P173</f>
        <v>-2</v>
      </c>
      <c r="T169" s="250">
        <f>EQUITY!Q173</f>
        <v>0</v>
      </c>
      <c r="U169" s="250">
        <f>EQUITY!R173</f>
        <v>0</v>
      </c>
      <c r="V169" s="250">
        <f>EQUITY!S173</f>
        <v>0</v>
      </c>
      <c r="W169" s="250">
        <f>EQUITY!T173</f>
        <v>2</v>
      </c>
      <c r="X169" s="250">
        <f>EQUITY!U173</f>
        <v>0</v>
      </c>
      <c r="Y169" s="250">
        <f>EQUITY!V173</f>
        <v>-2</v>
      </c>
      <c r="Z169" s="250">
        <f>EQUITY!W173</f>
        <v>0</v>
      </c>
      <c r="AA169" s="250">
        <f>EQUITY!X173</f>
        <v>0</v>
      </c>
      <c r="AB169" s="250">
        <f>EQUITY!Y173</f>
        <v>0</v>
      </c>
      <c r="AC169" s="250">
        <f>EQUITY!Z173</f>
        <v>-2</v>
      </c>
      <c r="AD169" s="250">
        <f>EQUITY!AA173</f>
        <v>0</v>
      </c>
      <c r="AE169" s="187">
        <f>EQUITY!AB173</f>
        <v>-2</v>
      </c>
      <c r="AF169" s="187">
        <f>EQUITY!AC173</f>
        <v>-2</v>
      </c>
      <c r="AG169" s="187">
        <f>EQUITY!AD173</f>
        <v>-3</v>
      </c>
      <c r="AH169" s="187">
        <f>EQUITY!AE173</f>
        <v>-3</v>
      </c>
      <c r="AI169" s="187">
        <f>EQUITY!AF173</f>
        <v>-3</v>
      </c>
      <c r="AJ169" s="187">
        <f>EQUITY!AG173</f>
        <v>0</v>
      </c>
      <c r="AK169" s="187">
        <f>EQUITY!AH173</f>
        <v>0</v>
      </c>
      <c r="AL169" s="187">
        <f>EQUITY!AI173</f>
        <v>2</v>
      </c>
      <c r="AM169" s="187">
        <f>EQUITY!AJ173</f>
        <v>0</v>
      </c>
      <c r="AN169" s="187">
        <f>EQUITY!AK173</f>
        <v>-2</v>
      </c>
      <c r="AO169" s="187">
        <f>EQUITY!AL173</f>
        <v>0</v>
      </c>
      <c r="AP169" s="187">
        <f>EQUITY!AM173</f>
        <v>2</v>
      </c>
      <c r="AQ169" s="187">
        <f>EQUITY!AN173</f>
        <v>0</v>
      </c>
      <c r="AR169" s="187">
        <f>EQUITY!AO173</f>
        <v>0</v>
      </c>
      <c r="AS169" s="187">
        <f>EQUITY!AP173</f>
        <v>5</v>
      </c>
      <c r="AT169" s="187">
        <f>EQUITY!AQ173</f>
        <v>0</v>
      </c>
      <c r="AU169" s="187">
        <f>EQUITY!AR173</f>
        <v>2</v>
      </c>
      <c r="AV169" s="187">
        <v>2</v>
      </c>
      <c r="AW169" s="187">
        <v>2</v>
      </c>
      <c r="AX169" s="187">
        <v>2</v>
      </c>
    </row>
    <row r="170" spans="1:58" ht="21">
      <c r="E170" s="244" t="s">
        <v>20</v>
      </c>
      <c r="F170" s="250">
        <f>EQUITY!C181</f>
        <v>-7</v>
      </c>
      <c r="G170" s="250">
        <f>EQUITY!D181</f>
        <v>-9</v>
      </c>
      <c r="H170" s="250">
        <f>EQUITY!E181</f>
        <v>-10</v>
      </c>
      <c r="I170" s="250">
        <f>EQUITY!F181</f>
        <v>-10</v>
      </c>
      <c r="J170" s="250">
        <f>EQUITY!G181</f>
        <v>-9</v>
      </c>
      <c r="K170" s="250">
        <f>EQUITY!H181</f>
        <v>-9</v>
      </c>
      <c r="L170" s="250">
        <f>EQUITY!I181</f>
        <v>-9</v>
      </c>
      <c r="M170" s="250">
        <f>EQUITY!J181</f>
        <v>-9</v>
      </c>
      <c r="N170" s="250">
        <f>EQUITY!K181</f>
        <v>-9</v>
      </c>
      <c r="O170" s="250">
        <f>EQUITY!L181</f>
        <v>-9</v>
      </c>
      <c r="P170" s="250">
        <f>EQUITY!M181</f>
        <v>-10</v>
      </c>
      <c r="Q170" s="250">
        <f>EQUITY!N181</f>
        <v>-10</v>
      </c>
      <c r="R170" s="250">
        <f>EQUITY!O181</f>
        <v>-9</v>
      </c>
      <c r="S170" s="250">
        <f>EQUITY!P181</f>
        <v>-9</v>
      </c>
      <c r="T170" s="250">
        <f>EQUITY!Q181</f>
        <v>-10</v>
      </c>
      <c r="U170" s="250">
        <f>EQUITY!R181</f>
        <v>-9</v>
      </c>
      <c r="V170" s="250">
        <f>EQUITY!S181</f>
        <v>-7</v>
      </c>
      <c r="W170" s="250">
        <f>EQUITY!T181</f>
        <v>-7</v>
      </c>
      <c r="X170" s="250">
        <f>EQUITY!U181</f>
        <v>-5</v>
      </c>
      <c r="Y170" s="250">
        <f>EQUITY!V181</f>
        <v>-5</v>
      </c>
      <c r="Z170" s="250">
        <f>EQUITY!W181</f>
        <v>-2</v>
      </c>
      <c r="AA170" s="250">
        <f>EQUITY!X181</f>
        <v>-3</v>
      </c>
      <c r="AB170" s="250">
        <f>EQUITY!Y181</f>
        <v>-2</v>
      </c>
      <c r="AC170" s="250">
        <f>EQUITY!Z181</f>
        <v>-3</v>
      </c>
      <c r="AD170" s="250">
        <f>EQUITY!AA181</f>
        <v>-2</v>
      </c>
      <c r="AE170" s="187">
        <f>EQUITY!AB181</f>
        <v>-2</v>
      </c>
      <c r="AF170" s="187">
        <f>EQUITY!AC181</f>
        <v>-2</v>
      </c>
      <c r="AG170" s="187">
        <f>EQUITY!AD181</f>
        <v>-3</v>
      </c>
      <c r="AH170" s="187">
        <f>EQUITY!AE181</f>
        <v>-3</v>
      </c>
      <c r="AI170" s="187">
        <f>EQUITY!AF181</f>
        <v>-3</v>
      </c>
      <c r="AJ170" s="187">
        <f>EQUITY!AG181</f>
        <v>0</v>
      </c>
      <c r="AK170" s="187">
        <f>EQUITY!AH181</f>
        <v>0</v>
      </c>
      <c r="AL170" s="187">
        <f>EQUITY!AI181</f>
        <v>2</v>
      </c>
      <c r="AM170" s="187">
        <f>EQUITY!AJ181</f>
        <v>0</v>
      </c>
      <c r="AN170" s="187">
        <f>EQUITY!AK181</f>
        <v>-2</v>
      </c>
      <c r="AO170" s="187">
        <f>EQUITY!AL181</f>
        <v>0</v>
      </c>
      <c r="AP170" s="187">
        <f>EQUITY!AM181</f>
        <v>2</v>
      </c>
      <c r="AQ170" s="187">
        <f>EQUITY!AN181</f>
        <v>0</v>
      </c>
      <c r="AR170" s="187">
        <f>EQUITY!AO181</f>
        <v>-2</v>
      </c>
      <c r="AS170" s="187">
        <f>EQUITY!AP181</f>
        <v>3</v>
      </c>
      <c r="AT170" s="187">
        <f>EQUITY!AQ181</f>
        <v>2</v>
      </c>
      <c r="AU170" s="187">
        <f>EQUITY!AR181</f>
        <v>0</v>
      </c>
      <c r="AV170" s="187">
        <v>2</v>
      </c>
      <c r="AW170" s="187">
        <v>2</v>
      </c>
      <c r="AX170" s="187">
        <v>2</v>
      </c>
    </row>
    <row r="171" spans="1:58" ht="21">
      <c r="E171" s="245" t="s">
        <v>19</v>
      </c>
      <c r="F171" s="250">
        <f>EQUITY!C189</f>
        <v>-2</v>
      </c>
      <c r="G171" s="250">
        <f>EQUITY!D189</f>
        <v>0</v>
      </c>
      <c r="H171" s="250">
        <f>EQUITY!E189</f>
        <v>-2</v>
      </c>
      <c r="I171" s="250">
        <f>EQUITY!F189</f>
        <v>0</v>
      </c>
      <c r="J171" s="250">
        <f>EQUITY!G189</f>
        <v>2</v>
      </c>
      <c r="K171" s="250">
        <f>EQUITY!H189</f>
        <v>7</v>
      </c>
      <c r="L171" s="250">
        <f>EQUITY!I189</f>
        <v>7</v>
      </c>
      <c r="M171" s="250">
        <f>EQUITY!J189</f>
        <v>5</v>
      </c>
      <c r="N171" s="250">
        <f>EQUITY!K189</f>
        <v>5</v>
      </c>
      <c r="O171" s="250">
        <f>EQUITY!L189</f>
        <v>3</v>
      </c>
      <c r="P171" s="250">
        <f>EQUITY!M189</f>
        <v>5</v>
      </c>
      <c r="Q171" s="250">
        <f>EQUITY!N189</f>
        <v>5</v>
      </c>
      <c r="R171" s="250">
        <f>EQUITY!O189</f>
        <v>5</v>
      </c>
      <c r="S171" s="250">
        <f>EQUITY!P189</f>
        <v>3</v>
      </c>
      <c r="T171" s="250">
        <f>EQUITY!Q189</f>
        <v>0</v>
      </c>
      <c r="U171" s="250">
        <f>EQUITY!R189</f>
        <v>2</v>
      </c>
      <c r="V171" s="250">
        <f>EQUITY!S189</f>
        <v>0</v>
      </c>
      <c r="W171" s="250">
        <f>EQUITY!T189</f>
        <v>3</v>
      </c>
      <c r="X171" s="250">
        <f>EQUITY!U189</f>
        <v>-2</v>
      </c>
      <c r="Y171" s="250">
        <f>EQUITY!V189</f>
        <v>-3</v>
      </c>
      <c r="Z171" s="250">
        <f>EQUITY!W189</f>
        <v>0</v>
      </c>
      <c r="AA171" s="250">
        <f>EQUITY!X189</f>
        <v>0</v>
      </c>
      <c r="AB171" s="250">
        <f>EQUITY!Y189</f>
        <v>0</v>
      </c>
      <c r="AC171" s="250">
        <f>EQUITY!Z189</f>
        <v>-2</v>
      </c>
      <c r="AD171" s="250">
        <f>EQUITY!AA189</f>
        <v>-5</v>
      </c>
      <c r="AE171" s="187">
        <f>EQUITY!AB189</f>
        <v>-5</v>
      </c>
      <c r="AF171" s="187">
        <f>EQUITY!AC189</f>
        <v>-5</v>
      </c>
      <c r="AG171" s="187">
        <f>EQUITY!AD189</f>
        <v>-5</v>
      </c>
      <c r="AH171" s="187">
        <f>EQUITY!AE189</f>
        <v>-3</v>
      </c>
      <c r="AI171" s="187">
        <f>EQUITY!AF189</f>
        <v>0</v>
      </c>
      <c r="AJ171" s="187">
        <f>EQUITY!AG189</f>
        <v>0</v>
      </c>
      <c r="AK171" s="187">
        <f>EQUITY!AH189</f>
        <v>0</v>
      </c>
      <c r="AL171" s="187">
        <f>EQUITY!AI189</f>
        <v>0</v>
      </c>
      <c r="AM171" s="187">
        <f>EQUITY!AJ189</f>
        <v>0</v>
      </c>
      <c r="AN171" s="187">
        <f>EQUITY!AK189</f>
        <v>0</v>
      </c>
      <c r="AO171" s="187">
        <f>EQUITY!AL189</f>
        <v>0</v>
      </c>
      <c r="AP171" s="187">
        <f>EQUITY!AM189</f>
        <v>-2</v>
      </c>
      <c r="AQ171" s="187">
        <f>EQUITY!AN189</f>
        <v>0</v>
      </c>
      <c r="AR171" s="187">
        <f>EQUITY!AO189</f>
        <v>0</v>
      </c>
      <c r="AS171" s="187">
        <f>EQUITY!AP189</f>
        <v>2</v>
      </c>
      <c r="AT171" s="187">
        <f>EQUITY!AQ189</f>
        <v>0</v>
      </c>
      <c r="AU171" s="187">
        <f>EQUITY!AR189</f>
        <v>-2</v>
      </c>
      <c r="AV171" s="187">
        <v>0</v>
      </c>
      <c r="AW171" s="187">
        <v>0</v>
      </c>
      <c r="AX171" s="187">
        <v>0</v>
      </c>
    </row>
    <row r="172" spans="1:58">
      <c r="AZ172" s="286"/>
      <c r="BA172" s="286"/>
      <c r="BB172" s="286"/>
      <c r="BC172" s="286"/>
      <c r="BD172" s="286"/>
      <c r="BE172" s="286"/>
    </row>
    <row r="173" spans="1:58">
      <c r="A173" s="223" t="s">
        <v>97</v>
      </c>
      <c r="B173" s="223" t="s">
        <v>96</v>
      </c>
      <c r="C173" s="223" t="s">
        <v>98</v>
      </c>
      <c r="D173" s="223"/>
      <c r="E173" s="3" t="s">
        <v>0</v>
      </c>
      <c r="F173" s="249">
        <v>44927</v>
      </c>
      <c r="G173" s="208">
        <v>44958</v>
      </c>
      <c r="H173" s="208">
        <v>44986</v>
      </c>
      <c r="I173" s="249">
        <v>45017</v>
      </c>
      <c r="J173" s="208">
        <v>45047</v>
      </c>
      <c r="K173" s="208">
        <v>45078</v>
      </c>
      <c r="L173" s="249">
        <v>45108</v>
      </c>
      <c r="M173" s="208">
        <v>45139</v>
      </c>
      <c r="N173" s="208">
        <v>45170</v>
      </c>
      <c r="O173" s="249">
        <v>45200</v>
      </c>
      <c r="P173" s="208">
        <v>45231</v>
      </c>
      <c r="Q173" s="208">
        <v>45261</v>
      </c>
      <c r="R173" s="249">
        <v>45292</v>
      </c>
      <c r="S173" s="208">
        <v>45323</v>
      </c>
      <c r="T173" s="208">
        <v>45352</v>
      </c>
      <c r="U173" s="249">
        <v>45383</v>
      </c>
      <c r="V173" s="208">
        <v>45413</v>
      </c>
      <c r="W173" s="208">
        <v>45444</v>
      </c>
      <c r="X173" s="249">
        <v>45474</v>
      </c>
      <c r="Y173" s="208">
        <v>45505</v>
      </c>
      <c r="Z173" s="208">
        <v>45536</v>
      </c>
      <c r="AA173" s="249">
        <v>45566</v>
      </c>
      <c r="AB173" s="208">
        <v>45597</v>
      </c>
      <c r="AC173" s="208">
        <v>45627</v>
      </c>
      <c r="AD173" s="208">
        <v>45658</v>
      </c>
      <c r="AE173" s="208">
        <v>45689</v>
      </c>
      <c r="AF173" s="208">
        <v>45717</v>
      </c>
      <c r="AG173" s="208">
        <v>45748</v>
      </c>
      <c r="AH173" s="208">
        <v>45778</v>
      </c>
      <c r="AI173" s="208">
        <v>45809</v>
      </c>
      <c r="AJ173" s="208">
        <v>45839</v>
      </c>
      <c r="AK173" s="208">
        <v>45870</v>
      </c>
      <c r="AL173" s="208">
        <v>45901</v>
      </c>
      <c r="AM173" s="208">
        <v>45931</v>
      </c>
      <c r="AN173" s="208">
        <v>45962</v>
      </c>
      <c r="AO173" s="208">
        <v>45992</v>
      </c>
      <c r="AP173" s="208">
        <v>46023</v>
      </c>
      <c r="AQ173" s="208">
        <v>46054</v>
      </c>
      <c r="AR173" s="208">
        <v>46082</v>
      </c>
      <c r="AS173" s="208">
        <v>46113</v>
      </c>
      <c r="AT173" s="208">
        <v>46143</v>
      </c>
      <c r="AU173" s="208">
        <v>46174</v>
      </c>
      <c r="AV173" s="273">
        <v>46204</v>
      </c>
      <c r="AW173" s="208">
        <v>46235</v>
      </c>
      <c r="AX173" s="273">
        <v>46266</v>
      </c>
      <c r="AZ173" s="251"/>
      <c r="BA173" s="251"/>
      <c r="BB173" s="251"/>
      <c r="BC173" s="251"/>
      <c r="BD173" s="251"/>
      <c r="BE173" s="251"/>
    </row>
    <row r="174" spans="1:58" ht="21">
      <c r="A174" s="223">
        <v>80</v>
      </c>
      <c r="B174" s="225">
        <v>0.69699999999999995</v>
      </c>
      <c r="C174" s="225">
        <v>3</v>
      </c>
      <c r="D174" s="221">
        <v>2</v>
      </c>
      <c r="E174" s="219" t="s">
        <v>16</v>
      </c>
      <c r="F174" s="209">
        <f t="shared" ref="F174:AC174" si="2">(F19+F45+F72+F98+F123+F149)/60</f>
        <v>0.11666666666666667</v>
      </c>
      <c r="G174" s="209">
        <f t="shared" si="2"/>
        <v>0.2</v>
      </c>
      <c r="H174" s="209">
        <f t="shared" si="2"/>
        <v>0.15</v>
      </c>
      <c r="I174" s="209">
        <f t="shared" si="2"/>
        <v>0.21666666666666667</v>
      </c>
      <c r="J174" s="209">
        <f t="shared" si="2"/>
        <v>-0.11666666666666667</v>
      </c>
      <c r="K174" s="209">
        <f t="shared" si="2"/>
        <v>8.3333333333333329E-2</v>
      </c>
      <c r="L174" s="209">
        <f t="shared" si="2"/>
        <v>-1.6666666666666666E-2</v>
      </c>
      <c r="M174" s="209">
        <f t="shared" si="2"/>
        <v>-8.3333333333333329E-2</v>
      </c>
      <c r="N174" s="209">
        <f t="shared" si="2"/>
        <v>0</v>
      </c>
      <c r="O174" s="209">
        <f t="shared" si="2"/>
        <v>0.33333333333333331</v>
      </c>
      <c r="P174" s="209">
        <f t="shared" si="2"/>
        <v>0.26666666666666666</v>
      </c>
      <c r="Q174" s="209">
        <f t="shared" si="2"/>
        <v>8.3333333333333329E-2</v>
      </c>
      <c r="R174" s="209">
        <f t="shared" si="2"/>
        <v>8.3333333333333329E-2</v>
      </c>
      <c r="S174" s="209">
        <f t="shared" si="2"/>
        <v>0.15</v>
      </c>
      <c r="T174" s="209">
        <f t="shared" si="2"/>
        <v>0.11666666666666667</v>
      </c>
      <c r="U174" s="209">
        <f t="shared" si="2"/>
        <v>-1.6666666666666666E-2</v>
      </c>
      <c r="V174" s="209">
        <f t="shared" si="2"/>
        <v>-0.21666666666666667</v>
      </c>
      <c r="W174" s="209">
        <f t="shared" si="2"/>
        <v>-0.18333333333333332</v>
      </c>
      <c r="X174" s="209">
        <f t="shared" si="2"/>
        <v>-0.25</v>
      </c>
      <c r="Y174" s="209">
        <f t="shared" si="2"/>
        <v>-0.15</v>
      </c>
      <c r="Z174" s="209">
        <f t="shared" si="2"/>
        <v>-0.11666666666666667</v>
      </c>
      <c r="AA174" s="209">
        <f t="shared" si="2"/>
        <v>-0.15</v>
      </c>
      <c r="AB174" s="209">
        <f t="shared" si="2"/>
        <v>-8.3333333333333329E-2</v>
      </c>
      <c r="AC174" s="209">
        <f t="shared" si="2"/>
        <v>1.6666666666666666E-2</v>
      </c>
      <c r="AD174" s="209">
        <f t="shared" ref="AD174:AD196" si="3">(AD19+AD45+AD72+AD98+AD123+AD149)/60</f>
        <v>-6.6666666666666666E-2</v>
      </c>
      <c r="AE174" s="209">
        <f t="shared" ref="AE174:AT188" si="4">(AE19+AE45+AE72+AE98+AE123+AE149)/60</f>
        <v>-6.6666666666666666E-2</v>
      </c>
      <c r="AF174" s="209">
        <f t="shared" si="4"/>
        <v>-0.13333333333333333</v>
      </c>
      <c r="AG174" s="209">
        <f t="shared" si="4"/>
        <v>-8.3333333333333329E-2</v>
      </c>
      <c r="AH174" s="209">
        <f t="shared" si="4"/>
        <v>0.26666666666666666</v>
      </c>
      <c r="AI174" s="209">
        <f t="shared" si="4"/>
        <v>0.2</v>
      </c>
      <c r="AJ174" s="209">
        <f t="shared" si="4"/>
        <v>0.35</v>
      </c>
      <c r="AK174" s="209">
        <f t="shared" si="4"/>
        <v>0.18333333333333332</v>
      </c>
      <c r="AL174" s="209">
        <f t="shared" si="4"/>
        <v>0.25</v>
      </c>
      <c r="AM174" s="209">
        <f t="shared" si="4"/>
        <v>0.3</v>
      </c>
      <c r="AN174" s="209">
        <f t="shared" si="4"/>
        <v>0.33333333333333331</v>
      </c>
      <c r="AO174" s="209">
        <f t="shared" si="4"/>
        <v>0.11666666666666667</v>
      </c>
      <c r="AP174" s="209">
        <f t="shared" si="4"/>
        <v>6.6666666666666666E-2</v>
      </c>
      <c r="AQ174" s="209">
        <f t="shared" si="4"/>
        <v>0.13333333333333333</v>
      </c>
      <c r="AR174" s="209">
        <f t="shared" si="4"/>
        <v>0.45</v>
      </c>
      <c r="AS174" s="209">
        <f t="shared" si="4"/>
        <v>0.33333333333333331</v>
      </c>
      <c r="AT174" s="209">
        <f t="shared" si="4"/>
        <v>3.3333333333333333E-2</v>
      </c>
      <c r="AU174" s="209">
        <f t="shared" ref="AU174:AU196" si="5">(AU19+AU45+AU72+AU98+AU123+AU149)/60</f>
        <v>6.6666666666666666E-2</v>
      </c>
      <c r="AV174" s="209">
        <f t="shared" ref="AV174" si="6">(AV19+AV45+AV72+AV98+AV123+AV149)/60</f>
        <v>1.6666666666666666E-2</v>
      </c>
      <c r="AW174" s="258">
        <f t="shared" ref="AW174:AX196" si="7">(AW19+AW45+AW72+AW98+AW123+AW149)/60</f>
        <v>0.05</v>
      </c>
      <c r="AX174" s="258">
        <f t="shared" si="7"/>
        <v>0.05</v>
      </c>
      <c r="AY174" s="274" t="s">
        <v>16</v>
      </c>
      <c r="AZ174" s="251" t="s">
        <v>45</v>
      </c>
      <c r="BA174" s="251" t="s">
        <v>101</v>
      </c>
      <c r="BB174" s="251" t="s">
        <v>102</v>
      </c>
      <c r="BC174" s="251" t="s">
        <v>103</v>
      </c>
      <c r="BD174" s="259"/>
      <c r="BE174" s="259"/>
      <c r="BF174" s="260"/>
    </row>
    <row r="175" spans="1:58" ht="21">
      <c r="A175" s="224"/>
      <c r="B175" s="224"/>
      <c r="C175" s="224"/>
      <c r="D175" s="221"/>
      <c r="E175" s="217" t="s">
        <v>46</v>
      </c>
      <c r="F175" s="209">
        <f t="shared" ref="F175:AC175" si="8">(F20+F46+F73+F99+F124+F150)/60</f>
        <v>0</v>
      </c>
      <c r="G175" s="209">
        <f t="shared" si="8"/>
        <v>1.6666666666666666E-2</v>
      </c>
      <c r="H175" s="209">
        <f t="shared" si="8"/>
        <v>-3.3333333333333333E-2</v>
      </c>
      <c r="I175" s="209">
        <f t="shared" si="8"/>
        <v>0</v>
      </c>
      <c r="J175" s="209">
        <f t="shared" si="8"/>
        <v>3.3333333333333333E-2</v>
      </c>
      <c r="K175" s="209">
        <f t="shared" si="8"/>
        <v>-0.05</v>
      </c>
      <c r="L175" s="209">
        <f t="shared" si="8"/>
        <v>-0.05</v>
      </c>
      <c r="M175" s="209">
        <f t="shared" si="8"/>
        <v>1.6666666666666666E-2</v>
      </c>
      <c r="N175" s="209">
        <f t="shared" si="8"/>
        <v>3.3333333333333333E-2</v>
      </c>
      <c r="O175" s="209">
        <f t="shared" si="8"/>
        <v>0.1</v>
      </c>
      <c r="P175" s="209">
        <f t="shared" si="8"/>
        <v>6.6666666666666666E-2</v>
      </c>
      <c r="Q175" s="209">
        <f t="shared" si="8"/>
        <v>0</v>
      </c>
      <c r="R175" s="209">
        <f t="shared" si="8"/>
        <v>-3.3333333333333333E-2</v>
      </c>
      <c r="S175" s="209">
        <f t="shared" si="8"/>
        <v>6.6666666666666666E-2</v>
      </c>
      <c r="T175" s="209">
        <f t="shared" si="8"/>
        <v>0.1</v>
      </c>
      <c r="U175" s="209">
        <f t="shared" si="8"/>
        <v>3.3333333333333333E-2</v>
      </c>
      <c r="V175" s="209">
        <f t="shared" si="8"/>
        <v>0.13333333333333333</v>
      </c>
      <c r="W175" s="209">
        <f t="shared" si="8"/>
        <v>0.1</v>
      </c>
      <c r="X175" s="209">
        <f t="shared" si="8"/>
        <v>0.23333333333333334</v>
      </c>
      <c r="Y175" s="209">
        <f t="shared" si="8"/>
        <v>0.38333333333333336</v>
      </c>
      <c r="Z175" s="209">
        <f t="shared" si="8"/>
        <v>0.36666666666666664</v>
      </c>
      <c r="AA175" s="209">
        <f t="shared" si="8"/>
        <v>0.36666666666666664</v>
      </c>
      <c r="AB175" s="209">
        <f t="shared" si="8"/>
        <v>0.33333333333333331</v>
      </c>
      <c r="AC175" s="209">
        <f t="shared" si="8"/>
        <v>0.33333333333333331</v>
      </c>
      <c r="AD175" s="209">
        <f t="shared" si="3"/>
        <v>0.26666666666666666</v>
      </c>
      <c r="AE175" s="209">
        <f t="shared" ref="AE175:AS175" si="9">(AE20+AE46+AE73+AE99+AE124+AE150)/60</f>
        <v>0.23333333333333334</v>
      </c>
      <c r="AF175" s="209">
        <f t="shared" si="9"/>
        <v>0.23333333333333334</v>
      </c>
      <c r="AG175" s="209">
        <f t="shared" si="9"/>
        <v>0.3</v>
      </c>
      <c r="AH175" s="209">
        <f t="shared" si="9"/>
        <v>0.3</v>
      </c>
      <c r="AI175" s="209">
        <f t="shared" si="9"/>
        <v>0.28333333333333333</v>
      </c>
      <c r="AJ175" s="209">
        <f t="shared" si="9"/>
        <v>0.35</v>
      </c>
      <c r="AK175" s="209">
        <f t="shared" si="9"/>
        <v>0.38333333333333336</v>
      </c>
      <c r="AL175" s="209">
        <f t="shared" si="9"/>
        <v>0.38333333333333336</v>
      </c>
      <c r="AM175" s="209">
        <f t="shared" si="9"/>
        <v>0.43333333333333335</v>
      </c>
      <c r="AN175" s="209">
        <f t="shared" si="9"/>
        <v>0.43333333333333335</v>
      </c>
      <c r="AO175" s="209">
        <f t="shared" si="9"/>
        <v>0.45</v>
      </c>
      <c r="AP175" s="209">
        <f t="shared" si="9"/>
        <v>0.4</v>
      </c>
      <c r="AQ175" s="209">
        <f t="shared" si="9"/>
        <v>0.4</v>
      </c>
      <c r="AR175" s="209">
        <f t="shared" si="9"/>
        <v>0.45</v>
      </c>
      <c r="AS175" s="209">
        <f t="shared" si="9"/>
        <v>0.38333333333333336</v>
      </c>
      <c r="AT175" s="209">
        <f t="shared" si="4"/>
        <v>0.43333333333333335</v>
      </c>
      <c r="AU175" s="209">
        <f t="shared" si="5"/>
        <v>0.46666666666666667</v>
      </c>
      <c r="AV175" s="209">
        <f t="shared" ref="AV175" si="10">(AV20+AV46+AV73+AV99+AV124+AV150)/60</f>
        <v>0.46666666666666667</v>
      </c>
      <c r="AW175" s="258">
        <f t="shared" si="7"/>
        <v>0.46666666666666667</v>
      </c>
      <c r="AX175" s="258">
        <f t="shared" si="7"/>
        <v>0.46666666666666667</v>
      </c>
      <c r="AY175" s="274" t="s">
        <v>46</v>
      </c>
      <c r="AZ175" s="277" t="s">
        <v>12</v>
      </c>
      <c r="BA175" s="278">
        <v>0.33022684875677299</v>
      </c>
      <c r="BB175" s="278">
        <v>71.428571428571402</v>
      </c>
      <c r="BC175" s="278">
        <v>-2.3465574685714099</v>
      </c>
      <c r="BD175" s="259"/>
      <c r="BE175" s="259"/>
      <c r="BF175" s="260"/>
    </row>
    <row r="176" spans="1:58" ht="21">
      <c r="A176" s="224"/>
      <c r="B176" s="224"/>
      <c r="C176" s="224"/>
      <c r="D176" s="221"/>
      <c r="E176" s="217" t="s">
        <v>17</v>
      </c>
      <c r="F176" s="209">
        <f t="shared" ref="F176:AC176" si="11">(F21+F47+F74+F100+F125+F151)/60</f>
        <v>-0.05</v>
      </c>
      <c r="G176" s="209">
        <f t="shared" si="11"/>
        <v>-0.05</v>
      </c>
      <c r="H176" s="209">
        <f t="shared" si="11"/>
        <v>-6.6666666666666666E-2</v>
      </c>
      <c r="I176" s="209">
        <f t="shared" si="11"/>
        <v>3.3333333333333333E-2</v>
      </c>
      <c r="J176" s="209">
        <f t="shared" si="11"/>
        <v>1.6666666666666666E-2</v>
      </c>
      <c r="K176" s="209">
        <f t="shared" si="11"/>
        <v>0.05</v>
      </c>
      <c r="L176" s="209">
        <f t="shared" si="11"/>
        <v>0.13333333333333333</v>
      </c>
      <c r="M176" s="209">
        <f t="shared" si="11"/>
        <v>0.25</v>
      </c>
      <c r="N176" s="209">
        <f t="shared" si="11"/>
        <v>0.16666666666666666</v>
      </c>
      <c r="O176" s="209">
        <f t="shared" si="11"/>
        <v>0.18333333333333332</v>
      </c>
      <c r="P176" s="209">
        <f t="shared" si="11"/>
        <v>0.18333333333333332</v>
      </c>
      <c r="Q176" s="209">
        <f t="shared" si="11"/>
        <v>0.11666666666666667</v>
      </c>
      <c r="R176" s="209">
        <f t="shared" si="11"/>
        <v>0.05</v>
      </c>
      <c r="S176" s="209">
        <f t="shared" si="11"/>
        <v>1.6666666666666666E-2</v>
      </c>
      <c r="T176" s="209">
        <f t="shared" si="11"/>
        <v>3.3333333333333333E-2</v>
      </c>
      <c r="U176" s="209">
        <f t="shared" si="11"/>
        <v>-0.05</v>
      </c>
      <c r="V176" s="209">
        <f t="shared" si="11"/>
        <v>-1.6666666666666666E-2</v>
      </c>
      <c r="W176" s="209">
        <f t="shared" si="11"/>
        <v>3.3333333333333333E-2</v>
      </c>
      <c r="X176" s="209">
        <f t="shared" si="11"/>
        <v>-3.3333333333333333E-2</v>
      </c>
      <c r="Y176" s="209">
        <f t="shared" si="11"/>
        <v>-6.6666666666666666E-2</v>
      </c>
      <c r="Z176" s="209">
        <f t="shared" si="11"/>
        <v>-0.05</v>
      </c>
      <c r="AA176" s="209">
        <f t="shared" si="11"/>
        <v>-1.6666666666666666E-2</v>
      </c>
      <c r="AB176" s="209">
        <f t="shared" si="11"/>
        <v>-0.11666666666666667</v>
      </c>
      <c r="AC176" s="209">
        <f t="shared" si="11"/>
        <v>-0.1</v>
      </c>
      <c r="AD176" s="209">
        <f t="shared" si="3"/>
        <v>-0.18333333333333332</v>
      </c>
      <c r="AE176" s="209">
        <f t="shared" si="4"/>
        <v>-6.6666666666666666E-2</v>
      </c>
      <c r="AF176" s="209">
        <f t="shared" si="4"/>
        <v>0</v>
      </c>
      <c r="AG176" s="209">
        <f t="shared" si="4"/>
        <v>-8.3333333333333329E-2</v>
      </c>
      <c r="AH176" s="209">
        <f t="shared" si="4"/>
        <v>-0.16666666666666666</v>
      </c>
      <c r="AI176" s="209">
        <f t="shared" si="4"/>
        <v>-0.11666666666666667</v>
      </c>
      <c r="AJ176" s="209">
        <f t="shared" si="4"/>
        <v>-0.11666666666666667</v>
      </c>
      <c r="AK176" s="209">
        <f t="shared" si="4"/>
        <v>-8.3333333333333329E-2</v>
      </c>
      <c r="AL176" s="209">
        <f t="shared" si="4"/>
        <v>-3.3333333333333333E-2</v>
      </c>
      <c r="AM176" s="209">
        <f t="shared" si="4"/>
        <v>0</v>
      </c>
      <c r="AN176" s="209">
        <f t="shared" si="4"/>
        <v>0</v>
      </c>
      <c r="AO176" s="209">
        <f t="shared" si="4"/>
        <v>-0.05</v>
      </c>
      <c r="AP176" s="209">
        <f t="shared" si="4"/>
        <v>0.16666666666666666</v>
      </c>
      <c r="AQ176" s="209">
        <f t="shared" si="4"/>
        <v>1.6666666666666666E-2</v>
      </c>
      <c r="AR176" s="209">
        <f t="shared" si="4"/>
        <v>-0.05</v>
      </c>
      <c r="AS176" s="209">
        <f t="shared" si="4"/>
        <v>-0.15</v>
      </c>
      <c r="AT176" s="209">
        <f t="shared" si="4"/>
        <v>-0.1</v>
      </c>
      <c r="AU176" s="209">
        <f t="shared" si="5"/>
        <v>-3.3333333333333333E-2</v>
      </c>
      <c r="AV176" s="209">
        <f t="shared" ref="AV176" si="12">(AV21+AV47+AV74+AV100+AV125+AV151)/60</f>
        <v>-0.05</v>
      </c>
      <c r="AW176" s="258">
        <f t="shared" si="7"/>
        <v>-8.3333333333333329E-2</v>
      </c>
      <c r="AX176" s="258">
        <f t="shared" si="7"/>
        <v>-6.6666666666666666E-2</v>
      </c>
      <c r="AY176" s="274" t="s">
        <v>17</v>
      </c>
      <c r="AZ176" s="277" t="s">
        <v>48</v>
      </c>
      <c r="BA176" s="278">
        <v>0.201354123127892</v>
      </c>
      <c r="BB176" s="278">
        <v>71.428571428571402</v>
      </c>
      <c r="BC176" s="278">
        <v>-1.36393210516019</v>
      </c>
      <c r="BD176" s="261"/>
      <c r="BE176" s="259"/>
      <c r="BF176" s="260"/>
    </row>
    <row r="177" spans="1:58" ht="21">
      <c r="A177" s="224"/>
      <c r="B177" s="224"/>
      <c r="C177" s="224"/>
      <c r="D177" s="221"/>
      <c r="E177" s="217" t="s">
        <v>47</v>
      </c>
      <c r="F177" s="209">
        <f t="shared" ref="F177:AC177" si="13">(F22+F48+F75+F101+F126+F152)/60</f>
        <v>6.6666666666666666E-2</v>
      </c>
      <c r="G177" s="209">
        <f t="shared" si="13"/>
        <v>0.18333333333333332</v>
      </c>
      <c r="H177" s="209">
        <f t="shared" si="13"/>
        <v>0.15</v>
      </c>
      <c r="I177" s="209">
        <f t="shared" si="13"/>
        <v>0.16666666666666666</v>
      </c>
      <c r="J177" s="209">
        <f t="shared" si="13"/>
        <v>0.15</v>
      </c>
      <c r="K177" s="209">
        <f t="shared" si="13"/>
        <v>0.18333333333333332</v>
      </c>
      <c r="L177" s="209">
        <f t="shared" si="13"/>
        <v>0.21666666666666667</v>
      </c>
      <c r="M177" s="209">
        <f t="shared" si="13"/>
        <v>0.11666666666666667</v>
      </c>
      <c r="N177" s="209">
        <f t="shared" si="13"/>
        <v>-0.13333333333333333</v>
      </c>
      <c r="O177" s="209">
        <f t="shared" si="13"/>
        <v>6.6666666666666666E-2</v>
      </c>
      <c r="P177" s="209">
        <f t="shared" si="13"/>
        <v>0.11666666666666667</v>
      </c>
      <c r="Q177" s="209">
        <f t="shared" si="13"/>
        <v>0.11666666666666667</v>
      </c>
      <c r="R177" s="209">
        <f t="shared" si="13"/>
        <v>0.1</v>
      </c>
      <c r="S177" s="209">
        <f t="shared" si="13"/>
        <v>3.3333333333333333E-2</v>
      </c>
      <c r="T177" s="209">
        <f t="shared" si="13"/>
        <v>0.11666666666666667</v>
      </c>
      <c r="U177" s="209">
        <f t="shared" si="13"/>
        <v>0.05</v>
      </c>
      <c r="V177" s="209">
        <f t="shared" si="13"/>
        <v>-1.6666666666666666E-2</v>
      </c>
      <c r="W177" s="209">
        <f t="shared" si="13"/>
        <v>-6.6666666666666666E-2</v>
      </c>
      <c r="X177" s="209">
        <f t="shared" si="13"/>
        <v>-0.05</v>
      </c>
      <c r="Y177" s="209">
        <f t="shared" si="13"/>
        <v>-1.6666666666666666E-2</v>
      </c>
      <c r="Z177" s="209">
        <f t="shared" si="13"/>
        <v>0</v>
      </c>
      <c r="AA177" s="209">
        <f t="shared" si="13"/>
        <v>-0.05</v>
      </c>
      <c r="AB177" s="209">
        <f t="shared" si="13"/>
        <v>-1.6666666666666666E-2</v>
      </c>
      <c r="AC177" s="209">
        <f t="shared" si="13"/>
        <v>-3.3333333333333333E-2</v>
      </c>
      <c r="AD177" s="209">
        <f t="shared" si="3"/>
        <v>8.3333333333333329E-2</v>
      </c>
      <c r="AE177" s="209">
        <f t="shared" si="4"/>
        <v>0.1</v>
      </c>
      <c r="AF177" s="209">
        <f t="shared" si="4"/>
        <v>0.11666666666666667</v>
      </c>
      <c r="AG177" s="209">
        <f t="shared" si="4"/>
        <v>-0.05</v>
      </c>
      <c r="AH177" s="209">
        <f t="shared" si="4"/>
        <v>1.6666666666666666E-2</v>
      </c>
      <c r="AI177" s="209">
        <f t="shared" si="4"/>
        <v>3.3333333333333333E-2</v>
      </c>
      <c r="AJ177" s="209">
        <f t="shared" si="4"/>
        <v>-3.3333333333333333E-2</v>
      </c>
      <c r="AK177" s="209">
        <f t="shared" si="4"/>
        <v>3.3333333333333333E-2</v>
      </c>
      <c r="AL177" s="209">
        <f t="shared" si="4"/>
        <v>-0.05</v>
      </c>
      <c r="AM177" s="209">
        <f t="shared" si="4"/>
        <v>-0.11666666666666667</v>
      </c>
      <c r="AN177" s="209">
        <f t="shared" si="4"/>
        <v>-0.11666666666666667</v>
      </c>
      <c r="AO177" s="209">
        <f t="shared" si="4"/>
        <v>-8.3333333333333329E-2</v>
      </c>
      <c r="AP177" s="209">
        <f t="shared" si="4"/>
        <v>-0.11666666666666667</v>
      </c>
      <c r="AQ177" s="209">
        <f t="shared" si="4"/>
        <v>-0.15</v>
      </c>
      <c r="AR177" s="209">
        <f t="shared" si="4"/>
        <v>-0.16666666666666666</v>
      </c>
      <c r="AS177" s="209">
        <f t="shared" si="4"/>
        <v>-0.1</v>
      </c>
      <c r="AT177" s="209">
        <f t="shared" si="4"/>
        <v>-6.6666666666666666E-2</v>
      </c>
      <c r="AU177" s="209">
        <f t="shared" si="5"/>
        <v>-0.11666666666666667</v>
      </c>
      <c r="AV177" s="209">
        <f t="shared" ref="AV177" si="14">(AV22+AV48+AV75+AV101+AV126+AV152)/60</f>
        <v>-0.16666666666666666</v>
      </c>
      <c r="AW177" s="258">
        <f t="shared" si="7"/>
        <v>-0.16666666666666666</v>
      </c>
      <c r="AX177" s="258">
        <f t="shared" si="7"/>
        <v>-0.15</v>
      </c>
      <c r="AY177" s="275" t="s">
        <v>47</v>
      </c>
      <c r="AZ177" s="277" t="s">
        <v>53</v>
      </c>
      <c r="BA177" s="278">
        <v>-0.40008690059158603</v>
      </c>
      <c r="BB177" s="278">
        <v>71.428571428571402</v>
      </c>
      <c r="BC177" s="278">
        <v>-1.4725175744812</v>
      </c>
      <c r="BD177" s="259"/>
      <c r="BE177" s="259"/>
      <c r="BF177" s="260"/>
    </row>
    <row r="178" spans="1:58" ht="21">
      <c r="A178" s="224"/>
      <c r="B178" s="224"/>
      <c r="C178" s="224"/>
      <c r="D178" s="221"/>
      <c r="E178" s="217" t="s">
        <v>14</v>
      </c>
      <c r="F178" s="209">
        <f t="shared" ref="F178:AC178" si="15">(F23+F49+F76+F102+F127+F153)/60</f>
        <v>0.15</v>
      </c>
      <c r="G178" s="209">
        <f t="shared" si="15"/>
        <v>0.13333333333333333</v>
      </c>
      <c r="H178" s="209">
        <f t="shared" si="15"/>
        <v>0.11666666666666667</v>
      </c>
      <c r="I178" s="209">
        <f t="shared" si="15"/>
        <v>0.15</v>
      </c>
      <c r="J178" s="209">
        <f t="shared" si="15"/>
        <v>0.15</v>
      </c>
      <c r="K178" s="209">
        <f t="shared" si="15"/>
        <v>0.15</v>
      </c>
      <c r="L178" s="209">
        <f t="shared" si="15"/>
        <v>0.16666666666666666</v>
      </c>
      <c r="M178" s="209">
        <f t="shared" si="15"/>
        <v>0.16666666666666666</v>
      </c>
      <c r="N178" s="209">
        <f t="shared" si="15"/>
        <v>0.31666666666666665</v>
      </c>
      <c r="O178" s="209">
        <f t="shared" si="15"/>
        <v>0.4</v>
      </c>
      <c r="P178" s="209">
        <f t="shared" si="15"/>
        <v>0.45</v>
      </c>
      <c r="Q178" s="209">
        <f t="shared" si="15"/>
        <v>0.2</v>
      </c>
      <c r="R178" s="209">
        <f t="shared" si="15"/>
        <v>0.26666666666666666</v>
      </c>
      <c r="S178" s="209">
        <f t="shared" si="15"/>
        <v>0.43333333333333335</v>
      </c>
      <c r="T178" s="209">
        <f t="shared" si="15"/>
        <v>0.43333333333333335</v>
      </c>
      <c r="U178" s="209">
        <f t="shared" si="15"/>
        <v>0.28333333333333333</v>
      </c>
      <c r="V178" s="209">
        <f t="shared" si="15"/>
        <v>0.13333333333333333</v>
      </c>
      <c r="W178" s="209">
        <f t="shared" si="15"/>
        <v>8.3333333333333329E-2</v>
      </c>
      <c r="X178" s="209">
        <f t="shared" si="15"/>
        <v>-3.3333333333333333E-2</v>
      </c>
      <c r="Y178" s="209">
        <f t="shared" si="15"/>
        <v>0</v>
      </c>
      <c r="Z178" s="209">
        <f t="shared" si="15"/>
        <v>-1.6666666666666666E-2</v>
      </c>
      <c r="AA178" s="209">
        <f t="shared" si="15"/>
        <v>-1.6666666666666666E-2</v>
      </c>
      <c r="AB178" s="209">
        <f t="shared" si="15"/>
        <v>0</v>
      </c>
      <c r="AC178" s="209">
        <f t="shared" si="15"/>
        <v>0</v>
      </c>
      <c r="AD178" s="209">
        <f t="shared" si="3"/>
        <v>-3.3333333333333333E-2</v>
      </c>
      <c r="AE178" s="209">
        <f t="shared" si="4"/>
        <v>-3.3333333333333333E-2</v>
      </c>
      <c r="AF178" s="209">
        <f t="shared" si="4"/>
        <v>-0.05</v>
      </c>
      <c r="AG178" s="209">
        <f t="shared" si="4"/>
        <v>-8.3333333333333329E-2</v>
      </c>
      <c r="AH178" s="209">
        <f t="shared" si="4"/>
        <v>0.3</v>
      </c>
      <c r="AI178" s="209">
        <f t="shared" si="4"/>
        <v>0.31666666666666665</v>
      </c>
      <c r="AJ178" s="209">
        <f t="shared" si="4"/>
        <v>0.43333333333333335</v>
      </c>
      <c r="AK178" s="209">
        <f t="shared" si="4"/>
        <v>0.4</v>
      </c>
      <c r="AL178" s="209">
        <f t="shared" si="4"/>
        <v>0.35</v>
      </c>
      <c r="AM178" s="209">
        <f t="shared" si="4"/>
        <v>0.38333333333333336</v>
      </c>
      <c r="AN178" s="209">
        <f t="shared" si="4"/>
        <v>0.35</v>
      </c>
      <c r="AO178" s="209">
        <f t="shared" si="4"/>
        <v>0.21666666666666667</v>
      </c>
      <c r="AP178" s="209">
        <f t="shared" si="4"/>
        <v>0.11666666666666667</v>
      </c>
      <c r="AQ178" s="209">
        <f t="shared" si="4"/>
        <v>8.3333333333333329E-2</v>
      </c>
      <c r="AR178" s="209">
        <f t="shared" si="4"/>
        <v>-6.6666666666666666E-2</v>
      </c>
      <c r="AS178" s="209">
        <f t="shared" si="4"/>
        <v>0.18333333333333332</v>
      </c>
      <c r="AT178" s="209">
        <f t="shared" si="4"/>
        <v>3.3333333333333333E-2</v>
      </c>
      <c r="AU178" s="209">
        <f t="shared" si="5"/>
        <v>-0.05</v>
      </c>
      <c r="AV178" s="209">
        <f t="shared" ref="AV178" si="16">(AV23+AV49+AV76+AV102+AV127+AV153)/60</f>
        <v>-0.31666666666666665</v>
      </c>
      <c r="AW178" s="258">
        <f t="shared" si="7"/>
        <v>-1.6666666666666666E-2</v>
      </c>
      <c r="AX178" s="258">
        <f t="shared" si="7"/>
        <v>0</v>
      </c>
      <c r="AY178" s="275" t="s">
        <v>14</v>
      </c>
      <c r="AZ178" s="251" t="s">
        <v>18</v>
      </c>
      <c r="BA178" s="252">
        <v>0.47640255801812398</v>
      </c>
      <c r="BB178" s="252">
        <v>57.142857142857103</v>
      </c>
      <c r="BC178" s="252">
        <v>-2.8098047729503302</v>
      </c>
      <c r="BD178" s="259"/>
      <c r="BE178" s="259"/>
      <c r="BF178" s="260"/>
    </row>
    <row r="179" spans="1:58" ht="21">
      <c r="A179" s="224"/>
      <c r="B179" s="224"/>
      <c r="C179" s="224"/>
      <c r="D179" s="221"/>
      <c r="E179" s="217" t="s">
        <v>48</v>
      </c>
      <c r="F179" s="209">
        <f t="shared" ref="F179:AC179" si="17">(F24+F50+F77+F103+F128+F154)/60</f>
        <v>-6.6666666666666666E-2</v>
      </c>
      <c r="G179" s="209">
        <f t="shared" si="17"/>
        <v>-0.05</v>
      </c>
      <c r="H179" s="209">
        <f t="shared" si="17"/>
        <v>-0.05</v>
      </c>
      <c r="I179" s="209">
        <f t="shared" si="17"/>
        <v>-1.6666666666666666E-2</v>
      </c>
      <c r="J179" s="209">
        <f t="shared" si="17"/>
        <v>0</v>
      </c>
      <c r="K179" s="209">
        <f t="shared" si="17"/>
        <v>0</v>
      </c>
      <c r="L179" s="209">
        <f t="shared" si="17"/>
        <v>-3.3333333333333333E-2</v>
      </c>
      <c r="M179" s="209">
        <f t="shared" si="17"/>
        <v>-3.3333333333333333E-2</v>
      </c>
      <c r="N179" s="209">
        <f t="shared" si="17"/>
        <v>-1.6666666666666666E-2</v>
      </c>
      <c r="O179" s="209">
        <f t="shared" si="17"/>
        <v>-1.6666666666666666E-2</v>
      </c>
      <c r="P179" s="209">
        <f t="shared" si="17"/>
        <v>-0.28333333333333333</v>
      </c>
      <c r="Q179" s="209">
        <f t="shared" si="17"/>
        <v>-1.6666666666666666E-2</v>
      </c>
      <c r="R179" s="209">
        <f t="shared" si="17"/>
        <v>-6.6666666666666666E-2</v>
      </c>
      <c r="S179" s="209">
        <f t="shared" si="17"/>
        <v>-6.6666666666666666E-2</v>
      </c>
      <c r="T179" s="209">
        <f t="shared" si="17"/>
        <v>-3.3333333333333333E-2</v>
      </c>
      <c r="U179" s="209">
        <f t="shared" si="17"/>
        <v>-0.38333333333333336</v>
      </c>
      <c r="V179" s="209">
        <f t="shared" si="17"/>
        <v>-6.6666666666666666E-2</v>
      </c>
      <c r="W179" s="209">
        <f t="shared" si="17"/>
        <v>-0.11666666666666667</v>
      </c>
      <c r="X179" s="209">
        <f t="shared" si="17"/>
        <v>8.3333333333333329E-2</v>
      </c>
      <c r="Y179" s="209">
        <f t="shared" si="17"/>
        <v>1.6666666666666666E-2</v>
      </c>
      <c r="Z179" s="209">
        <f t="shared" si="17"/>
        <v>1.6666666666666666E-2</v>
      </c>
      <c r="AA179" s="209">
        <f t="shared" si="17"/>
        <v>0.26666666666666666</v>
      </c>
      <c r="AB179" s="209">
        <f t="shared" si="17"/>
        <v>0.26666666666666666</v>
      </c>
      <c r="AC179" s="209">
        <f t="shared" si="17"/>
        <v>0.28333333333333333</v>
      </c>
      <c r="AD179" s="209">
        <f t="shared" si="3"/>
        <v>0.2</v>
      </c>
      <c r="AE179" s="209">
        <f t="shared" si="4"/>
        <v>0.2</v>
      </c>
      <c r="AF179" s="209">
        <f t="shared" si="4"/>
        <v>0.18333333333333332</v>
      </c>
      <c r="AG179" s="209">
        <f t="shared" si="4"/>
        <v>0.35</v>
      </c>
      <c r="AH179" s="209">
        <f t="shared" si="4"/>
        <v>0.35</v>
      </c>
      <c r="AI179" s="209">
        <f t="shared" si="4"/>
        <v>0.35</v>
      </c>
      <c r="AJ179" s="209">
        <f t="shared" si="4"/>
        <v>0.36666666666666664</v>
      </c>
      <c r="AK179" s="209">
        <f t="shared" si="4"/>
        <v>0.36666666666666664</v>
      </c>
      <c r="AL179" s="209">
        <f t="shared" si="4"/>
        <v>0.38333333333333336</v>
      </c>
      <c r="AM179" s="209">
        <f t="shared" si="4"/>
        <v>0.36666666666666664</v>
      </c>
      <c r="AN179" s="209">
        <f t="shared" si="4"/>
        <v>0.36666666666666664</v>
      </c>
      <c r="AO179" s="209">
        <f t="shared" si="4"/>
        <v>0.36666666666666664</v>
      </c>
      <c r="AP179" s="209">
        <f t="shared" si="4"/>
        <v>0.25</v>
      </c>
      <c r="AQ179" s="209">
        <f t="shared" si="4"/>
        <v>0.26666666666666666</v>
      </c>
      <c r="AR179" s="209">
        <f t="shared" si="4"/>
        <v>0.28333333333333333</v>
      </c>
      <c r="AS179" s="209">
        <f t="shared" si="4"/>
        <v>0.3</v>
      </c>
      <c r="AT179" s="209">
        <f t="shared" si="4"/>
        <v>0.3</v>
      </c>
      <c r="AU179" s="209">
        <f t="shared" si="5"/>
        <v>0.31666666666666665</v>
      </c>
      <c r="AV179" s="209">
        <f t="shared" ref="AV179" si="18">(AV24+AV50+AV77+AV103+AV128+AV154)/60</f>
        <v>0.35</v>
      </c>
      <c r="AW179" s="258">
        <f t="shared" si="7"/>
        <v>0.35</v>
      </c>
      <c r="AX179" s="258">
        <f t="shared" si="7"/>
        <v>0.35</v>
      </c>
      <c r="AY179" s="264" t="s">
        <v>48</v>
      </c>
      <c r="AZ179" s="251" t="s">
        <v>104</v>
      </c>
      <c r="BA179" s="252">
        <v>0.34907681722581302</v>
      </c>
      <c r="BB179" s="252">
        <v>57.142857142857103</v>
      </c>
      <c r="BC179" s="252">
        <v>-1.9839540552223101</v>
      </c>
      <c r="BD179" s="259"/>
      <c r="BE179" s="259"/>
      <c r="BF179" s="260"/>
    </row>
    <row r="180" spans="1:58" ht="21">
      <c r="A180" s="224"/>
      <c r="B180" s="224"/>
      <c r="C180" s="224"/>
      <c r="D180" s="221"/>
      <c r="E180" s="217" t="s">
        <v>49</v>
      </c>
      <c r="F180" s="209">
        <f t="shared" ref="F180:AC180" si="19">(F25+F51+F78+F104+F129+F155)/60</f>
        <v>0.11666666666666667</v>
      </c>
      <c r="G180" s="209">
        <f t="shared" si="19"/>
        <v>0.13333333333333333</v>
      </c>
      <c r="H180" s="209">
        <f t="shared" si="19"/>
        <v>3.3333333333333333E-2</v>
      </c>
      <c r="I180" s="209">
        <f t="shared" si="19"/>
        <v>0.16666666666666666</v>
      </c>
      <c r="J180" s="209">
        <f t="shared" si="19"/>
        <v>0.13333333333333333</v>
      </c>
      <c r="K180" s="209">
        <f t="shared" si="19"/>
        <v>0.1</v>
      </c>
      <c r="L180" s="209">
        <f t="shared" si="19"/>
        <v>0.16666666666666666</v>
      </c>
      <c r="M180" s="209">
        <f t="shared" si="19"/>
        <v>0.13333333333333333</v>
      </c>
      <c r="N180" s="209">
        <f t="shared" si="19"/>
        <v>0.21666666666666667</v>
      </c>
      <c r="O180" s="209">
        <f t="shared" si="19"/>
        <v>0.26666666666666666</v>
      </c>
      <c r="P180" s="209">
        <f t="shared" si="19"/>
        <v>0.23333333333333334</v>
      </c>
      <c r="Q180" s="209">
        <f t="shared" si="19"/>
        <v>0.33333333333333331</v>
      </c>
      <c r="R180" s="209">
        <f t="shared" si="19"/>
        <v>0.2</v>
      </c>
      <c r="S180" s="209">
        <f t="shared" si="19"/>
        <v>0.15</v>
      </c>
      <c r="T180" s="209">
        <f t="shared" si="19"/>
        <v>0.16666666666666666</v>
      </c>
      <c r="U180" s="209">
        <f t="shared" si="19"/>
        <v>-0.05</v>
      </c>
      <c r="V180" s="209">
        <f t="shared" si="19"/>
        <v>-0.15</v>
      </c>
      <c r="W180" s="209">
        <f t="shared" si="19"/>
        <v>-0.2</v>
      </c>
      <c r="X180" s="209">
        <f t="shared" si="19"/>
        <v>-0.23333333333333334</v>
      </c>
      <c r="Y180" s="209">
        <f t="shared" si="19"/>
        <v>-0.11666666666666667</v>
      </c>
      <c r="Z180" s="209">
        <f t="shared" si="19"/>
        <v>-0.21666666666666667</v>
      </c>
      <c r="AA180" s="209">
        <f t="shared" si="19"/>
        <v>-8.3333333333333329E-2</v>
      </c>
      <c r="AB180" s="209">
        <f t="shared" si="19"/>
        <v>-3.3333333333333333E-2</v>
      </c>
      <c r="AC180" s="209">
        <f t="shared" si="19"/>
        <v>-0.11666666666666667</v>
      </c>
      <c r="AD180" s="209">
        <f t="shared" si="3"/>
        <v>6.6666666666666666E-2</v>
      </c>
      <c r="AE180" s="209">
        <f t="shared" si="4"/>
        <v>6.6666666666666666E-2</v>
      </c>
      <c r="AF180" s="209">
        <f t="shared" si="4"/>
        <v>0.05</v>
      </c>
      <c r="AG180" s="209">
        <f t="shared" si="4"/>
        <v>8.3333333333333329E-2</v>
      </c>
      <c r="AH180" s="209">
        <f t="shared" si="4"/>
        <v>6.6666666666666666E-2</v>
      </c>
      <c r="AI180" s="209">
        <f t="shared" si="4"/>
        <v>8.3333333333333329E-2</v>
      </c>
      <c r="AJ180" s="209">
        <f t="shared" si="4"/>
        <v>0.05</v>
      </c>
      <c r="AK180" s="209">
        <f t="shared" si="4"/>
        <v>3.3333333333333333E-2</v>
      </c>
      <c r="AL180" s="209">
        <f t="shared" si="4"/>
        <v>0</v>
      </c>
      <c r="AM180" s="209">
        <f t="shared" si="4"/>
        <v>0</v>
      </c>
      <c r="AN180" s="209">
        <f t="shared" si="4"/>
        <v>6.6666666666666666E-2</v>
      </c>
      <c r="AO180" s="209">
        <f t="shared" si="4"/>
        <v>-1.6666666666666666E-2</v>
      </c>
      <c r="AP180" s="209">
        <f t="shared" si="4"/>
        <v>-8.3333333333333329E-2</v>
      </c>
      <c r="AQ180" s="209">
        <f t="shared" si="4"/>
        <v>1.6666666666666666E-2</v>
      </c>
      <c r="AR180" s="209">
        <f t="shared" si="4"/>
        <v>-0.05</v>
      </c>
      <c r="AS180" s="209">
        <f t="shared" si="4"/>
        <v>-0.25</v>
      </c>
      <c r="AT180" s="209">
        <f t="shared" si="4"/>
        <v>-0.31666666666666665</v>
      </c>
      <c r="AU180" s="209">
        <f t="shared" si="5"/>
        <v>-0.23333333333333334</v>
      </c>
      <c r="AV180" s="209">
        <f t="shared" ref="AV180" si="20">(AV25+AV51+AV78+AV104+AV129+AV155)/60</f>
        <v>-0.21666666666666667</v>
      </c>
      <c r="AW180" s="258">
        <f t="shared" si="7"/>
        <v>-0.31666666666666665</v>
      </c>
      <c r="AX180" s="258">
        <f t="shared" si="7"/>
        <v>-0.18333333333333332</v>
      </c>
      <c r="AY180" s="275" t="s">
        <v>49</v>
      </c>
      <c r="AZ180" s="251" t="s">
        <v>51</v>
      </c>
      <c r="BA180" s="252">
        <v>0.30033968518071202</v>
      </c>
      <c r="BB180" s="252">
        <v>57.142857142857103</v>
      </c>
      <c r="BC180" s="252">
        <v>-2.6476242941429602</v>
      </c>
      <c r="BD180" s="259"/>
      <c r="BE180" s="259"/>
      <c r="BF180" s="260"/>
    </row>
    <row r="181" spans="1:58" ht="21">
      <c r="A181" s="224"/>
      <c r="B181" s="224"/>
      <c r="C181" s="224"/>
      <c r="D181" s="221"/>
      <c r="E181" s="218" t="s">
        <v>15</v>
      </c>
      <c r="F181" s="209">
        <f t="shared" ref="F181:AC181" si="21">(F26+F52+F79+F105+F130+F156)/60</f>
        <v>0.05</v>
      </c>
      <c r="G181" s="209">
        <f t="shared" si="21"/>
        <v>0.18333333333333332</v>
      </c>
      <c r="H181" s="209">
        <f t="shared" si="21"/>
        <v>0.18333333333333332</v>
      </c>
      <c r="I181" s="209">
        <f t="shared" si="21"/>
        <v>0.18333333333333332</v>
      </c>
      <c r="J181" s="209">
        <f t="shared" si="21"/>
        <v>0.2</v>
      </c>
      <c r="K181" s="209">
        <f t="shared" si="21"/>
        <v>0.15</v>
      </c>
      <c r="L181" s="209">
        <f t="shared" si="21"/>
        <v>0.23333333333333334</v>
      </c>
      <c r="M181" s="209">
        <f t="shared" si="21"/>
        <v>0.16666666666666666</v>
      </c>
      <c r="N181" s="209">
        <f t="shared" si="21"/>
        <v>-0.05</v>
      </c>
      <c r="O181" s="209">
        <f t="shared" si="21"/>
        <v>0.15</v>
      </c>
      <c r="P181" s="209">
        <f t="shared" si="21"/>
        <v>0.21666666666666667</v>
      </c>
      <c r="Q181" s="209">
        <f t="shared" si="21"/>
        <v>0.18333333333333332</v>
      </c>
      <c r="R181" s="209">
        <f t="shared" si="21"/>
        <v>0.15</v>
      </c>
      <c r="S181" s="209">
        <f t="shared" si="21"/>
        <v>0.1</v>
      </c>
      <c r="T181" s="209">
        <f t="shared" si="21"/>
        <v>0.16666666666666666</v>
      </c>
      <c r="U181" s="209">
        <f t="shared" si="21"/>
        <v>0.1</v>
      </c>
      <c r="V181" s="209">
        <f t="shared" si="21"/>
        <v>0.1</v>
      </c>
      <c r="W181" s="209">
        <f t="shared" si="21"/>
        <v>1.6666666666666666E-2</v>
      </c>
      <c r="X181" s="209">
        <f t="shared" si="21"/>
        <v>0.05</v>
      </c>
      <c r="Y181" s="209">
        <f t="shared" si="21"/>
        <v>-6.6666666666666666E-2</v>
      </c>
      <c r="Z181" s="209">
        <f t="shared" si="21"/>
        <v>-3.3333333333333333E-2</v>
      </c>
      <c r="AA181" s="209">
        <f t="shared" si="21"/>
        <v>-8.3333333333333329E-2</v>
      </c>
      <c r="AB181" s="209">
        <f t="shared" si="21"/>
        <v>-0.15</v>
      </c>
      <c r="AC181" s="209">
        <f t="shared" si="21"/>
        <v>-0.11666666666666667</v>
      </c>
      <c r="AD181" s="209">
        <f t="shared" si="3"/>
        <v>-0.1</v>
      </c>
      <c r="AE181" s="209">
        <f t="shared" si="4"/>
        <v>0.05</v>
      </c>
      <c r="AF181" s="209">
        <f t="shared" si="4"/>
        <v>3.3333333333333333E-2</v>
      </c>
      <c r="AG181" s="209">
        <f t="shared" si="4"/>
        <v>-0.11666666666666667</v>
      </c>
      <c r="AH181" s="209">
        <f t="shared" si="4"/>
        <v>-8.3333333333333329E-2</v>
      </c>
      <c r="AI181" s="209">
        <f t="shared" si="4"/>
        <v>-1.6666666666666666E-2</v>
      </c>
      <c r="AJ181" s="209">
        <f t="shared" si="4"/>
        <v>-0.15</v>
      </c>
      <c r="AK181" s="209">
        <f t="shared" si="4"/>
        <v>-0.05</v>
      </c>
      <c r="AL181" s="209">
        <f t="shared" si="4"/>
        <v>-8.3333333333333329E-2</v>
      </c>
      <c r="AM181" s="209">
        <f t="shared" si="4"/>
        <v>-0.1</v>
      </c>
      <c r="AN181" s="209">
        <f t="shared" si="4"/>
        <v>-0.13333333333333333</v>
      </c>
      <c r="AO181" s="209">
        <f t="shared" si="4"/>
        <v>-8.3333333333333329E-2</v>
      </c>
      <c r="AP181" s="209">
        <f t="shared" si="4"/>
        <v>-0.05</v>
      </c>
      <c r="AQ181" s="209">
        <f t="shared" si="4"/>
        <v>-0.15</v>
      </c>
      <c r="AR181" s="209">
        <f t="shared" si="4"/>
        <v>-0.25</v>
      </c>
      <c r="AS181" s="209">
        <f t="shared" si="4"/>
        <v>-0.21666666666666667</v>
      </c>
      <c r="AT181" s="209">
        <f t="shared" si="4"/>
        <v>-0.15</v>
      </c>
      <c r="AU181" s="209">
        <f t="shared" si="5"/>
        <v>-0.18333333333333332</v>
      </c>
      <c r="AV181" s="209">
        <f t="shared" ref="AV181" si="22">(AV26+AV52+AV79+AV105+AV130+AV156)/60</f>
        <v>-0.15</v>
      </c>
      <c r="AW181" s="258">
        <f t="shared" si="7"/>
        <v>-0.25</v>
      </c>
      <c r="AX181" s="258">
        <f t="shared" si="7"/>
        <v>-0.2</v>
      </c>
      <c r="AY181" s="276" t="s">
        <v>15</v>
      </c>
      <c r="AZ181" s="251" t="s">
        <v>20</v>
      </c>
      <c r="BA181" s="252">
        <v>0.28885052324238197</v>
      </c>
      <c r="BB181" s="252">
        <v>57.142857142857103</v>
      </c>
      <c r="BC181" s="252">
        <v>-1.82887662656953</v>
      </c>
      <c r="BD181" s="259"/>
      <c r="BE181" s="259"/>
      <c r="BF181" s="262"/>
    </row>
    <row r="182" spans="1:58" ht="21">
      <c r="A182" s="224"/>
      <c r="B182" s="224"/>
      <c r="C182" s="224"/>
      <c r="D182" s="221"/>
      <c r="E182" s="217" t="s">
        <v>12</v>
      </c>
      <c r="F182" s="209">
        <f t="shared" ref="F182:AC182" si="23">(F27+F53+F80+F106+F131+F157)/60</f>
        <v>-0.23333333333333334</v>
      </c>
      <c r="G182" s="209">
        <f t="shared" si="23"/>
        <v>-0.2</v>
      </c>
      <c r="H182" s="209">
        <f t="shared" si="23"/>
        <v>-0.11666666666666667</v>
      </c>
      <c r="I182" s="209">
        <f t="shared" si="23"/>
        <v>-0.1</v>
      </c>
      <c r="J182" s="209">
        <f t="shared" si="23"/>
        <v>-0.11666666666666667</v>
      </c>
      <c r="K182" s="209">
        <f t="shared" si="23"/>
        <v>-0.11666666666666667</v>
      </c>
      <c r="L182" s="209">
        <f t="shared" si="23"/>
        <v>-0.1</v>
      </c>
      <c r="M182" s="209">
        <f t="shared" si="23"/>
        <v>-0.1</v>
      </c>
      <c r="N182" s="209">
        <f t="shared" si="23"/>
        <v>-0.1</v>
      </c>
      <c r="O182" s="209">
        <f t="shared" si="23"/>
        <v>-0.05</v>
      </c>
      <c r="P182" s="209">
        <f t="shared" si="23"/>
        <v>-6.6666666666666666E-2</v>
      </c>
      <c r="Q182" s="209">
        <f t="shared" si="23"/>
        <v>-8.3333333333333329E-2</v>
      </c>
      <c r="R182" s="209">
        <f t="shared" si="23"/>
        <v>-3.3333333333333333E-2</v>
      </c>
      <c r="S182" s="209">
        <f t="shared" si="23"/>
        <v>-3.3333333333333333E-2</v>
      </c>
      <c r="T182" s="209">
        <f t="shared" si="23"/>
        <v>-3.3333333333333333E-2</v>
      </c>
      <c r="U182" s="209">
        <f t="shared" si="23"/>
        <v>-3.3333333333333333E-2</v>
      </c>
      <c r="V182" s="209">
        <f t="shared" si="23"/>
        <v>-3.3333333333333333E-2</v>
      </c>
      <c r="W182" s="209">
        <f t="shared" si="23"/>
        <v>-0.05</v>
      </c>
      <c r="X182" s="209">
        <f t="shared" si="23"/>
        <v>-3.3333333333333333E-2</v>
      </c>
      <c r="Y182" s="209">
        <f t="shared" si="23"/>
        <v>-3.3333333333333333E-2</v>
      </c>
      <c r="Z182" s="209">
        <f t="shared" si="23"/>
        <v>-6.6666666666666666E-2</v>
      </c>
      <c r="AA182" s="209">
        <f t="shared" si="23"/>
        <v>-6.6666666666666666E-2</v>
      </c>
      <c r="AB182" s="209">
        <f t="shared" si="23"/>
        <v>-6.6666666666666666E-2</v>
      </c>
      <c r="AC182" s="209">
        <f t="shared" si="23"/>
        <v>-3.3333333333333333E-2</v>
      </c>
      <c r="AD182" s="209">
        <f t="shared" si="3"/>
        <v>-0.05</v>
      </c>
      <c r="AE182" s="209">
        <f t="shared" si="4"/>
        <v>-3.3333333333333333E-2</v>
      </c>
      <c r="AF182" s="209">
        <f t="shared" si="4"/>
        <v>-1.6666666666666666E-2</v>
      </c>
      <c r="AG182" s="209">
        <f t="shared" si="4"/>
        <v>3.3333333333333333E-2</v>
      </c>
      <c r="AH182" s="209">
        <f t="shared" si="4"/>
        <v>-6.6666666666666666E-2</v>
      </c>
      <c r="AI182" s="209">
        <f t="shared" si="4"/>
        <v>-0.13333333333333333</v>
      </c>
      <c r="AJ182" s="209">
        <f t="shared" si="4"/>
        <v>0.05</v>
      </c>
      <c r="AK182" s="209">
        <f t="shared" si="4"/>
        <v>-1.6666666666666666E-2</v>
      </c>
      <c r="AL182" s="209">
        <f t="shared" si="4"/>
        <v>-0.13333333333333333</v>
      </c>
      <c r="AM182" s="209">
        <f t="shared" si="4"/>
        <v>-0.18333333333333332</v>
      </c>
      <c r="AN182" s="209">
        <f t="shared" si="4"/>
        <v>-0.13333333333333333</v>
      </c>
      <c r="AO182" s="209">
        <f t="shared" si="4"/>
        <v>-0.23333333333333334</v>
      </c>
      <c r="AP182" s="209">
        <f t="shared" si="4"/>
        <v>-0.25</v>
      </c>
      <c r="AQ182" s="209">
        <f t="shared" si="4"/>
        <v>-0.18333333333333332</v>
      </c>
      <c r="AR182" s="209">
        <f t="shared" si="4"/>
        <v>-0.23333333333333334</v>
      </c>
      <c r="AS182" s="209">
        <f t="shared" si="4"/>
        <v>-0.15</v>
      </c>
      <c r="AT182" s="209">
        <f t="shared" si="4"/>
        <v>-0.16666666666666666</v>
      </c>
      <c r="AU182" s="209">
        <f t="shared" si="5"/>
        <v>-8.3333333333333329E-2</v>
      </c>
      <c r="AV182" s="209">
        <f t="shared" ref="AV182" si="24">(AV27+AV53+AV80+AV106+AV131+AV157)/60</f>
        <v>-0.11666666666666667</v>
      </c>
      <c r="AW182" s="258">
        <f t="shared" si="7"/>
        <v>-6.6666666666666666E-2</v>
      </c>
      <c r="AX182" s="258">
        <f t="shared" si="7"/>
        <v>-6.6666666666666666E-2</v>
      </c>
      <c r="AY182" s="264" t="s">
        <v>12</v>
      </c>
      <c r="AZ182" s="251" t="s">
        <v>54</v>
      </c>
      <c r="BA182" s="252">
        <v>0.26208957843525399</v>
      </c>
      <c r="BB182" s="252">
        <v>57.142857142857103</v>
      </c>
      <c r="BC182" s="252">
        <v>-1.03366279132504</v>
      </c>
      <c r="BD182" s="259"/>
      <c r="BE182" s="259"/>
      <c r="BF182" s="260"/>
    </row>
    <row r="183" spans="1:58" ht="21">
      <c r="A183" s="223">
        <v>75</v>
      </c>
      <c r="B183" s="225">
        <v>0.4</v>
      </c>
      <c r="C183" s="225">
        <v>1</v>
      </c>
      <c r="D183" s="221">
        <v>4</v>
      </c>
      <c r="E183" s="226" t="s">
        <v>50</v>
      </c>
      <c r="F183" s="209">
        <f t="shared" ref="F183:AC183" si="25">(F28+F54+F81+F107+F132+F158)/60</f>
        <v>1.6666666666666666E-2</v>
      </c>
      <c r="G183" s="209">
        <f t="shared" si="25"/>
        <v>0.11666666666666667</v>
      </c>
      <c r="H183" s="209">
        <f t="shared" si="25"/>
        <v>-0.16666666666666666</v>
      </c>
      <c r="I183" s="209">
        <f t="shared" si="25"/>
        <v>-0.21666666666666667</v>
      </c>
      <c r="J183" s="209">
        <f t="shared" si="25"/>
        <v>-6.6666666666666666E-2</v>
      </c>
      <c r="K183" s="209">
        <f t="shared" si="25"/>
        <v>1.6666666666666666E-2</v>
      </c>
      <c r="L183" s="209">
        <f t="shared" si="25"/>
        <v>0.05</v>
      </c>
      <c r="M183" s="209">
        <f t="shared" si="25"/>
        <v>0.15</v>
      </c>
      <c r="N183" s="209">
        <f t="shared" si="25"/>
        <v>0.13333333333333333</v>
      </c>
      <c r="O183" s="209">
        <f t="shared" si="25"/>
        <v>0.1</v>
      </c>
      <c r="P183" s="209">
        <f t="shared" si="25"/>
        <v>3.3333333333333333E-2</v>
      </c>
      <c r="Q183" s="209">
        <f t="shared" si="25"/>
        <v>0</v>
      </c>
      <c r="R183" s="209">
        <f t="shared" si="25"/>
        <v>0.1</v>
      </c>
      <c r="S183" s="209">
        <f t="shared" si="25"/>
        <v>3.3333333333333333E-2</v>
      </c>
      <c r="T183" s="209">
        <f t="shared" si="25"/>
        <v>8.3333333333333329E-2</v>
      </c>
      <c r="U183" s="209">
        <f t="shared" si="25"/>
        <v>0.26666666666666666</v>
      </c>
      <c r="V183" s="209">
        <f t="shared" si="25"/>
        <v>0.15</v>
      </c>
      <c r="W183" s="209">
        <f t="shared" si="25"/>
        <v>0.15</v>
      </c>
      <c r="X183" s="209">
        <f t="shared" si="25"/>
        <v>3.3333333333333333E-2</v>
      </c>
      <c r="Y183" s="209">
        <f t="shared" si="25"/>
        <v>1.6666666666666666E-2</v>
      </c>
      <c r="Z183" s="209">
        <f t="shared" si="25"/>
        <v>0.05</v>
      </c>
      <c r="AA183" s="209">
        <f t="shared" si="25"/>
        <v>0.13333333333333333</v>
      </c>
      <c r="AB183" s="209">
        <f t="shared" si="25"/>
        <v>6.6666666666666666E-2</v>
      </c>
      <c r="AC183" s="209">
        <f t="shared" si="25"/>
        <v>0.15</v>
      </c>
      <c r="AD183" s="209">
        <f t="shared" si="3"/>
        <v>0.13333333333333333</v>
      </c>
      <c r="AE183" s="209">
        <f t="shared" si="4"/>
        <v>0.18333333333333332</v>
      </c>
      <c r="AF183" s="209">
        <f t="shared" si="4"/>
        <v>0.2</v>
      </c>
      <c r="AG183" s="209">
        <f t="shared" si="4"/>
        <v>0.2</v>
      </c>
      <c r="AH183" s="209">
        <f t="shared" si="4"/>
        <v>0.26666666666666666</v>
      </c>
      <c r="AI183" s="209">
        <f t="shared" si="4"/>
        <v>0.26666666666666666</v>
      </c>
      <c r="AJ183" s="209">
        <f t="shared" si="4"/>
        <v>0.13333333333333333</v>
      </c>
      <c r="AK183" s="209">
        <f t="shared" si="4"/>
        <v>0.18333333333333332</v>
      </c>
      <c r="AL183" s="209">
        <f t="shared" si="4"/>
        <v>6.6666666666666666E-2</v>
      </c>
      <c r="AM183" s="209">
        <f t="shared" si="4"/>
        <v>6.6666666666666666E-2</v>
      </c>
      <c r="AN183" s="209">
        <f t="shared" si="4"/>
        <v>6.6666666666666666E-2</v>
      </c>
      <c r="AO183" s="209">
        <f t="shared" si="4"/>
        <v>0.05</v>
      </c>
      <c r="AP183" s="209">
        <f t="shared" si="4"/>
        <v>-0.11666666666666667</v>
      </c>
      <c r="AQ183" s="209">
        <f t="shared" si="4"/>
        <v>-0.05</v>
      </c>
      <c r="AR183" s="209">
        <f t="shared" si="4"/>
        <v>-0.05</v>
      </c>
      <c r="AS183" s="209">
        <f t="shared" si="4"/>
        <v>0.1</v>
      </c>
      <c r="AT183" s="209">
        <f t="shared" si="4"/>
        <v>-1.6666666666666666E-2</v>
      </c>
      <c r="AU183" s="209">
        <f t="shared" si="5"/>
        <v>-6.6666666666666666E-2</v>
      </c>
      <c r="AV183" s="209">
        <f t="shared" ref="AV183" si="26">(AV28+AV54+AV81+AV107+AV132+AV158)/60</f>
        <v>0</v>
      </c>
      <c r="AW183" s="258">
        <f t="shared" si="7"/>
        <v>-1.6666666666666666E-2</v>
      </c>
      <c r="AX183" s="258">
        <f t="shared" si="7"/>
        <v>-1.6666666666666666E-2</v>
      </c>
      <c r="AY183" s="265" t="s">
        <v>50</v>
      </c>
      <c r="AZ183" s="251" t="s">
        <v>16</v>
      </c>
      <c r="BA183" s="252">
        <v>-6.6365441660820298E-2</v>
      </c>
      <c r="BB183" s="252">
        <v>57.142857142857103</v>
      </c>
      <c r="BC183" s="252">
        <v>-2.1269369736630699</v>
      </c>
      <c r="BD183" s="259"/>
      <c r="BE183" s="259"/>
      <c r="BF183" s="263"/>
    </row>
    <row r="184" spans="1:58" ht="21">
      <c r="A184" s="224"/>
      <c r="B184" s="224"/>
      <c r="C184" s="224"/>
      <c r="D184" s="221"/>
      <c r="E184" s="217" t="s">
        <v>51</v>
      </c>
      <c r="F184" s="209">
        <f t="shared" ref="F184:AC184" si="27">(F29+F55+F82+F108+F133+F159)/60</f>
        <v>0.05</v>
      </c>
      <c r="G184" s="209">
        <f t="shared" si="27"/>
        <v>0.16666666666666666</v>
      </c>
      <c r="H184" s="209">
        <f t="shared" si="27"/>
        <v>8.3333333333333329E-2</v>
      </c>
      <c r="I184" s="209">
        <f t="shared" si="27"/>
        <v>-3.3333333333333333E-2</v>
      </c>
      <c r="J184" s="209">
        <f t="shared" si="27"/>
        <v>-3.3333333333333333E-2</v>
      </c>
      <c r="K184" s="209">
        <f t="shared" si="27"/>
        <v>-0.05</v>
      </c>
      <c r="L184" s="209">
        <f t="shared" si="27"/>
        <v>-0.11666666666666667</v>
      </c>
      <c r="M184" s="209">
        <f t="shared" si="27"/>
        <v>-0.1</v>
      </c>
      <c r="N184" s="209">
        <f t="shared" si="27"/>
        <v>-8.3333333333333329E-2</v>
      </c>
      <c r="O184" s="209">
        <f t="shared" si="27"/>
        <v>-0.11666666666666667</v>
      </c>
      <c r="P184" s="209">
        <f t="shared" si="27"/>
        <v>-0.41666666666666669</v>
      </c>
      <c r="Q184" s="209">
        <f t="shared" si="27"/>
        <v>-0.38333333333333336</v>
      </c>
      <c r="R184" s="209">
        <f t="shared" si="27"/>
        <v>-0.41666666666666669</v>
      </c>
      <c r="S184" s="209">
        <f t="shared" si="27"/>
        <v>-0.35</v>
      </c>
      <c r="T184" s="209">
        <f t="shared" si="27"/>
        <v>-0.2</v>
      </c>
      <c r="U184" s="209">
        <f t="shared" si="27"/>
        <v>-1.6666666666666666E-2</v>
      </c>
      <c r="V184" s="209">
        <f t="shared" si="27"/>
        <v>-0.11666666666666667</v>
      </c>
      <c r="W184" s="209">
        <f t="shared" si="27"/>
        <v>0</v>
      </c>
      <c r="X184" s="209">
        <f t="shared" si="27"/>
        <v>1.6666666666666666E-2</v>
      </c>
      <c r="Y184" s="209">
        <f t="shared" si="27"/>
        <v>-3.3333333333333333E-2</v>
      </c>
      <c r="Z184" s="209">
        <f t="shared" si="27"/>
        <v>6.6666666666666666E-2</v>
      </c>
      <c r="AA184" s="209">
        <f t="shared" si="27"/>
        <v>-0.05</v>
      </c>
      <c r="AB184" s="209">
        <f t="shared" si="27"/>
        <v>-0.15</v>
      </c>
      <c r="AC184" s="209">
        <f t="shared" si="27"/>
        <v>-3.3333333333333333E-2</v>
      </c>
      <c r="AD184" s="209">
        <f t="shared" si="3"/>
        <v>-6.6666666666666666E-2</v>
      </c>
      <c r="AE184" s="209">
        <f t="shared" si="4"/>
        <v>-6.6666666666666666E-2</v>
      </c>
      <c r="AF184" s="209">
        <f t="shared" si="4"/>
        <v>-8.3333333333333329E-2</v>
      </c>
      <c r="AG184" s="209">
        <f t="shared" si="4"/>
        <v>1.6666666666666666E-2</v>
      </c>
      <c r="AH184" s="209">
        <f t="shared" si="4"/>
        <v>-0.25</v>
      </c>
      <c r="AI184" s="209">
        <f t="shared" si="4"/>
        <v>-0.26666666666666666</v>
      </c>
      <c r="AJ184" s="209">
        <f t="shared" si="4"/>
        <v>-0.25</v>
      </c>
      <c r="AK184" s="209">
        <f t="shared" si="4"/>
        <v>-0.28333333333333333</v>
      </c>
      <c r="AL184" s="209">
        <f t="shared" si="4"/>
        <v>-0.26666666666666666</v>
      </c>
      <c r="AM184" s="209">
        <f t="shared" si="4"/>
        <v>-0.3</v>
      </c>
      <c r="AN184" s="209">
        <f t="shared" si="4"/>
        <v>-0.3</v>
      </c>
      <c r="AO184" s="209">
        <f t="shared" si="4"/>
        <v>-0.28333333333333333</v>
      </c>
      <c r="AP184" s="209">
        <f t="shared" si="4"/>
        <v>-0.28333333333333333</v>
      </c>
      <c r="AQ184" s="209">
        <f t="shared" si="4"/>
        <v>-0.3</v>
      </c>
      <c r="AR184" s="209">
        <f t="shared" si="4"/>
        <v>-0.25</v>
      </c>
      <c r="AS184" s="209">
        <f t="shared" si="4"/>
        <v>1.6666666666666666E-2</v>
      </c>
      <c r="AT184" s="209">
        <f t="shared" si="4"/>
        <v>-8.3333333333333329E-2</v>
      </c>
      <c r="AU184" s="209">
        <f t="shared" si="5"/>
        <v>1.6666666666666666E-2</v>
      </c>
      <c r="AV184" s="209">
        <f t="shared" ref="AV184" si="28">(AV29+AV55+AV82+AV108+AV133+AV159)/60</f>
        <v>1.6666666666666666E-2</v>
      </c>
      <c r="AW184" s="258">
        <f t="shared" si="7"/>
        <v>0.05</v>
      </c>
      <c r="AX184" s="258">
        <f t="shared" si="7"/>
        <v>-0.05</v>
      </c>
      <c r="AY184" s="264" t="s">
        <v>51</v>
      </c>
      <c r="AZ184" s="251" t="s">
        <v>17</v>
      </c>
      <c r="BA184" s="252">
        <v>-6.6571945382063499E-2</v>
      </c>
      <c r="BB184" s="252">
        <v>57.142857142857103</v>
      </c>
      <c r="BC184" s="252">
        <v>-3.8778424901652802</v>
      </c>
      <c r="BD184" s="259"/>
      <c r="BE184" s="259"/>
      <c r="BF184" s="260"/>
    </row>
    <row r="185" spans="1:58" ht="21">
      <c r="A185" s="223">
        <v>75</v>
      </c>
      <c r="B185" s="225">
        <v>0.4</v>
      </c>
      <c r="C185" s="225">
        <v>4</v>
      </c>
      <c r="D185" s="221">
        <v>5</v>
      </c>
      <c r="E185" s="220" t="s">
        <v>52</v>
      </c>
      <c r="F185" s="209">
        <f t="shared" ref="F185:AC185" si="29">(F30+F56+F83+F109+F134+F160)/60</f>
        <v>-0.05</v>
      </c>
      <c r="G185" s="209">
        <f t="shared" si="29"/>
        <v>0</v>
      </c>
      <c r="H185" s="209">
        <f t="shared" si="29"/>
        <v>3.3333333333333333E-2</v>
      </c>
      <c r="I185" s="209">
        <f t="shared" si="29"/>
        <v>0.05</v>
      </c>
      <c r="J185" s="209">
        <f t="shared" si="29"/>
        <v>0.05</v>
      </c>
      <c r="K185" s="209">
        <f t="shared" si="29"/>
        <v>0.11666666666666667</v>
      </c>
      <c r="L185" s="209">
        <f t="shared" si="29"/>
        <v>0.16666666666666666</v>
      </c>
      <c r="M185" s="209">
        <f t="shared" si="29"/>
        <v>0.1</v>
      </c>
      <c r="N185" s="209">
        <f t="shared" si="29"/>
        <v>0.21666666666666667</v>
      </c>
      <c r="O185" s="209">
        <f t="shared" si="29"/>
        <v>0.28333333333333333</v>
      </c>
      <c r="P185" s="209">
        <f t="shared" si="29"/>
        <v>3.3333333333333333E-2</v>
      </c>
      <c r="Q185" s="209">
        <f t="shared" si="29"/>
        <v>0.28333333333333333</v>
      </c>
      <c r="R185" s="209">
        <f t="shared" si="29"/>
        <v>0.5</v>
      </c>
      <c r="S185" s="209">
        <f t="shared" si="29"/>
        <v>0.25</v>
      </c>
      <c r="T185" s="209">
        <f t="shared" si="29"/>
        <v>0.26666666666666666</v>
      </c>
      <c r="U185" s="209">
        <f t="shared" si="29"/>
        <v>0.31666666666666665</v>
      </c>
      <c r="V185" s="209">
        <f t="shared" si="29"/>
        <v>0.11666666666666667</v>
      </c>
      <c r="W185" s="209">
        <f t="shared" si="29"/>
        <v>0.18333333333333332</v>
      </c>
      <c r="X185" s="209">
        <f t="shared" si="29"/>
        <v>8.3333333333333329E-2</v>
      </c>
      <c r="Y185" s="209">
        <f t="shared" si="29"/>
        <v>0.1</v>
      </c>
      <c r="Z185" s="209">
        <f t="shared" si="29"/>
        <v>0.2</v>
      </c>
      <c r="AA185" s="209">
        <f t="shared" si="29"/>
        <v>-8.3333333333333329E-2</v>
      </c>
      <c r="AB185" s="209">
        <f t="shared" si="29"/>
        <v>-0.1</v>
      </c>
      <c r="AC185" s="209">
        <f t="shared" si="29"/>
        <v>0.05</v>
      </c>
      <c r="AD185" s="209">
        <f t="shared" si="3"/>
        <v>6.6666666666666666E-2</v>
      </c>
      <c r="AE185" s="209">
        <f t="shared" si="4"/>
        <v>0</v>
      </c>
      <c r="AF185" s="209">
        <f t="shared" si="4"/>
        <v>0.05</v>
      </c>
      <c r="AG185" s="209">
        <f t="shared" si="4"/>
        <v>-0.18333333333333332</v>
      </c>
      <c r="AH185" s="209">
        <f t="shared" si="4"/>
        <v>0.18333333333333332</v>
      </c>
      <c r="AI185" s="209">
        <f t="shared" si="4"/>
        <v>0.11666666666666667</v>
      </c>
      <c r="AJ185" s="209">
        <f t="shared" si="4"/>
        <v>0.11666666666666667</v>
      </c>
      <c r="AK185" s="209">
        <f t="shared" si="4"/>
        <v>6.6666666666666666E-2</v>
      </c>
      <c r="AL185" s="209">
        <f t="shared" si="4"/>
        <v>6.6666666666666666E-2</v>
      </c>
      <c r="AM185" s="209">
        <f t="shared" si="4"/>
        <v>0.13333333333333333</v>
      </c>
      <c r="AN185" s="209">
        <f t="shared" si="4"/>
        <v>0.16666666666666666</v>
      </c>
      <c r="AO185" s="209">
        <f t="shared" si="4"/>
        <v>0.31666666666666665</v>
      </c>
      <c r="AP185" s="209">
        <f t="shared" si="4"/>
        <v>0.3</v>
      </c>
      <c r="AQ185" s="209">
        <f t="shared" si="4"/>
        <v>0.31666666666666665</v>
      </c>
      <c r="AR185" s="209">
        <f t="shared" si="4"/>
        <v>0.28333333333333333</v>
      </c>
      <c r="AS185" s="209">
        <f t="shared" si="4"/>
        <v>0.38333333333333336</v>
      </c>
      <c r="AT185" s="209">
        <f t="shared" si="4"/>
        <v>-1.6666666666666666E-2</v>
      </c>
      <c r="AU185" s="209">
        <f t="shared" si="5"/>
        <v>-0.31666666666666665</v>
      </c>
      <c r="AV185" s="209">
        <f t="shared" ref="AV185" si="30">(AV30+AV56+AV83+AV109+AV134+AV160)/60</f>
        <v>-0.28333333333333333</v>
      </c>
      <c r="AW185" s="258">
        <f t="shared" si="7"/>
        <v>-0.28333333333333333</v>
      </c>
      <c r="AX185" s="258">
        <f t="shared" si="7"/>
        <v>3.3333333333333333E-2</v>
      </c>
      <c r="AY185" s="275" t="s">
        <v>52</v>
      </c>
      <c r="AZ185" s="251" t="s">
        <v>46</v>
      </c>
      <c r="BA185" s="252">
        <v>-8.7811561000201002E-2</v>
      </c>
      <c r="BB185" s="252">
        <v>57.142857142857103</v>
      </c>
      <c r="BC185" s="252">
        <v>-2.3733583909101399</v>
      </c>
      <c r="BD185" s="259"/>
      <c r="BE185" s="259"/>
      <c r="BF185" s="260"/>
    </row>
    <row r="186" spans="1:58" ht="21">
      <c r="A186" s="224"/>
      <c r="B186" s="224"/>
      <c r="C186" s="224"/>
      <c r="D186" s="221"/>
      <c r="E186" s="217" t="s">
        <v>53</v>
      </c>
      <c r="F186" s="209">
        <f t="shared" ref="F186:AC186" si="31">(F31+F57+F84+F110+F135+F161)/60</f>
        <v>-0.2</v>
      </c>
      <c r="G186" s="209">
        <f t="shared" si="31"/>
        <v>-0.15</v>
      </c>
      <c r="H186" s="209">
        <f t="shared" si="31"/>
        <v>-0.18333333333333332</v>
      </c>
      <c r="I186" s="209">
        <f t="shared" si="31"/>
        <v>-0.23333333333333334</v>
      </c>
      <c r="J186" s="209">
        <f t="shared" si="31"/>
        <v>-0.23333333333333334</v>
      </c>
      <c r="K186" s="209">
        <f t="shared" si="31"/>
        <v>-0.21666666666666667</v>
      </c>
      <c r="L186" s="209">
        <f t="shared" si="31"/>
        <v>-0.18333333333333332</v>
      </c>
      <c r="M186" s="209">
        <f t="shared" si="31"/>
        <v>-0.18333333333333332</v>
      </c>
      <c r="N186" s="209">
        <f t="shared" si="31"/>
        <v>-0.18333333333333332</v>
      </c>
      <c r="O186" s="209">
        <f t="shared" si="31"/>
        <v>-0.1</v>
      </c>
      <c r="P186" s="209">
        <f t="shared" si="31"/>
        <v>-0.13333333333333333</v>
      </c>
      <c r="Q186" s="209">
        <f t="shared" si="31"/>
        <v>-6.6666666666666666E-2</v>
      </c>
      <c r="R186" s="209">
        <f t="shared" si="31"/>
        <v>-0.16666666666666666</v>
      </c>
      <c r="S186" s="209">
        <f t="shared" si="31"/>
        <v>-0.2</v>
      </c>
      <c r="T186" s="209">
        <f t="shared" si="31"/>
        <v>-0.15</v>
      </c>
      <c r="U186" s="209">
        <f t="shared" si="31"/>
        <v>-0.56666666666666665</v>
      </c>
      <c r="V186" s="209">
        <f t="shared" si="31"/>
        <v>-0.38333333333333336</v>
      </c>
      <c r="W186" s="209">
        <f t="shared" si="31"/>
        <v>-0.4</v>
      </c>
      <c r="X186" s="209">
        <f t="shared" si="31"/>
        <v>-0.16666666666666666</v>
      </c>
      <c r="Y186" s="209">
        <f t="shared" si="31"/>
        <v>-1.6666666666666666E-2</v>
      </c>
      <c r="Z186" s="209">
        <f t="shared" si="31"/>
        <v>-1.6666666666666666E-2</v>
      </c>
      <c r="AA186" s="209">
        <f t="shared" si="31"/>
        <v>0.16666666666666666</v>
      </c>
      <c r="AB186" s="209">
        <f t="shared" si="31"/>
        <v>0.18333333333333332</v>
      </c>
      <c r="AC186" s="209">
        <f t="shared" si="31"/>
        <v>0.2</v>
      </c>
      <c r="AD186" s="209">
        <f t="shared" si="3"/>
        <v>0.16666666666666666</v>
      </c>
      <c r="AE186" s="209">
        <f t="shared" si="4"/>
        <v>0.18333333333333332</v>
      </c>
      <c r="AF186" s="209">
        <f t="shared" si="4"/>
        <v>0.2</v>
      </c>
      <c r="AG186" s="209">
        <f t="shared" si="4"/>
        <v>0.3</v>
      </c>
      <c r="AH186" s="209">
        <f t="shared" si="4"/>
        <v>0.28333333333333333</v>
      </c>
      <c r="AI186" s="209">
        <f t="shared" si="4"/>
        <v>0.3</v>
      </c>
      <c r="AJ186" s="209">
        <f t="shared" si="4"/>
        <v>0.33333333333333331</v>
      </c>
      <c r="AK186" s="209">
        <f t="shared" si="4"/>
        <v>0.35</v>
      </c>
      <c r="AL186" s="209">
        <f t="shared" si="4"/>
        <v>0.35</v>
      </c>
      <c r="AM186" s="209">
        <f t="shared" si="4"/>
        <v>0.38333333333333336</v>
      </c>
      <c r="AN186" s="209">
        <f t="shared" si="4"/>
        <v>0.4</v>
      </c>
      <c r="AO186" s="209">
        <f t="shared" si="4"/>
        <v>0.43333333333333335</v>
      </c>
      <c r="AP186" s="209">
        <f t="shared" si="4"/>
        <v>0.35</v>
      </c>
      <c r="AQ186" s="209">
        <f t="shared" si="4"/>
        <v>0.35</v>
      </c>
      <c r="AR186" s="209">
        <f t="shared" si="4"/>
        <v>0.31666666666666665</v>
      </c>
      <c r="AS186" s="209">
        <f t="shared" si="4"/>
        <v>0.38333333333333336</v>
      </c>
      <c r="AT186" s="209">
        <f t="shared" si="4"/>
        <v>0.31666666666666665</v>
      </c>
      <c r="AU186" s="209">
        <f t="shared" si="5"/>
        <v>0.31666666666666665</v>
      </c>
      <c r="AV186" s="209">
        <f t="shared" ref="AV186" si="32">(AV31+AV57+AV84+AV110+AV135+AV161)/60</f>
        <v>0.41666666666666669</v>
      </c>
      <c r="AW186" s="258">
        <f t="shared" si="7"/>
        <v>0.41666666666666669</v>
      </c>
      <c r="AX186" s="258">
        <f t="shared" si="7"/>
        <v>0.41666666666666669</v>
      </c>
      <c r="AY186" s="264" t="s">
        <v>53</v>
      </c>
      <c r="AZ186" s="251" t="s">
        <v>47</v>
      </c>
      <c r="BA186" s="252">
        <v>-0.27816164835268498</v>
      </c>
      <c r="BB186" s="252">
        <v>57.142857142857103</v>
      </c>
      <c r="BC186" s="252">
        <v>-1.9607008921345701</v>
      </c>
      <c r="BD186" s="259"/>
      <c r="BE186" s="259"/>
      <c r="BF186" s="260"/>
    </row>
    <row r="187" spans="1:58" ht="21">
      <c r="A187" s="224"/>
      <c r="B187" s="224"/>
      <c r="C187" s="224"/>
      <c r="D187" s="221"/>
      <c r="E187" s="217" t="s">
        <v>54</v>
      </c>
      <c r="F187" s="209">
        <f t="shared" ref="F187:AC187" si="33">(F32+F58+F85+F111+F136+F162)/60</f>
        <v>8.3333333333333329E-2</v>
      </c>
      <c r="G187" s="209">
        <f t="shared" si="33"/>
        <v>0.11666666666666667</v>
      </c>
      <c r="H187" s="209">
        <f t="shared" si="33"/>
        <v>0.21666666666666667</v>
      </c>
      <c r="I187" s="209">
        <f t="shared" si="33"/>
        <v>0.13333333333333333</v>
      </c>
      <c r="J187" s="209">
        <f t="shared" si="33"/>
        <v>0.13333333333333333</v>
      </c>
      <c r="K187" s="209">
        <f t="shared" si="33"/>
        <v>0.11666666666666667</v>
      </c>
      <c r="L187" s="209">
        <f t="shared" si="33"/>
        <v>0.11666666666666667</v>
      </c>
      <c r="M187" s="209">
        <f t="shared" si="33"/>
        <v>0.16666666666666666</v>
      </c>
      <c r="N187" s="209">
        <f t="shared" si="33"/>
        <v>0.1</v>
      </c>
      <c r="O187" s="209">
        <f t="shared" si="33"/>
        <v>0.05</v>
      </c>
      <c r="P187" s="209">
        <f t="shared" si="33"/>
        <v>-0.15</v>
      </c>
      <c r="Q187" s="209">
        <f t="shared" si="33"/>
        <v>-0.13333333333333333</v>
      </c>
      <c r="R187" s="209">
        <f t="shared" si="33"/>
        <v>-0.16666666666666666</v>
      </c>
      <c r="S187" s="209">
        <f t="shared" si="33"/>
        <v>-0.1</v>
      </c>
      <c r="T187" s="209">
        <f t="shared" si="33"/>
        <v>-8.3333333333333329E-2</v>
      </c>
      <c r="U187" s="209">
        <f t="shared" si="33"/>
        <v>0.16666666666666666</v>
      </c>
      <c r="V187" s="209">
        <f t="shared" si="33"/>
        <v>0.2</v>
      </c>
      <c r="W187" s="209">
        <f t="shared" si="33"/>
        <v>0.18333333333333332</v>
      </c>
      <c r="X187" s="209">
        <f t="shared" si="33"/>
        <v>0.21666666666666667</v>
      </c>
      <c r="Y187" s="209">
        <f t="shared" si="33"/>
        <v>1.6666666666666666E-2</v>
      </c>
      <c r="Z187" s="209">
        <f t="shared" si="33"/>
        <v>0.13333333333333333</v>
      </c>
      <c r="AA187" s="209">
        <f t="shared" si="33"/>
        <v>-1.6666666666666666E-2</v>
      </c>
      <c r="AB187" s="209">
        <f t="shared" si="33"/>
        <v>-0.11666666666666667</v>
      </c>
      <c r="AC187" s="209">
        <f t="shared" si="33"/>
        <v>-8.3333333333333329E-2</v>
      </c>
      <c r="AD187" s="209">
        <f t="shared" si="3"/>
        <v>-0.11666666666666667</v>
      </c>
      <c r="AE187" s="209">
        <f t="shared" si="4"/>
        <v>-3.3333333333333333E-2</v>
      </c>
      <c r="AF187" s="209">
        <f t="shared" si="4"/>
        <v>3.3333333333333333E-2</v>
      </c>
      <c r="AG187" s="209">
        <f t="shared" si="4"/>
        <v>0.18333333333333332</v>
      </c>
      <c r="AH187" s="209">
        <f t="shared" si="4"/>
        <v>0.15</v>
      </c>
      <c r="AI187" s="209">
        <f t="shared" si="4"/>
        <v>0.11666666666666667</v>
      </c>
      <c r="AJ187" s="209">
        <f t="shared" si="4"/>
        <v>0.15</v>
      </c>
      <c r="AK187" s="209">
        <f t="shared" si="4"/>
        <v>0.13333333333333333</v>
      </c>
      <c r="AL187" s="209">
        <f t="shared" si="4"/>
        <v>0.05</v>
      </c>
      <c r="AM187" s="209">
        <f t="shared" si="4"/>
        <v>8.3333333333333329E-2</v>
      </c>
      <c r="AN187" s="209">
        <f t="shared" si="4"/>
        <v>-0.26666666666666666</v>
      </c>
      <c r="AO187" s="209">
        <f t="shared" si="4"/>
        <v>-0.26666666666666666</v>
      </c>
      <c r="AP187" s="209">
        <f t="shared" si="4"/>
        <v>-0.15</v>
      </c>
      <c r="AQ187" s="209">
        <f t="shared" si="4"/>
        <v>0.05</v>
      </c>
      <c r="AR187" s="209">
        <f t="shared" si="4"/>
        <v>-0.28333333333333333</v>
      </c>
      <c r="AS187" s="209">
        <f t="shared" si="4"/>
        <v>0</v>
      </c>
      <c r="AT187" s="209">
        <f t="shared" si="4"/>
        <v>0.05</v>
      </c>
      <c r="AU187" s="209">
        <f t="shared" si="5"/>
        <v>0</v>
      </c>
      <c r="AV187" s="209">
        <f t="shared" ref="AV187" si="34">(AV32+AV58+AV85+AV111+AV136+AV162)/60</f>
        <v>-3.3333333333333333E-2</v>
      </c>
      <c r="AW187" s="258">
        <f t="shared" si="7"/>
        <v>-1.6666666666666666E-2</v>
      </c>
      <c r="AX187" s="258">
        <f t="shared" si="7"/>
        <v>-0.11666666666666667</v>
      </c>
      <c r="AY187" s="275" t="s">
        <v>54</v>
      </c>
      <c r="AZ187" s="251" t="s">
        <v>59</v>
      </c>
      <c r="BA187" s="252">
        <v>-0.366904133139003</v>
      </c>
      <c r="BB187" s="252">
        <v>57.142857142857103</v>
      </c>
      <c r="BC187" s="252">
        <v>-2.0279732506559802</v>
      </c>
      <c r="BD187" s="259"/>
      <c r="BE187" s="259"/>
      <c r="BF187" s="260"/>
    </row>
    <row r="188" spans="1:58" ht="21">
      <c r="A188" s="224"/>
      <c r="B188" s="224"/>
      <c r="C188" s="224"/>
      <c r="D188" s="221"/>
      <c r="E188" s="217" t="s">
        <v>55</v>
      </c>
      <c r="F188" s="209">
        <f t="shared" ref="F188:AC188" si="35">(F33+F59+F86+F112+F137+F163)/60</f>
        <v>6.6666666666666666E-2</v>
      </c>
      <c r="G188" s="209">
        <f t="shared" si="35"/>
        <v>0.11666666666666667</v>
      </c>
      <c r="H188" s="209">
        <f t="shared" si="35"/>
        <v>0.21666666666666667</v>
      </c>
      <c r="I188" s="209">
        <f t="shared" si="35"/>
        <v>0.2</v>
      </c>
      <c r="J188" s="209">
        <f t="shared" si="35"/>
        <v>0.18333333333333332</v>
      </c>
      <c r="K188" s="209">
        <f t="shared" si="35"/>
        <v>0.18333333333333332</v>
      </c>
      <c r="L188" s="209">
        <f t="shared" si="35"/>
        <v>0.15</v>
      </c>
      <c r="M188" s="209">
        <f t="shared" si="35"/>
        <v>0.13333333333333333</v>
      </c>
      <c r="N188" s="209">
        <f t="shared" si="35"/>
        <v>-0.25</v>
      </c>
      <c r="O188" s="209">
        <f t="shared" si="35"/>
        <v>1.6666666666666666E-2</v>
      </c>
      <c r="P188" s="209">
        <f t="shared" si="35"/>
        <v>6.6666666666666666E-2</v>
      </c>
      <c r="Q188" s="209">
        <f t="shared" si="35"/>
        <v>-0.16666666666666666</v>
      </c>
      <c r="R188" s="209">
        <f t="shared" si="35"/>
        <v>-8.3333333333333329E-2</v>
      </c>
      <c r="S188" s="209">
        <f t="shared" si="35"/>
        <v>0.05</v>
      </c>
      <c r="T188" s="209">
        <f t="shared" si="35"/>
        <v>6.6666666666666666E-2</v>
      </c>
      <c r="U188" s="209">
        <f t="shared" si="35"/>
        <v>0.15</v>
      </c>
      <c r="V188" s="209">
        <f t="shared" si="35"/>
        <v>6.6666666666666666E-2</v>
      </c>
      <c r="W188" s="209">
        <f t="shared" si="35"/>
        <v>8.3333333333333329E-2</v>
      </c>
      <c r="X188" s="209">
        <f t="shared" si="35"/>
        <v>0.25</v>
      </c>
      <c r="Y188" s="209">
        <f t="shared" si="35"/>
        <v>0.16666666666666666</v>
      </c>
      <c r="Z188" s="209">
        <f t="shared" si="35"/>
        <v>0.16666666666666666</v>
      </c>
      <c r="AA188" s="209">
        <f t="shared" si="35"/>
        <v>3.3333333333333333E-2</v>
      </c>
      <c r="AB188" s="209">
        <f t="shared" si="35"/>
        <v>-1.6666666666666666E-2</v>
      </c>
      <c r="AC188" s="209">
        <f t="shared" si="35"/>
        <v>0.11666666666666667</v>
      </c>
      <c r="AD188" s="209">
        <f t="shared" si="3"/>
        <v>1.6666666666666666E-2</v>
      </c>
      <c r="AE188" s="209">
        <f t="shared" si="4"/>
        <v>0</v>
      </c>
      <c r="AF188" s="209">
        <f t="shared" si="4"/>
        <v>6.6666666666666666E-2</v>
      </c>
      <c r="AG188" s="209">
        <f t="shared" si="4"/>
        <v>-0.16666666666666666</v>
      </c>
      <c r="AH188" s="209">
        <f t="shared" si="4"/>
        <v>3.3333333333333333E-2</v>
      </c>
      <c r="AI188" s="209">
        <f t="shared" ref="AE188:AT196" si="36">(AI33+AI59+AI86+AI112+AI137+AI163)/60</f>
        <v>1.6666666666666666E-2</v>
      </c>
      <c r="AJ188" s="209">
        <f t="shared" si="36"/>
        <v>-0.2</v>
      </c>
      <c r="AK188" s="209">
        <f t="shared" si="36"/>
        <v>-0.23333333333333334</v>
      </c>
      <c r="AL188" s="209">
        <f t="shared" si="36"/>
        <v>-0.16666666666666666</v>
      </c>
      <c r="AM188" s="209">
        <f t="shared" si="36"/>
        <v>-8.3333333333333329E-2</v>
      </c>
      <c r="AN188" s="209">
        <f t="shared" si="36"/>
        <v>-0.13333333333333333</v>
      </c>
      <c r="AO188" s="209">
        <f t="shared" si="36"/>
        <v>-0.11666666666666667</v>
      </c>
      <c r="AP188" s="209">
        <f t="shared" si="36"/>
        <v>-8.3333333333333329E-2</v>
      </c>
      <c r="AQ188" s="209">
        <f t="shared" si="36"/>
        <v>-8.3333333333333329E-2</v>
      </c>
      <c r="AR188" s="209">
        <f t="shared" si="36"/>
        <v>-0.13333333333333333</v>
      </c>
      <c r="AS188" s="209">
        <f t="shared" si="36"/>
        <v>-8.3333333333333329E-2</v>
      </c>
      <c r="AT188" s="209">
        <f t="shared" si="36"/>
        <v>-0.11666666666666667</v>
      </c>
      <c r="AU188" s="209">
        <f t="shared" si="5"/>
        <v>-1.6666666666666666E-2</v>
      </c>
      <c r="AV188" s="209">
        <f t="shared" ref="AV188" si="37">(AV33+AV59+AV86+AV112+AV137+AV163)/60</f>
        <v>3.3333333333333333E-2</v>
      </c>
      <c r="AW188" s="258">
        <f t="shared" si="7"/>
        <v>0.11666666666666667</v>
      </c>
      <c r="AX188" s="258">
        <f t="shared" si="7"/>
        <v>0.05</v>
      </c>
      <c r="AY188" s="275" t="s">
        <v>55</v>
      </c>
      <c r="AZ188" s="251" t="s">
        <v>58</v>
      </c>
      <c r="BA188" s="252">
        <v>-0.525884691309907</v>
      </c>
      <c r="BB188" s="252">
        <v>57.142857142857103</v>
      </c>
      <c r="BC188" s="252">
        <v>-1.3239235431270999</v>
      </c>
      <c r="BD188" s="259"/>
      <c r="BE188" s="259"/>
      <c r="BF188" s="260"/>
    </row>
    <row r="189" spans="1:58" ht="21">
      <c r="A189" s="224"/>
      <c r="B189" s="224"/>
      <c r="C189" s="224"/>
      <c r="D189" s="221"/>
      <c r="E189" s="217" t="s">
        <v>56</v>
      </c>
      <c r="F189" s="209">
        <f t="shared" ref="F189:AC189" si="38">(F34+F60+F87+F113+F138+F164)/60</f>
        <v>8.3333333333333329E-2</v>
      </c>
      <c r="G189" s="209">
        <f t="shared" si="38"/>
        <v>0.16666666666666666</v>
      </c>
      <c r="H189" s="209">
        <f t="shared" si="38"/>
        <v>0.2</v>
      </c>
      <c r="I189" s="209">
        <f t="shared" si="38"/>
        <v>0.11666666666666667</v>
      </c>
      <c r="J189" s="209">
        <f t="shared" si="38"/>
        <v>0.1</v>
      </c>
      <c r="K189" s="209">
        <f t="shared" si="38"/>
        <v>0.11666666666666667</v>
      </c>
      <c r="L189" s="209">
        <f t="shared" si="38"/>
        <v>0.13333333333333333</v>
      </c>
      <c r="M189" s="209">
        <f t="shared" si="38"/>
        <v>-0.1</v>
      </c>
      <c r="N189" s="209">
        <f t="shared" si="38"/>
        <v>-0.16666666666666666</v>
      </c>
      <c r="O189" s="209">
        <f t="shared" si="38"/>
        <v>1.6666666666666666E-2</v>
      </c>
      <c r="P189" s="209">
        <f t="shared" si="38"/>
        <v>0.16666666666666666</v>
      </c>
      <c r="Q189" s="209">
        <f t="shared" si="38"/>
        <v>0.1</v>
      </c>
      <c r="R189" s="209">
        <f t="shared" si="38"/>
        <v>6.6666666666666666E-2</v>
      </c>
      <c r="S189" s="209">
        <f t="shared" si="38"/>
        <v>0.11666666666666667</v>
      </c>
      <c r="T189" s="209">
        <f t="shared" si="38"/>
        <v>0.15</v>
      </c>
      <c r="U189" s="209">
        <f t="shared" si="38"/>
        <v>0.28333333333333333</v>
      </c>
      <c r="V189" s="209">
        <f t="shared" si="38"/>
        <v>0.16666666666666666</v>
      </c>
      <c r="W189" s="209">
        <f t="shared" si="38"/>
        <v>0.25</v>
      </c>
      <c r="X189" s="209">
        <f t="shared" si="38"/>
        <v>0.25</v>
      </c>
      <c r="Y189" s="209">
        <f t="shared" si="38"/>
        <v>0.15</v>
      </c>
      <c r="Z189" s="209">
        <f t="shared" si="38"/>
        <v>0.25</v>
      </c>
      <c r="AA189" s="209">
        <f t="shared" si="38"/>
        <v>0.2</v>
      </c>
      <c r="AB189" s="209">
        <f t="shared" si="38"/>
        <v>8.3333333333333329E-2</v>
      </c>
      <c r="AC189" s="209">
        <f t="shared" si="38"/>
        <v>0.21666666666666667</v>
      </c>
      <c r="AD189" s="209">
        <f t="shared" si="3"/>
        <v>0.1</v>
      </c>
      <c r="AE189" s="209">
        <f t="shared" si="36"/>
        <v>0.13333333333333333</v>
      </c>
      <c r="AF189" s="209">
        <f t="shared" si="36"/>
        <v>0.2</v>
      </c>
      <c r="AG189" s="209">
        <f t="shared" si="36"/>
        <v>-1.6666666666666666E-2</v>
      </c>
      <c r="AH189" s="209">
        <f t="shared" si="36"/>
        <v>0</v>
      </c>
      <c r="AI189" s="209">
        <f t="shared" si="36"/>
        <v>-6.6666666666666666E-2</v>
      </c>
      <c r="AJ189" s="209">
        <f t="shared" si="36"/>
        <v>-0.18333333333333332</v>
      </c>
      <c r="AK189" s="209">
        <f t="shared" si="36"/>
        <v>-0.11666666666666667</v>
      </c>
      <c r="AL189" s="209">
        <f t="shared" si="36"/>
        <v>-0.16666666666666666</v>
      </c>
      <c r="AM189" s="209">
        <f t="shared" si="36"/>
        <v>-0.13333333333333333</v>
      </c>
      <c r="AN189" s="209">
        <f t="shared" si="36"/>
        <v>0</v>
      </c>
      <c r="AO189" s="209">
        <f t="shared" si="36"/>
        <v>-0.15</v>
      </c>
      <c r="AP189" s="209">
        <f t="shared" si="36"/>
        <v>-8.3333333333333329E-2</v>
      </c>
      <c r="AQ189" s="209">
        <f t="shared" si="36"/>
        <v>-0.11666666666666667</v>
      </c>
      <c r="AR189" s="209">
        <f t="shared" si="36"/>
        <v>-0.11666666666666667</v>
      </c>
      <c r="AS189" s="209">
        <f t="shared" si="36"/>
        <v>0.11666666666666667</v>
      </c>
      <c r="AT189" s="209">
        <f t="shared" si="36"/>
        <v>0.05</v>
      </c>
      <c r="AU189" s="209">
        <f t="shared" si="5"/>
        <v>8.3333333333333329E-2</v>
      </c>
      <c r="AV189" s="209">
        <f t="shared" ref="AV189" si="39">(AV34+AV60+AV87+AV113+AV138+AV164)/60</f>
        <v>0.18333333333333332</v>
      </c>
      <c r="AW189" s="258">
        <f t="shared" si="7"/>
        <v>0.2</v>
      </c>
      <c r="AX189" s="258">
        <f t="shared" si="7"/>
        <v>8.3333333333333329E-2</v>
      </c>
      <c r="AY189" s="274" t="s">
        <v>56</v>
      </c>
      <c r="AZ189" s="251" t="s">
        <v>49</v>
      </c>
      <c r="BA189" s="252">
        <v>0.19462204581401499</v>
      </c>
      <c r="BB189" s="252">
        <v>42.857142857142897</v>
      </c>
      <c r="BC189" s="252">
        <v>-0.57957762241669397</v>
      </c>
      <c r="BD189" s="259"/>
      <c r="BE189" s="259"/>
      <c r="BF189" s="260"/>
    </row>
    <row r="190" spans="1:58" ht="21">
      <c r="A190" s="224"/>
      <c r="B190" s="224"/>
      <c r="C190" s="224"/>
      <c r="D190" s="221"/>
      <c r="E190" s="217" t="s">
        <v>57</v>
      </c>
      <c r="F190" s="209">
        <f t="shared" ref="F190:AC190" si="40">(F35+F61+F88+F114+F139+F165)/60</f>
        <v>0.51666666666666672</v>
      </c>
      <c r="G190" s="209">
        <f t="shared" si="40"/>
        <v>0.38333333333333336</v>
      </c>
      <c r="H190" s="209">
        <f t="shared" si="40"/>
        <v>0.48333333333333334</v>
      </c>
      <c r="I190" s="209">
        <f t="shared" si="40"/>
        <v>0.58333333333333337</v>
      </c>
      <c r="J190" s="209">
        <f t="shared" si="40"/>
        <v>0.56666666666666665</v>
      </c>
      <c r="K190" s="209">
        <f t="shared" si="40"/>
        <v>0.4</v>
      </c>
      <c r="L190" s="209">
        <f t="shared" si="40"/>
        <v>0.4</v>
      </c>
      <c r="M190" s="209">
        <f t="shared" si="40"/>
        <v>0.51666666666666672</v>
      </c>
      <c r="N190" s="209">
        <f t="shared" si="40"/>
        <v>0.56666666666666665</v>
      </c>
      <c r="O190" s="209">
        <f t="shared" si="40"/>
        <v>0.46666666666666667</v>
      </c>
      <c r="P190" s="209">
        <f t="shared" si="40"/>
        <v>0.45</v>
      </c>
      <c r="Q190" s="209">
        <f t="shared" si="40"/>
        <v>0.55000000000000004</v>
      </c>
      <c r="R190" s="209">
        <f t="shared" si="40"/>
        <v>0.71666666666666667</v>
      </c>
      <c r="S190" s="209">
        <f t="shared" si="40"/>
        <v>0.6166666666666667</v>
      </c>
      <c r="T190" s="209">
        <f t="shared" si="40"/>
        <v>0.56666666666666665</v>
      </c>
      <c r="U190" s="209">
        <f t="shared" si="40"/>
        <v>0.7</v>
      </c>
      <c r="V190" s="209">
        <f t="shared" si="40"/>
        <v>0.25</v>
      </c>
      <c r="W190" s="209">
        <f t="shared" si="40"/>
        <v>0.31666666666666665</v>
      </c>
      <c r="X190" s="209">
        <f t="shared" si="40"/>
        <v>-1.6666666666666666E-2</v>
      </c>
      <c r="Y190" s="209">
        <f t="shared" si="40"/>
        <v>-0.05</v>
      </c>
      <c r="Z190" s="209">
        <f t="shared" si="40"/>
        <v>-6.6666666666666666E-2</v>
      </c>
      <c r="AA190" s="209">
        <f t="shared" si="40"/>
        <v>0.05</v>
      </c>
      <c r="AB190" s="209">
        <f t="shared" si="40"/>
        <v>-1.6666666666666666E-2</v>
      </c>
      <c r="AC190" s="209">
        <f t="shared" si="40"/>
        <v>0</v>
      </c>
      <c r="AD190" s="209">
        <f t="shared" si="3"/>
        <v>0.05</v>
      </c>
      <c r="AE190" s="209">
        <f t="shared" si="36"/>
        <v>1.6666666666666666E-2</v>
      </c>
      <c r="AF190" s="209">
        <f t="shared" si="36"/>
        <v>1.6666666666666666E-2</v>
      </c>
      <c r="AG190" s="209">
        <f t="shared" si="36"/>
        <v>-0.13333333333333333</v>
      </c>
      <c r="AH190" s="209">
        <f t="shared" si="36"/>
        <v>-8.3333333333333329E-2</v>
      </c>
      <c r="AI190" s="209">
        <f t="shared" si="36"/>
        <v>-3.3333333333333333E-2</v>
      </c>
      <c r="AJ190" s="209">
        <f t="shared" si="36"/>
        <v>-3.3333333333333333E-2</v>
      </c>
      <c r="AK190" s="209">
        <f t="shared" si="36"/>
        <v>0</v>
      </c>
      <c r="AL190" s="209">
        <f t="shared" si="36"/>
        <v>0.05</v>
      </c>
      <c r="AM190" s="209">
        <f t="shared" si="36"/>
        <v>0.1</v>
      </c>
      <c r="AN190" s="209">
        <f t="shared" si="36"/>
        <v>0</v>
      </c>
      <c r="AO190" s="209">
        <f t="shared" si="36"/>
        <v>-0.11666666666666667</v>
      </c>
      <c r="AP190" s="209">
        <f t="shared" si="36"/>
        <v>-8.3333333333333329E-2</v>
      </c>
      <c r="AQ190" s="209">
        <f t="shared" si="36"/>
        <v>-0.05</v>
      </c>
      <c r="AR190" s="209">
        <f t="shared" si="36"/>
        <v>-8.3333333333333329E-2</v>
      </c>
      <c r="AS190" s="209">
        <f t="shared" si="36"/>
        <v>1.6666666666666666E-2</v>
      </c>
      <c r="AT190" s="209">
        <f t="shared" si="36"/>
        <v>0</v>
      </c>
      <c r="AU190" s="209">
        <f t="shared" si="5"/>
        <v>3.3333333333333333E-2</v>
      </c>
      <c r="AV190" s="209">
        <f t="shared" ref="AV190" si="41">(AV35+AV61+AV88+AV114+AV139+AV165)/60</f>
        <v>-0.16666666666666666</v>
      </c>
      <c r="AW190" s="258">
        <f t="shared" si="7"/>
        <v>-6.6666666666666666E-2</v>
      </c>
      <c r="AX190" s="258">
        <f t="shared" si="7"/>
        <v>-6.6666666666666666E-2</v>
      </c>
      <c r="AY190" s="274" t="s">
        <v>57</v>
      </c>
      <c r="AZ190" s="251" t="s">
        <v>55</v>
      </c>
      <c r="BA190" s="252">
        <v>6.4408431265458296E-2</v>
      </c>
      <c r="BB190" s="252">
        <v>42.857142857142897</v>
      </c>
      <c r="BC190" s="252">
        <v>-3.6422146339683801</v>
      </c>
      <c r="BD190" s="259"/>
      <c r="BE190" s="259"/>
      <c r="BF190" s="260"/>
    </row>
    <row r="191" spans="1:58" ht="21">
      <c r="A191" s="224"/>
      <c r="B191" s="224"/>
      <c r="C191" s="224"/>
      <c r="D191" s="221"/>
      <c r="E191" s="217" t="s">
        <v>10</v>
      </c>
      <c r="F191" s="209">
        <f t="shared" ref="F191:AC191" si="42">(F36+F62+F89+F115+F140+F166)/60</f>
        <v>-0.26666666666666666</v>
      </c>
      <c r="G191" s="209">
        <f t="shared" si="42"/>
        <v>-0.28333333333333333</v>
      </c>
      <c r="H191" s="209">
        <f t="shared" si="42"/>
        <v>-0.05</v>
      </c>
      <c r="I191" s="209">
        <f t="shared" si="42"/>
        <v>-6.6666666666666666E-2</v>
      </c>
      <c r="J191" s="209">
        <f t="shared" si="42"/>
        <v>-0.1</v>
      </c>
      <c r="K191" s="209">
        <f t="shared" si="42"/>
        <v>-3.3333333333333333E-2</v>
      </c>
      <c r="L191" s="209">
        <f t="shared" si="42"/>
        <v>-8.3333333333333329E-2</v>
      </c>
      <c r="M191" s="209">
        <f t="shared" si="42"/>
        <v>-0.1</v>
      </c>
      <c r="N191" s="209">
        <f t="shared" si="42"/>
        <v>-6.6666666666666666E-2</v>
      </c>
      <c r="O191" s="209">
        <f t="shared" si="42"/>
        <v>-6.6666666666666666E-2</v>
      </c>
      <c r="P191" s="209">
        <f t="shared" si="42"/>
        <v>-0.1</v>
      </c>
      <c r="Q191" s="209">
        <f t="shared" si="42"/>
        <v>-0.2</v>
      </c>
      <c r="R191" s="209">
        <f t="shared" si="42"/>
        <v>-0.3</v>
      </c>
      <c r="S191" s="209">
        <f t="shared" si="42"/>
        <v>-0.31666666666666665</v>
      </c>
      <c r="T191" s="209">
        <f t="shared" si="42"/>
        <v>-0.23333333333333334</v>
      </c>
      <c r="U191" s="209">
        <f t="shared" si="42"/>
        <v>-0.25</v>
      </c>
      <c r="V191" s="209">
        <f t="shared" si="42"/>
        <v>-0.33333333333333331</v>
      </c>
      <c r="W191" s="209">
        <f t="shared" si="42"/>
        <v>-0.35</v>
      </c>
      <c r="X191" s="209">
        <f t="shared" si="42"/>
        <v>-0.3</v>
      </c>
      <c r="Y191" s="209">
        <f t="shared" si="42"/>
        <v>-0.21666666666666667</v>
      </c>
      <c r="Z191" s="209">
        <f t="shared" si="42"/>
        <v>-1.6666666666666666E-2</v>
      </c>
      <c r="AA191" s="209">
        <f t="shared" si="42"/>
        <v>-3.3333333333333333E-2</v>
      </c>
      <c r="AB191" s="209">
        <f t="shared" si="42"/>
        <v>-3.3333333333333333E-2</v>
      </c>
      <c r="AC191" s="209">
        <f t="shared" si="42"/>
        <v>-3.3333333333333333E-2</v>
      </c>
      <c r="AD191" s="209">
        <f t="shared" si="3"/>
        <v>-6.6666666666666666E-2</v>
      </c>
      <c r="AE191" s="209">
        <f t="shared" si="36"/>
        <v>-0.05</v>
      </c>
      <c r="AF191" s="209">
        <f t="shared" si="36"/>
        <v>-0.15</v>
      </c>
      <c r="AG191" s="209">
        <f t="shared" si="36"/>
        <v>-8.3333333333333329E-2</v>
      </c>
      <c r="AH191" s="209">
        <f t="shared" si="36"/>
        <v>-1.6666666666666666E-2</v>
      </c>
      <c r="AI191" s="209">
        <f t="shared" si="36"/>
        <v>0.1</v>
      </c>
      <c r="AJ191" s="209">
        <f t="shared" si="36"/>
        <v>-8.3333333333333329E-2</v>
      </c>
      <c r="AK191" s="209">
        <f t="shared" si="36"/>
        <v>-8.3333333333333329E-2</v>
      </c>
      <c r="AL191" s="209">
        <f t="shared" si="36"/>
        <v>-0.11666666666666667</v>
      </c>
      <c r="AM191" s="209">
        <f t="shared" si="36"/>
        <v>-0.18333333333333332</v>
      </c>
      <c r="AN191" s="209">
        <f t="shared" si="36"/>
        <v>-0.11666666666666667</v>
      </c>
      <c r="AO191" s="209">
        <f t="shared" si="36"/>
        <v>-0.11666666666666667</v>
      </c>
      <c r="AP191" s="209">
        <f t="shared" si="36"/>
        <v>0.2</v>
      </c>
      <c r="AQ191" s="209">
        <f t="shared" si="36"/>
        <v>0.11666666666666667</v>
      </c>
      <c r="AR191" s="209">
        <f t="shared" si="36"/>
        <v>0.05</v>
      </c>
      <c r="AS191" s="209">
        <f t="shared" si="36"/>
        <v>-6.6666666666666666E-2</v>
      </c>
      <c r="AT191" s="209">
        <f t="shared" si="36"/>
        <v>0.1</v>
      </c>
      <c r="AU191" s="209">
        <f t="shared" si="5"/>
        <v>-0.11666666666666667</v>
      </c>
      <c r="AV191" s="209">
        <f t="shared" ref="AV191" si="43">(AV36+AV62+AV89+AV115+AV140+AV166)/60</f>
        <v>-1.6666666666666666E-2</v>
      </c>
      <c r="AW191" s="258">
        <f t="shared" si="7"/>
        <v>-8.3333333333333329E-2</v>
      </c>
      <c r="AX191" s="258">
        <f t="shared" si="7"/>
        <v>-0.11666666666666667</v>
      </c>
      <c r="AY191" s="274" t="s">
        <v>10</v>
      </c>
      <c r="AZ191" s="251" t="s">
        <v>14</v>
      </c>
      <c r="BA191" s="252">
        <v>-0.17616963506195901</v>
      </c>
      <c r="BB191" s="252">
        <v>42.857142857142897</v>
      </c>
      <c r="BC191" s="252">
        <v>-3.8408292278560698</v>
      </c>
      <c r="BD191" s="261"/>
      <c r="BE191" s="259"/>
      <c r="BF191" s="260"/>
    </row>
    <row r="192" spans="1:58" ht="21">
      <c r="A192" s="224"/>
      <c r="B192" s="224"/>
      <c r="C192" s="224"/>
      <c r="D192" s="221"/>
      <c r="E192" s="217" t="s">
        <v>58</v>
      </c>
      <c r="F192" s="209">
        <f t="shared" ref="F192:AC192" si="44">(F37+F63+F90+F116+F141+F167)/60</f>
        <v>-3.3333333333333333E-2</v>
      </c>
      <c r="G192" s="209">
        <f t="shared" si="44"/>
        <v>-8.3333333333333329E-2</v>
      </c>
      <c r="H192" s="209">
        <f t="shared" si="44"/>
        <v>-0.11666666666666667</v>
      </c>
      <c r="I192" s="209">
        <f t="shared" si="44"/>
        <v>-0.13333333333333333</v>
      </c>
      <c r="J192" s="209">
        <f t="shared" si="44"/>
        <v>-0.11666666666666667</v>
      </c>
      <c r="K192" s="209">
        <f t="shared" si="44"/>
        <v>-0.11666666666666667</v>
      </c>
      <c r="L192" s="209">
        <f t="shared" si="44"/>
        <v>-0.1</v>
      </c>
      <c r="M192" s="209">
        <f t="shared" si="44"/>
        <v>-6.6666666666666666E-2</v>
      </c>
      <c r="N192" s="209">
        <f t="shared" si="44"/>
        <v>-0.13333333333333333</v>
      </c>
      <c r="O192" s="209">
        <f t="shared" si="44"/>
        <v>-0.05</v>
      </c>
      <c r="P192" s="209">
        <f t="shared" si="44"/>
        <v>-0.05</v>
      </c>
      <c r="Q192" s="209">
        <f t="shared" si="44"/>
        <v>-3.3333333333333333E-2</v>
      </c>
      <c r="R192" s="209">
        <f t="shared" si="44"/>
        <v>-0.13333333333333333</v>
      </c>
      <c r="S192" s="209">
        <f t="shared" si="44"/>
        <v>-0.13333333333333333</v>
      </c>
      <c r="T192" s="209">
        <f t="shared" si="44"/>
        <v>-0.13333333333333333</v>
      </c>
      <c r="U192" s="209">
        <f t="shared" si="44"/>
        <v>-0.26666666666666666</v>
      </c>
      <c r="V192" s="209">
        <f t="shared" si="44"/>
        <v>-0.16666666666666666</v>
      </c>
      <c r="W192" s="209">
        <f t="shared" si="44"/>
        <v>-0.2</v>
      </c>
      <c r="X192" s="209">
        <f t="shared" si="44"/>
        <v>3.3333333333333333E-2</v>
      </c>
      <c r="Y192" s="209">
        <f t="shared" si="44"/>
        <v>0.16666666666666666</v>
      </c>
      <c r="Z192" s="209">
        <f t="shared" si="44"/>
        <v>0.16666666666666666</v>
      </c>
      <c r="AA192" s="209">
        <f t="shared" si="44"/>
        <v>0.1</v>
      </c>
      <c r="AB192" s="209">
        <f t="shared" si="44"/>
        <v>0.13333333333333333</v>
      </c>
      <c r="AC192" s="209">
        <f t="shared" si="44"/>
        <v>0.15</v>
      </c>
      <c r="AD192" s="209">
        <f t="shared" si="3"/>
        <v>0.11666666666666667</v>
      </c>
      <c r="AE192" s="209">
        <f t="shared" si="36"/>
        <v>0.1</v>
      </c>
      <c r="AF192" s="209">
        <f t="shared" si="36"/>
        <v>0.1</v>
      </c>
      <c r="AG192" s="209">
        <f t="shared" si="36"/>
        <v>0.25</v>
      </c>
      <c r="AH192" s="209">
        <f t="shared" si="36"/>
        <v>0.23333333333333334</v>
      </c>
      <c r="AI192" s="209">
        <f t="shared" si="36"/>
        <v>0.26666666666666666</v>
      </c>
      <c r="AJ192" s="209">
        <f t="shared" si="36"/>
        <v>0.28333333333333333</v>
      </c>
      <c r="AK192" s="209">
        <f t="shared" si="36"/>
        <v>0.25</v>
      </c>
      <c r="AL192" s="209">
        <f t="shared" si="36"/>
        <v>0.26666666666666666</v>
      </c>
      <c r="AM192" s="209">
        <f t="shared" si="36"/>
        <v>0.31666666666666665</v>
      </c>
      <c r="AN192" s="209">
        <f t="shared" si="36"/>
        <v>0.33333333333333331</v>
      </c>
      <c r="AO192" s="209">
        <f t="shared" si="36"/>
        <v>0.33333333333333331</v>
      </c>
      <c r="AP192" s="209">
        <f t="shared" si="36"/>
        <v>0.23333333333333334</v>
      </c>
      <c r="AQ192" s="209">
        <f t="shared" si="36"/>
        <v>0.28333333333333333</v>
      </c>
      <c r="AR192" s="209">
        <f t="shared" si="36"/>
        <v>0.28333333333333333</v>
      </c>
      <c r="AS192" s="209">
        <f t="shared" si="36"/>
        <v>0.35</v>
      </c>
      <c r="AT192" s="209">
        <f t="shared" si="36"/>
        <v>0.31666666666666665</v>
      </c>
      <c r="AU192" s="209">
        <f t="shared" si="5"/>
        <v>0.31666666666666665</v>
      </c>
      <c r="AV192" s="209">
        <f t="shared" ref="AV192" si="45">(AV37+AV63+AV90+AV116+AV141+AV167)/60</f>
        <v>0.38333333333333336</v>
      </c>
      <c r="AW192" s="258">
        <f t="shared" si="7"/>
        <v>0.38333333333333336</v>
      </c>
      <c r="AX192" s="258">
        <f t="shared" si="7"/>
        <v>0.38333333333333336</v>
      </c>
      <c r="AY192" s="274" t="s">
        <v>58</v>
      </c>
      <c r="AZ192" s="251" t="s">
        <v>56</v>
      </c>
      <c r="BA192" s="252">
        <v>-0.32287065075640897</v>
      </c>
      <c r="BB192" s="252">
        <v>42.857142857142897</v>
      </c>
      <c r="BC192" s="252">
        <v>-4.9793513173414397</v>
      </c>
      <c r="BD192" s="259"/>
      <c r="BE192" s="259"/>
      <c r="BF192" s="260"/>
    </row>
    <row r="193" spans="1:58" ht="21">
      <c r="A193" s="223">
        <v>87</v>
      </c>
      <c r="B193" s="225">
        <v>0.73699999999999999</v>
      </c>
      <c r="C193" s="225">
        <v>1</v>
      </c>
      <c r="D193" s="221">
        <v>1</v>
      </c>
      <c r="E193" s="220" t="s">
        <v>18</v>
      </c>
      <c r="F193" s="209">
        <f t="shared" ref="F193:AC193" si="46">(F38+F64+F91+F117+F142+F168)/60</f>
        <v>8.3333333333333329E-2</v>
      </c>
      <c r="G193" s="209">
        <f t="shared" si="46"/>
        <v>0.1</v>
      </c>
      <c r="H193" s="209">
        <f t="shared" si="46"/>
        <v>8.3333333333333329E-2</v>
      </c>
      <c r="I193" s="209">
        <f t="shared" si="46"/>
        <v>8.3333333333333329E-2</v>
      </c>
      <c r="J193" s="209">
        <f t="shared" si="46"/>
        <v>0.1</v>
      </c>
      <c r="K193" s="209">
        <f t="shared" si="46"/>
        <v>0.21666666666666667</v>
      </c>
      <c r="L193" s="209">
        <f t="shared" si="46"/>
        <v>0.15</v>
      </c>
      <c r="M193" s="209">
        <f t="shared" si="46"/>
        <v>0.15</v>
      </c>
      <c r="N193" s="209">
        <f t="shared" si="46"/>
        <v>0.31666666666666665</v>
      </c>
      <c r="O193" s="209">
        <f t="shared" si="46"/>
        <v>0.43333333333333335</v>
      </c>
      <c r="P193" s="209">
        <f t="shared" si="46"/>
        <v>0.48333333333333334</v>
      </c>
      <c r="Q193" s="209">
        <f t="shared" si="46"/>
        <v>0.18333333333333332</v>
      </c>
      <c r="R193" s="209">
        <f t="shared" si="46"/>
        <v>0.43333333333333335</v>
      </c>
      <c r="S193" s="209">
        <f t="shared" si="46"/>
        <v>0.23333333333333334</v>
      </c>
      <c r="T193" s="209">
        <f t="shared" si="46"/>
        <v>0.2</v>
      </c>
      <c r="U193" s="209">
        <f t="shared" si="46"/>
        <v>0.11666666666666667</v>
      </c>
      <c r="V193" s="209">
        <f t="shared" si="46"/>
        <v>8.3333333333333329E-2</v>
      </c>
      <c r="W193" s="209">
        <f t="shared" si="46"/>
        <v>-0.15</v>
      </c>
      <c r="X193" s="209">
        <f t="shared" si="46"/>
        <v>-0.28333333333333333</v>
      </c>
      <c r="Y193" s="209">
        <f t="shared" si="46"/>
        <v>-0.11666666666666667</v>
      </c>
      <c r="Z193" s="209">
        <f t="shared" si="46"/>
        <v>3.3333333333333333E-2</v>
      </c>
      <c r="AA193" s="209">
        <f t="shared" si="46"/>
        <v>-3.3333333333333333E-2</v>
      </c>
      <c r="AB193" s="209">
        <f t="shared" si="46"/>
        <v>3.3333333333333333E-2</v>
      </c>
      <c r="AC193" s="209">
        <f t="shared" si="46"/>
        <v>-1.6666666666666666E-2</v>
      </c>
      <c r="AD193" s="209">
        <f t="shared" si="3"/>
        <v>-0.11666666666666667</v>
      </c>
      <c r="AE193" s="209">
        <f t="shared" si="36"/>
        <v>-0.13333333333333333</v>
      </c>
      <c r="AF193" s="209">
        <f t="shared" si="36"/>
        <v>-0.1</v>
      </c>
      <c r="AG193" s="209">
        <f t="shared" si="36"/>
        <v>-0.13333333333333333</v>
      </c>
      <c r="AH193" s="209">
        <f t="shared" si="36"/>
        <v>0.16666666666666666</v>
      </c>
      <c r="AI193" s="209">
        <f t="shared" si="36"/>
        <v>0.16666666666666666</v>
      </c>
      <c r="AJ193" s="209">
        <f t="shared" si="36"/>
        <v>0.21666666666666667</v>
      </c>
      <c r="AK193" s="209">
        <f t="shared" si="36"/>
        <v>0.15</v>
      </c>
      <c r="AL193" s="209">
        <f t="shared" si="36"/>
        <v>0.15</v>
      </c>
      <c r="AM193" s="209">
        <f t="shared" si="36"/>
        <v>0.11666666666666667</v>
      </c>
      <c r="AN193" s="209">
        <f t="shared" si="36"/>
        <v>0.15</v>
      </c>
      <c r="AO193" s="209">
        <f t="shared" si="36"/>
        <v>0.45</v>
      </c>
      <c r="AP193" s="209">
        <f t="shared" si="36"/>
        <v>0.43333333333333335</v>
      </c>
      <c r="AQ193" s="209">
        <f t="shared" si="36"/>
        <v>0.4</v>
      </c>
      <c r="AR193" s="209">
        <f t="shared" si="36"/>
        <v>0.36666666666666664</v>
      </c>
      <c r="AS193" s="209">
        <f t="shared" si="36"/>
        <v>0.46666666666666667</v>
      </c>
      <c r="AT193" s="209">
        <f t="shared" si="36"/>
        <v>8.3333333333333329E-2</v>
      </c>
      <c r="AU193" s="209">
        <f t="shared" si="5"/>
        <v>0.05</v>
      </c>
      <c r="AV193" s="209">
        <f t="shared" ref="AV193" si="47">(AV38+AV64+AV91+AV117+AV142+AV168)/60</f>
        <v>0.05</v>
      </c>
      <c r="AW193" s="258">
        <f t="shared" si="7"/>
        <v>8.3333333333333329E-2</v>
      </c>
      <c r="AX193" s="258">
        <f t="shared" si="7"/>
        <v>8.3333333333333329E-2</v>
      </c>
      <c r="AY193" s="274" t="s">
        <v>18</v>
      </c>
      <c r="AZ193" s="251" t="s">
        <v>50</v>
      </c>
      <c r="BA193" s="252">
        <v>-0.364877261467278</v>
      </c>
      <c r="BB193" s="252">
        <v>42.857142857142897</v>
      </c>
      <c r="BC193" s="252">
        <v>-7.5505029680271596</v>
      </c>
      <c r="BD193" s="259"/>
      <c r="BE193" s="259"/>
      <c r="BF193" s="260"/>
    </row>
    <row r="194" spans="1:58" ht="21">
      <c r="A194" s="224"/>
      <c r="B194" s="224"/>
      <c r="C194" s="224"/>
      <c r="D194" s="9"/>
      <c r="E194" s="217" t="s">
        <v>59</v>
      </c>
      <c r="F194" s="209">
        <f t="shared" ref="F194:AC194" si="48">(F39+F65+F92+F118+F143+F169)/60</f>
        <v>-0.1</v>
      </c>
      <c r="G194" s="209">
        <f t="shared" si="48"/>
        <v>0.05</v>
      </c>
      <c r="H194" s="209">
        <f t="shared" si="48"/>
        <v>0.1</v>
      </c>
      <c r="I194" s="209">
        <f t="shared" si="48"/>
        <v>-0.2</v>
      </c>
      <c r="J194" s="209">
        <f t="shared" si="48"/>
        <v>3.3333333333333333E-2</v>
      </c>
      <c r="K194" s="209">
        <f t="shared" si="48"/>
        <v>0.05</v>
      </c>
      <c r="L194" s="209">
        <f t="shared" si="48"/>
        <v>0.11666666666666667</v>
      </c>
      <c r="M194" s="209">
        <f t="shared" si="48"/>
        <v>0.13333333333333333</v>
      </c>
      <c r="N194" s="209">
        <f t="shared" si="48"/>
        <v>1.6666666666666666E-2</v>
      </c>
      <c r="O194" s="209">
        <f t="shared" si="48"/>
        <v>-1.6666666666666666E-2</v>
      </c>
      <c r="P194" s="209">
        <f t="shared" si="48"/>
        <v>0.11666666666666667</v>
      </c>
      <c r="Q194" s="209">
        <f t="shared" si="48"/>
        <v>6.6666666666666666E-2</v>
      </c>
      <c r="R194" s="209">
        <f t="shared" si="48"/>
        <v>8.3333333333333329E-2</v>
      </c>
      <c r="S194" s="209">
        <f t="shared" si="48"/>
        <v>0.05</v>
      </c>
      <c r="T194" s="209">
        <f t="shared" si="48"/>
        <v>0.1</v>
      </c>
      <c r="U194" s="209">
        <f t="shared" si="48"/>
        <v>0</v>
      </c>
      <c r="V194" s="209">
        <f t="shared" si="48"/>
        <v>-0.1</v>
      </c>
      <c r="W194" s="209">
        <f t="shared" si="48"/>
        <v>-1.6666666666666666E-2</v>
      </c>
      <c r="X194" s="209">
        <f t="shared" si="48"/>
        <v>0.18333333333333332</v>
      </c>
      <c r="Y194" s="209">
        <f t="shared" si="48"/>
        <v>-6.6666666666666666E-2</v>
      </c>
      <c r="Z194" s="209">
        <f t="shared" si="48"/>
        <v>6.6666666666666666E-2</v>
      </c>
      <c r="AA194" s="209">
        <f t="shared" si="48"/>
        <v>0.13333333333333333</v>
      </c>
      <c r="AB194" s="209">
        <f t="shared" si="48"/>
        <v>6.6666666666666666E-2</v>
      </c>
      <c r="AC194" s="209">
        <f t="shared" si="48"/>
        <v>6.6666666666666666E-2</v>
      </c>
      <c r="AD194" s="209">
        <f t="shared" si="3"/>
        <v>0.1</v>
      </c>
      <c r="AE194" s="209">
        <f t="shared" si="36"/>
        <v>8.3333333333333329E-2</v>
      </c>
      <c r="AF194" s="209">
        <f t="shared" si="36"/>
        <v>8.3333333333333329E-2</v>
      </c>
      <c r="AG194" s="209">
        <f t="shared" si="36"/>
        <v>0.15</v>
      </c>
      <c r="AH194" s="209">
        <f t="shared" si="36"/>
        <v>0.2</v>
      </c>
      <c r="AI194" s="209">
        <f t="shared" si="36"/>
        <v>0.25</v>
      </c>
      <c r="AJ194" s="209">
        <f t="shared" si="36"/>
        <v>1.6666666666666666E-2</v>
      </c>
      <c r="AK194" s="209">
        <f t="shared" si="36"/>
        <v>3.3333333333333333E-2</v>
      </c>
      <c r="AL194" s="209">
        <f t="shared" si="36"/>
        <v>1.6666666666666666E-2</v>
      </c>
      <c r="AM194" s="209">
        <f t="shared" si="36"/>
        <v>-0.05</v>
      </c>
      <c r="AN194" s="209">
        <f t="shared" si="36"/>
        <v>1.6666666666666666E-2</v>
      </c>
      <c r="AO194" s="209">
        <f t="shared" si="36"/>
        <v>-0.05</v>
      </c>
      <c r="AP194" s="209">
        <f t="shared" si="36"/>
        <v>1.6666666666666666E-2</v>
      </c>
      <c r="AQ194" s="209">
        <f t="shared" si="36"/>
        <v>-1.6666666666666666E-2</v>
      </c>
      <c r="AR194" s="209">
        <f t="shared" si="36"/>
        <v>0.26666666666666666</v>
      </c>
      <c r="AS194" s="209">
        <f t="shared" si="36"/>
        <v>0.16666666666666666</v>
      </c>
      <c r="AT194" s="209">
        <f t="shared" si="36"/>
        <v>0.1</v>
      </c>
      <c r="AU194" s="209">
        <f t="shared" si="5"/>
        <v>0.16666666666666666</v>
      </c>
      <c r="AV194" s="209">
        <f t="shared" ref="AV194" si="49">(AV39+AV65+AV92+AV118+AV143+AV169)/60</f>
        <v>0.15</v>
      </c>
      <c r="AW194" s="258">
        <f t="shared" si="7"/>
        <v>3.3333333333333333E-2</v>
      </c>
      <c r="AX194" s="258">
        <f t="shared" si="7"/>
        <v>0</v>
      </c>
      <c r="AY194" s="274" t="s">
        <v>59</v>
      </c>
      <c r="AZ194" s="251" t="s">
        <v>52</v>
      </c>
      <c r="BA194" s="252">
        <v>1.41929493035392E-3</v>
      </c>
      <c r="BB194" s="252">
        <v>28.571428571428601</v>
      </c>
      <c r="BC194" s="252">
        <v>-2.4753056401698501</v>
      </c>
      <c r="BD194" s="259"/>
      <c r="BE194" s="259"/>
      <c r="BF194" s="260"/>
    </row>
    <row r="195" spans="1:58" ht="21">
      <c r="A195" s="224"/>
      <c r="B195" s="224"/>
      <c r="C195" s="224"/>
      <c r="D195" s="9"/>
      <c r="E195" s="217" t="s">
        <v>20</v>
      </c>
      <c r="F195" s="209">
        <f t="shared" ref="F195:AC195" si="50">(F40+F66+F93+F119+F144+F170)/60</f>
        <v>1.6666666666666666E-2</v>
      </c>
      <c r="G195" s="209">
        <f t="shared" si="50"/>
        <v>1.6666666666666666E-2</v>
      </c>
      <c r="H195" s="209">
        <f t="shared" si="50"/>
        <v>3.3333333333333333E-2</v>
      </c>
      <c r="I195" s="209">
        <f t="shared" si="50"/>
        <v>0</v>
      </c>
      <c r="J195" s="209">
        <f t="shared" si="50"/>
        <v>3.3333333333333333E-2</v>
      </c>
      <c r="K195" s="209">
        <f t="shared" si="50"/>
        <v>3.3333333333333333E-2</v>
      </c>
      <c r="L195" s="209">
        <f t="shared" si="50"/>
        <v>1.6666666666666666E-2</v>
      </c>
      <c r="M195" s="209">
        <f t="shared" si="50"/>
        <v>-3.3333333333333333E-2</v>
      </c>
      <c r="N195" s="209">
        <f t="shared" si="50"/>
        <v>0.05</v>
      </c>
      <c r="O195" s="209">
        <f t="shared" si="50"/>
        <v>1.6666666666666666E-2</v>
      </c>
      <c r="P195" s="209">
        <f t="shared" si="50"/>
        <v>-1.6666666666666666E-2</v>
      </c>
      <c r="Q195" s="209">
        <f t="shared" si="50"/>
        <v>-0.13333333333333333</v>
      </c>
      <c r="R195" s="209">
        <f t="shared" si="50"/>
        <v>-0.2</v>
      </c>
      <c r="S195" s="209">
        <f t="shared" si="50"/>
        <v>-0.21666666666666667</v>
      </c>
      <c r="T195" s="209">
        <f t="shared" si="50"/>
        <v>-0.21666666666666667</v>
      </c>
      <c r="U195" s="209">
        <f t="shared" si="50"/>
        <v>-0.3</v>
      </c>
      <c r="V195" s="209">
        <f t="shared" si="50"/>
        <v>-0.28333333333333333</v>
      </c>
      <c r="W195" s="209">
        <f t="shared" si="50"/>
        <v>-0.3</v>
      </c>
      <c r="X195" s="209">
        <f t="shared" si="50"/>
        <v>-0.25</v>
      </c>
      <c r="Y195" s="209">
        <f t="shared" si="50"/>
        <v>-0.23333333333333334</v>
      </c>
      <c r="Z195" s="209">
        <f t="shared" si="50"/>
        <v>-0.15</v>
      </c>
      <c r="AA195" s="209">
        <f t="shared" si="50"/>
        <v>-6.6666666666666666E-2</v>
      </c>
      <c r="AB195" s="209">
        <f t="shared" si="50"/>
        <v>-0.16666666666666666</v>
      </c>
      <c r="AC195" s="209">
        <f t="shared" si="50"/>
        <v>-0.16666666666666666</v>
      </c>
      <c r="AD195" s="209">
        <f t="shared" si="3"/>
        <v>-0.2</v>
      </c>
      <c r="AE195" s="209">
        <f t="shared" si="36"/>
        <v>-3.3333333333333333E-2</v>
      </c>
      <c r="AF195" s="209">
        <f t="shared" si="36"/>
        <v>-6.6666666666666666E-2</v>
      </c>
      <c r="AG195" s="209">
        <f t="shared" si="36"/>
        <v>-0.16666666666666666</v>
      </c>
      <c r="AH195" s="209">
        <f t="shared" si="36"/>
        <v>-0.15</v>
      </c>
      <c r="AI195" s="209">
        <f t="shared" si="36"/>
        <v>0</v>
      </c>
      <c r="AJ195" s="209">
        <f t="shared" si="36"/>
        <v>0.15</v>
      </c>
      <c r="AK195" s="209">
        <f t="shared" si="36"/>
        <v>0.15</v>
      </c>
      <c r="AL195" s="209">
        <f t="shared" si="36"/>
        <v>0.15</v>
      </c>
      <c r="AM195" s="209">
        <f t="shared" si="36"/>
        <v>0.23333333333333334</v>
      </c>
      <c r="AN195" s="209">
        <f t="shared" si="36"/>
        <v>0.15</v>
      </c>
      <c r="AO195" s="209">
        <f t="shared" si="36"/>
        <v>0.21666666666666667</v>
      </c>
      <c r="AP195" s="209">
        <f t="shared" si="36"/>
        <v>0.33333333333333331</v>
      </c>
      <c r="AQ195" s="209">
        <f t="shared" si="36"/>
        <v>0.31666666666666665</v>
      </c>
      <c r="AR195" s="209">
        <f t="shared" si="36"/>
        <v>0.21666666666666667</v>
      </c>
      <c r="AS195" s="209">
        <f t="shared" si="36"/>
        <v>0.26666666666666666</v>
      </c>
      <c r="AT195" s="209">
        <f t="shared" si="36"/>
        <v>0</v>
      </c>
      <c r="AU195" s="209">
        <f t="shared" si="5"/>
        <v>-0.1</v>
      </c>
      <c r="AV195" s="209">
        <f t="shared" ref="AV195" si="51">(AV40+AV66+AV93+AV119+AV144+AV170)/60</f>
        <v>-6.6666666666666666E-2</v>
      </c>
      <c r="AW195" s="258">
        <f t="shared" si="7"/>
        <v>-0.13333333333333333</v>
      </c>
      <c r="AX195" s="258">
        <f t="shared" si="7"/>
        <v>0.15</v>
      </c>
      <c r="AY195" s="274" t="s">
        <v>20</v>
      </c>
      <c r="AZ195" s="251" t="s">
        <v>19</v>
      </c>
      <c r="BA195" s="252">
        <v>-0.26108392206210301</v>
      </c>
      <c r="BB195" s="252">
        <v>28.571428571428601</v>
      </c>
      <c r="BC195" s="252">
        <v>-5.1578918766390203</v>
      </c>
      <c r="BD195" s="259"/>
      <c r="BE195" s="259"/>
      <c r="BF195" s="260"/>
    </row>
    <row r="196" spans="1:58" ht="21">
      <c r="A196" s="223">
        <v>75</v>
      </c>
      <c r="B196" s="225">
        <v>0.4</v>
      </c>
      <c r="C196" s="225">
        <v>1</v>
      </c>
      <c r="D196" s="221">
        <v>3</v>
      </c>
      <c r="E196" s="222" t="s">
        <v>19</v>
      </c>
      <c r="F196" s="209">
        <f t="shared" ref="F196:AC196" si="52">(F41+F67+F94+F120+F145+F171)/60</f>
        <v>8.3333333333333329E-2</v>
      </c>
      <c r="G196" s="209">
        <f t="shared" si="52"/>
        <v>0.15</v>
      </c>
      <c r="H196" s="209">
        <f t="shared" si="52"/>
        <v>-0.21666666666666667</v>
      </c>
      <c r="I196" s="209">
        <f t="shared" si="52"/>
        <v>-0.18333333333333332</v>
      </c>
      <c r="J196" s="209">
        <f t="shared" si="52"/>
        <v>-0.05</v>
      </c>
      <c r="K196" s="209">
        <f t="shared" si="52"/>
        <v>0.21666666666666667</v>
      </c>
      <c r="L196" s="209">
        <f t="shared" si="52"/>
        <v>0.1</v>
      </c>
      <c r="M196" s="209">
        <f t="shared" si="52"/>
        <v>-6.6666666666666666E-2</v>
      </c>
      <c r="N196" s="209">
        <f t="shared" si="52"/>
        <v>0</v>
      </c>
      <c r="O196" s="209">
        <f t="shared" si="52"/>
        <v>0.45</v>
      </c>
      <c r="P196" s="209">
        <f t="shared" si="52"/>
        <v>0.35</v>
      </c>
      <c r="Q196" s="209">
        <f t="shared" si="52"/>
        <v>0.28333333333333333</v>
      </c>
      <c r="R196" s="209">
        <f t="shared" si="52"/>
        <v>0.31666666666666665</v>
      </c>
      <c r="S196" s="209">
        <f t="shared" si="52"/>
        <v>0.41666666666666669</v>
      </c>
      <c r="T196" s="209">
        <f t="shared" si="52"/>
        <v>0.28333333333333333</v>
      </c>
      <c r="U196" s="209">
        <f t="shared" si="52"/>
        <v>0.2</v>
      </c>
      <c r="V196" s="209">
        <f t="shared" si="52"/>
        <v>6.6666666666666666E-2</v>
      </c>
      <c r="W196" s="209">
        <f t="shared" si="52"/>
        <v>0.1</v>
      </c>
      <c r="X196" s="209">
        <f t="shared" si="52"/>
        <v>0.05</v>
      </c>
      <c r="Y196" s="209">
        <f t="shared" si="52"/>
        <v>0.13333333333333333</v>
      </c>
      <c r="Z196" s="209">
        <f t="shared" si="52"/>
        <v>0.18333333333333332</v>
      </c>
      <c r="AA196" s="209">
        <f t="shared" si="52"/>
        <v>6.6666666666666666E-2</v>
      </c>
      <c r="AB196" s="209">
        <f t="shared" si="52"/>
        <v>0.16666666666666666</v>
      </c>
      <c r="AC196" s="209">
        <f t="shared" si="52"/>
        <v>0</v>
      </c>
      <c r="AD196" s="209">
        <f t="shared" si="3"/>
        <v>-0.13333333333333333</v>
      </c>
      <c r="AE196" s="209">
        <f t="shared" si="36"/>
        <v>0</v>
      </c>
      <c r="AF196" s="209">
        <f t="shared" si="36"/>
        <v>-6.6666666666666666E-2</v>
      </c>
      <c r="AG196" s="209">
        <f t="shared" si="36"/>
        <v>-0.13333333333333333</v>
      </c>
      <c r="AH196" s="209">
        <f t="shared" si="36"/>
        <v>0.18333333333333332</v>
      </c>
      <c r="AI196" s="209">
        <f t="shared" si="36"/>
        <v>0.25</v>
      </c>
      <c r="AJ196" s="209">
        <f t="shared" si="36"/>
        <v>0.3</v>
      </c>
      <c r="AK196" s="209">
        <f t="shared" si="36"/>
        <v>0.36666666666666664</v>
      </c>
      <c r="AL196" s="209">
        <f t="shared" si="36"/>
        <v>0.31666666666666665</v>
      </c>
      <c r="AM196" s="209">
        <f t="shared" si="36"/>
        <v>0.35</v>
      </c>
      <c r="AN196" s="209">
        <f t="shared" si="36"/>
        <v>0.35</v>
      </c>
      <c r="AO196" s="209">
        <f t="shared" si="36"/>
        <v>0.13333333333333333</v>
      </c>
      <c r="AP196" s="209">
        <f t="shared" si="36"/>
        <v>-0.05</v>
      </c>
      <c r="AQ196" s="209">
        <f>(AQ41+AQ67+AQ94+AQ120+AQ145+AQ171)/60</f>
        <v>1.6666666666666666E-2</v>
      </c>
      <c r="AR196" s="209">
        <f>(AR41+AR67+AR94+AR120+AR145+AR171)/60</f>
        <v>-0.05</v>
      </c>
      <c r="AS196" s="209">
        <f>(AS41+AS67+AS94+AS120+AS145+AS171)/60</f>
        <v>0.33333333333333331</v>
      </c>
      <c r="AT196" s="209">
        <f t="shared" si="36"/>
        <v>-1.6666666666666666E-2</v>
      </c>
      <c r="AU196" s="209">
        <f t="shared" si="5"/>
        <v>-0.1</v>
      </c>
      <c r="AV196" s="209">
        <f t="shared" ref="AV196" si="53">(AV41+AV67+AV94+AV120+AV145+AV171)/60</f>
        <v>-0.33333333333333331</v>
      </c>
      <c r="AW196" s="258">
        <f t="shared" si="7"/>
        <v>-0.33333333333333331</v>
      </c>
      <c r="AX196" s="258">
        <f t="shared" si="7"/>
        <v>-0.33333333333333331</v>
      </c>
      <c r="AY196" s="274" t="s">
        <v>19</v>
      </c>
      <c r="AZ196" s="251" t="s">
        <v>15</v>
      </c>
      <c r="BA196" s="252">
        <v>-0.26710006757355098</v>
      </c>
      <c r="BB196" s="252">
        <v>28.571428571428601</v>
      </c>
      <c r="BC196" s="252">
        <v>-1.6767216223216601</v>
      </c>
      <c r="BD196" s="259"/>
      <c r="BE196" s="259"/>
      <c r="BF196" s="260"/>
    </row>
    <row r="197" spans="1:58">
      <c r="AQ197" s="255"/>
      <c r="AZ197" s="251" t="s">
        <v>10</v>
      </c>
      <c r="BA197" s="252">
        <v>-0.33940519070007802</v>
      </c>
      <c r="BB197" s="252">
        <v>28.571428571428601</v>
      </c>
      <c r="BC197" s="252">
        <v>-7.4836805453117696</v>
      </c>
    </row>
    <row r="198" spans="1:58">
      <c r="AQ198" s="255"/>
    </row>
    <row r="199" spans="1:58">
      <c r="AW199" s="272"/>
      <c r="AX199" s="272"/>
    </row>
    <row r="200" spans="1:58">
      <c r="AW200" s="272"/>
      <c r="AX200" s="272"/>
    </row>
    <row r="201" spans="1:58">
      <c r="AW201" s="272"/>
      <c r="AX201" s="272"/>
    </row>
    <row r="202" spans="1:58">
      <c r="AW202" s="272"/>
      <c r="AX202" s="272"/>
    </row>
    <row r="203" spans="1:58">
      <c r="AW203" s="272"/>
      <c r="AX203" s="272"/>
    </row>
    <row r="204" spans="1:58">
      <c r="AW204" s="272"/>
      <c r="AX204" s="272"/>
    </row>
    <row r="205" spans="1:58">
      <c r="AW205" s="272"/>
      <c r="AX205" s="272"/>
    </row>
    <row r="206" spans="1:58">
      <c r="AW206" s="272"/>
      <c r="AX206" s="272"/>
    </row>
    <row r="207" spans="1:58">
      <c r="AW207" s="272"/>
      <c r="AX207" s="272"/>
    </row>
    <row r="208" spans="1:58">
      <c r="AW208" s="272"/>
      <c r="AX208" s="272"/>
    </row>
    <row r="209" spans="49:50">
      <c r="AW209" s="272"/>
      <c r="AX209" s="272"/>
    </row>
    <row r="210" spans="49:50">
      <c r="AW210" s="272"/>
      <c r="AX210" s="272"/>
    </row>
    <row r="211" spans="49:50">
      <c r="AW211" s="272"/>
      <c r="AX211" s="272"/>
    </row>
    <row r="212" spans="49:50">
      <c r="AW212" s="272"/>
      <c r="AX212" s="272"/>
    </row>
    <row r="213" spans="49:50">
      <c r="AW213" s="272"/>
      <c r="AX213" s="272"/>
    </row>
    <row r="214" spans="49:50">
      <c r="AW214" s="272"/>
      <c r="AX214" s="272"/>
    </row>
    <row r="215" spans="49:50">
      <c r="AW215" s="272"/>
      <c r="AX215" s="272"/>
    </row>
    <row r="216" spans="49:50">
      <c r="AW216" s="272"/>
      <c r="AX216" s="272"/>
    </row>
    <row r="217" spans="49:50">
      <c r="AW217" s="272"/>
      <c r="AX217" s="272"/>
    </row>
    <row r="218" spans="49:50">
      <c r="AW218" s="272"/>
      <c r="AX218" s="272"/>
    </row>
    <row r="219" spans="49:50">
      <c r="AW219" s="272"/>
      <c r="AX219" s="272"/>
    </row>
    <row r="220" spans="49:50">
      <c r="AW220" s="272"/>
      <c r="AX220" s="272"/>
    </row>
    <row r="221" spans="49:50">
      <c r="AW221" s="272"/>
      <c r="AX221" s="272"/>
    </row>
  </sheetData>
  <mergeCells count="3">
    <mergeCell ref="AZ172:BA172"/>
    <mergeCell ref="BB172:BC172"/>
    <mergeCell ref="BD172:BE172"/>
  </mergeCells>
  <conditionalFormatting sqref="F174:AX19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174">
    <cfRule type="colorScale" priority="20">
      <colorScale>
        <cfvo type="min"/>
        <cfvo type="max"/>
        <color rgb="FFFFEF9C"/>
        <color rgb="FF63BE7B"/>
      </colorScale>
    </cfRule>
  </conditionalFormatting>
  <conditionalFormatting sqref="AZ183">
    <cfRule type="colorScale" priority="8">
      <colorScale>
        <cfvo type="min"/>
        <cfvo type="max"/>
        <color rgb="FFFFEF9C"/>
        <color rgb="FF63BE7B"/>
      </colorScale>
    </cfRule>
  </conditionalFormatting>
  <conditionalFormatting sqref="AZ185">
    <cfRule type="colorScale" priority="4">
      <colorScale>
        <cfvo type="min"/>
        <cfvo type="max"/>
        <color rgb="FFFFEF9C"/>
        <color rgb="FF63BE7B"/>
      </colorScale>
    </cfRule>
  </conditionalFormatting>
  <conditionalFormatting sqref="BA174">
    <cfRule type="colorScale" priority="19">
      <colorScale>
        <cfvo type="min"/>
        <cfvo type="max"/>
        <color rgb="FFFFEF9C"/>
        <color rgb="FF63BE7B"/>
      </colorScale>
    </cfRule>
  </conditionalFormatting>
  <conditionalFormatting sqref="BA183">
    <cfRule type="colorScale" priority="7">
      <colorScale>
        <cfvo type="min"/>
        <cfvo type="max"/>
        <color rgb="FFFFEF9C"/>
        <color rgb="FF63BE7B"/>
      </colorScale>
    </cfRule>
  </conditionalFormatting>
  <conditionalFormatting sqref="BA185">
    <cfRule type="colorScale" priority="3">
      <colorScale>
        <cfvo type="min"/>
        <cfvo type="max"/>
        <color rgb="FFFFEF9C"/>
        <color rgb="FF63BE7B"/>
      </colorScale>
    </cfRule>
  </conditionalFormatting>
  <conditionalFormatting sqref="BB174">
    <cfRule type="colorScale" priority="18">
      <colorScale>
        <cfvo type="min"/>
        <cfvo type="max"/>
        <color rgb="FFFFEF9C"/>
        <color rgb="FF63BE7B"/>
      </colorScale>
    </cfRule>
  </conditionalFormatting>
  <conditionalFormatting sqref="BB183">
    <cfRule type="colorScale" priority="6">
      <colorScale>
        <cfvo type="min"/>
        <cfvo type="max"/>
        <color rgb="FFFFEF9C"/>
        <color rgb="FF63BE7B"/>
      </colorScale>
    </cfRule>
  </conditionalFormatting>
  <conditionalFormatting sqref="BB185">
    <cfRule type="colorScale" priority="2">
      <colorScale>
        <cfvo type="min"/>
        <cfvo type="max"/>
        <color rgb="FFFFEF9C"/>
        <color rgb="FF63BE7B"/>
      </colorScale>
    </cfRule>
  </conditionalFormatting>
  <conditionalFormatting sqref="BC174">
    <cfRule type="colorScale" priority="17">
      <colorScale>
        <cfvo type="min"/>
        <cfvo type="max"/>
        <color rgb="FFFFEF9C"/>
        <color rgb="FF63BE7B"/>
      </colorScale>
    </cfRule>
  </conditionalFormatting>
  <conditionalFormatting sqref="BC183">
    <cfRule type="colorScale" priority="5">
      <colorScale>
        <cfvo type="min"/>
        <cfvo type="max"/>
        <color rgb="FFFFEF9C"/>
        <color rgb="FF63BE7B"/>
      </colorScale>
    </cfRule>
  </conditionalFormatting>
  <conditionalFormatting sqref="BC185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GDP data</vt:lpstr>
      <vt:lpstr>CA GDP DATA</vt:lpstr>
      <vt:lpstr>CPI data</vt:lpstr>
      <vt:lpstr>FX RESERVE DATA</vt:lpstr>
      <vt:lpstr>Interest Rates data</vt:lpstr>
      <vt:lpstr>EQUITY</vt:lpstr>
      <vt:lpstr>COMPARATIVE 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2026-04-12T12:40:53Z</cp:lastPrinted>
  <dcterms:created xsi:type="dcterms:W3CDTF">2015-06-05T18:17:20Z</dcterms:created>
  <dcterms:modified xsi:type="dcterms:W3CDTF">2026-09-12T13:56:01Z</dcterms:modified>
</cp:coreProperties>
</file>